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hesh.Pol\Downloads\"/>
    </mc:Choice>
  </mc:AlternateContent>
  <xr:revisionPtr revIDLastSave="0" documentId="13_ncr:1_{26B76D8C-D0A3-4E0B-B400-E123113F5B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Base" sheetId="2" r:id="rId2"/>
    <sheet name="No Batch" sheetId="8" r:id="rId3"/>
    <sheet name="10p Opening" sheetId="3" r:id="rId4"/>
    <sheet name="Batch Size" sheetId="4" r:id="rId5"/>
    <sheet name="10p Pivot" sheetId="5" r:id="rId6"/>
  </sheets>
  <definedNames>
    <definedName name="_xlnm._FilterDatabase" localSheetId="1" hidden="1">Base!$A$3:$AW$2983</definedName>
    <definedName name="_xlnm._FilterDatabase" localSheetId="4" hidden="1">'Batch Size'!$A$1:$H$246</definedName>
    <definedName name="solver_adj" localSheetId="1" hidden="1">Base!#REF!,Base!$M$1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itr" localSheetId="1" hidden="1">2147483647</definedName>
    <definedName name="solver_lhs1" localSheetId="1" hidden="1">Base!$M$1</definedName>
    <definedName name="solver_lhs10" localSheetId="1" hidden="1">Base!#REF!</definedName>
    <definedName name="solver_lhs2" localSheetId="1" hidden="1">Base!$M$1</definedName>
    <definedName name="solver_lhs3" localSheetId="1" hidden="1">Base!$M$1</definedName>
    <definedName name="solver_lhs4" localSheetId="1" hidden="1">Base!$M$1</definedName>
    <definedName name="solver_lhs5" localSheetId="1" hidden="1">Base!$M$1</definedName>
    <definedName name="solver_lhs6" localSheetId="1" hidden="1">Base!$M$1</definedName>
    <definedName name="solver_lhs7" localSheetId="1" hidden="1">Base!#REF!</definedName>
    <definedName name="solver_lhs8" localSheetId="1" hidden="1">Base!#REF!</definedName>
    <definedName name="solver_lhs9" localSheetId="1" hidden="1">Base!#REF!</definedName>
    <definedName name="solver_lin" localSheetId="1" hidden="1">1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10</definedName>
    <definedName name="solver_opt" localSheetId="1" hidden="1">Base!$M$1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10" localSheetId="1" hidden="1">1</definedName>
    <definedName name="solver_rel2" localSheetId="1" hidden="1">1</definedName>
    <definedName name="solver_rel3" localSheetId="1" hidden="1">1</definedName>
    <definedName name="solver_rel4" localSheetId="1" hidden="1">1</definedName>
    <definedName name="solver_rel5" localSheetId="1" hidden="1">1</definedName>
    <definedName name="solver_rel6" localSheetId="1" hidden="1">1</definedName>
    <definedName name="solver_rel7" localSheetId="1" hidden="1">4</definedName>
    <definedName name="solver_rel8" localSheetId="1" hidden="1">3</definedName>
    <definedName name="solver_rel9" localSheetId="1" hidden="1">3</definedName>
    <definedName name="solver_rhs1" localSheetId="1" hidden="1">Base!#REF!</definedName>
    <definedName name="solver_rhs10" localSheetId="1" hidden="1">Base!#REF!</definedName>
    <definedName name="solver_rhs2" localSheetId="1" hidden="1">Base!#REF!</definedName>
    <definedName name="solver_rhs3" localSheetId="1" hidden="1">Base!#REF!</definedName>
    <definedName name="solver_rhs4" localSheetId="1" hidden="1">Base!#REF!</definedName>
    <definedName name="solver_rhs5" localSheetId="1" hidden="1">Base!#REF!</definedName>
    <definedName name="solver_rhs6" localSheetId="1" hidden="1">Base!#REF!</definedName>
    <definedName name="solver_rhs7" localSheetId="1" hidden="1">"integer"</definedName>
    <definedName name="solver_rhs8" localSheetId="1" hidden="1">0</definedName>
    <definedName name="solver_rhs9" localSheetId="1" hidden="1">0</definedName>
    <definedName name="solver_rlx" localSheetId="1" hidden="1">1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2</definedName>
  </definedNames>
  <calcPr calcId="191029" calcMode="manual"/>
  <pivotCaches>
    <pivotCache cacheId="584" r:id="rId7"/>
    <pivotCache cacheId="585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665" i="2" l="1"/>
  <c r="W2983" i="2"/>
  <c r="W2982" i="2"/>
  <c r="W2981" i="2"/>
  <c r="W2980" i="2"/>
  <c r="W1664" i="2"/>
  <c r="W2979" i="2"/>
  <c r="W2978" i="2"/>
  <c r="W2977" i="2"/>
  <c r="W2976" i="2"/>
  <c r="W701" i="2"/>
  <c r="W381" i="2"/>
  <c r="W2975" i="2"/>
  <c r="W700" i="2"/>
  <c r="W2974" i="2"/>
  <c r="W2973" i="2"/>
  <c r="W2972" i="2"/>
  <c r="W2971" i="2"/>
  <c r="W2970" i="2"/>
  <c r="W2969" i="2"/>
  <c r="W153" i="2"/>
  <c r="W2968" i="2"/>
  <c r="W152" i="2"/>
  <c r="W2967" i="2"/>
  <c r="W151" i="2"/>
  <c r="W1262" i="2"/>
  <c r="W2966" i="2"/>
  <c r="W699" i="2"/>
  <c r="W1725" i="2"/>
  <c r="W2965" i="2"/>
  <c r="W150" i="2"/>
  <c r="W1104" i="2"/>
  <c r="W1146" i="2"/>
  <c r="W409" i="2"/>
  <c r="W1430" i="2"/>
  <c r="W1103" i="2"/>
  <c r="W149" i="2"/>
  <c r="W2964" i="2"/>
  <c r="W1284" i="2"/>
  <c r="W148" i="2"/>
  <c r="W842" i="2"/>
  <c r="W147" i="2"/>
  <c r="W1145" i="2"/>
  <c r="W2963" i="2"/>
  <c r="W146" i="2"/>
  <c r="W145" i="2"/>
  <c r="W2962" i="2"/>
  <c r="W698" i="2"/>
  <c r="W144" i="2"/>
  <c r="W143" i="2"/>
  <c r="W1723" i="2"/>
  <c r="W142" i="2"/>
  <c r="W141" i="2"/>
  <c r="W2961" i="2"/>
  <c r="W140" i="2"/>
  <c r="W2960" i="2"/>
  <c r="W139" i="2"/>
  <c r="W2959" i="2"/>
  <c r="W1415" i="2"/>
  <c r="W894" i="2"/>
  <c r="W1722" i="2"/>
  <c r="W2958" i="2"/>
  <c r="W697" i="2"/>
  <c r="W2957" i="2"/>
  <c r="W696" i="2"/>
  <c r="W2956" i="2"/>
  <c r="W1629" i="2"/>
  <c r="W380" i="2"/>
  <c r="W1144" i="2"/>
  <c r="W1143" i="2"/>
  <c r="W841" i="2"/>
  <c r="W2955" i="2"/>
  <c r="W1663" i="2"/>
  <c r="W1662" i="2"/>
  <c r="W978" i="2"/>
  <c r="W695" i="2"/>
  <c r="W2954" i="2"/>
  <c r="W840" i="2"/>
  <c r="W694" i="2"/>
  <c r="W2953" i="2"/>
  <c r="W1261" i="2"/>
  <c r="W2952" i="2"/>
  <c r="W839" i="2"/>
  <c r="W1260" i="2"/>
  <c r="W2951" i="2"/>
  <c r="W977" i="2"/>
  <c r="W2950" i="2"/>
  <c r="W2949" i="2"/>
  <c r="W2948" i="2"/>
  <c r="W1628" i="2"/>
  <c r="W2947" i="2"/>
  <c r="W1627" i="2"/>
  <c r="W2946" i="2"/>
  <c r="W2945" i="2"/>
  <c r="W2944" i="2"/>
  <c r="W838" i="2"/>
  <c r="W837" i="2"/>
  <c r="W1661" i="2"/>
  <c r="W1660" i="2"/>
  <c r="W2943" i="2"/>
  <c r="W2942" i="2"/>
  <c r="W836" i="2"/>
  <c r="W1414" i="2"/>
  <c r="W2941" i="2"/>
  <c r="W1102" i="2"/>
  <c r="W835" i="2"/>
  <c r="W2940" i="2"/>
  <c r="W2939" i="2"/>
  <c r="W1626" i="2"/>
  <c r="W2938" i="2"/>
  <c r="W834" i="2"/>
  <c r="W833" i="2"/>
  <c r="W2937" i="2"/>
  <c r="W2936" i="2"/>
  <c r="W832" i="2"/>
  <c r="W1625" i="2"/>
  <c r="W2935" i="2"/>
  <c r="W1721" i="2"/>
  <c r="W1659" i="2"/>
  <c r="W338" i="2"/>
  <c r="W1624" i="2"/>
  <c r="W1101" i="2"/>
  <c r="W1259" i="2"/>
  <c r="W831" i="2"/>
  <c r="W2934" i="2"/>
  <c r="W2933" i="2"/>
  <c r="W337" i="2"/>
  <c r="W2932" i="2"/>
  <c r="W2931" i="2"/>
  <c r="W1100" i="2"/>
  <c r="W510" i="2"/>
  <c r="W336" i="2"/>
  <c r="W2930" i="2"/>
  <c r="W1099" i="2"/>
  <c r="W2929" i="2"/>
  <c r="W2928" i="2"/>
  <c r="W2927" i="2"/>
  <c r="W830" i="2"/>
  <c r="W335" i="2"/>
  <c r="W2926" i="2"/>
  <c r="W1283" i="2"/>
  <c r="W1623" i="2"/>
  <c r="W1142" i="2"/>
  <c r="W976" i="2"/>
  <c r="W2925" i="2"/>
  <c r="W1098" i="2"/>
  <c r="W2924" i="2"/>
  <c r="W1658" i="2"/>
  <c r="W509" i="2"/>
  <c r="W1097" i="2"/>
  <c r="W1720" i="2"/>
  <c r="W829" i="2"/>
  <c r="W508" i="2"/>
  <c r="W2923" i="2"/>
  <c r="W1622" i="2"/>
  <c r="W2922" i="2"/>
  <c r="W1141" i="2"/>
  <c r="W1621" i="2"/>
  <c r="W2921" i="2"/>
  <c r="W1258" i="2"/>
  <c r="W1413" i="2"/>
  <c r="W828" i="2"/>
  <c r="W1096" i="2"/>
  <c r="W2920" i="2"/>
  <c r="W334" i="2"/>
  <c r="W1257" i="2"/>
  <c r="W1412" i="2"/>
  <c r="W408" i="2"/>
  <c r="W1095" i="2"/>
  <c r="W2919" i="2"/>
  <c r="W2918" i="2"/>
  <c r="W1094" i="2"/>
  <c r="W827" i="2"/>
  <c r="W2917" i="2"/>
  <c r="W2916" i="2"/>
  <c r="W2915" i="2"/>
  <c r="W1620" i="2"/>
  <c r="W2914" i="2"/>
  <c r="W2913" i="2"/>
  <c r="W1093" i="2"/>
  <c r="W2912" i="2"/>
  <c r="W975" i="2"/>
  <c r="W2911" i="2"/>
  <c r="W1092" i="2"/>
  <c r="W2910" i="2"/>
  <c r="W974" i="2"/>
  <c r="W2909" i="2"/>
  <c r="W893" i="2"/>
  <c r="W2908" i="2"/>
  <c r="W2907" i="2"/>
  <c r="W1429" i="2"/>
  <c r="W1091" i="2"/>
  <c r="W1719" i="2"/>
  <c r="W1090" i="2"/>
  <c r="W1718" i="2"/>
  <c r="W973" i="2"/>
  <c r="W2906" i="2"/>
  <c r="W1089" i="2"/>
  <c r="W2905" i="2"/>
  <c r="W2904" i="2"/>
  <c r="W1256" i="2"/>
  <c r="W1255" i="2"/>
  <c r="W1619" i="2"/>
  <c r="W1411" i="2"/>
  <c r="W1717" i="2"/>
  <c r="W507" i="2"/>
  <c r="W1088" i="2"/>
  <c r="W1618" i="2"/>
  <c r="W2903" i="2"/>
  <c r="W2902" i="2"/>
  <c r="W826" i="2"/>
  <c r="W1716" i="2"/>
  <c r="W2901" i="2"/>
  <c r="W1254" i="2"/>
  <c r="W2900" i="2"/>
  <c r="W2899" i="2"/>
  <c r="W393" i="2"/>
  <c r="W1467" i="2"/>
  <c r="W1410" i="2"/>
  <c r="W1253" i="2"/>
  <c r="W2898" i="2"/>
  <c r="W2897" i="2"/>
  <c r="W358" i="2"/>
  <c r="W357" i="2"/>
  <c r="W1252" i="2"/>
  <c r="W2896" i="2"/>
  <c r="W2895" i="2"/>
  <c r="W2894" i="2"/>
  <c r="W2893" i="2"/>
  <c r="W2892" i="2"/>
  <c r="W464" i="2"/>
  <c r="W2891" i="2"/>
  <c r="W506" i="2"/>
  <c r="W892" i="2"/>
  <c r="W2890" i="2"/>
  <c r="W2889" i="2"/>
  <c r="W2888" i="2"/>
  <c r="W693" i="2"/>
  <c r="W505" i="2"/>
  <c r="W1251" i="2"/>
  <c r="W333" i="2"/>
  <c r="W972" i="2"/>
  <c r="W1617" i="2"/>
  <c r="W1616" i="2"/>
  <c r="W891" i="2"/>
  <c r="W2887" i="2"/>
  <c r="W2886" i="2"/>
  <c r="W2885" i="2"/>
  <c r="W692" i="2"/>
  <c r="W1250" i="2"/>
  <c r="W691" i="2"/>
  <c r="W825" i="2"/>
  <c r="W1087" i="2"/>
  <c r="W690" i="2"/>
  <c r="W2884" i="2"/>
  <c r="W2883" i="2"/>
  <c r="W1615" i="2"/>
  <c r="W971" i="2"/>
  <c r="W2882" i="2"/>
  <c r="W1614" i="2"/>
  <c r="W504" i="2"/>
  <c r="W1086" i="2"/>
  <c r="W1085" i="2"/>
  <c r="W463" i="2"/>
  <c r="W1715" i="2"/>
  <c r="W2881" i="2"/>
  <c r="W2880" i="2"/>
  <c r="W503" i="2"/>
  <c r="W2879" i="2"/>
  <c r="W2878" i="2"/>
  <c r="W1084" i="2"/>
  <c r="W1083" i="2"/>
  <c r="W689" i="2"/>
  <c r="W2877" i="2"/>
  <c r="W1613" i="2"/>
  <c r="W392" i="2"/>
  <c r="W1082" i="2"/>
  <c r="W688" i="2"/>
  <c r="W2876" i="2"/>
  <c r="W462" i="2"/>
  <c r="W1612" i="2"/>
  <c r="W1714" i="2"/>
  <c r="W2875" i="2"/>
  <c r="W2874" i="2"/>
  <c r="W1713" i="2"/>
  <c r="W1611" i="2"/>
  <c r="W2873" i="2"/>
  <c r="W391" i="2"/>
  <c r="W2872" i="2"/>
  <c r="W2871" i="2"/>
  <c r="W1081" i="2"/>
  <c r="W687" i="2"/>
  <c r="W1712" i="2"/>
  <c r="W356" i="2"/>
  <c r="W1080" i="2"/>
  <c r="W686" i="2"/>
  <c r="W332" i="2"/>
  <c r="W331" i="2"/>
  <c r="W2870" i="2"/>
  <c r="W685" i="2"/>
  <c r="W25" i="2"/>
  <c r="W379" i="2"/>
  <c r="W684" i="2"/>
  <c r="W2869" i="2"/>
  <c r="W440" i="2"/>
  <c r="W1466" i="2"/>
  <c r="W683" i="2"/>
  <c r="W682" i="2"/>
  <c r="W2868" i="2"/>
  <c r="W439" i="2"/>
  <c r="W2867" i="2"/>
  <c r="W330" i="2"/>
  <c r="W1079" i="2"/>
  <c r="W970" i="2"/>
  <c r="W890" i="2"/>
  <c r="W1465" i="2"/>
  <c r="W2866" i="2"/>
  <c r="W2865" i="2"/>
  <c r="W681" i="2"/>
  <c r="W2864" i="2"/>
  <c r="W2863" i="2"/>
  <c r="W889" i="2"/>
  <c r="W2862" i="2"/>
  <c r="W1249" i="2"/>
  <c r="W2861" i="2"/>
  <c r="W1078" i="2"/>
  <c r="W2860" i="2"/>
  <c r="W1077" i="2"/>
  <c r="W2859" i="2"/>
  <c r="W2858" i="2"/>
  <c r="W1409" i="2"/>
  <c r="W2857" i="2"/>
  <c r="W2856" i="2"/>
  <c r="W2855" i="2"/>
  <c r="W1076" i="2"/>
  <c r="W1408" i="2"/>
  <c r="W2854" i="2"/>
  <c r="W461" i="2"/>
  <c r="W2853" i="2"/>
  <c r="W2852" i="2"/>
  <c r="W2851" i="2"/>
  <c r="W329" i="2"/>
  <c r="W1248" i="2"/>
  <c r="W2850" i="2"/>
  <c r="W680" i="2"/>
  <c r="W2849" i="2"/>
  <c r="W2848" i="2"/>
  <c r="W2847" i="2"/>
  <c r="W2846" i="2"/>
  <c r="W438" i="2"/>
  <c r="W1610" i="2"/>
  <c r="W2845" i="2"/>
  <c r="W969" i="2"/>
  <c r="W355" i="2"/>
  <c r="W378" i="2"/>
  <c r="W679" i="2"/>
  <c r="W1711" i="2"/>
  <c r="W1075" i="2"/>
  <c r="W2844" i="2"/>
  <c r="W2843" i="2"/>
  <c r="W2842" i="2"/>
  <c r="W354" i="2"/>
  <c r="W2841" i="2"/>
  <c r="W2840" i="2"/>
  <c r="W678" i="2"/>
  <c r="W437" i="2"/>
  <c r="W1724" i="2"/>
  <c r="W353" i="2"/>
  <c r="W2839" i="2"/>
  <c r="W1710" i="2"/>
  <c r="W1074" i="2"/>
  <c r="W677" i="2"/>
  <c r="W2838" i="2"/>
  <c r="W2837" i="2"/>
  <c r="W2836" i="2"/>
  <c r="W328" i="2"/>
  <c r="W2835" i="2"/>
  <c r="W2834" i="2"/>
  <c r="W676" i="2"/>
  <c r="W24" i="2"/>
  <c r="W1464" i="2"/>
  <c r="W436" i="2"/>
  <c r="W1709" i="2"/>
  <c r="W1609" i="2"/>
  <c r="W1407" i="2"/>
  <c r="W675" i="2"/>
  <c r="W888" i="2"/>
  <c r="W1406" i="2"/>
  <c r="W23" i="2"/>
  <c r="W2833" i="2"/>
  <c r="W352" i="2"/>
  <c r="W435" i="2"/>
  <c r="W2832" i="2"/>
  <c r="W674" i="2"/>
  <c r="W327" i="2"/>
  <c r="W1073" i="2"/>
  <c r="W1608" i="2"/>
  <c r="W2831" i="2"/>
  <c r="W2830" i="2"/>
  <c r="W390" i="2"/>
  <c r="W2829" i="2"/>
  <c r="W2828" i="2"/>
  <c r="W434" i="2"/>
  <c r="W2827" i="2"/>
  <c r="W2826" i="2"/>
  <c r="W2825" i="2"/>
  <c r="W2824" i="2"/>
  <c r="W351" i="2"/>
  <c r="W2823" i="2"/>
  <c r="W2822" i="2"/>
  <c r="W673" i="2"/>
  <c r="W2821" i="2"/>
  <c r="W326" i="2"/>
  <c r="W2820" i="2"/>
  <c r="W2819" i="2"/>
  <c r="W2818" i="2"/>
  <c r="W2817" i="2"/>
  <c r="W2816" i="2"/>
  <c r="W325" i="2"/>
  <c r="W1607" i="2"/>
  <c r="W672" i="2"/>
  <c r="W1463" i="2"/>
  <c r="W377" i="2"/>
  <c r="W887" i="2"/>
  <c r="W1462" i="2"/>
  <c r="W2815" i="2"/>
  <c r="W2814" i="2"/>
  <c r="W2813" i="2"/>
  <c r="W350" i="2"/>
  <c r="W1606" i="2"/>
  <c r="W2812" i="2"/>
  <c r="W1708" i="2"/>
  <c r="W2811" i="2"/>
  <c r="W324" i="2"/>
  <c r="W2810" i="2"/>
  <c r="W433" i="2"/>
  <c r="W1247" i="2"/>
  <c r="W2809" i="2"/>
  <c r="W323" i="2"/>
  <c r="W2808" i="2"/>
  <c r="W2807" i="2"/>
  <c r="W2806" i="2"/>
  <c r="W1707" i="2"/>
  <c r="W2805" i="2"/>
  <c r="W824" i="2"/>
  <c r="W886" i="2"/>
  <c r="W2804" i="2"/>
  <c r="W671" i="2"/>
  <c r="W1706" i="2"/>
  <c r="W2803" i="2"/>
  <c r="W1705" i="2"/>
  <c r="W2802" i="2"/>
  <c r="W2801" i="2"/>
  <c r="W2800" i="2"/>
  <c r="W2799" i="2"/>
  <c r="W1461" i="2"/>
  <c r="W1704" i="2"/>
  <c r="W1405" i="2"/>
  <c r="W2798" i="2"/>
  <c r="W2797" i="2"/>
  <c r="W1605" i="2"/>
  <c r="W2796" i="2"/>
  <c r="W2795" i="2"/>
  <c r="W2794" i="2"/>
  <c r="W432" i="2"/>
  <c r="W2793" i="2"/>
  <c r="W2792" i="2"/>
  <c r="W349" i="2"/>
  <c r="W1404" i="2"/>
  <c r="W2791" i="2"/>
  <c r="W2790" i="2"/>
  <c r="W2789" i="2"/>
  <c r="W2788" i="2"/>
  <c r="W1246" i="2"/>
  <c r="W2787" i="2"/>
  <c r="W322" i="2"/>
  <c r="W22" i="2"/>
  <c r="W2786" i="2"/>
  <c r="W2785" i="2"/>
  <c r="W2784" i="2"/>
  <c r="W885" i="2"/>
  <c r="W2783" i="2"/>
  <c r="W1403" i="2"/>
  <c r="W2782" i="2"/>
  <c r="W884" i="2"/>
  <c r="W670" i="2"/>
  <c r="W1604" i="2"/>
  <c r="W968" i="2"/>
  <c r="W2781" i="2"/>
  <c r="W883" i="2"/>
  <c r="W321" i="2"/>
  <c r="W320" i="2"/>
  <c r="W2780" i="2"/>
  <c r="W2779" i="2"/>
  <c r="W823" i="2"/>
  <c r="W2778" i="2"/>
  <c r="W2777" i="2"/>
  <c r="W2776" i="2"/>
  <c r="W882" i="2"/>
  <c r="W1603" i="2"/>
  <c r="W2775" i="2"/>
  <c r="W2774" i="2"/>
  <c r="W1602" i="2"/>
  <c r="W2773" i="2"/>
  <c r="W2772" i="2"/>
  <c r="W2771" i="2"/>
  <c r="W2770" i="2"/>
  <c r="W2769" i="2"/>
  <c r="W2768" i="2"/>
  <c r="W1245" i="2"/>
  <c r="W822" i="2"/>
  <c r="W2767" i="2"/>
  <c r="W1460" i="2"/>
  <c r="W1703" i="2"/>
  <c r="W2766" i="2"/>
  <c r="W1402" i="2"/>
  <c r="W2765" i="2"/>
  <c r="W967" i="2"/>
  <c r="W2764" i="2"/>
  <c r="W2763" i="2"/>
  <c r="W2762" i="2"/>
  <c r="W2761" i="2"/>
  <c r="W1702" i="2"/>
  <c r="W319" i="2"/>
  <c r="W318" i="2"/>
  <c r="W881" i="2"/>
  <c r="W1401" i="2"/>
  <c r="W821" i="2"/>
  <c r="W317" i="2"/>
  <c r="W2760" i="2"/>
  <c r="W2759" i="2"/>
  <c r="W2758" i="2"/>
  <c r="W2757" i="2"/>
  <c r="W2756" i="2"/>
  <c r="W2755" i="2"/>
  <c r="W2754" i="2"/>
  <c r="W2753" i="2"/>
  <c r="W1400" i="2"/>
  <c r="W2752" i="2"/>
  <c r="W2751" i="2"/>
  <c r="W1701" i="2"/>
  <c r="W316" i="2"/>
  <c r="W2750" i="2"/>
  <c r="W2749" i="2"/>
  <c r="W2748" i="2"/>
  <c r="W2747" i="2"/>
  <c r="W315" i="2"/>
  <c r="W2746" i="2"/>
  <c r="W1399" i="2"/>
  <c r="W1700" i="2"/>
  <c r="W2745" i="2"/>
  <c r="W2744" i="2"/>
  <c r="W2743" i="2"/>
  <c r="W314" i="2"/>
  <c r="W1398" i="2"/>
  <c r="W1244" i="2"/>
  <c r="W2742" i="2"/>
  <c r="W2741" i="2"/>
  <c r="W880" i="2"/>
  <c r="W2740" i="2"/>
  <c r="W1397" i="2"/>
  <c r="W1396" i="2"/>
  <c r="W313" i="2"/>
  <c r="W312" i="2"/>
  <c r="W311" i="2"/>
  <c r="W2739" i="2"/>
  <c r="W310" i="2"/>
  <c r="W820" i="2"/>
  <c r="W309" i="2"/>
  <c r="W308" i="2"/>
  <c r="W1759" i="2"/>
  <c r="W1140" i="2"/>
  <c r="W307" i="2"/>
  <c r="W306" i="2"/>
  <c r="W669" i="2"/>
  <c r="W305" i="2"/>
  <c r="W1503" i="2"/>
  <c r="W1243" i="2"/>
  <c r="W1502" i="2"/>
  <c r="W966" i="2"/>
  <c r="W819" i="2"/>
  <c r="W668" i="2"/>
  <c r="W2738" i="2"/>
  <c r="W1395" i="2"/>
  <c r="W2737" i="2"/>
  <c r="W1394" i="2"/>
  <c r="W304" i="2"/>
  <c r="W2736" i="2"/>
  <c r="W667" i="2"/>
  <c r="W1393" i="2"/>
  <c r="W303" i="2"/>
  <c r="W858" i="2"/>
  <c r="W1242" i="2"/>
  <c r="W1072" i="2"/>
  <c r="W431" i="2"/>
  <c r="W302" i="2"/>
  <c r="W1282" i="2"/>
  <c r="W1428" i="2"/>
  <c r="W818" i="2"/>
  <c r="W2735" i="2"/>
  <c r="W2734" i="2"/>
  <c r="W1071" i="2"/>
  <c r="W376" i="2"/>
  <c r="W301" i="2"/>
  <c r="W965" i="2"/>
  <c r="W2733" i="2"/>
  <c r="W2732" i="2"/>
  <c r="W300" i="2"/>
  <c r="W299" i="2"/>
  <c r="W1281" i="2"/>
  <c r="W375" i="2"/>
  <c r="W666" i="2"/>
  <c r="W817" i="2"/>
  <c r="W1241" i="2"/>
  <c r="W1070" i="2"/>
  <c r="W665" i="2"/>
  <c r="W816" i="2"/>
  <c r="W1280" i="2"/>
  <c r="W664" i="2"/>
  <c r="W1279" i="2"/>
  <c r="W815" i="2"/>
  <c r="W727" i="2"/>
  <c r="W1069" i="2"/>
  <c r="W2731" i="2"/>
  <c r="W663" i="2"/>
  <c r="W1240" i="2"/>
  <c r="W857" i="2"/>
  <c r="W856" i="2"/>
  <c r="W1657" i="2"/>
  <c r="W662" i="2"/>
  <c r="W855" i="2"/>
  <c r="W1392" i="2"/>
  <c r="W298" i="2"/>
  <c r="W2730" i="2"/>
  <c r="W297" i="2"/>
  <c r="W1391" i="2"/>
  <c r="W2729" i="2"/>
  <c r="W2728" i="2"/>
  <c r="W2727" i="2"/>
  <c r="W661" i="2"/>
  <c r="W2726" i="2"/>
  <c r="W296" i="2"/>
  <c r="W2725" i="2"/>
  <c r="W2724" i="2"/>
  <c r="W660" i="2"/>
  <c r="W2723" i="2"/>
  <c r="W1656" i="2"/>
  <c r="W2722" i="2"/>
  <c r="W1390" i="2"/>
  <c r="W1068" i="2"/>
  <c r="W2721" i="2"/>
  <c r="W726" i="2"/>
  <c r="W2720" i="2"/>
  <c r="W1278" i="2"/>
  <c r="W659" i="2"/>
  <c r="W514" i="2"/>
  <c r="W814" i="2"/>
  <c r="W2719" i="2"/>
  <c r="W1459" i="2"/>
  <c r="W430" i="2"/>
  <c r="W295" i="2"/>
  <c r="W813" i="2"/>
  <c r="W2718" i="2"/>
  <c r="W2717" i="2"/>
  <c r="W294" i="2"/>
  <c r="W1277" i="2"/>
  <c r="W812" i="2"/>
  <c r="W1067" i="2"/>
  <c r="W1655" i="2"/>
  <c r="W2716" i="2"/>
  <c r="W2715" i="2"/>
  <c r="W2714" i="2"/>
  <c r="W1427" i="2"/>
  <c r="W1601" i="2"/>
  <c r="W1600" i="2"/>
  <c r="W1699" i="2"/>
  <c r="W1239" i="2"/>
  <c r="W2713" i="2"/>
  <c r="W658" i="2"/>
  <c r="W657" i="2"/>
  <c r="W964" i="2"/>
  <c r="W1139" i="2"/>
  <c r="W2712" i="2"/>
  <c r="W2711" i="2"/>
  <c r="W1066" i="2"/>
  <c r="W1389" i="2"/>
  <c r="W2710" i="2"/>
  <c r="W1599" i="2"/>
  <c r="W2709" i="2"/>
  <c r="W2708" i="2"/>
  <c r="W2707" i="2"/>
  <c r="W2706" i="2"/>
  <c r="W293" i="2"/>
  <c r="W1388" i="2"/>
  <c r="W1387" i="2"/>
  <c r="W854" i="2"/>
  <c r="W1238" i="2"/>
  <c r="W656" i="2"/>
  <c r="W1654" i="2"/>
  <c r="W655" i="2"/>
  <c r="W1065" i="2"/>
  <c r="W2705" i="2"/>
  <c r="W2704" i="2"/>
  <c r="W292" i="2"/>
  <c r="W1758" i="2"/>
  <c r="W853" i="2"/>
  <c r="W1501" i="2"/>
  <c r="W291" i="2"/>
  <c r="W2703" i="2"/>
  <c r="W963" i="2"/>
  <c r="W654" i="2"/>
  <c r="W811" i="2"/>
  <c r="W429" i="2"/>
  <c r="W1757" i="2"/>
  <c r="W1386" i="2"/>
  <c r="W290" i="2"/>
  <c r="W653" i="2"/>
  <c r="W962" i="2"/>
  <c r="W961" i="2"/>
  <c r="W2702" i="2"/>
  <c r="W652" i="2"/>
  <c r="W725" i="2"/>
  <c r="W1276" i="2"/>
  <c r="W1598" i="2"/>
  <c r="W651" i="2"/>
  <c r="W2701" i="2"/>
  <c r="W960" i="2"/>
  <c r="W428" i="2"/>
  <c r="W2700" i="2"/>
  <c r="W427" i="2"/>
  <c r="W650" i="2"/>
  <c r="W2699" i="2"/>
  <c r="W1756" i="2"/>
  <c r="W1275" i="2"/>
  <c r="W2698" i="2"/>
  <c r="W1458" i="2"/>
  <c r="W2697" i="2"/>
  <c r="W2696" i="2"/>
  <c r="W1385" i="2"/>
  <c r="W2695" i="2"/>
  <c r="W1597" i="2"/>
  <c r="W2694" i="2"/>
  <c r="W1384" i="2"/>
  <c r="W810" i="2"/>
  <c r="W2693" i="2"/>
  <c r="W1653" i="2"/>
  <c r="W502" i="2"/>
  <c r="W1698" i="2"/>
  <c r="W501" i="2"/>
  <c r="W649" i="2"/>
  <c r="W724" i="2"/>
  <c r="W959" i="2"/>
  <c r="W1138" i="2"/>
  <c r="W1755" i="2"/>
  <c r="W1064" i="2"/>
  <c r="W2692" i="2"/>
  <c r="W1063" i="2"/>
  <c r="W1596" i="2"/>
  <c r="W2691" i="2"/>
  <c r="W648" i="2"/>
  <c r="W1383" i="2"/>
  <c r="W2690" i="2"/>
  <c r="W1237" i="2"/>
  <c r="W647" i="2"/>
  <c r="W2689" i="2"/>
  <c r="W513" i="2"/>
  <c r="W646" i="2"/>
  <c r="W1754" i="2"/>
  <c r="W426" i="2"/>
  <c r="W1652" i="2"/>
  <c r="W289" i="2"/>
  <c r="W1500" i="2"/>
  <c r="W2688" i="2"/>
  <c r="W958" i="2"/>
  <c r="W1062" i="2"/>
  <c r="W2687" i="2"/>
  <c r="W2686" i="2"/>
  <c r="W2685" i="2"/>
  <c r="W957" i="2"/>
  <c r="W1382" i="2"/>
  <c r="W645" i="2"/>
  <c r="W852" i="2"/>
  <c r="W2684" i="2"/>
  <c r="W2683" i="2"/>
  <c r="W1137" i="2"/>
  <c r="W2682" i="2"/>
  <c r="W956" i="2"/>
  <c r="W288" i="2"/>
  <c r="W1381" i="2"/>
  <c r="W644" i="2"/>
  <c r="W1236" i="2"/>
  <c r="W1235" i="2"/>
  <c r="W1274" i="2"/>
  <c r="W2681" i="2"/>
  <c r="W1457" i="2"/>
  <c r="W1380" i="2"/>
  <c r="W643" i="2"/>
  <c r="W1456" i="2"/>
  <c r="W2680" i="2"/>
  <c r="W1061" i="2"/>
  <c r="W2679" i="2"/>
  <c r="W642" i="2"/>
  <c r="W955" i="2"/>
  <c r="W287" i="2"/>
  <c r="W2678" i="2"/>
  <c r="W2677" i="2"/>
  <c r="W851" i="2"/>
  <c r="W286" i="2"/>
  <c r="W641" i="2"/>
  <c r="W2676" i="2"/>
  <c r="W2675" i="2"/>
  <c r="W2674" i="2"/>
  <c r="W500" i="2"/>
  <c r="W954" i="2"/>
  <c r="W499" i="2"/>
  <c r="W1234" i="2"/>
  <c r="W1233" i="2"/>
  <c r="W1060" i="2"/>
  <c r="W1379" i="2"/>
  <c r="W2673" i="2"/>
  <c r="W1136" i="2"/>
  <c r="W1595" i="2"/>
  <c r="W850" i="2"/>
  <c r="W879" i="2"/>
  <c r="W285" i="2"/>
  <c r="W1232" i="2"/>
  <c r="W2672" i="2"/>
  <c r="W1499" i="2"/>
  <c r="W2671" i="2"/>
  <c r="W2670" i="2"/>
  <c r="W849" i="2"/>
  <c r="W2669" i="2"/>
  <c r="W2668" i="2"/>
  <c r="W284" i="2"/>
  <c r="W1753" i="2"/>
  <c r="W498" i="2"/>
  <c r="W1697" i="2"/>
  <c r="W2667" i="2"/>
  <c r="W1378" i="2"/>
  <c r="W1059" i="2"/>
  <c r="W497" i="2"/>
  <c r="W1377" i="2"/>
  <c r="W1135" i="2"/>
  <c r="W1231" i="2"/>
  <c r="W640" i="2"/>
  <c r="W1752" i="2"/>
  <c r="W2666" i="2"/>
  <c r="W1594" i="2"/>
  <c r="W809" i="2"/>
  <c r="W2665" i="2"/>
  <c r="W1651" i="2"/>
  <c r="W1376" i="2"/>
  <c r="W2664" i="2"/>
  <c r="W2663" i="2"/>
  <c r="W1230" i="2"/>
  <c r="W2662" i="2"/>
  <c r="W953" i="2"/>
  <c r="W1498" i="2"/>
  <c r="W639" i="2"/>
  <c r="W952" i="2"/>
  <c r="W1229" i="2"/>
  <c r="W1650" i="2"/>
  <c r="W951" i="2"/>
  <c r="W2661" i="2"/>
  <c r="W638" i="2"/>
  <c r="W496" i="2"/>
  <c r="W495" i="2"/>
  <c r="W2660" i="2"/>
  <c r="W2659" i="2"/>
  <c r="W2658" i="2"/>
  <c r="W1455" i="2"/>
  <c r="W1058" i="2"/>
  <c r="W1497" i="2"/>
  <c r="W1751" i="2"/>
  <c r="W1134" i="2"/>
  <c r="W2657" i="2"/>
  <c r="W1375" i="2"/>
  <c r="W2656" i="2"/>
  <c r="W2655" i="2"/>
  <c r="W1273" i="2"/>
  <c r="W2654" i="2"/>
  <c r="W2653" i="2"/>
  <c r="W2652" i="2"/>
  <c r="W2651" i="2"/>
  <c r="W2650" i="2"/>
  <c r="W2649" i="2"/>
  <c r="W878" i="2"/>
  <c r="W1649" i="2"/>
  <c r="W2648" i="2"/>
  <c r="W2647" i="2"/>
  <c r="W1057" i="2"/>
  <c r="W637" i="2"/>
  <c r="W1593" i="2"/>
  <c r="W877" i="2"/>
  <c r="W1056" i="2"/>
  <c r="W2646" i="2"/>
  <c r="W950" i="2"/>
  <c r="W2645" i="2"/>
  <c r="W949" i="2"/>
  <c r="W948" i="2"/>
  <c r="W283" i="2"/>
  <c r="W282" i="2"/>
  <c r="W1496" i="2"/>
  <c r="W2644" i="2"/>
  <c r="W2643" i="2"/>
  <c r="W636" i="2"/>
  <c r="W2642" i="2"/>
  <c r="W281" i="2"/>
  <c r="W2641" i="2"/>
  <c r="W2640" i="2"/>
  <c r="W1374" i="2"/>
  <c r="W1055" i="2"/>
  <c r="W2639" i="2"/>
  <c r="W1373" i="2"/>
  <c r="W947" i="2"/>
  <c r="W1750" i="2"/>
  <c r="W2638" i="2"/>
  <c r="W1133" i="2"/>
  <c r="W1228" i="2"/>
  <c r="W1592" i="2"/>
  <c r="W1372" i="2"/>
  <c r="W1054" i="2"/>
  <c r="W1371" i="2"/>
  <c r="W2637" i="2"/>
  <c r="W280" i="2"/>
  <c r="W1749" i="2"/>
  <c r="W2636" i="2"/>
  <c r="W1495" i="2"/>
  <c r="W1696" i="2"/>
  <c r="W2635" i="2"/>
  <c r="W1454" i="2"/>
  <c r="W2634" i="2"/>
  <c r="W1227" i="2"/>
  <c r="W2633" i="2"/>
  <c r="W2632" i="2"/>
  <c r="W2631" i="2"/>
  <c r="W2630" i="2"/>
  <c r="W876" i="2"/>
  <c r="W2629" i="2"/>
  <c r="W2628" i="2"/>
  <c r="W279" i="2"/>
  <c r="W278" i="2"/>
  <c r="W1591" i="2"/>
  <c r="W2627" i="2"/>
  <c r="W1648" i="2"/>
  <c r="W875" i="2"/>
  <c r="W2626" i="2"/>
  <c r="W946" i="2"/>
  <c r="W2625" i="2"/>
  <c r="W1370" i="2"/>
  <c r="W1647" i="2"/>
  <c r="W2624" i="2"/>
  <c r="W1272" i="2"/>
  <c r="W1271" i="2"/>
  <c r="W2623" i="2"/>
  <c r="W277" i="2"/>
  <c r="W2622" i="2"/>
  <c r="W1369" i="2"/>
  <c r="W1494" i="2"/>
  <c r="W945" i="2"/>
  <c r="W1453" i="2"/>
  <c r="W1226" i="2"/>
  <c r="W2621" i="2"/>
  <c r="W276" i="2"/>
  <c r="W2620" i="2"/>
  <c r="W1493" i="2"/>
  <c r="W2619" i="2"/>
  <c r="W1748" i="2"/>
  <c r="W2618" i="2"/>
  <c r="W2617" i="2"/>
  <c r="W1590" i="2"/>
  <c r="W1132" i="2"/>
  <c r="W2616" i="2"/>
  <c r="W2615" i="2"/>
  <c r="W944" i="2"/>
  <c r="W2614" i="2"/>
  <c r="W1368" i="2"/>
  <c r="W1747" i="2"/>
  <c r="W1053" i="2"/>
  <c r="W1367" i="2"/>
  <c r="W2613" i="2"/>
  <c r="W943" i="2"/>
  <c r="W275" i="2"/>
  <c r="W1225" i="2"/>
  <c r="W1131" i="2"/>
  <c r="W2612" i="2"/>
  <c r="W2611" i="2"/>
  <c r="W2610" i="2"/>
  <c r="W2609" i="2"/>
  <c r="W2608" i="2"/>
  <c r="W1646" i="2"/>
  <c r="W274" i="2"/>
  <c r="W1492" i="2"/>
  <c r="W1746" i="2"/>
  <c r="W2607" i="2"/>
  <c r="W2606" i="2"/>
  <c r="W2605" i="2"/>
  <c r="W2604" i="2"/>
  <c r="W2603" i="2"/>
  <c r="W2602" i="2"/>
  <c r="W2601" i="2"/>
  <c r="W2600" i="2"/>
  <c r="W2599" i="2"/>
  <c r="W635" i="2"/>
  <c r="W808" i="2"/>
  <c r="W2598" i="2"/>
  <c r="W2597" i="2"/>
  <c r="W2596" i="2"/>
  <c r="W1589" i="2"/>
  <c r="W2595" i="2"/>
  <c r="W2594" i="2"/>
  <c r="W2593" i="2"/>
  <c r="W2592" i="2"/>
  <c r="W2591" i="2"/>
  <c r="W374" i="2"/>
  <c r="W1588" i="2"/>
  <c r="W2590" i="2"/>
  <c r="W807" i="2"/>
  <c r="W806" i="2"/>
  <c r="W2589" i="2"/>
  <c r="W2588" i="2"/>
  <c r="W634" i="2"/>
  <c r="W2587" i="2"/>
  <c r="W2586" i="2"/>
  <c r="W2585" i="2"/>
  <c r="W2584" i="2"/>
  <c r="W2583" i="2"/>
  <c r="W1366" i="2"/>
  <c r="W2582" i="2"/>
  <c r="W273" i="2"/>
  <c r="W2581" i="2"/>
  <c r="W272" i="2"/>
  <c r="W805" i="2"/>
  <c r="W804" i="2"/>
  <c r="W2580" i="2"/>
  <c r="W425" i="2"/>
  <c r="W1365" i="2"/>
  <c r="W271" i="2"/>
  <c r="W2579" i="2"/>
  <c r="W2578" i="2"/>
  <c r="W2577" i="2"/>
  <c r="W270" i="2"/>
  <c r="W2576" i="2"/>
  <c r="W269" i="2"/>
  <c r="W2575" i="2"/>
  <c r="W268" i="2"/>
  <c r="W803" i="2"/>
  <c r="W1587" i="2"/>
  <c r="W2574" i="2"/>
  <c r="W2573" i="2"/>
  <c r="W2572" i="2"/>
  <c r="W267" i="2"/>
  <c r="W802" i="2"/>
  <c r="W2571" i="2"/>
  <c r="W633" i="2"/>
  <c r="W632" i="2"/>
  <c r="W266" i="2"/>
  <c r="W265" i="2"/>
  <c r="W2570" i="2"/>
  <c r="W264" i="2"/>
  <c r="W263" i="2"/>
  <c r="W2569" i="2"/>
  <c r="W262" i="2"/>
  <c r="W1052" i="2"/>
  <c r="W2568" i="2"/>
  <c r="W2567" i="2"/>
  <c r="W261" i="2"/>
  <c r="W2566" i="2"/>
  <c r="W631" i="2"/>
  <c r="W2565" i="2"/>
  <c r="W260" i="2"/>
  <c r="W259" i="2"/>
  <c r="W630" i="2"/>
  <c r="W2564" i="2"/>
  <c r="W2563" i="2"/>
  <c r="W1586" i="2"/>
  <c r="W2562" i="2"/>
  <c r="W2561" i="2"/>
  <c r="W258" i="2"/>
  <c r="W1364" i="2"/>
  <c r="W801" i="2"/>
  <c r="W2560" i="2"/>
  <c r="W2559" i="2"/>
  <c r="W629" i="2"/>
  <c r="W800" i="2"/>
  <c r="W2558" i="2"/>
  <c r="W373" i="2"/>
  <c r="W2557" i="2"/>
  <c r="W2556" i="2"/>
  <c r="W799" i="2"/>
  <c r="W2555" i="2"/>
  <c r="W1585" i="2"/>
  <c r="W2554" i="2"/>
  <c r="W2553" i="2"/>
  <c r="W2552" i="2"/>
  <c r="W2551" i="2"/>
  <c r="W798" i="2"/>
  <c r="W2550" i="2"/>
  <c r="W2549" i="2"/>
  <c r="W2548" i="2"/>
  <c r="W2547" i="2"/>
  <c r="W2546" i="2"/>
  <c r="W1584" i="2"/>
  <c r="W2545" i="2"/>
  <c r="W1583" i="2"/>
  <c r="W1363" i="2"/>
  <c r="W797" i="2"/>
  <c r="W494" i="2"/>
  <c r="W796" i="2"/>
  <c r="W2544" i="2"/>
  <c r="W257" i="2"/>
  <c r="W795" i="2"/>
  <c r="W1362" i="2"/>
  <c r="W2543" i="2"/>
  <c r="W628" i="2"/>
  <c r="W493" i="2"/>
  <c r="W794" i="2"/>
  <c r="W256" i="2"/>
  <c r="W2542" i="2"/>
  <c r="W2541" i="2"/>
  <c r="W1582" i="2"/>
  <c r="W2540" i="2"/>
  <c r="W2539" i="2"/>
  <c r="W2538" i="2"/>
  <c r="W2537" i="2"/>
  <c r="W793" i="2"/>
  <c r="W792" i="2"/>
  <c r="W1581" i="2"/>
  <c r="W627" i="2"/>
  <c r="W2536" i="2"/>
  <c r="W2535" i="2"/>
  <c r="W2534" i="2"/>
  <c r="W2533" i="2"/>
  <c r="W255" i="2"/>
  <c r="W254" i="2"/>
  <c r="W2532" i="2"/>
  <c r="W1580" i="2"/>
  <c r="W2531" i="2"/>
  <c r="W1579" i="2"/>
  <c r="W2530" i="2"/>
  <c r="W2529" i="2"/>
  <c r="W791" i="2"/>
  <c r="W790" i="2"/>
  <c r="W1361" i="2"/>
  <c r="W1051" i="2"/>
  <c r="W2528" i="2"/>
  <c r="W2527" i="2"/>
  <c r="W1360" i="2"/>
  <c r="W2526" i="2"/>
  <c r="W2525" i="2"/>
  <c r="W626" i="2"/>
  <c r="W2524" i="2"/>
  <c r="W1359" i="2"/>
  <c r="W1358" i="2"/>
  <c r="W789" i="2"/>
  <c r="W2523" i="2"/>
  <c r="W2522" i="2"/>
  <c r="W2521" i="2"/>
  <c r="W2520" i="2"/>
  <c r="W424" i="2"/>
  <c r="W1578" i="2"/>
  <c r="W2519" i="2"/>
  <c r="W2518" i="2"/>
  <c r="W2517" i="2"/>
  <c r="W1577" i="2"/>
  <c r="W2516" i="2"/>
  <c r="W2515" i="2"/>
  <c r="W2514" i="2"/>
  <c r="W1576" i="2"/>
  <c r="W2513" i="2"/>
  <c r="W2512" i="2"/>
  <c r="W2511" i="2"/>
  <c r="W2510" i="2"/>
  <c r="W1050" i="2"/>
  <c r="W2509" i="2"/>
  <c r="W2508" i="2"/>
  <c r="W788" i="2"/>
  <c r="W2507" i="2"/>
  <c r="W2506" i="2"/>
  <c r="W787" i="2"/>
  <c r="W786" i="2"/>
  <c r="W2505" i="2"/>
  <c r="W625" i="2"/>
  <c r="W2504" i="2"/>
  <c r="W2503" i="2"/>
  <c r="W2502" i="2"/>
  <c r="W2501" i="2"/>
  <c r="W2500" i="2"/>
  <c r="W2499" i="2"/>
  <c r="W2498" i="2"/>
  <c r="W785" i="2"/>
  <c r="W2497" i="2"/>
  <c r="W253" i="2"/>
  <c r="W2496" i="2"/>
  <c r="W1357" i="2"/>
  <c r="W2495" i="2"/>
  <c r="W2494" i="2"/>
  <c r="W423" i="2"/>
  <c r="W784" i="2"/>
  <c r="W2493" i="2"/>
  <c r="W783" i="2"/>
  <c r="W2492" i="2"/>
  <c r="W624" i="2"/>
  <c r="W2491" i="2"/>
  <c r="W2490" i="2"/>
  <c r="W2489" i="2"/>
  <c r="W252" i="2"/>
  <c r="W1575" i="2"/>
  <c r="W1356" i="2"/>
  <c r="W2488" i="2"/>
  <c r="W2487" i="2"/>
  <c r="W623" i="2"/>
  <c r="W622" i="2"/>
  <c r="W2486" i="2"/>
  <c r="W1574" i="2"/>
  <c r="W251" i="2"/>
  <c r="W2485" i="2"/>
  <c r="W2484" i="2"/>
  <c r="W2483" i="2"/>
  <c r="W2482" i="2"/>
  <c r="W2481" i="2"/>
  <c r="W621" i="2"/>
  <c r="W2480" i="2"/>
  <c r="W2479" i="2"/>
  <c r="W1355" i="2"/>
  <c r="W2478" i="2"/>
  <c r="W620" i="2"/>
  <c r="W782" i="2"/>
  <c r="W2477" i="2"/>
  <c r="W2476" i="2"/>
  <c r="W250" i="2"/>
  <c r="W2475" i="2"/>
  <c r="W2474" i="2"/>
  <c r="W1573" i="2"/>
  <c r="W619" i="2"/>
  <c r="W2473" i="2"/>
  <c r="W618" i="2"/>
  <c r="W1354" i="2"/>
  <c r="W2472" i="2"/>
  <c r="W2471" i="2"/>
  <c r="W1572" i="2"/>
  <c r="W617" i="2"/>
  <c r="W2470" i="2"/>
  <c r="W2469" i="2"/>
  <c r="W2468" i="2"/>
  <c r="W1049" i="2"/>
  <c r="W249" i="2"/>
  <c r="W2467" i="2"/>
  <c r="W2466" i="2"/>
  <c r="W781" i="2"/>
  <c r="W780" i="2"/>
  <c r="W2465" i="2"/>
  <c r="W2464" i="2"/>
  <c r="W492" i="2"/>
  <c r="W2463" i="2"/>
  <c r="W491" i="2"/>
  <c r="W2462" i="2"/>
  <c r="W2461" i="2"/>
  <c r="W2460" i="2"/>
  <c r="W248" i="2"/>
  <c r="W1048" i="2"/>
  <c r="W2459" i="2"/>
  <c r="W2458" i="2"/>
  <c r="W1047" i="2"/>
  <c r="W2457" i="2"/>
  <c r="W2456" i="2"/>
  <c r="W2455" i="2"/>
  <c r="W2454" i="2"/>
  <c r="W1571" i="2"/>
  <c r="W779" i="2"/>
  <c r="W2453" i="2"/>
  <c r="W2452" i="2"/>
  <c r="W2451" i="2"/>
  <c r="W616" i="2"/>
  <c r="W1353" i="2"/>
  <c r="W2450" i="2"/>
  <c r="W2449" i="2"/>
  <c r="W1570" i="2"/>
  <c r="W2448" i="2"/>
  <c r="W1352" i="2"/>
  <c r="W615" i="2"/>
  <c r="W614" i="2"/>
  <c r="W2447" i="2"/>
  <c r="W2446" i="2"/>
  <c r="W2445" i="2"/>
  <c r="W2444" i="2"/>
  <c r="W2443" i="2"/>
  <c r="W2442" i="2"/>
  <c r="W1569" i="2"/>
  <c r="W490" i="2"/>
  <c r="W2441" i="2"/>
  <c r="W613" i="2"/>
  <c r="W1568" i="2"/>
  <c r="W422" i="2"/>
  <c r="W247" i="2"/>
  <c r="W2440" i="2"/>
  <c r="W2439" i="2"/>
  <c r="W2438" i="2"/>
  <c r="W348" i="2"/>
  <c r="W612" i="2"/>
  <c r="W2437" i="2"/>
  <c r="W347" i="2"/>
  <c r="W2436" i="2"/>
  <c r="W246" i="2"/>
  <c r="W1567" i="2"/>
  <c r="W421" i="2"/>
  <c r="W2435" i="2"/>
  <c r="W778" i="2"/>
  <c r="W489" i="2"/>
  <c r="W2434" i="2"/>
  <c r="W2433" i="2"/>
  <c r="W2432" i="2"/>
  <c r="W2431" i="2"/>
  <c r="W611" i="2"/>
  <c r="W420" i="2"/>
  <c r="W2430" i="2"/>
  <c r="W2429" i="2"/>
  <c r="W2428" i="2"/>
  <c r="W2427" i="2"/>
  <c r="W2426" i="2"/>
  <c r="W2425" i="2"/>
  <c r="W610" i="2"/>
  <c r="W245" i="2"/>
  <c r="W2424" i="2"/>
  <c r="W2423" i="2"/>
  <c r="W2422" i="2"/>
  <c r="W2421" i="2"/>
  <c r="W2420" i="2"/>
  <c r="W609" i="2"/>
  <c r="W1351" i="2"/>
  <c r="W2419" i="2"/>
  <c r="W2418" i="2"/>
  <c r="W777" i="2"/>
  <c r="W2417" i="2"/>
  <c r="W1566" i="2"/>
  <c r="W2416" i="2"/>
  <c r="W2415" i="2"/>
  <c r="W1350" i="2"/>
  <c r="W2414" i="2"/>
  <c r="W1565" i="2"/>
  <c r="W2413" i="2"/>
  <c r="W2412" i="2"/>
  <c r="W2411" i="2"/>
  <c r="W2410" i="2"/>
  <c r="W1564" i="2"/>
  <c r="W2409" i="2"/>
  <c r="W2408" i="2"/>
  <c r="W244" i="2"/>
  <c r="W608" i="2"/>
  <c r="W2407" i="2"/>
  <c r="W607" i="2"/>
  <c r="W1349" i="2"/>
  <c r="W2406" i="2"/>
  <c r="W2405" i="2"/>
  <c r="W2404" i="2"/>
  <c r="W2403" i="2"/>
  <c r="W606" i="2"/>
  <c r="W605" i="2"/>
  <c r="W2402" i="2"/>
  <c r="W2401" i="2"/>
  <c r="W2400" i="2"/>
  <c r="W1348" i="2"/>
  <c r="W776" i="2"/>
  <c r="W2399" i="2"/>
  <c r="W2398" i="2"/>
  <c r="W243" i="2"/>
  <c r="W2397" i="2"/>
  <c r="W2396" i="2"/>
  <c r="W2395" i="2"/>
  <c r="W2394" i="2"/>
  <c r="W2393" i="2"/>
  <c r="W2392" i="2"/>
  <c r="W2391" i="2"/>
  <c r="W2390" i="2"/>
  <c r="W2389" i="2"/>
  <c r="W346" i="2"/>
  <c r="W1563" i="2"/>
  <c r="W419" i="2"/>
  <c r="W242" i="2"/>
  <c r="W2388" i="2"/>
  <c r="W2387" i="2"/>
  <c r="W2386" i="2"/>
  <c r="W21" i="2"/>
  <c r="W1347" i="2"/>
  <c r="W2385" i="2"/>
  <c r="W1562" i="2"/>
  <c r="W2384" i="2"/>
  <c r="W604" i="2"/>
  <c r="W2383" i="2"/>
  <c r="W603" i="2"/>
  <c r="W2382" i="2"/>
  <c r="W2381" i="2"/>
  <c r="W2380" i="2"/>
  <c r="W488" i="2"/>
  <c r="W1561" i="2"/>
  <c r="W241" i="2"/>
  <c r="W2379" i="2"/>
  <c r="W2378" i="2"/>
  <c r="W2377" i="2"/>
  <c r="W2376" i="2"/>
  <c r="W2375" i="2"/>
  <c r="W2374" i="2"/>
  <c r="W2373" i="2"/>
  <c r="W2372" i="2"/>
  <c r="W2371" i="2"/>
  <c r="W418" i="2"/>
  <c r="W2370" i="2"/>
  <c r="W1346" i="2"/>
  <c r="W2369" i="2"/>
  <c r="W2368" i="2"/>
  <c r="W602" i="2"/>
  <c r="W240" i="2"/>
  <c r="W2367" i="2"/>
  <c r="W2366" i="2"/>
  <c r="W775" i="2"/>
  <c r="W345" i="2"/>
  <c r="W2365" i="2"/>
  <c r="W2364" i="2"/>
  <c r="W2363" i="2"/>
  <c r="W2362" i="2"/>
  <c r="W2361" i="2"/>
  <c r="W20" i="2"/>
  <c r="W2360" i="2"/>
  <c r="W2359" i="2"/>
  <c r="W2358" i="2"/>
  <c r="W1345" i="2"/>
  <c r="W2357" i="2"/>
  <c r="W487" i="2"/>
  <c r="W2356" i="2"/>
  <c r="W2355" i="2"/>
  <c r="W774" i="2"/>
  <c r="W2354" i="2"/>
  <c r="W2353" i="2"/>
  <c r="W1560" i="2"/>
  <c r="W2352" i="2"/>
  <c r="W2351" i="2"/>
  <c r="W344" i="2"/>
  <c r="W2350" i="2"/>
  <c r="W2349" i="2"/>
  <c r="W2348" i="2"/>
  <c r="W2347" i="2"/>
  <c r="W19" i="2"/>
  <c r="W773" i="2"/>
  <c r="W2346" i="2"/>
  <c r="W2345" i="2"/>
  <c r="W2344" i="2"/>
  <c r="W2343" i="2"/>
  <c r="W2342" i="2"/>
  <c r="W1344" i="2"/>
  <c r="W601" i="2"/>
  <c r="W486" i="2"/>
  <c r="W2341" i="2"/>
  <c r="W2340" i="2"/>
  <c r="W1559" i="2"/>
  <c r="W343" i="2"/>
  <c r="W417" i="2"/>
  <c r="W2339" i="2"/>
  <c r="W416" i="2"/>
  <c r="W342" i="2"/>
  <c r="W2338" i="2"/>
  <c r="W1343" i="2"/>
  <c r="W2337" i="2"/>
  <c r="W1342" i="2"/>
  <c r="W485" i="2"/>
  <c r="W2336" i="2"/>
  <c r="W2335" i="2"/>
  <c r="W2334" i="2"/>
  <c r="W2333" i="2"/>
  <c r="W1341" i="2"/>
  <c r="W2332" i="2"/>
  <c r="W415" i="2"/>
  <c r="W341" i="2"/>
  <c r="W340" i="2"/>
  <c r="W2331" i="2"/>
  <c r="W2330" i="2"/>
  <c r="W2329" i="2"/>
  <c r="W1558" i="2"/>
  <c r="W1557" i="2"/>
  <c r="W600" i="2"/>
  <c r="W2328" i="2"/>
  <c r="W2327" i="2"/>
  <c r="W1556" i="2"/>
  <c r="W2326" i="2"/>
  <c r="W414" i="2"/>
  <c r="W2325" i="2"/>
  <c r="W2324" i="2"/>
  <c r="W2323" i="2"/>
  <c r="W772" i="2"/>
  <c r="W2322" i="2"/>
  <c r="W2321" i="2"/>
  <c r="W2320" i="2"/>
  <c r="W2319" i="2"/>
  <c r="W2318" i="2"/>
  <c r="W2317" i="2"/>
  <c r="W2316" i="2"/>
  <c r="W2315" i="2"/>
  <c r="W239" i="2"/>
  <c r="W238" i="2"/>
  <c r="W1555" i="2"/>
  <c r="W771" i="2"/>
  <c r="W2314" i="2"/>
  <c r="W2313" i="2"/>
  <c r="W2312" i="2"/>
  <c r="W1340" i="2"/>
  <c r="W2311" i="2"/>
  <c r="W2310" i="2"/>
  <c r="W2309" i="2"/>
  <c r="W2308" i="2"/>
  <c r="W2307" i="2"/>
  <c r="W2306" i="2"/>
  <c r="W237" i="2"/>
  <c r="W2305" i="2"/>
  <c r="W2304" i="2"/>
  <c r="W2303" i="2"/>
  <c r="W1339" i="2"/>
  <c r="W339" i="2"/>
  <c r="W2302" i="2"/>
  <c r="W2301" i="2"/>
  <c r="W2300" i="2"/>
  <c r="W2299" i="2"/>
  <c r="W2298" i="2"/>
  <c r="W2297" i="2"/>
  <c r="W2296" i="2"/>
  <c r="W2295" i="2"/>
  <c r="W2294" i="2"/>
  <c r="W2293" i="2"/>
  <c r="W2292" i="2"/>
  <c r="W1554" i="2"/>
  <c r="W2291" i="2"/>
  <c r="W18" i="2"/>
  <c r="W1338" i="2"/>
  <c r="W2290" i="2"/>
  <c r="W2289" i="2"/>
  <c r="W2288" i="2"/>
  <c r="W2287" i="2"/>
  <c r="W2286" i="2"/>
  <c r="W2285" i="2"/>
  <c r="W2284" i="2"/>
  <c r="W2283" i="2"/>
  <c r="W2282" i="2"/>
  <c r="W2281" i="2"/>
  <c r="W236" i="2"/>
  <c r="W2280" i="2"/>
  <c r="W2279" i="2"/>
  <c r="W2278" i="2"/>
  <c r="W1553" i="2"/>
  <c r="W2277" i="2"/>
  <c r="W235" i="2"/>
  <c r="W2276" i="2"/>
  <c r="W1337" i="2"/>
  <c r="W2275" i="2"/>
  <c r="W2274" i="2"/>
  <c r="W2273" i="2"/>
  <c r="W1552" i="2"/>
  <c r="W2272" i="2"/>
  <c r="W2271" i="2"/>
  <c r="W2270" i="2"/>
  <c r="W2269" i="2"/>
  <c r="W2268" i="2"/>
  <c r="W2267" i="2"/>
  <c r="W2266" i="2"/>
  <c r="W2265" i="2"/>
  <c r="W2264" i="2"/>
  <c r="W1551" i="2"/>
  <c r="W234" i="2"/>
  <c r="W2263" i="2"/>
  <c r="W2262" i="2"/>
  <c r="W2261" i="2"/>
  <c r="W1550" i="2"/>
  <c r="W2260" i="2"/>
  <c r="W2259" i="2"/>
  <c r="W2258" i="2"/>
  <c r="W2257" i="2"/>
  <c r="W2256" i="2"/>
  <c r="W1046" i="2"/>
  <c r="W1045" i="2"/>
  <c r="W1044" i="2"/>
  <c r="W233" i="2"/>
  <c r="W1270" i="2"/>
  <c r="W599" i="2"/>
  <c r="W1043" i="2"/>
  <c r="W232" i="2"/>
  <c r="W407" i="2"/>
  <c r="W231" i="2"/>
  <c r="W230" i="2"/>
  <c r="W229" i="2"/>
  <c r="W228" i="2"/>
  <c r="W227" i="2"/>
  <c r="W226" i="2"/>
  <c r="W225" i="2"/>
  <c r="W224" i="2"/>
  <c r="W1224" i="2"/>
  <c r="W223" i="2"/>
  <c r="W2255" i="2"/>
  <c r="W2254" i="2"/>
  <c r="W1130" i="2"/>
  <c r="W2253" i="2"/>
  <c r="W598" i="2"/>
  <c r="W2252" i="2"/>
  <c r="W2251" i="2"/>
  <c r="W222" i="2"/>
  <c r="W597" i="2"/>
  <c r="W2250" i="2"/>
  <c r="W1426" i="2"/>
  <c r="W2249" i="2"/>
  <c r="W221" i="2"/>
  <c r="W220" i="2"/>
  <c r="W2248" i="2"/>
  <c r="W596" i="2"/>
  <c r="W2247" i="2"/>
  <c r="W1223" i="2"/>
  <c r="W2246" i="2"/>
  <c r="W219" i="2"/>
  <c r="W2245" i="2"/>
  <c r="W218" i="2"/>
  <c r="W2244" i="2"/>
  <c r="W2243" i="2"/>
  <c r="W1042" i="2"/>
  <c r="W2242" i="2"/>
  <c r="W1336" i="2"/>
  <c r="W1452" i="2"/>
  <c r="W2241" i="2"/>
  <c r="W1129" i="2"/>
  <c r="W217" i="2"/>
  <c r="W216" i="2"/>
  <c r="W2240" i="2"/>
  <c r="W1222" i="2"/>
  <c r="W595" i="2"/>
  <c r="W215" i="2"/>
  <c r="W2239" i="2"/>
  <c r="W2238" i="2"/>
  <c r="W1695" i="2"/>
  <c r="W214" i="2"/>
  <c r="W2237" i="2"/>
  <c r="W1128" i="2"/>
  <c r="W2236" i="2"/>
  <c r="W2235" i="2"/>
  <c r="W2234" i="2"/>
  <c r="W1041" i="2"/>
  <c r="W594" i="2"/>
  <c r="W1221" i="2"/>
  <c r="W2233" i="2"/>
  <c r="W1220" i="2"/>
  <c r="W1040" i="2"/>
  <c r="W2232" i="2"/>
  <c r="W1645" i="2"/>
  <c r="W593" i="2"/>
  <c r="W213" i="2"/>
  <c r="W1425" i="2"/>
  <c r="W1039" i="2"/>
  <c r="W212" i="2"/>
  <c r="W2231" i="2"/>
  <c r="W2230" i="2"/>
  <c r="W1038" i="2"/>
  <c r="W2229" i="2"/>
  <c r="W2228" i="2"/>
  <c r="W1644" i="2"/>
  <c r="W406" i="2"/>
  <c r="W1127" i="2"/>
  <c r="W1219" i="2"/>
  <c r="W405" i="2"/>
  <c r="W1549" i="2"/>
  <c r="W1218" i="2"/>
  <c r="W2227" i="2"/>
  <c r="W592" i="2"/>
  <c r="W1548" i="2"/>
  <c r="W1037" i="2"/>
  <c r="W2226" i="2"/>
  <c r="W460" i="2"/>
  <c r="W2225" i="2"/>
  <c r="W2224" i="2"/>
  <c r="W211" i="2"/>
  <c r="W404" i="2"/>
  <c r="W591" i="2"/>
  <c r="W2223" i="2"/>
  <c r="W459" i="2"/>
  <c r="W590" i="2"/>
  <c r="W589" i="2"/>
  <c r="W2222" i="2"/>
  <c r="W2221" i="2"/>
  <c r="W1643" i="2"/>
  <c r="W1642" i="2"/>
  <c r="W2220" i="2"/>
  <c r="W484" i="2"/>
  <c r="W2219" i="2"/>
  <c r="W2218" i="2"/>
  <c r="W1217" i="2"/>
  <c r="W2217" i="2"/>
  <c r="W2216" i="2"/>
  <c r="W2215" i="2"/>
  <c r="W1036" i="2"/>
  <c r="W1335" i="2"/>
  <c r="W2214" i="2"/>
  <c r="W2213" i="2"/>
  <c r="W2212" i="2"/>
  <c r="W1035" i="2"/>
  <c r="W1034" i="2"/>
  <c r="W1216" i="2"/>
  <c r="W2211" i="2"/>
  <c r="W403" i="2"/>
  <c r="W2210" i="2"/>
  <c r="W512" i="2"/>
  <c r="W511" i="2"/>
  <c r="W2209" i="2"/>
  <c r="W2208" i="2"/>
  <c r="W1547" i="2"/>
  <c r="W2207" i="2"/>
  <c r="W1546" i="2"/>
  <c r="W402" i="2"/>
  <c r="W588" i="2"/>
  <c r="W2206" i="2"/>
  <c r="W1033" i="2"/>
  <c r="W2205" i="2"/>
  <c r="W2204" i="2"/>
  <c r="W2203" i="2"/>
  <c r="W2202" i="2"/>
  <c r="W2201" i="2"/>
  <c r="W1545" i="2"/>
  <c r="W1424" i="2"/>
  <c r="W587" i="2"/>
  <c r="W2200" i="2"/>
  <c r="W586" i="2"/>
  <c r="W1334" i="2"/>
  <c r="W1215" i="2"/>
  <c r="W1641" i="2"/>
  <c r="W1423" i="2"/>
  <c r="W2199" i="2"/>
  <c r="W2198" i="2"/>
  <c r="W2197" i="2"/>
  <c r="W1032" i="2"/>
  <c r="W1544" i="2"/>
  <c r="W585" i="2"/>
  <c r="W1333" i="2"/>
  <c r="W2196" i="2"/>
  <c r="W2195" i="2"/>
  <c r="W483" i="2"/>
  <c r="W1332" i="2"/>
  <c r="W584" i="2"/>
  <c r="W1640" i="2"/>
  <c r="W1269" i="2"/>
  <c r="W583" i="2"/>
  <c r="W2194" i="2"/>
  <c r="W2193" i="2"/>
  <c r="W2192" i="2"/>
  <c r="W2191" i="2"/>
  <c r="W1639" i="2"/>
  <c r="W1638" i="2"/>
  <c r="W2190" i="2"/>
  <c r="W2189" i="2"/>
  <c r="W2188" i="2"/>
  <c r="W1031" i="2"/>
  <c r="W582" i="2"/>
  <c r="W482" i="2"/>
  <c r="W581" i="2"/>
  <c r="W580" i="2"/>
  <c r="W2187" i="2"/>
  <c r="W2186" i="2"/>
  <c r="W1030" i="2"/>
  <c r="W2185" i="2"/>
  <c r="W2184" i="2"/>
  <c r="W210" i="2"/>
  <c r="W2183" i="2"/>
  <c r="W2182" i="2"/>
  <c r="W579" i="2"/>
  <c r="W2181" i="2"/>
  <c r="W2180" i="2"/>
  <c r="W2179" i="2"/>
  <c r="W2178" i="2"/>
  <c r="W2177" i="2"/>
  <c r="W2176" i="2"/>
  <c r="W2175" i="2"/>
  <c r="W1543" i="2"/>
  <c r="W2174" i="2"/>
  <c r="W1214" i="2"/>
  <c r="W2173" i="2"/>
  <c r="W481" i="2"/>
  <c r="W1331" i="2"/>
  <c r="W578" i="2"/>
  <c r="W2172" i="2"/>
  <c r="W2171" i="2"/>
  <c r="W1422" i="2"/>
  <c r="W1694" i="2"/>
  <c r="W1330" i="2"/>
  <c r="W2170" i="2"/>
  <c r="W2169" i="2"/>
  <c r="W1637" i="2"/>
  <c r="W1029" i="2"/>
  <c r="W1542" i="2"/>
  <c r="W577" i="2"/>
  <c r="W576" i="2"/>
  <c r="W2168" i="2"/>
  <c r="W2167" i="2"/>
  <c r="W2166" i="2"/>
  <c r="W2165" i="2"/>
  <c r="W2164" i="2"/>
  <c r="W2163" i="2"/>
  <c r="W1541" i="2"/>
  <c r="W2162" i="2"/>
  <c r="W1028" i="2"/>
  <c r="W1636" i="2"/>
  <c r="W2161" i="2"/>
  <c r="W1329" i="2"/>
  <c r="W2160" i="2"/>
  <c r="W1421" i="2"/>
  <c r="W2159" i="2"/>
  <c r="W2158" i="2"/>
  <c r="W1027" i="2"/>
  <c r="W1213" i="2"/>
  <c r="W2157" i="2"/>
  <c r="W1212" i="2"/>
  <c r="W209" i="2"/>
  <c r="W1026" i="2"/>
  <c r="W2156" i="2"/>
  <c r="W2155" i="2"/>
  <c r="W2154" i="2"/>
  <c r="W2153" i="2"/>
  <c r="W575" i="2"/>
  <c r="W574" i="2"/>
  <c r="W1491" i="2"/>
  <c r="W2152" i="2"/>
  <c r="W2151" i="2"/>
  <c r="W2150" i="2"/>
  <c r="W480" i="2"/>
  <c r="W2149" i="2"/>
  <c r="W479" i="2"/>
  <c r="W1490" i="2"/>
  <c r="W2148" i="2"/>
  <c r="W478" i="2"/>
  <c r="W1211" i="2"/>
  <c r="W2147" i="2"/>
  <c r="W2146" i="2"/>
  <c r="W1025" i="2"/>
  <c r="W2145" i="2"/>
  <c r="W573" i="2"/>
  <c r="W2144" i="2"/>
  <c r="W2143" i="2"/>
  <c r="W2142" i="2"/>
  <c r="W2141" i="2"/>
  <c r="W1126" i="2"/>
  <c r="W2140" i="2"/>
  <c r="W2139" i="2"/>
  <c r="W2138" i="2"/>
  <c r="W1328" i="2"/>
  <c r="W2137" i="2"/>
  <c r="W1693" i="2"/>
  <c r="W2136" i="2"/>
  <c r="W2135" i="2"/>
  <c r="W1327" i="2"/>
  <c r="W477" i="2"/>
  <c r="W208" i="2"/>
  <c r="W2134" i="2"/>
  <c r="W2133" i="2"/>
  <c r="W1540" i="2"/>
  <c r="W2132" i="2"/>
  <c r="W1210" i="2"/>
  <c r="W572" i="2"/>
  <c r="W2131" i="2"/>
  <c r="W1539" i="2"/>
  <c r="W2130" i="2"/>
  <c r="W1451" i="2"/>
  <c r="W571" i="2"/>
  <c r="W2129" i="2"/>
  <c r="W2128" i="2"/>
  <c r="W2127" i="2"/>
  <c r="W570" i="2"/>
  <c r="W2126" i="2"/>
  <c r="W2125" i="2"/>
  <c r="W2124" i="2"/>
  <c r="W2123" i="2"/>
  <c r="W1635" i="2"/>
  <c r="W1326" i="2"/>
  <c r="W2122" i="2"/>
  <c r="W1325" i="2"/>
  <c r="W2121" i="2"/>
  <c r="W2120" i="2"/>
  <c r="W1634" i="2"/>
  <c r="W2119" i="2"/>
  <c r="W2118" i="2"/>
  <c r="W1538" i="2"/>
  <c r="W1209" i="2"/>
  <c r="W2117" i="2"/>
  <c r="W1692" i="2"/>
  <c r="W207" i="2"/>
  <c r="W2116" i="2"/>
  <c r="W2115" i="2"/>
  <c r="W1489" i="2"/>
  <c r="W2114" i="2"/>
  <c r="W1488" i="2"/>
  <c r="W1420" i="2"/>
  <c r="W2113" i="2"/>
  <c r="W2112" i="2"/>
  <c r="W206" i="2"/>
  <c r="W205" i="2"/>
  <c r="W204" i="2"/>
  <c r="W2111" i="2"/>
  <c r="W203" i="2"/>
  <c r="W2110" i="2"/>
  <c r="W1024" i="2"/>
  <c r="W2109" i="2"/>
  <c r="W2108" i="2"/>
  <c r="W1324" i="2"/>
  <c r="W202" i="2"/>
  <c r="W2107" i="2"/>
  <c r="W2106" i="2"/>
  <c r="W2105" i="2"/>
  <c r="W201" i="2"/>
  <c r="W2104" i="2"/>
  <c r="W1023" i="2"/>
  <c r="W1419" i="2"/>
  <c r="W2103" i="2"/>
  <c r="W2102" i="2"/>
  <c r="W2101" i="2"/>
  <c r="W1125" i="2"/>
  <c r="W2100" i="2"/>
  <c r="W1022" i="2"/>
  <c r="W2099" i="2"/>
  <c r="W2098" i="2"/>
  <c r="W2097" i="2"/>
  <c r="W2096" i="2"/>
  <c r="W2095" i="2"/>
  <c r="W2094" i="2"/>
  <c r="W2093" i="2"/>
  <c r="W2092" i="2"/>
  <c r="W2091" i="2"/>
  <c r="W1418" i="2"/>
  <c r="W2090" i="2"/>
  <c r="W2089" i="2"/>
  <c r="W2088" i="2"/>
  <c r="W2087" i="2"/>
  <c r="W1691" i="2"/>
  <c r="W2086" i="2"/>
  <c r="W2085" i="2"/>
  <c r="W1487" i="2"/>
  <c r="W2084" i="2"/>
  <c r="W1323" i="2"/>
  <c r="W2083" i="2"/>
  <c r="W2082" i="2"/>
  <c r="W1322" i="2"/>
  <c r="W1021" i="2"/>
  <c r="W1486" i="2"/>
  <c r="W1321" i="2"/>
  <c r="W1537" i="2"/>
  <c r="W1536" i="2"/>
  <c r="W2081" i="2"/>
  <c r="W200" i="2"/>
  <c r="W2080" i="2"/>
  <c r="W2079" i="2"/>
  <c r="W2078" i="2"/>
  <c r="W2077" i="2"/>
  <c r="W1535" i="2"/>
  <c r="W2076" i="2"/>
  <c r="W2075" i="2"/>
  <c r="W2074" i="2"/>
  <c r="W2073" i="2"/>
  <c r="W2072" i="2"/>
  <c r="W2071" i="2"/>
  <c r="W2070" i="2"/>
  <c r="W2069" i="2"/>
  <c r="W2068" i="2"/>
  <c r="W2067" i="2"/>
  <c r="W199" i="2"/>
  <c r="W2066" i="2"/>
  <c r="W2065" i="2"/>
  <c r="W2064" i="2"/>
  <c r="W198" i="2"/>
  <c r="W2063" i="2"/>
  <c r="W1320" i="2"/>
  <c r="W2062" i="2"/>
  <c r="W197" i="2"/>
  <c r="W2061" i="2"/>
  <c r="W1485" i="2"/>
  <c r="W2060" i="2"/>
  <c r="W2059" i="2"/>
  <c r="W2058" i="2"/>
  <c r="W1690" i="2"/>
  <c r="W2057" i="2"/>
  <c r="W196" i="2"/>
  <c r="W1484" i="2"/>
  <c r="W1534" i="2"/>
  <c r="W2056" i="2"/>
  <c r="W195" i="2"/>
  <c r="W2055" i="2"/>
  <c r="W2054" i="2"/>
  <c r="W2053" i="2"/>
  <c r="W2052" i="2"/>
  <c r="W2051" i="2"/>
  <c r="W1319" i="2"/>
  <c r="W2050" i="2"/>
  <c r="W194" i="2"/>
  <c r="W1020" i="2"/>
  <c r="W1745" i="2"/>
  <c r="W401" i="2"/>
  <c r="W2049" i="2"/>
  <c r="W2048" i="2"/>
  <c r="W2047" i="2"/>
  <c r="W848" i="2"/>
  <c r="W476" i="2"/>
  <c r="W138" i="2"/>
  <c r="W1208" i="2"/>
  <c r="W137" i="2"/>
  <c r="W2046" i="2"/>
  <c r="W136" i="2"/>
  <c r="W2045" i="2"/>
  <c r="W2044" i="2"/>
  <c r="W942" i="2"/>
  <c r="W874" i="2"/>
  <c r="W2043" i="2"/>
  <c r="W135" i="2"/>
  <c r="W1689" i="2"/>
  <c r="W134" i="2"/>
  <c r="W2042" i="2"/>
  <c r="W133" i="2"/>
  <c r="W132" i="2"/>
  <c r="W131" i="2"/>
  <c r="W130" i="2"/>
  <c r="W873" i="2"/>
  <c r="W872" i="2"/>
  <c r="W1744" i="2"/>
  <c r="W2041" i="2"/>
  <c r="W1124" i="2"/>
  <c r="W2040" i="2"/>
  <c r="W2039" i="2"/>
  <c r="W569" i="2"/>
  <c r="W129" i="2"/>
  <c r="W128" i="2"/>
  <c r="W2038" i="2"/>
  <c r="W1533" i="2"/>
  <c r="W1318" i="2"/>
  <c r="W127" i="2"/>
  <c r="W941" i="2"/>
  <c r="W1417" i="2"/>
  <c r="W2037" i="2"/>
  <c r="W475" i="2"/>
  <c r="W1123" i="2"/>
  <c r="W1688" i="2"/>
  <c r="W940" i="2"/>
  <c r="W939" i="2"/>
  <c r="W126" i="2"/>
  <c r="W568" i="2"/>
  <c r="W125" i="2"/>
  <c r="W1268" i="2"/>
  <c r="W2036" i="2"/>
  <c r="W124" i="2"/>
  <c r="W2035" i="2"/>
  <c r="W567" i="2"/>
  <c r="W1122" i="2"/>
  <c r="W1121" i="2"/>
  <c r="W1743" i="2"/>
  <c r="W2034" i="2"/>
  <c r="W938" i="2"/>
  <c r="W1742" i="2"/>
  <c r="W1019" i="2"/>
  <c r="W1207" i="2"/>
  <c r="W2033" i="2"/>
  <c r="W566" i="2"/>
  <c r="W565" i="2"/>
  <c r="W1018" i="2"/>
  <c r="W564" i="2"/>
  <c r="W1450" i="2"/>
  <c r="W2032" i="2"/>
  <c r="W1449" i="2"/>
  <c r="W1483" i="2"/>
  <c r="W937" i="2"/>
  <c r="W1317" i="2"/>
  <c r="W936" i="2"/>
  <c r="W2031" i="2"/>
  <c r="W1687" i="2"/>
  <c r="W389" i="2"/>
  <c r="W563" i="2"/>
  <c r="W562" i="2"/>
  <c r="W935" i="2"/>
  <c r="W934" i="2"/>
  <c r="W1448" i="2"/>
  <c r="W2030" i="2"/>
  <c r="W372" i="2"/>
  <c r="W371" i="2"/>
  <c r="W2029" i="2"/>
  <c r="W1017" i="2"/>
  <c r="W933" i="2"/>
  <c r="W1206" i="2"/>
  <c r="W388" i="2"/>
  <c r="W1016" i="2"/>
  <c r="W871" i="2"/>
  <c r="W2028" i="2"/>
  <c r="W123" i="2"/>
  <c r="W122" i="2"/>
  <c r="W1120" i="2"/>
  <c r="W387" i="2"/>
  <c r="W932" i="2"/>
  <c r="W931" i="2"/>
  <c r="W1119" i="2"/>
  <c r="W1205" i="2"/>
  <c r="W930" i="2"/>
  <c r="W1118" i="2"/>
  <c r="W1447" i="2"/>
  <c r="W1482" i="2"/>
  <c r="W1117" i="2"/>
  <c r="W1015" i="2"/>
  <c r="W1014" i="2"/>
  <c r="W458" i="2"/>
  <c r="W1013" i="2"/>
  <c r="W400" i="2"/>
  <c r="W2027" i="2"/>
  <c r="W121" i="2"/>
  <c r="W2026" i="2"/>
  <c r="W1741" i="2"/>
  <c r="W2025" i="2"/>
  <c r="W1446" i="2"/>
  <c r="W1012" i="2"/>
  <c r="W120" i="2"/>
  <c r="W119" i="2"/>
  <c r="W1686" i="2"/>
  <c r="W386" i="2"/>
  <c r="W2024" i="2"/>
  <c r="W2023" i="2"/>
  <c r="W2022" i="2"/>
  <c r="W1204" i="2"/>
  <c r="W457" i="2"/>
  <c r="W929" i="2"/>
  <c r="W928" i="2"/>
  <c r="W474" i="2"/>
  <c r="W1116" i="2"/>
  <c r="W1203" i="2"/>
  <c r="W2021" i="2"/>
  <c r="W2020" i="2"/>
  <c r="W2019" i="2"/>
  <c r="W2018" i="2"/>
  <c r="W1481" i="2"/>
  <c r="W927" i="2"/>
  <c r="W2017" i="2"/>
  <c r="W1011" i="2"/>
  <c r="W2016" i="2"/>
  <c r="W770" i="2"/>
  <c r="W2015" i="2"/>
  <c r="W2014" i="2"/>
  <c r="W926" i="2"/>
  <c r="W561" i="2"/>
  <c r="W1115" i="2"/>
  <c r="W473" i="2"/>
  <c r="W2013" i="2"/>
  <c r="W456" i="2"/>
  <c r="W2012" i="2"/>
  <c r="W1445" i="2"/>
  <c r="W1202" i="2"/>
  <c r="W560" i="2"/>
  <c r="W2011" i="2"/>
  <c r="W1114" i="2"/>
  <c r="W769" i="2"/>
  <c r="W559" i="2"/>
  <c r="W2010" i="2"/>
  <c r="W1532" i="2"/>
  <c r="W558" i="2"/>
  <c r="W2009" i="2"/>
  <c r="W1316" i="2"/>
  <c r="W1201" i="2"/>
  <c r="W2008" i="2"/>
  <c r="W870" i="2"/>
  <c r="W869" i="2"/>
  <c r="W1480" i="2"/>
  <c r="W2007" i="2"/>
  <c r="W2006" i="2"/>
  <c r="W1479" i="2"/>
  <c r="W2005" i="2"/>
  <c r="W2004" i="2"/>
  <c r="W1740" i="2"/>
  <c r="W2003" i="2"/>
  <c r="W1200" i="2"/>
  <c r="W2002" i="2"/>
  <c r="W557" i="2"/>
  <c r="W2001" i="2"/>
  <c r="W2000" i="2"/>
  <c r="W1999" i="2"/>
  <c r="W1315" i="2"/>
  <c r="W1267" i="2"/>
  <c r="W556" i="2"/>
  <c r="W555" i="2"/>
  <c r="W1531" i="2"/>
  <c r="W925" i="2"/>
  <c r="W1998" i="2"/>
  <c r="W1997" i="2"/>
  <c r="W1996" i="2"/>
  <c r="W118" i="2"/>
  <c r="W1199" i="2"/>
  <c r="W1995" i="2"/>
  <c r="W1994" i="2"/>
  <c r="W455" i="2"/>
  <c r="W1198" i="2"/>
  <c r="W554" i="2"/>
  <c r="W768" i="2"/>
  <c r="W1010" i="2"/>
  <c r="W1993" i="2"/>
  <c r="W454" i="2"/>
  <c r="W1009" i="2"/>
  <c r="W1478" i="2"/>
  <c r="W1992" i="2"/>
  <c r="W1991" i="2"/>
  <c r="W1990" i="2"/>
  <c r="W1989" i="2"/>
  <c r="W1444" i="2"/>
  <c r="W1988" i="2"/>
  <c r="W453" i="2"/>
  <c r="W1530" i="2"/>
  <c r="W452" i="2"/>
  <c r="W1987" i="2"/>
  <c r="W451" i="2"/>
  <c r="W1986" i="2"/>
  <c r="W1739" i="2"/>
  <c r="W1985" i="2"/>
  <c r="W1984" i="2"/>
  <c r="W1443" i="2"/>
  <c r="W1442" i="2"/>
  <c r="W1983" i="2"/>
  <c r="W1982" i="2"/>
  <c r="W1981" i="2"/>
  <c r="W1314" i="2"/>
  <c r="W117" i="2"/>
  <c r="W1980" i="2"/>
  <c r="W1979" i="2"/>
  <c r="W1529" i="2"/>
  <c r="W1528" i="2"/>
  <c r="W553" i="2"/>
  <c r="W1978" i="2"/>
  <c r="W1977" i="2"/>
  <c r="W413" i="2"/>
  <c r="W1976" i="2"/>
  <c r="W1975" i="2"/>
  <c r="W450" i="2"/>
  <c r="W1974" i="2"/>
  <c r="W552" i="2"/>
  <c r="W1973" i="2"/>
  <c r="W1685" i="2"/>
  <c r="W1441" i="2"/>
  <c r="W1477" i="2"/>
  <c r="W1008" i="2"/>
  <c r="W399" i="2"/>
  <c r="W731" i="2"/>
  <c r="W1972" i="2"/>
  <c r="W1971" i="2"/>
  <c r="W551" i="2"/>
  <c r="W1970" i="2"/>
  <c r="W847" i="2"/>
  <c r="W868" i="2"/>
  <c r="W1969" i="2"/>
  <c r="W1968" i="2"/>
  <c r="W1113" i="2"/>
  <c r="W1007" i="2"/>
  <c r="W1967" i="2"/>
  <c r="W116" i="2"/>
  <c r="W412" i="2"/>
  <c r="W411" i="2"/>
  <c r="W115" i="2"/>
  <c r="W1966" i="2"/>
  <c r="W1965" i="2"/>
  <c r="W1006" i="2"/>
  <c r="W449" i="2"/>
  <c r="W767" i="2"/>
  <c r="W766" i="2"/>
  <c r="W1527" i="2"/>
  <c r="W410" i="2"/>
  <c r="W1005" i="2"/>
  <c r="W1440" i="2"/>
  <c r="W1313" i="2"/>
  <c r="W550" i="2"/>
  <c r="W1964" i="2"/>
  <c r="W1312" i="2"/>
  <c r="W1963" i="2"/>
  <c r="W1962" i="2"/>
  <c r="W1738" i="2"/>
  <c r="W1416" i="2"/>
  <c r="W1961" i="2"/>
  <c r="W1004" i="2"/>
  <c r="W1960" i="2"/>
  <c r="W1003" i="2"/>
  <c r="W1002" i="2"/>
  <c r="W1737" i="2"/>
  <c r="W1959" i="2"/>
  <c r="W1958" i="2"/>
  <c r="W1957" i="2"/>
  <c r="W1001" i="2"/>
  <c r="W1197" i="2"/>
  <c r="W1526" i="2"/>
  <c r="W1956" i="2"/>
  <c r="W1684" i="2"/>
  <c r="W1955" i="2"/>
  <c r="W549" i="2"/>
  <c r="W924" i="2"/>
  <c r="W923" i="2"/>
  <c r="W1196" i="2"/>
  <c r="W1954" i="2"/>
  <c r="W1683" i="2"/>
  <c r="W867" i="2"/>
  <c r="W1953" i="2"/>
  <c r="W1000" i="2"/>
  <c r="W1952" i="2"/>
  <c r="W1951" i="2"/>
  <c r="W1311" i="2"/>
  <c r="W1950" i="2"/>
  <c r="W1525" i="2"/>
  <c r="W999" i="2"/>
  <c r="W1476" i="2"/>
  <c r="W765" i="2"/>
  <c r="W548" i="2"/>
  <c r="W547" i="2"/>
  <c r="W1949" i="2"/>
  <c r="W1266" i="2"/>
  <c r="W1948" i="2"/>
  <c r="W398" i="2"/>
  <c r="W1947" i="2"/>
  <c r="W846" i="2"/>
  <c r="W546" i="2"/>
  <c r="W1475" i="2"/>
  <c r="W1946" i="2"/>
  <c r="W114" i="2"/>
  <c r="W1945" i="2"/>
  <c r="W1944" i="2"/>
  <c r="W1943" i="2"/>
  <c r="W397" i="2"/>
  <c r="W1942" i="2"/>
  <c r="W1941" i="2"/>
  <c r="W1940" i="2"/>
  <c r="W545" i="2"/>
  <c r="W1939" i="2"/>
  <c r="W1474" i="2"/>
  <c r="W1938" i="2"/>
  <c r="W1937" i="2"/>
  <c r="W113" i="2"/>
  <c r="W1936" i="2"/>
  <c r="W1935" i="2"/>
  <c r="W544" i="2"/>
  <c r="W112" i="2"/>
  <c r="W543" i="2"/>
  <c r="W1439" i="2"/>
  <c r="W1934" i="2"/>
  <c r="W111" i="2"/>
  <c r="W730" i="2"/>
  <c r="W1933" i="2"/>
  <c r="W1932" i="2"/>
  <c r="W1931" i="2"/>
  <c r="W1930" i="2"/>
  <c r="W1682" i="2"/>
  <c r="W1929" i="2"/>
  <c r="W866" i="2"/>
  <c r="W110" i="2"/>
  <c r="W922" i="2"/>
  <c r="W1928" i="2"/>
  <c r="W1927" i="2"/>
  <c r="W1926" i="2"/>
  <c r="W845" i="2"/>
  <c r="W1925" i="2"/>
  <c r="W1924" i="2"/>
  <c r="W1923" i="2"/>
  <c r="W1736" i="2"/>
  <c r="W1922" i="2"/>
  <c r="W542" i="2"/>
  <c r="W1921" i="2"/>
  <c r="W998" i="2"/>
  <c r="W1195" i="2"/>
  <c r="W109" i="2"/>
  <c r="W1920" i="2"/>
  <c r="W1919" i="2"/>
  <c r="W1735" i="2"/>
  <c r="W865" i="2"/>
  <c r="W1918" i="2"/>
  <c r="W1917" i="2"/>
  <c r="W1681" i="2"/>
  <c r="W108" i="2"/>
  <c r="W764" i="2"/>
  <c r="W1916" i="2"/>
  <c r="W396" i="2"/>
  <c r="W1915" i="2"/>
  <c r="W1310" i="2"/>
  <c r="W1914" i="2"/>
  <c r="W1913" i="2"/>
  <c r="W921" i="2"/>
  <c r="W844" i="2"/>
  <c r="W864" i="2"/>
  <c r="W863" i="2"/>
  <c r="W1912" i="2"/>
  <c r="W107" i="2"/>
  <c r="W1734" i="2"/>
  <c r="W1911" i="2"/>
  <c r="W1910" i="2"/>
  <c r="W997" i="2"/>
  <c r="W1909" i="2"/>
  <c r="W1908" i="2"/>
  <c r="W1524" i="2"/>
  <c r="W1907" i="2"/>
  <c r="W1906" i="2"/>
  <c r="W1309" i="2"/>
  <c r="W1905" i="2"/>
  <c r="W729" i="2"/>
  <c r="W1904" i="2"/>
  <c r="W1680" i="2"/>
  <c r="W1523" i="2"/>
  <c r="W1473" i="2"/>
  <c r="W1308" i="2"/>
  <c r="W1903" i="2"/>
  <c r="W1522" i="2"/>
  <c r="W1194" i="2"/>
  <c r="W1265" i="2"/>
  <c r="W920" i="2"/>
  <c r="W1902" i="2"/>
  <c r="W1901" i="2"/>
  <c r="W996" i="2"/>
  <c r="W1733" i="2"/>
  <c r="W763" i="2"/>
  <c r="W843" i="2"/>
  <c r="W995" i="2"/>
  <c r="W1307" i="2"/>
  <c r="W1900" i="2"/>
  <c r="W1899" i="2"/>
  <c r="W1898" i="2"/>
  <c r="W1897" i="2"/>
  <c r="W1896" i="2"/>
  <c r="W1679" i="2"/>
  <c r="W1895" i="2"/>
  <c r="W1894" i="2"/>
  <c r="W1893" i="2"/>
  <c r="W1892" i="2"/>
  <c r="W1891" i="2"/>
  <c r="W1890" i="2"/>
  <c r="W106" i="2"/>
  <c r="W1889" i="2"/>
  <c r="W919" i="2"/>
  <c r="W1888" i="2"/>
  <c r="W862" i="2"/>
  <c r="W1887" i="2"/>
  <c r="W1886" i="2"/>
  <c r="W1885" i="2"/>
  <c r="W861" i="2"/>
  <c r="W1193" i="2"/>
  <c r="W1884" i="2"/>
  <c r="W1883" i="2"/>
  <c r="W1882" i="2"/>
  <c r="W1881" i="2"/>
  <c r="W1880" i="2"/>
  <c r="W1879" i="2"/>
  <c r="W105" i="2"/>
  <c r="W1878" i="2"/>
  <c r="W1877" i="2"/>
  <c r="W1678" i="2"/>
  <c r="W1876" i="2"/>
  <c r="W728" i="2"/>
  <c r="W104" i="2"/>
  <c r="W1732" i="2"/>
  <c r="W1306" i="2"/>
  <c r="W103" i="2"/>
  <c r="W1875" i="2"/>
  <c r="W1264" i="2"/>
  <c r="W102" i="2"/>
  <c r="W1731" i="2"/>
  <c r="W1730" i="2"/>
  <c r="W1874" i="2"/>
  <c r="W1677" i="2"/>
  <c r="W1873" i="2"/>
  <c r="W1521" i="2"/>
  <c r="W1520" i="2"/>
  <c r="W1472" i="2"/>
  <c r="W1872" i="2"/>
  <c r="W1871" i="2"/>
  <c r="W1870" i="2"/>
  <c r="W1869" i="2"/>
  <c r="W101" i="2"/>
  <c r="W100" i="2"/>
  <c r="W1868" i="2"/>
  <c r="W1867" i="2"/>
  <c r="W1866" i="2"/>
  <c r="W1865" i="2"/>
  <c r="W1864" i="2"/>
  <c r="W1263" i="2"/>
  <c r="W1676" i="2"/>
  <c r="W1863" i="2"/>
  <c r="W99" i="2"/>
  <c r="W918" i="2"/>
  <c r="W860" i="2"/>
  <c r="W98" i="2"/>
  <c r="W1862" i="2"/>
  <c r="W541" i="2"/>
  <c r="W97" i="2"/>
  <c r="W395" i="2"/>
  <c r="W1675" i="2"/>
  <c r="W96" i="2"/>
  <c r="W762" i="2"/>
  <c r="W994" i="2"/>
  <c r="W1861" i="2"/>
  <c r="W1438" i="2"/>
  <c r="W917" i="2"/>
  <c r="W1860" i="2"/>
  <c r="W95" i="2"/>
  <c r="W916" i="2"/>
  <c r="W1305" i="2"/>
  <c r="W1859" i="2"/>
  <c r="W1858" i="2"/>
  <c r="W94" i="2"/>
  <c r="W1857" i="2"/>
  <c r="W93" i="2"/>
  <c r="W193" i="2"/>
  <c r="W1304" i="2"/>
  <c r="W192" i="2"/>
  <c r="W191" i="2"/>
  <c r="W190" i="2"/>
  <c r="W189" i="2"/>
  <c r="W1112" i="2"/>
  <c r="W1192" i="2"/>
  <c r="W92" i="2"/>
  <c r="W1191" i="2"/>
  <c r="W1856" i="2"/>
  <c r="W915" i="2"/>
  <c r="W91" i="2"/>
  <c r="W90" i="2"/>
  <c r="W540" i="2"/>
  <c r="W188" i="2"/>
  <c r="W993" i="2"/>
  <c r="W187" i="2"/>
  <c r="W1437" i="2"/>
  <c r="W1855" i="2"/>
  <c r="W1111" i="2"/>
  <c r="W1190" i="2"/>
  <c r="W6" i="2"/>
  <c r="W761" i="2"/>
  <c r="W186" i="2"/>
  <c r="W89" i="2"/>
  <c r="W370" i="2"/>
  <c r="W723" i="2"/>
  <c r="W1303" i="2"/>
  <c r="W1854" i="2"/>
  <c r="W1853" i="2"/>
  <c r="W1302" i="2"/>
  <c r="W185" i="2"/>
  <c r="W914" i="2"/>
  <c r="W1852" i="2"/>
  <c r="W722" i="2"/>
  <c r="W368" i="2"/>
  <c r="W539" i="2"/>
  <c r="W367" i="2"/>
  <c r="W538" i="2"/>
  <c r="W1519" i="2"/>
  <c r="W721" i="2"/>
  <c r="W88" i="2"/>
  <c r="W1851" i="2"/>
  <c r="W1189" i="2"/>
  <c r="W1518" i="2"/>
  <c r="W1110" i="2"/>
  <c r="W720" i="2"/>
  <c r="W1188" i="2"/>
  <c r="W1187" i="2"/>
  <c r="W472" i="2"/>
  <c r="W1186" i="2"/>
  <c r="W1729" i="2"/>
  <c r="W369" i="2"/>
  <c r="W760" i="2"/>
  <c r="W184" i="2"/>
  <c r="W183" i="2"/>
  <c r="W182" i="2"/>
  <c r="W1301" i="2"/>
  <c r="W1850" i="2"/>
  <c r="W366" i="2"/>
  <c r="W1849" i="2"/>
  <c r="W1109" i="2"/>
  <c r="W28" i="2"/>
  <c r="W1185" i="2"/>
  <c r="W913" i="2"/>
  <c r="W1848" i="2"/>
  <c r="W1184" i="2"/>
  <c r="W1728" i="2"/>
  <c r="W759" i="2"/>
  <c r="W1300" i="2"/>
  <c r="W1299" i="2"/>
  <c r="W87" i="2"/>
  <c r="W1517" i="2"/>
  <c r="W181" i="2"/>
  <c r="W365" i="2"/>
  <c r="W86" i="2"/>
  <c r="W471" i="2"/>
  <c r="W470" i="2"/>
  <c r="W85" i="2"/>
  <c r="W84" i="2"/>
  <c r="W758" i="2"/>
  <c r="W757" i="2"/>
  <c r="W1847" i="2"/>
  <c r="W1846" i="2"/>
  <c r="W83" i="2"/>
  <c r="W1298" i="2"/>
  <c r="W82" i="2"/>
  <c r="W27" i="2"/>
  <c r="W1845" i="2"/>
  <c r="W898" i="2"/>
  <c r="W360" i="2"/>
  <c r="W1183" i="2"/>
  <c r="W1844" i="2"/>
  <c r="W14" i="2"/>
  <c r="W385" i="2"/>
  <c r="W81" i="2"/>
  <c r="W912" i="2"/>
  <c r="W1633" i="2"/>
  <c r="W1108" i="2"/>
  <c r="W80" i="2"/>
  <c r="W911" i="2"/>
  <c r="W1843" i="2"/>
  <c r="W910" i="2"/>
  <c r="W719" i="2"/>
  <c r="W12" i="2"/>
  <c r="W1297" i="2"/>
  <c r="W180" i="2"/>
  <c r="W1296" i="2"/>
  <c r="W384" i="2"/>
  <c r="W1842" i="2"/>
  <c r="W1674" i="2"/>
  <c r="W756" i="2"/>
  <c r="W1295" i="2"/>
  <c r="W1182" i="2"/>
  <c r="W1181" i="2"/>
  <c r="W79" i="2"/>
  <c r="W78" i="2"/>
  <c r="W13" i="2"/>
  <c r="W1294" i="2"/>
  <c r="W179" i="2"/>
  <c r="W897" i="2"/>
  <c r="W77" i="2"/>
  <c r="W383" i="2"/>
  <c r="W992" i="2"/>
  <c r="W909" i="2"/>
  <c r="W703" i="2"/>
  <c r="W1293" i="2"/>
  <c r="W178" i="2"/>
  <c r="W11" i="2"/>
  <c r="W1841" i="2"/>
  <c r="W359" i="2"/>
  <c r="W1292" i="2"/>
  <c r="W908" i="2"/>
  <c r="W537" i="2"/>
  <c r="W1840" i="2"/>
  <c r="W536" i="2"/>
  <c r="W1839" i="2"/>
  <c r="W76" i="2"/>
  <c r="W535" i="2"/>
  <c r="W755" i="2"/>
  <c r="W1516" i="2"/>
  <c r="W991" i="2"/>
  <c r="W534" i="2"/>
  <c r="W75" i="2"/>
  <c r="W754" i="2"/>
  <c r="W5" i="2"/>
  <c r="W1632" i="2"/>
  <c r="W1515" i="2"/>
  <c r="W74" i="2"/>
  <c r="W469" i="2"/>
  <c r="W753" i="2"/>
  <c r="W896" i="2"/>
  <c r="W1514" i="2"/>
  <c r="W718" i="2"/>
  <c r="W1838" i="2"/>
  <c r="W364" i="2"/>
  <c r="W73" i="2"/>
  <c r="W72" i="2"/>
  <c r="W1631" i="2"/>
  <c r="W1180" i="2"/>
  <c r="W1837" i="2"/>
  <c r="W71" i="2"/>
  <c r="W30" i="2"/>
  <c r="W1836" i="2"/>
  <c r="W10" i="2"/>
  <c r="W1835" i="2"/>
  <c r="W717" i="2"/>
  <c r="W70" i="2"/>
  <c r="W69" i="2"/>
  <c r="W68" i="2"/>
  <c r="W177" i="2"/>
  <c r="W1673" i="2"/>
  <c r="W176" i="2"/>
  <c r="W67" i="2"/>
  <c r="W990" i="2"/>
  <c r="W175" i="2"/>
  <c r="W1291" i="2"/>
  <c r="W1727" i="2"/>
  <c r="W1834" i="2"/>
  <c r="W1513" i="2"/>
  <c r="W382" i="2"/>
  <c r="W752" i="2"/>
  <c r="W66" i="2"/>
  <c r="W751" i="2"/>
  <c r="W1179" i="2"/>
  <c r="W989" i="2"/>
  <c r="W1672" i="2"/>
  <c r="W9" i="2"/>
  <c r="W4" i="2"/>
  <c r="W65" i="2"/>
  <c r="W26" i="2"/>
  <c r="W750" i="2"/>
  <c r="W64" i="2"/>
  <c r="W1290" i="2"/>
  <c r="W533" i="2"/>
  <c r="W749" i="2"/>
  <c r="W15" i="2"/>
  <c r="W63" i="2"/>
  <c r="W1178" i="2"/>
  <c r="W532" i="2"/>
  <c r="W1177" i="2"/>
  <c r="W1833" i="2"/>
  <c r="W702" i="2"/>
  <c r="W1832" i="2"/>
  <c r="W62" i="2"/>
  <c r="W1831" i="2"/>
  <c r="W895" i="2"/>
  <c r="W1830" i="2"/>
  <c r="W1176" i="2"/>
  <c r="W1829" i="2"/>
  <c r="W531" i="2"/>
  <c r="W61" i="2"/>
  <c r="W748" i="2"/>
  <c r="W716" i="2"/>
  <c r="W907" i="2"/>
  <c r="W1175" i="2"/>
  <c r="W530" i="2"/>
  <c r="W529" i="2"/>
  <c r="W1828" i="2"/>
  <c r="W906" i="2"/>
  <c r="W988" i="2"/>
  <c r="W1827" i="2"/>
  <c r="W1826" i="2"/>
  <c r="W1825" i="2"/>
  <c r="W8" i="2"/>
  <c r="W174" i="2"/>
  <c r="W747" i="2"/>
  <c r="W1824" i="2"/>
  <c r="W528" i="2"/>
  <c r="W1289" i="2"/>
  <c r="W1174" i="2"/>
  <c r="W1173" i="2"/>
  <c r="W363" i="2"/>
  <c r="W1630" i="2"/>
  <c r="W527" i="2"/>
  <c r="W60" i="2"/>
  <c r="W59" i="2"/>
  <c r="W1288" i="2"/>
  <c r="W905" i="2"/>
  <c r="W526" i="2"/>
  <c r="W1823" i="2"/>
  <c r="W1512" i="2"/>
  <c r="W746" i="2"/>
  <c r="W58" i="2"/>
  <c r="W1822" i="2"/>
  <c r="W745" i="2"/>
  <c r="W362" i="2"/>
  <c r="W1821" i="2"/>
  <c r="W57" i="2"/>
  <c r="W1671" i="2"/>
  <c r="W1172" i="2"/>
  <c r="W1820" i="2"/>
  <c r="W1171" i="2"/>
  <c r="W448" i="2"/>
  <c r="W1819" i="2"/>
  <c r="W525" i="2"/>
  <c r="W56" i="2"/>
  <c r="W524" i="2"/>
  <c r="W173" i="2"/>
  <c r="W55" i="2"/>
  <c r="W1170" i="2"/>
  <c r="W715" i="2"/>
  <c r="W1818" i="2"/>
  <c r="W1287" i="2"/>
  <c r="W54" i="2"/>
  <c r="W1511" i="2"/>
  <c r="W987" i="2"/>
  <c r="W447" i="2"/>
  <c r="W1510" i="2"/>
  <c r="W714" i="2"/>
  <c r="W361" i="2"/>
  <c r="W523" i="2"/>
  <c r="W986" i="2"/>
  <c r="W53" i="2"/>
  <c r="W29" i="2"/>
  <c r="W52" i="2"/>
  <c r="W1169" i="2"/>
  <c r="W172" i="2"/>
  <c r="W17" i="2"/>
  <c r="W1436" i="2"/>
  <c r="W51" i="2"/>
  <c r="W985" i="2"/>
  <c r="W1168" i="2"/>
  <c r="W1167" i="2"/>
  <c r="W16" i="2"/>
  <c r="W522" i="2"/>
  <c r="W1471" i="2"/>
  <c r="W1817" i="2"/>
  <c r="W446" i="2"/>
  <c r="W521" i="2"/>
  <c r="W1816" i="2"/>
  <c r="W7" i="2"/>
  <c r="W904" i="2"/>
  <c r="W1166" i="2"/>
  <c r="W50" i="2"/>
  <c r="W713" i="2"/>
  <c r="W1165" i="2"/>
  <c r="W171" i="2"/>
  <c r="W445" i="2"/>
  <c r="W744" i="2"/>
  <c r="W49" i="2"/>
  <c r="W394" i="2"/>
  <c r="W48" i="2"/>
  <c r="W170" i="2"/>
  <c r="W1164" i="2"/>
  <c r="W444" i="2"/>
  <c r="W1163" i="2"/>
  <c r="W443" i="2"/>
  <c r="W468" i="2"/>
  <c r="W712" i="2"/>
  <c r="W743" i="2"/>
  <c r="W1815" i="2"/>
  <c r="W1670" i="2"/>
  <c r="W520" i="2"/>
  <c r="W47" i="2"/>
  <c r="W1814" i="2"/>
  <c r="W1162" i="2"/>
  <c r="W1813" i="2"/>
  <c r="W903" i="2"/>
  <c r="W1812" i="2"/>
  <c r="W1811" i="2"/>
  <c r="W1810" i="2"/>
  <c r="W711" i="2"/>
  <c r="W742" i="2"/>
  <c r="W1161" i="2"/>
  <c r="W1809" i="2"/>
  <c r="W1669" i="2"/>
  <c r="W1160" i="2"/>
  <c r="W46" i="2"/>
  <c r="W710" i="2"/>
  <c r="W519" i="2"/>
  <c r="W45" i="2"/>
  <c r="W1808" i="2"/>
  <c r="W1159" i="2"/>
  <c r="W518" i="2"/>
  <c r="W709" i="2"/>
  <c r="W169" i="2"/>
  <c r="W1807" i="2"/>
  <c r="W1806" i="2"/>
  <c r="W44" i="2"/>
  <c r="W741" i="2"/>
  <c r="W1107" i="2"/>
  <c r="W984" i="2"/>
  <c r="W1509" i="2"/>
  <c r="W1158" i="2"/>
  <c r="W442" i="2"/>
  <c r="W168" i="2"/>
  <c r="W1157" i="2"/>
  <c r="W740" i="2"/>
  <c r="W167" i="2"/>
  <c r="W1805" i="2"/>
  <c r="W1804" i="2"/>
  <c r="W1156" i="2"/>
  <c r="W1470" i="2"/>
  <c r="W1726" i="2"/>
  <c r="W467" i="2"/>
  <c r="W1155" i="2"/>
  <c r="W1803" i="2"/>
  <c r="W1286" i="2"/>
  <c r="W1802" i="2"/>
  <c r="W739" i="2"/>
  <c r="W166" i="2"/>
  <c r="W441" i="2"/>
  <c r="W738" i="2"/>
  <c r="W1435" i="2"/>
  <c r="W517" i="2"/>
  <c r="W516" i="2"/>
  <c r="W43" i="2"/>
  <c r="W42" i="2"/>
  <c r="W41" i="2"/>
  <c r="W1801" i="2"/>
  <c r="W1800" i="2"/>
  <c r="W40" i="2"/>
  <c r="W737" i="2"/>
  <c r="W466" i="2"/>
  <c r="W1668" i="2"/>
  <c r="W1508" i="2"/>
  <c r="W708" i="2"/>
  <c r="W39" i="2"/>
  <c r="W1434" i="2"/>
  <c r="W1154" i="2"/>
  <c r="W1799" i="2"/>
  <c r="W38" i="2"/>
  <c r="W1798" i="2"/>
  <c r="W37" i="2"/>
  <c r="W707" i="2"/>
  <c r="W165" i="2"/>
  <c r="W1797" i="2"/>
  <c r="W1796" i="2"/>
  <c r="W902" i="2"/>
  <c r="W1153" i="2"/>
  <c r="W1152" i="2"/>
  <c r="W164" i="2"/>
  <c r="W1151" i="2"/>
  <c r="W983" i="2"/>
  <c r="W706" i="2"/>
  <c r="W1795" i="2"/>
  <c r="W705" i="2"/>
  <c r="W1794" i="2"/>
  <c r="W1150" i="2"/>
  <c r="W736" i="2"/>
  <c r="W1793" i="2"/>
  <c r="W465" i="2"/>
  <c r="W1792" i="2"/>
  <c r="W1149" i="2"/>
  <c r="W1791" i="2"/>
  <c r="W1469" i="2"/>
  <c r="W1790" i="2"/>
  <c r="W1789" i="2"/>
  <c r="W515" i="2"/>
  <c r="W1788" i="2"/>
  <c r="W901" i="2"/>
  <c r="W1667" i="2"/>
  <c r="W1787" i="2"/>
  <c r="W1507" i="2"/>
  <c r="W1786" i="2"/>
  <c r="W163" i="2"/>
  <c r="W900" i="2"/>
  <c r="W982" i="2"/>
  <c r="W859" i="2"/>
  <c r="W1785" i="2"/>
  <c r="W1784" i="2"/>
  <c r="W1433" i="2"/>
  <c r="W1783" i="2"/>
  <c r="W1666" i="2"/>
  <c r="W735" i="2"/>
  <c r="W162" i="2"/>
  <c r="W1782" i="2"/>
  <c r="W1148" i="2"/>
  <c r="W36" i="2"/>
  <c r="W1506" i="2"/>
  <c r="W1432" i="2"/>
  <c r="W704" i="2"/>
  <c r="W161" i="2"/>
  <c r="W1781" i="2"/>
  <c r="W981" i="2"/>
  <c r="W35" i="2"/>
  <c r="W34" i="2"/>
  <c r="W899" i="2"/>
  <c r="W1106" i="2"/>
  <c r="W1505" i="2"/>
  <c r="W734" i="2"/>
  <c r="W1780" i="2"/>
  <c r="W33" i="2"/>
  <c r="W1285" i="2"/>
  <c r="W1779" i="2"/>
  <c r="W980" i="2"/>
  <c r="W1778" i="2"/>
  <c r="W1777" i="2"/>
  <c r="W1776" i="2"/>
  <c r="W1775" i="2"/>
  <c r="W979" i="2"/>
  <c r="W1774" i="2"/>
  <c r="W1773" i="2"/>
  <c r="W160" i="2"/>
  <c r="W1772" i="2"/>
  <c r="W1771" i="2"/>
  <c r="W733" i="2"/>
  <c r="W32" i="2"/>
  <c r="W1770" i="2"/>
  <c r="W732" i="2"/>
  <c r="W1769" i="2"/>
  <c r="W159" i="2"/>
  <c r="W31" i="2"/>
  <c r="W1147" i="2"/>
  <c r="W158" i="2"/>
  <c r="W1768" i="2"/>
  <c r="W157" i="2"/>
  <c r="W1468" i="2"/>
  <c r="W1767" i="2"/>
  <c r="W1105" i="2"/>
  <c r="W1766" i="2"/>
  <c r="W1504" i="2"/>
  <c r="W1765" i="2"/>
  <c r="W1764" i="2"/>
  <c r="W1431" i="2"/>
  <c r="W1763" i="2"/>
  <c r="W156" i="2"/>
  <c r="W1762" i="2"/>
  <c r="W1761" i="2"/>
  <c r="W155" i="2"/>
  <c r="W1760" i="2"/>
  <c r="W154" i="2"/>
  <c r="D1770" i="2" l="1"/>
  <c r="D32" i="2"/>
  <c r="D733" i="2"/>
  <c r="D1771" i="2"/>
  <c r="D1772" i="2"/>
  <c r="D160" i="2"/>
  <c r="D1773" i="2"/>
  <c r="D1774" i="2"/>
  <c r="D979" i="2"/>
  <c r="D1775" i="2"/>
  <c r="D1776" i="2"/>
  <c r="D1777" i="2"/>
  <c r="D1778" i="2"/>
  <c r="D980" i="2"/>
  <c r="D1779" i="2"/>
  <c r="D1285" i="2"/>
  <c r="D33" i="2"/>
  <c r="D1780" i="2"/>
  <c r="D734" i="2"/>
  <c r="D1505" i="2"/>
  <c r="D1106" i="2"/>
  <c r="D899" i="2"/>
  <c r="D34" i="2"/>
  <c r="D35" i="2"/>
  <c r="D981" i="2"/>
  <c r="D1781" i="2"/>
  <c r="D161" i="2"/>
  <c r="D704" i="2"/>
  <c r="D1432" i="2"/>
  <c r="D1506" i="2"/>
  <c r="D36" i="2"/>
  <c r="D1148" i="2"/>
  <c r="D1782" i="2"/>
  <c r="D162" i="2"/>
  <c r="D735" i="2"/>
  <c r="D1666" i="2"/>
  <c r="D1783" i="2"/>
  <c r="D1433" i="2"/>
  <c r="D1784" i="2"/>
  <c r="D1785" i="2"/>
  <c r="D859" i="2"/>
  <c r="D982" i="2"/>
  <c r="D900" i="2"/>
  <c r="D163" i="2"/>
  <c r="D1786" i="2"/>
  <c r="D1507" i="2"/>
  <c r="D1787" i="2"/>
  <c r="D1667" i="2"/>
  <c r="D901" i="2"/>
  <c r="D1788" i="2"/>
  <c r="D515" i="2"/>
  <c r="D1789" i="2"/>
  <c r="D1790" i="2"/>
  <c r="D1469" i="2"/>
  <c r="D1791" i="2"/>
  <c r="D1149" i="2"/>
  <c r="D1792" i="2"/>
  <c r="D465" i="2"/>
  <c r="D1793" i="2"/>
  <c r="D736" i="2"/>
  <c r="D1150" i="2"/>
  <c r="D1794" i="2"/>
  <c r="D705" i="2"/>
  <c r="D1795" i="2"/>
  <c r="D706" i="2"/>
  <c r="D983" i="2"/>
  <c r="D1151" i="2"/>
  <c r="D164" i="2"/>
  <c r="D1152" i="2"/>
  <c r="D1153" i="2"/>
  <c r="D902" i="2"/>
  <c r="D1796" i="2"/>
  <c r="D1797" i="2"/>
  <c r="D165" i="2"/>
  <c r="D707" i="2"/>
  <c r="D37" i="2"/>
  <c r="D1798" i="2"/>
  <c r="D38" i="2"/>
  <c r="D1799" i="2"/>
  <c r="D1154" i="2"/>
  <c r="D1434" i="2"/>
  <c r="D39" i="2"/>
  <c r="D708" i="2"/>
  <c r="D1508" i="2"/>
  <c r="D1668" i="2"/>
  <c r="D466" i="2"/>
  <c r="D737" i="2"/>
  <c r="D40" i="2"/>
  <c r="D1800" i="2"/>
  <c r="D1801" i="2"/>
  <c r="D41" i="2"/>
  <c r="D42" i="2"/>
  <c r="D43" i="2"/>
  <c r="D516" i="2"/>
  <c r="D517" i="2"/>
  <c r="D1435" i="2"/>
  <c r="D738" i="2"/>
  <c r="D441" i="2"/>
  <c r="D166" i="2"/>
  <c r="D739" i="2"/>
  <c r="D1802" i="2"/>
  <c r="D1286" i="2"/>
  <c r="D1803" i="2"/>
  <c r="D1155" i="2"/>
  <c r="D467" i="2"/>
  <c r="D1726" i="2"/>
  <c r="D1470" i="2"/>
  <c r="D1156" i="2"/>
  <c r="D1804" i="2"/>
  <c r="D1805" i="2"/>
  <c r="D167" i="2"/>
  <c r="D740" i="2"/>
  <c r="D1157" i="2"/>
  <c r="D168" i="2"/>
  <c r="D442" i="2"/>
  <c r="D1158" i="2"/>
  <c r="D1509" i="2"/>
  <c r="D984" i="2"/>
  <c r="D1107" i="2"/>
  <c r="D741" i="2"/>
  <c r="D44" i="2"/>
  <c r="D1806" i="2"/>
  <c r="D1807" i="2"/>
  <c r="D169" i="2"/>
  <c r="D709" i="2"/>
  <c r="D518" i="2"/>
  <c r="D1159" i="2"/>
  <c r="D1808" i="2"/>
  <c r="D45" i="2"/>
  <c r="D519" i="2"/>
  <c r="D710" i="2"/>
  <c r="D46" i="2"/>
  <c r="D1160" i="2"/>
  <c r="D1669" i="2"/>
  <c r="D1809" i="2"/>
  <c r="D1161" i="2"/>
  <c r="D742" i="2"/>
  <c r="D711" i="2"/>
  <c r="D1810" i="2"/>
  <c r="D1811" i="2"/>
  <c r="D1812" i="2"/>
  <c r="D903" i="2"/>
  <c r="D1813" i="2"/>
  <c r="D1162" i="2"/>
  <c r="D1814" i="2"/>
  <c r="D47" i="2"/>
  <c r="D520" i="2"/>
  <c r="D1670" i="2"/>
  <c r="D1815" i="2"/>
  <c r="D743" i="2"/>
  <c r="D712" i="2"/>
  <c r="D468" i="2"/>
  <c r="D443" i="2"/>
  <c r="D1163" i="2"/>
  <c r="D444" i="2"/>
  <c r="D1164" i="2"/>
  <c r="D170" i="2"/>
  <c r="D48" i="2"/>
  <c r="D394" i="2"/>
  <c r="D49" i="2"/>
  <c r="D744" i="2"/>
  <c r="D445" i="2"/>
  <c r="D171" i="2"/>
  <c r="D1165" i="2"/>
  <c r="D713" i="2"/>
  <c r="D50" i="2"/>
  <c r="D1166" i="2"/>
  <c r="D904" i="2"/>
  <c r="D7" i="2"/>
  <c r="D1816" i="2"/>
  <c r="D521" i="2"/>
  <c r="D446" i="2"/>
  <c r="D1817" i="2"/>
  <c r="D1471" i="2"/>
  <c r="D522" i="2"/>
  <c r="D16" i="2"/>
  <c r="D1167" i="2"/>
  <c r="D1168" i="2"/>
  <c r="D985" i="2"/>
  <c r="D51" i="2"/>
  <c r="D1436" i="2"/>
  <c r="D17" i="2"/>
  <c r="D172" i="2"/>
  <c r="D1169" i="2"/>
  <c r="D52" i="2"/>
  <c r="D29" i="2"/>
  <c r="D53" i="2"/>
  <c r="D986" i="2"/>
  <c r="D523" i="2"/>
  <c r="D361" i="2"/>
  <c r="D714" i="2"/>
  <c r="D1510" i="2"/>
  <c r="D447" i="2"/>
  <c r="D987" i="2"/>
  <c r="D1511" i="2"/>
  <c r="D54" i="2"/>
  <c r="D1287" i="2"/>
  <c r="D1818" i="2"/>
  <c r="D715" i="2"/>
  <c r="D1170" i="2"/>
  <c r="D55" i="2"/>
  <c r="D173" i="2"/>
  <c r="D524" i="2"/>
  <c r="D56" i="2"/>
  <c r="D525" i="2"/>
  <c r="D1819" i="2"/>
  <c r="D448" i="2"/>
  <c r="D1171" i="2"/>
  <c r="D1820" i="2"/>
  <c r="D1172" i="2"/>
  <c r="D1671" i="2"/>
  <c r="D57" i="2"/>
  <c r="D1821" i="2"/>
  <c r="D362" i="2"/>
  <c r="D745" i="2"/>
  <c r="D1822" i="2"/>
  <c r="D58" i="2"/>
  <c r="D746" i="2"/>
  <c r="D1512" i="2"/>
  <c r="D1823" i="2"/>
  <c r="D526" i="2"/>
  <c r="D905" i="2"/>
  <c r="D1288" i="2"/>
  <c r="D59" i="2"/>
  <c r="D60" i="2"/>
  <c r="D527" i="2"/>
  <c r="D1630" i="2"/>
  <c r="D363" i="2"/>
  <c r="D1173" i="2"/>
  <c r="D1174" i="2"/>
  <c r="D1289" i="2"/>
  <c r="D528" i="2"/>
  <c r="D1824" i="2"/>
  <c r="D747" i="2"/>
  <c r="D174" i="2"/>
  <c r="D8" i="2"/>
  <c r="D1825" i="2"/>
  <c r="D1826" i="2"/>
  <c r="D1827" i="2"/>
  <c r="D988" i="2"/>
  <c r="D906" i="2"/>
  <c r="D1828" i="2"/>
  <c r="D529" i="2"/>
  <c r="D530" i="2"/>
  <c r="D1175" i="2"/>
  <c r="D907" i="2"/>
  <c r="D716" i="2"/>
  <c r="D748" i="2"/>
  <c r="D61" i="2"/>
  <c r="D531" i="2"/>
  <c r="D1829" i="2"/>
  <c r="D1176" i="2"/>
  <c r="D1830" i="2"/>
  <c r="D895" i="2"/>
  <c r="D1831" i="2"/>
  <c r="D62" i="2"/>
  <c r="D1832" i="2"/>
  <c r="D702" i="2"/>
  <c r="D1833" i="2"/>
  <c r="D1177" i="2"/>
  <c r="D532" i="2"/>
  <c r="D1178" i="2"/>
  <c r="D63" i="2"/>
  <c r="D15" i="2"/>
  <c r="D749" i="2"/>
  <c r="D533" i="2"/>
  <c r="D1290" i="2"/>
  <c r="D64" i="2"/>
  <c r="D750" i="2"/>
  <c r="D26" i="2"/>
  <c r="D65" i="2"/>
  <c r="D4" i="2"/>
  <c r="D9" i="2"/>
  <c r="D1672" i="2"/>
  <c r="D989" i="2"/>
  <c r="D1179" i="2"/>
  <c r="D751" i="2"/>
  <c r="D66" i="2"/>
  <c r="D752" i="2"/>
  <c r="D382" i="2"/>
  <c r="D1513" i="2"/>
  <c r="D1834" i="2"/>
  <c r="D1727" i="2"/>
  <c r="D1291" i="2"/>
  <c r="D175" i="2"/>
  <c r="D990" i="2"/>
  <c r="D67" i="2"/>
  <c r="D176" i="2"/>
  <c r="D1673" i="2"/>
  <c r="D177" i="2"/>
  <c r="D68" i="2"/>
  <c r="D69" i="2"/>
  <c r="D70" i="2"/>
  <c r="D717" i="2"/>
  <c r="D1835" i="2"/>
  <c r="D10" i="2"/>
  <c r="D1836" i="2"/>
  <c r="D30" i="2"/>
  <c r="D71" i="2"/>
  <c r="D1837" i="2"/>
  <c r="D1180" i="2"/>
  <c r="D1631" i="2"/>
  <c r="D72" i="2"/>
  <c r="D73" i="2"/>
  <c r="D364" i="2"/>
  <c r="D1838" i="2"/>
  <c r="D718" i="2"/>
  <c r="D1514" i="2"/>
  <c r="D896" i="2"/>
  <c r="D753" i="2"/>
  <c r="D469" i="2"/>
  <c r="D74" i="2"/>
  <c r="D1515" i="2"/>
  <c r="D1632" i="2"/>
  <c r="D5" i="2"/>
  <c r="D754" i="2"/>
  <c r="D75" i="2"/>
  <c r="D534" i="2"/>
  <c r="D991" i="2"/>
  <c r="D1516" i="2"/>
  <c r="D755" i="2"/>
  <c r="D535" i="2"/>
  <c r="D76" i="2"/>
  <c r="D1839" i="2"/>
  <c r="D536" i="2"/>
  <c r="D1840" i="2"/>
  <c r="D537" i="2"/>
  <c r="D908" i="2"/>
  <c r="D1292" i="2"/>
  <c r="D359" i="2"/>
  <c r="D1841" i="2"/>
  <c r="D11" i="2"/>
  <c r="D178" i="2"/>
  <c r="D1293" i="2"/>
  <c r="D703" i="2"/>
  <c r="D909" i="2"/>
  <c r="D992" i="2"/>
  <c r="D383" i="2"/>
  <c r="D77" i="2"/>
  <c r="D897" i="2"/>
  <c r="D179" i="2"/>
  <c r="D1294" i="2"/>
  <c r="D13" i="2"/>
  <c r="D78" i="2"/>
  <c r="D79" i="2"/>
  <c r="D1181" i="2"/>
  <c r="D1182" i="2"/>
  <c r="D1295" i="2"/>
  <c r="D756" i="2"/>
  <c r="D1674" i="2"/>
  <c r="D1842" i="2"/>
  <c r="D384" i="2"/>
  <c r="D1296" i="2"/>
  <c r="D180" i="2"/>
  <c r="D1297" i="2"/>
  <c r="D12" i="2"/>
  <c r="D719" i="2"/>
  <c r="D910" i="2"/>
  <c r="D1843" i="2"/>
  <c r="D911" i="2"/>
  <c r="D80" i="2"/>
  <c r="D1108" i="2"/>
  <c r="D1633" i="2"/>
  <c r="D912" i="2"/>
  <c r="D81" i="2"/>
  <c r="D385" i="2"/>
  <c r="D14" i="2"/>
  <c r="D1844" i="2"/>
  <c r="D1183" i="2"/>
  <c r="D360" i="2"/>
  <c r="D898" i="2"/>
  <c r="D1845" i="2"/>
  <c r="D27" i="2"/>
  <c r="D82" i="2"/>
  <c r="D1298" i="2"/>
  <c r="D83" i="2"/>
  <c r="D1846" i="2"/>
  <c r="D1847" i="2"/>
  <c r="D757" i="2"/>
  <c r="D758" i="2"/>
  <c r="D84" i="2"/>
  <c r="D85" i="2"/>
  <c r="D470" i="2"/>
  <c r="D471" i="2"/>
  <c r="D86" i="2"/>
  <c r="D365" i="2"/>
  <c r="D181" i="2"/>
  <c r="D1517" i="2"/>
  <c r="D87" i="2"/>
  <c r="D1299" i="2"/>
  <c r="D1300" i="2"/>
  <c r="D759" i="2"/>
  <c r="D1728" i="2"/>
  <c r="D1184" i="2"/>
  <c r="D1848" i="2"/>
  <c r="D913" i="2"/>
  <c r="D1185" i="2"/>
  <c r="D28" i="2"/>
  <c r="D1109" i="2"/>
  <c r="D1849" i="2"/>
  <c r="D366" i="2"/>
  <c r="D1850" i="2"/>
  <c r="D1301" i="2"/>
  <c r="D182" i="2"/>
  <c r="D183" i="2"/>
  <c r="D184" i="2"/>
  <c r="D760" i="2"/>
  <c r="D369" i="2"/>
  <c r="D1729" i="2"/>
  <c r="D1186" i="2"/>
  <c r="D472" i="2"/>
  <c r="D1187" i="2"/>
  <c r="D1188" i="2"/>
  <c r="D720" i="2"/>
  <c r="D1110" i="2"/>
  <c r="D1518" i="2"/>
  <c r="D1189" i="2"/>
  <c r="D1851" i="2"/>
  <c r="D88" i="2"/>
  <c r="D721" i="2"/>
  <c r="D1519" i="2"/>
  <c r="D538" i="2"/>
  <c r="D367" i="2"/>
  <c r="D539" i="2"/>
  <c r="D368" i="2"/>
  <c r="D722" i="2"/>
  <c r="D1852" i="2"/>
  <c r="D914" i="2"/>
  <c r="D185" i="2"/>
  <c r="D1302" i="2"/>
  <c r="D1853" i="2"/>
  <c r="D1854" i="2"/>
  <c r="D1303" i="2"/>
  <c r="D723" i="2"/>
  <c r="D370" i="2"/>
  <c r="D89" i="2"/>
  <c r="D186" i="2"/>
  <c r="D761" i="2"/>
  <c r="D6" i="2"/>
  <c r="D1190" i="2"/>
  <c r="D1111" i="2"/>
  <c r="D1855" i="2"/>
  <c r="D1437" i="2"/>
  <c r="D187" i="2"/>
  <c r="D993" i="2"/>
  <c r="D188" i="2"/>
  <c r="D540" i="2"/>
  <c r="D90" i="2"/>
  <c r="D91" i="2"/>
  <c r="D915" i="2"/>
  <c r="D1856" i="2"/>
  <c r="D1191" i="2"/>
  <c r="D92" i="2"/>
  <c r="D1192" i="2"/>
  <c r="D1112" i="2"/>
  <c r="D189" i="2"/>
  <c r="D190" i="2"/>
  <c r="D191" i="2"/>
  <c r="D192" i="2"/>
  <c r="D1304" i="2"/>
  <c r="D193" i="2"/>
  <c r="D93" i="2"/>
  <c r="D1857" i="2"/>
  <c r="D94" i="2"/>
  <c r="D1858" i="2"/>
  <c r="D1859" i="2"/>
  <c r="D1305" i="2"/>
  <c r="D916" i="2"/>
  <c r="D95" i="2"/>
  <c r="D1860" i="2"/>
  <c r="D917" i="2"/>
  <c r="D1438" i="2"/>
  <c r="D1861" i="2"/>
  <c r="D994" i="2"/>
  <c r="D762" i="2"/>
  <c r="D96" i="2"/>
  <c r="D1675" i="2"/>
  <c r="D395" i="2"/>
  <c r="D97" i="2"/>
  <c r="D541" i="2"/>
  <c r="D1862" i="2"/>
  <c r="D98" i="2"/>
  <c r="D860" i="2"/>
  <c r="D918" i="2"/>
  <c r="D99" i="2"/>
  <c r="D1863" i="2"/>
  <c r="D1676" i="2"/>
  <c r="D1263" i="2"/>
  <c r="D1864" i="2"/>
  <c r="D1865" i="2"/>
  <c r="D1866" i="2"/>
  <c r="D1867" i="2"/>
  <c r="D1868" i="2"/>
  <c r="D100" i="2"/>
  <c r="D101" i="2"/>
  <c r="D1869" i="2"/>
  <c r="D1870" i="2"/>
  <c r="D1871" i="2"/>
  <c r="D1872" i="2"/>
  <c r="D1472" i="2"/>
  <c r="D1520" i="2"/>
  <c r="D1521" i="2"/>
  <c r="D1873" i="2"/>
  <c r="D1677" i="2"/>
  <c r="D1874" i="2"/>
  <c r="D1730" i="2"/>
  <c r="D1731" i="2"/>
  <c r="D102" i="2"/>
  <c r="D1264" i="2"/>
  <c r="D1875" i="2"/>
  <c r="D103" i="2"/>
  <c r="D1306" i="2"/>
  <c r="D1732" i="2"/>
  <c r="D104" i="2"/>
  <c r="D728" i="2"/>
  <c r="D1876" i="2"/>
  <c r="D1678" i="2"/>
  <c r="D1877" i="2"/>
  <c r="D1878" i="2"/>
  <c r="D105" i="2"/>
  <c r="D1879" i="2"/>
  <c r="D1880" i="2"/>
  <c r="D1881" i="2"/>
  <c r="D1882" i="2"/>
  <c r="D1883" i="2"/>
  <c r="D1884" i="2"/>
  <c r="D1193" i="2"/>
  <c r="D861" i="2"/>
  <c r="D1885" i="2"/>
  <c r="D1886" i="2"/>
  <c r="D1887" i="2"/>
  <c r="D862" i="2"/>
  <c r="D1888" i="2"/>
  <c r="D919" i="2"/>
  <c r="D1889" i="2"/>
  <c r="D106" i="2"/>
  <c r="D1890" i="2"/>
  <c r="D1891" i="2"/>
  <c r="D1892" i="2"/>
  <c r="D1893" i="2"/>
  <c r="D1894" i="2"/>
  <c r="D1895" i="2"/>
  <c r="D1679" i="2"/>
  <c r="D1896" i="2"/>
  <c r="D1897" i="2"/>
  <c r="D1898" i="2"/>
  <c r="D1899" i="2"/>
  <c r="D1900" i="2"/>
  <c r="D1307" i="2"/>
  <c r="D995" i="2"/>
  <c r="D843" i="2"/>
  <c r="D763" i="2"/>
  <c r="D1733" i="2"/>
  <c r="D996" i="2"/>
  <c r="D1901" i="2"/>
  <c r="D1902" i="2"/>
  <c r="D920" i="2"/>
  <c r="D1265" i="2"/>
  <c r="D1194" i="2"/>
  <c r="D1522" i="2"/>
  <c r="D1903" i="2"/>
  <c r="D1308" i="2"/>
  <c r="D1473" i="2"/>
  <c r="D1523" i="2"/>
  <c r="D1680" i="2"/>
  <c r="D1904" i="2"/>
  <c r="D729" i="2"/>
  <c r="D1905" i="2"/>
  <c r="D1309" i="2"/>
  <c r="D1906" i="2"/>
  <c r="D1907" i="2"/>
  <c r="D1524" i="2"/>
  <c r="D1908" i="2"/>
  <c r="D1909" i="2"/>
  <c r="D997" i="2"/>
  <c r="D1910" i="2"/>
  <c r="D1911" i="2"/>
  <c r="D1734" i="2"/>
  <c r="D107" i="2"/>
  <c r="D1912" i="2"/>
  <c r="D863" i="2"/>
  <c r="D864" i="2"/>
  <c r="D844" i="2"/>
  <c r="D921" i="2"/>
  <c r="D1913" i="2"/>
  <c r="D1914" i="2"/>
  <c r="D1310" i="2"/>
  <c r="D1915" i="2"/>
  <c r="D396" i="2"/>
  <c r="D1916" i="2"/>
  <c r="D764" i="2"/>
  <c r="D108" i="2"/>
  <c r="D1681" i="2"/>
  <c r="D1917" i="2"/>
  <c r="D1918" i="2"/>
  <c r="D865" i="2"/>
  <c r="D1735" i="2"/>
  <c r="D1919" i="2"/>
  <c r="D1920" i="2"/>
  <c r="D109" i="2"/>
  <c r="D1195" i="2"/>
  <c r="D998" i="2"/>
  <c r="D1921" i="2"/>
  <c r="D542" i="2"/>
  <c r="D1922" i="2"/>
  <c r="D1736" i="2"/>
  <c r="D1923" i="2"/>
  <c r="D1924" i="2"/>
  <c r="D1925" i="2"/>
  <c r="D845" i="2"/>
  <c r="D1926" i="2"/>
  <c r="D1927" i="2"/>
  <c r="D1928" i="2"/>
  <c r="D922" i="2"/>
  <c r="D110" i="2"/>
  <c r="D866" i="2"/>
  <c r="D1929" i="2"/>
  <c r="D1682" i="2"/>
  <c r="D1930" i="2"/>
  <c r="D1931" i="2"/>
  <c r="D1932" i="2"/>
  <c r="D1933" i="2"/>
  <c r="D730" i="2"/>
  <c r="D111" i="2"/>
  <c r="D1934" i="2"/>
  <c r="D1439" i="2"/>
  <c r="D543" i="2"/>
  <c r="D112" i="2"/>
  <c r="D544" i="2"/>
  <c r="D1935" i="2"/>
  <c r="D1936" i="2"/>
  <c r="D113" i="2"/>
  <c r="D1937" i="2"/>
  <c r="D1938" i="2"/>
  <c r="D1474" i="2"/>
  <c r="D1939" i="2"/>
  <c r="D545" i="2"/>
  <c r="D1940" i="2"/>
  <c r="D1941" i="2"/>
  <c r="D1942" i="2"/>
  <c r="D397" i="2"/>
  <c r="D1943" i="2"/>
  <c r="D1944" i="2"/>
  <c r="D1945" i="2"/>
  <c r="D114" i="2"/>
  <c r="D1946" i="2"/>
  <c r="D1475" i="2"/>
  <c r="D546" i="2"/>
  <c r="D846" i="2"/>
  <c r="D1947" i="2"/>
  <c r="D398" i="2"/>
  <c r="D1948" i="2"/>
  <c r="D1266" i="2"/>
  <c r="D1949" i="2"/>
  <c r="D547" i="2"/>
  <c r="D548" i="2"/>
  <c r="D765" i="2"/>
  <c r="D1476" i="2"/>
  <c r="D999" i="2"/>
  <c r="D1525" i="2"/>
  <c r="D1950" i="2"/>
  <c r="D1311" i="2"/>
  <c r="D1951" i="2"/>
  <c r="D1952" i="2"/>
  <c r="D1000" i="2"/>
  <c r="D1953" i="2"/>
  <c r="D867" i="2"/>
  <c r="D1683" i="2"/>
  <c r="D1954" i="2"/>
  <c r="D1196" i="2"/>
  <c r="D923" i="2"/>
  <c r="D924" i="2"/>
  <c r="D549" i="2"/>
  <c r="D1955" i="2"/>
  <c r="D1684" i="2"/>
  <c r="D1956" i="2"/>
  <c r="D1526" i="2"/>
  <c r="D1197" i="2"/>
  <c r="D1001" i="2"/>
  <c r="D1957" i="2"/>
  <c r="D1958" i="2"/>
  <c r="D1959" i="2"/>
  <c r="D1737" i="2"/>
  <c r="D1002" i="2"/>
  <c r="D1003" i="2"/>
  <c r="D1960" i="2"/>
  <c r="D1004" i="2"/>
  <c r="D1961" i="2"/>
  <c r="D1416" i="2"/>
  <c r="D1738" i="2"/>
  <c r="D1962" i="2"/>
  <c r="D1963" i="2"/>
  <c r="D1312" i="2"/>
  <c r="D1964" i="2"/>
  <c r="D550" i="2"/>
  <c r="D1313" i="2"/>
  <c r="D1440" i="2"/>
  <c r="D1005" i="2"/>
  <c r="D410" i="2"/>
  <c r="D1527" i="2"/>
  <c r="D766" i="2"/>
  <c r="D767" i="2"/>
  <c r="D449" i="2"/>
  <c r="D1006" i="2"/>
  <c r="D1965" i="2"/>
  <c r="D1966" i="2"/>
  <c r="D115" i="2"/>
  <c r="D411" i="2"/>
  <c r="D412" i="2"/>
  <c r="D116" i="2"/>
  <c r="D1967" i="2"/>
  <c r="D1007" i="2"/>
  <c r="D1113" i="2"/>
  <c r="D1968" i="2"/>
  <c r="D1969" i="2"/>
  <c r="D868" i="2"/>
  <c r="D847" i="2"/>
  <c r="D1970" i="2"/>
  <c r="D551" i="2"/>
  <c r="D1971" i="2"/>
  <c r="D1972" i="2"/>
  <c r="D731" i="2"/>
  <c r="D399" i="2"/>
  <c r="D1008" i="2"/>
  <c r="D1477" i="2"/>
  <c r="D1441" i="2"/>
  <c r="D1685" i="2"/>
  <c r="D1973" i="2"/>
  <c r="D552" i="2"/>
  <c r="D1974" i="2"/>
  <c r="D450" i="2"/>
  <c r="D1975" i="2"/>
  <c r="D1976" i="2"/>
  <c r="D413" i="2"/>
  <c r="D1977" i="2"/>
  <c r="D1978" i="2"/>
  <c r="D553" i="2"/>
  <c r="D1528" i="2"/>
  <c r="D1529" i="2"/>
  <c r="D1979" i="2"/>
  <c r="D1980" i="2"/>
  <c r="D117" i="2"/>
  <c r="D1314" i="2"/>
  <c r="D1981" i="2"/>
  <c r="D1982" i="2"/>
  <c r="D1983" i="2"/>
  <c r="D1442" i="2"/>
  <c r="D1443" i="2"/>
  <c r="D1984" i="2"/>
  <c r="D1985" i="2"/>
  <c r="D1739" i="2"/>
  <c r="D1986" i="2"/>
  <c r="D451" i="2"/>
  <c r="D1987" i="2"/>
  <c r="D452" i="2"/>
  <c r="D1530" i="2"/>
  <c r="D453" i="2"/>
  <c r="D1988" i="2"/>
  <c r="D1444" i="2"/>
  <c r="D1989" i="2"/>
  <c r="D1990" i="2"/>
  <c r="D1991" i="2"/>
  <c r="D1992" i="2"/>
  <c r="D1478" i="2"/>
  <c r="D1009" i="2"/>
  <c r="D454" i="2"/>
  <c r="D1993" i="2"/>
  <c r="D1010" i="2"/>
  <c r="D768" i="2"/>
  <c r="D554" i="2"/>
  <c r="D1198" i="2"/>
  <c r="D455" i="2"/>
  <c r="D1994" i="2"/>
  <c r="D1995" i="2"/>
  <c r="D1199" i="2"/>
  <c r="D118" i="2"/>
  <c r="D1996" i="2"/>
  <c r="D1997" i="2"/>
  <c r="D1998" i="2"/>
  <c r="D925" i="2"/>
  <c r="D1531" i="2"/>
  <c r="D555" i="2"/>
  <c r="D556" i="2"/>
  <c r="D1267" i="2"/>
  <c r="D1315" i="2"/>
  <c r="D1999" i="2"/>
  <c r="D2000" i="2"/>
  <c r="D2001" i="2"/>
  <c r="D557" i="2"/>
  <c r="D2002" i="2"/>
  <c r="D1200" i="2"/>
  <c r="D2003" i="2"/>
  <c r="D1740" i="2"/>
  <c r="D2004" i="2"/>
  <c r="D2005" i="2"/>
  <c r="D1479" i="2"/>
  <c r="D2006" i="2"/>
  <c r="D2007" i="2"/>
  <c r="D1480" i="2"/>
  <c r="D869" i="2"/>
  <c r="D870" i="2"/>
  <c r="D2008" i="2"/>
  <c r="D1201" i="2"/>
  <c r="D1316" i="2"/>
  <c r="D2009" i="2"/>
  <c r="D558" i="2"/>
  <c r="D1532" i="2"/>
  <c r="D2010" i="2"/>
  <c r="D559" i="2"/>
  <c r="D769" i="2"/>
  <c r="D1114" i="2"/>
  <c r="D2011" i="2"/>
  <c r="D560" i="2"/>
  <c r="D1202" i="2"/>
  <c r="D1445" i="2"/>
  <c r="D2012" i="2"/>
  <c r="D456" i="2"/>
  <c r="D2013" i="2"/>
  <c r="D473" i="2"/>
  <c r="D1115" i="2"/>
  <c r="D561" i="2"/>
  <c r="D926" i="2"/>
  <c r="D2014" i="2"/>
  <c r="D2015" i="2"/>
  <c r="D770" i="2"/>
  <c r="D2016" i="2"/>
  <c r="D1011" i="2"/>
  <c r="D2017" i="2"/>
  <c r="D927" i="2"/>
  <c r="D1481" i="2"/>
  <c r="D2018" i="2"/>
  <c r="D2019" i="2"/>
  <c r="D2020" i="2"/>
  <c r="D2021" i="2"/>
  <c r="D1203" i="2"/>
  <c r="D1116" i="2"/>
  <c r="D474" i="2"/>
  <c r="D928" i="2"/>
  <c r="D929" i="2"/>
  <c r="D457" i="2"/>
  <c r="D1204" i="2"/>
  <c r="D2022" i="2"/>
  <c r="D2023" i="2"/>
  <c r="D2024" i="2"/>
  <c r="D386" i="2"/>
  <c r="D1686" i="2"/>
  <c r="D119" i="2"/>
  <c r="D120" i="2"/>
  <c r="D1012" i="2"/>
  <c r="D1446" i="2"/>
  <c r="D2025" i="2"/>
  <c r="D1741" i="2"/>
  <c r="D2026" i="2"/>
  <c r="D121" i="2"/>
  <c r="D2027" i="2"/>
  <c r="D400" i="2"/>
  <c r="D1013" i="2"/>
  <c r="D458" i="2"/>
  <c r="D1014" i="2"/>
  <c r="D1015" i="2"/>
  <c r="D1117" i="2"/>
  <c r="D1482" i="2"/>
  <c r="D1447" i="2"/>
  <c r="D1118" i="2"/>
  <c r="D930" i="2"/>
  <c r="D1205" i="2"/>
  <c r="D1119" i="2"/>
  <c r="D931" i="2"/>
  <c r="D932" i="2"/>
  <c r="D387" i="2"/>
  <c r="D1120" i="2"/>
  <c r="D122" i="2"/>
  <c r="D123" i="2"/>
  <c r="D2028" i="2"/>
  <c r="D871" i="2"/>
  <c r="D1016" i="2"/>
  <c r="D388" i="2"/>
  <c r="D1206" i="2"/>
  <c r="D933" i="2"/>
  <c r="D1017" i="2"/>
  <c r="D2029" i="2"/>
  <c r="D371" i="2"/>
  <c r="D372" i="2"/>
  <c r="D2030" i="2"/>
  <c r="D1448" i="2"/>
  <c r="D934" i="2"/>
  <c r="D935" i="2"/>
  <c r="D562" i="2"/>
  <c r="D563" i="2"/>
  <c r="D389" i="2"/>
  <c r="D1687" i="2"/>
  <c r="D2031" i="2"/>
  <c r="D936" i="2"/>
  <c r="D1317" i="2"/>
  <c r="D937" i="2"/>
  <c r="D1483" i="2"/>
  <c r="D1449" i="2"/>
  <c r="D2032" i="2"/>
  <c r="D1450" i="2"/>
  <c r="D564" i="2"/>
  <c r="D1018" i="2"/>
  <c r="D565" i="2"/>
  <c r="D566" i="2"/>
  <c r="D2033" i="2"/>
  <c r="D1207" i="2"/>
  <c r="D1019" i="2"/>
  <c r="D1742" i="2"/>
  <c r="D938" i="2"/>
  <c r="D2034" i="2"/>
  <c r="D1743" i="2"/>
  <c r="D1121" i="2"/>
  <c r="D1122" i="2"/>
  <c r="D567" i="2"/>
  <c r="D2035" i="2"/>
  <c r="D124" i="2"/>
  <c r="D2036" i="2"/>
  <c r="D1268" i="2"/>
  <c r="D125" i="2"/>
  <c r="D568" i="2"/>
  <c r="D126" i="2"/>
  <c r="D939" i="2"/>
  <c r="D940" i="2"/>
  <c r="D1688" i="2"/>
  <c r="D1123" i="2"/>
  <c r="D475" i="2"/>
  <c r="D2037" i="2"/>
  <c r="D1417" i="2"/>
  <c r="D941" i="2"/>
  <c r="D127" i="2"/>
  <c r="D1318" i="2"/>
  <c r="D1533" i="2"/>
  <c r="D2038" i="2"/>
  <c r="D128" i="2"/>
  <c r="D129" i="2"/>
  <c r="D569" i="2"/>
  <c r="D2039" i="2"/>
  <c r="D2040" i="2"/>
  <c r="D1124" i="2"/>
  <c r="D2041" i="2"/>
  <c r="D1744" i="2"/>
  <c r="D872" i="2"/>
  <c r="D873" i="2"/>
  <c r="D130" i="2"/>
  <c r="D131" i="2"/>
  <c r="D132" i="2"/>
  <c r="D133" i="2"/>
  <c r="D2042" i="2"/>
  <c r="D134" i="2"/>
  <c r="D1689" i="2"/>
  <c r="D135" i="2"/>
  <c r="D2043" i="2"/>
  <c r="D874" i="2"/>
  <c r="D942" i="2"/>
  <c r="D2044" i="2"/>
  <c r="D2045" i="2"/>
  <c r="D136" i="2"/>
  <c r="D2046" i="2"/>
  <c r="D137" i="2"/>
  <c r="D1208" i="2"/>
  <c r="D138" i="2"/>
  <c r="D476" i="2"/>
  <c r="D848" i="2"/>
  <c r="D2047" i="2"/>
  <c r="D2048" i="2"/>
  <c r="D2049" i="2"/>
  <c r="D401" i="2"/>
  <c r="D1745" i="2"/>
  <c r="D1020" i="2"/>
  <c r="D194" i="2"/>
  <c r="D2050" i="2"/>
  <c r="D1319" i="2"/>
  <c r="D2051" i="2"/>
  <c r="D2052" i="2"/>
  <c r="D2053" i="2"/>
  <c r="D2054" i="2"/>
  <c r="D2055" i="2"/>
  <c r="D195" i="2"/>
  <c r="D2056" i="2"/>
  <c r="D1534" i="2"/>
  <c r="D1484" i="2"/>
  <c r="D196" i="2"/>
  <c r="D2057" i="2"/>
  <c r="D1690" i="2"/>
  <c r="D2058" i="2"/>
  <c r="D2059" i="2"/>
  <c r="D2060" i="2"/>
  <c r="D1485" i="2"/>
  <c r="D2061" i="2"/>
  <c r="D197" i="2"/>
  <c r="D2062" i="2"/>
  <c r="D1320" i="2"/>
  <c r="D2063" i="2"/>
  <c r="D198" i="2"/>
  <c r="D2064" i="2"/>
  <c r="D2065" i="2"/>
  <c r="D2066" i="2"/>
  <c r="D199" i="2"/>
  <c r="D2067" i="2"/>
  <c r="D2068" i="2"/>
  <c r="D2069" i="2"/>
  <c r="D2070" i="2"/>
  <c r="D2071" i="2"/>
  <c r="D2072" i="2"/>
  <c r="D2073" i="2"/>
  <c r="D2074" i="2"/>
  <c r="D2075" i="2"/>
  <c r="D2076" i="2"/>
  <c r="D1535" i="2"/>
  <c r="D2077" i="2"/>
  <c r="D2078" i="2"/>
  <c r="D2079" i="2"/>
  <c r="D2080" i="2"/>
  <c r="D200" i="2"/>
  <c r="D2081" i="2"/>
  <c r="D1536" i="2"/>
  <c r="D1537" i="2"/>
  <c r="D1321" i="2"/>
  <c r="D1486" i="2"/>
  <c r="D1021" i="2"/>
  <c r="D1322" i="2"/>
  <c r="D2082" i="2"/>
  <c r="D2083" i="2"/>
  <c r="D1323" i="2"/>
  <c r="D2084" i="2"/>
  <c r="D1487" i="2"/>
  <c r="D2085" i="2"/>
  <c r="D2086" i="2"/>
  <c r="D1691" i="2"/>
  <c r="D2087" i="2"/>
  <c r="D2088" i="2"/>
  <c r="D2089" i="2"/>
  <c r="D2090" i="2"/>
  <c r="D1418" i="2"/>
  <c r="D2091" i="2"/>
  <c r="D2092" i="2"/>
  <c r="D2093" i="2"/>
  <c r="D2094" i="2"/>
  <c r="D2095" i="2"/>
  <c r="D2096" i="2"/>
  <c r="D2097" i="2"/>
  <c r="D2098" i="2"/>
  <c r="D2099" i="2"/>
  <c r="D1022" i="2"/>
  <c r="D2100" i="2"/>
  <c r="D1125" i="2"/>
  <c r="D2101" i="2"/>
  <c r="D2102" i="2"/>
  <c r="D2103" i="2"/>
  <c r="D1419" i="2"/>
  <c r="D1023" i="2"/>
  <c r="D2104" i="2"/>
  <c r="D201" i="2"/>
  <c r="D2105" i="2"/>
  <c r="D2106" i="2"/>
  <c r="D2107" i="2"/>
  <c r="D202" i="2"/>
  <c r="D1324" i="2"/>
  <c r="D2108" i="2"/>
  <c r="D2109" i="2"/>
  <c r="D1024" i="2"/>
  <c r="D2110" i="2"/>
  <c r="D203" i="2"/>
  <c r="D2111" i="2"/>
  <c r="D204" i="2"/>
  <c r="D205" i="2"/>
  <c r="D206" i="2"/>
  <c r="D2112" i="2"/>
  <c r="D2113" i="2"/>
  <c r="D1420" i="2"/>
  <c r="D1488" i="2"/>
  <c r="D2114" i="2"/>
  <c r="D1489" i="2"/>
  <c r="D2115" i="2"/>
  <c r="D2116" i="2"/>
  <c r="D207" i="2"/>
  <c r="D1692" i="2"/>
  <c r="D2117" i="2"/>
  <c r="D1209" i="2"/>
  <c r="D1538" i="2"/>
  <c r="D2118" i="2"/>
  <c r="D2119" i="2"/>
  <c r="D1634" i="2"/>
  <c r="D2120" i="2"/>
  <c r="D2121" i="2"/>
  <c r="D1325" i="2"/>
  <c r="D2122" i="2"/>
  <c r="D1326" i="2"/>
  <c r="D1635" i="2"/>
  <c r="D2123" i="2"/>
  <c r="D2124" i="2"/>
  <c r="D2125" i="2"/>
  <c r="D2126" i="2"/>
  <c r="D570" i="2"/>
  <c r="D2127" i="2"/>
  <c r="D2128" i="2"/>
  <c r="D2129" i="2"/>
  <c r="D571" i="2"/>
  <c r="D1451" i="2"/>
  <c r="D2130" i="2"/>
  <c r="D1539" i="2"/>
  <c r="D2131" i="2"/>
  <c r="D572" i="2"/>
  <c r="D1210" i="2"/>
  <c r="D2132" i="2"/>
  <c r="D1540" i="2"/>
  <c r="D2133" i="2"/>
  <c r="D2134" i="2"/>
  <c r="D208" i="2"/>
  <c r="D477" i="2"/>
  <c r="D1327" i="2"/>
  <c r="D2135" i="2"/>
  <c r="D2136" i="2"/>
  <c r="D1693" i="2"/>
  <c r="D2137" i="2"/>
  <c r="D1328" i="2"/>
  <c r="D2138" i="2"/>
  <c r="D2139" i="2"/>
  <c r="D2140" i="2"/>
  <c r="D1126" i="2"/>
  <c r="D2141" i="2"/>
  <c r="D2142" i="2"/>
  <c r="D2143" i="2"/>
  <c r="D2144" i="2"/>
  <c r="D573" i="2"/>
  <c r="D2145" i="2"/>
  <c r="D1025" i="2"/>
  <c r="D2146" i="2"/>
  <c r="D2147" i="2"/>
  <c r="D1211" i="2"/>
  <c r="D478" i="2"/>
  <c r="D2148" i="2"/>
  <c r="D1490" i="2"/>
  <c r="D479" i="2"/>
  <c r="D2149" i="2"/>
  <c r="D480" i="2"/>
  <c r="D2150" i="2"/>
  <c r="D2151" i="2"/>
  <c r="D2152" i="2"/>
  <c r="D1491" i="2"/>
  <c r="D574" i="2"/>
  <c r="D575" i="2"/>
  <c r="D2153" i="2"/>
  <c r="D2154" i="2"/>
  <c r="D2155" i="2"/>
  <c r="D2156" i="2"/>
  <c r="D1026" i="2"/>
  <c r="D209" i="2"/>
  <c r="D1212" i="2"/>
  <c r="D2157" i="2"/>
  <c r="D1213" i="2"/>
  <c r="D1027" i="2"/>
  <c r="D2158" i="2"/>
  <c r="D2159" i="2"/>
  <c r="D1421" i="2"/>
  <c r="D2160" i="2"/>
  <c r="D1329" i="2"/>
  <c r="D2161" i="2"/>
  <c r="D1636" i="2"/>
  <c r="D1028" i="2"/>
  <c r="D2162" i="2"/>
  <c r="D1541" i="2"/>
  <c r="D2163" i="2"/>
  <c r="D2164" i="2"/>
  <c r="D2165" i="2"/>
  <c r="D2166" i="2"/>
  <c r="D2167" i="2"/>
  <c r="D2168" i="2"/>
  <c r="D576" i="2"/>
  <c r="D577" i="2"/>
  <c r="D1542" i="2"/>
  <c r="D1029" i="2"/>
  <c r="D1637" i="2"/>
  <c r="D2169" i="2"/>
  <c r="D2170" i="2"/>
  <c r="D1330" i="2"/>
  <c r="D1694" i="2"/>
  <c r="D1422" i="2"/>
  <c r="D2171" i="2"/>
  <c r="D2172" i="2"/>
  <c r="D578" i="2"/>
  <c r="D1331" i="2"/>
  <c r="D481" i="2"/>
  <c r="D2173" i="2"/>
  <c r="D1214" i="2"/>
  <c r="D2174" i="2"/>
  <c r="D1543" i="2"/>
  <c r="D2175" i="2"/>
  <c r="D2176" i="2"/>
  <c r="D2177" i="2"/>
  <c r="D2178" i="2"/>
  <c r="D2179" i="2"/>
  <c r="D2180" i="2"/>
  <c r="D2181" i="2"/>
  <c r="D579" i="2"/>
  <c r="D2182" i="2"/>
  <c r="D2183" i="2"/>
  <c r="D210" i="2"/>
  <c r="D2184" i="2"/>
  <c r="D2185" i="2"/>
  <c r="D1030" i="2"/>
  <c r="D2186" i="2"/>
  <c r="D2187" i="2"/>
  <c r="D580" i="2"/>
  <c r="D581" i="2"/>
  <c r="D482" i="2"/>
  <c r="D582" i="2"/>
  <c r="D1031" i="2"/>
  <c r="D2188" i="2"/>
  <c r="D2189" i="2"/>
  <c r="D2190" i="2"/>
  <c r="D1638" i="2"/>
  <c r="D1639" i="2"/>
  <c r="D2191" i="2"/>
  <c r="D2192" i="2"/>
  <c r="D2193" i="2"/>
  <c r="D2194" i="2"/>
  <c r="D583" i="2"/>
  <c r="D1269" i="2"/>
  <c r="D1640" i="2"/>
  <c r="D584" i="2"/>
  <c r="D1332" i="2"/>
  <c r="D483" i="2"/>
  <c r="D2195" i="2"/>
  <c r="D2196" i="2"/>
  <c r="D1333" i="2"/>
  <c r="D585" i="2"/>
  <c r="D1544" i="2"/>
  <c r="D1032" i="2"/>
  <c r="D2197" i="2"/>
  <c r="D2198" i="2"/>
  <c r="D2199" i="2"/>
  <c r="D1423" i="2"/>
  <c r="D1641" i="2"/>
  <c r="D1215" i="2"/>
  <c r="D1334" i="2"/>
  <c r="D586" i="2"/>
  <c r="D2200" i="2"/>
  <c r="D587" i="2"/>
  <c r="D1424" i="2"/>
  <c r="D1545" i="2"/>
  <c r="D2201" i="2"/>
  <c r="D2202" i="2"/>
  <c r="D2203" i="2"/>
  <c r="D2204" i="2"/>
  <c r="D2205" i="2"/>
  <c r="D1033" i="2"/>
  <c r="D2206" i="2"/>
  <c r="D588" i="2"/>
  <c r="D402" i="2"/>
  <c r="D1546" i="2"/>
  <c r="D2207" i="2"/>
  <c r="D1547" i="2"/>
  <c r="D2208" i="2"/>
  <c r="D2209" i="2"/>
  <c r="D511" i="2"/>
  <c r="D512" i="2"/>
  <c r="D2210" i="2"/>
  <c r="D403" i="2"/>
  <c r="D2211" i="2"/>
  <c r="D1216" i="2"/>
  <c r="D1034" i="2"/>
  <c r="D1035" i="2"/>
  <c r="D2212" i="2"/>
  <c r="D2213" i="2"/>
  <c r="D2214" i="2"/>
  <c r="D1335" i="2"/>
  <c r="D1036" i="2"/>
  <c r="D2215" i="2"/>
  <c r="D2216" i="2"/>
  <c r="D2217" i="2"/>
  <c r="D1217" i="2"/>
  <c r="D2218" i="2"/>
  <c r="D2219" i="2"/>
  <c r="D484" i="2"/>
  <c r="D2220" i="2"/>
  <c r="D1642" i="2"/>
  <c r="D1643" i="2"/>
  <c r="D2221" i="2"/>
  <c r="D2222" i="2"/>
  <c r="D589" i="2"/>
  <c r="D590" i="2"/>
  <c r="D459" i="2"/>
  <c r="D2223" i="2"/>
  <c r="D591" i="2"/>
  <c r="D404" i="2"/>
  <c r="D211" i="2"/>
  <c r="D2224" i="2"/>
  <c r="D2225" i="2"/>
  <c r="D460" i="2"/>
  <c r="D2226" i="2"/>
  <c r="D1037" i="2"/>
  <c r="D1548" i="2"/>
  <c r="D592" i="2"/>
  <c r="D2227" i="2"/>
  <c r="D1218" i="2"/>
  <c r="D1549" i="2"/>
  <c r="D405" i="2"/>
  <c r="D1219" i="2"/>
  <c r="D1127" i="2"/>
  <c r="D406" i="2"/>
  <c r="D1644" i="2"/>
  <c r="D2228" i="2"/>
  <c r="D2229" i="2"/>
  <c r="D1038" i="2"/>
  <c r="D2230" i="2"/>
  <c r="D2231" i="2"/>
  <c r="D212" i="2"/>
  <c r="D1039" i="2"/>
  <c r="D1425" i="2"/>
  <c r="D213" i="2"/>
  <c r="D593" i="2"/>
  <c r="D1645" i="2"/>
  <c r="D2232" i="2"/>
  <c r="D1040" i="2"/>
  <c r="D1220" i="2"/>
  <c r="D2233" i="2"/>
  <c r="D1221" i="2"/>
  <c r="D594" i="2"/>
  <c r="D1041" i="2"/>
  <c r="D2234" i="2"/>
  <c r="D2235" i="2"/>
  <c r="D2236" i="2"/>
  <c r="D1128" i="2"/>
  <c r="D2237" i="2"/>
  <c r="D214" i="2"/>
  <c r="D1695" i="2"/>
  <c r="D2238" i="2"/>
  <c r="D2239" i="2"/>
  <c r="D215" i="2"/>
  <c r="D595" i="2"/>
  <c r="D1222" i="2"/>
  <c r="D2240" i="2"/>
  <c r="D216" i="2"/>
  <c r="D217" i="2"/>
  <c r="D1129" i="2"/>
  <c r="D2241" i="2"/>
  <c r="D1452" i="2"/>
  <c r="D1336" i="2"/>
  <c r="D2242" i="2"/>
  <c r="D1042" i="2"/>
  <c r="D2243" i="2"/>
  <c r="D2244" i="2"/>
  <c r="D218" i="2"/>
  <c r="D2245" i="2"/>
  <c r="D219" i="2"/>
  <c r="D2246" i="2"/>
  <c r="D1223" i="2"/>
  <c r="D2247" i="2"/>
  <c r="D596" i="2"/>
  <c r="D2248" i="2"/>
  <c r="D220" i="2"/>
  <c r="D221" i="2"/>
  <c r="D2249" i="2"/>
  <c r="D1426" i="2"/>
  <c r="D2250" i="2"/>
  <c r="D597" i="2"/>
  <c r="D222" i="2"/>
  <c r="D2251" i="2"/>
  <c r="D2252" i="2"/>
  <c r="D598" i="2"/>
  <c r="D2253" i="2"/>
  <c r="D1130" i="2"/>
  <c r="D2254" i="2"/>
  <c r="D2255" i="2"/>
  <c r="D223" i="2"/>
  <c r="D1224" i="2"/>
  <c r="D224" i="2"/>
  <c r="D225" i="2"/>
  <c r="D226" i="2"/>
  <c r="D227" i="2"/>
  <c r="D228" i="2"/>
  <c r="D229" i="2"/>
  <c r="D230" i="2"/>
  <c r="D231" i="2"/>
  <c r="D407" i="2"/>
  <c r="D232" i="2"/>
  <c r="D1043" i="2"/>
  <c r="D599" i="2"/>
  <c r="D1270" i="2"/>
  <c r="D233" i="2"/>
  <c r="D1044" i="2"/>
  <c r="D1045" i="2"/>
  <c r="D1046" i="2"/>
  <c r="D2256" i="2"/>
  <c r="D2257" i="2"/>
  <c r="D2258" i="2"/>
  <c r="D2259" i="2"/>
  <c r="D2260" i="2"/>
  <c r="D1550" i="2"/>
  <c r="D2261" i="2"/>
  <c r="D2262" i="2"/>
  <c r="D2263" i="2"/>
  <c r="D234" i="2"/>
  <c r="D1551" i="2"/>
  <c r="D2264" i="2"/>
  <c r="D2265" i="2"/>
  <c r="D2266" i="2"/>
  <c r="D2267" i="2"/>
  <c r="D2268" i="2"/>
  <c r="D2269" i="2"/>
  <c r="D2270" i="2"/>
  <c r="D2271" i="2"/>
  <c r="D2272" i="2"/>
  <c r="D1552" i="2"/>
  <c r="D2273" i="2"/>
  <c r="D2274" i="2"/>
  <c r="D2275" i="2"/>
  <c r="D1337" i="2"/>
  <c r="D2276" i="2"/>
  <c r="D235" i="2"/>
  <c r="D2277" i="2"/>
  <c r="D1553" i="2"/>
  <c r="D2278" i="2"/>
  <c r="D2279" i="2"/>
  <c r="D2280" i="2"/>
  <c r="D236" i="2"/>
  <c r="D2281" i="2"/>
  <c r="D2282" i="2"/>
  <c r="D2283" i="2"/>
  <c r="D2284" i="2"/>
  <c r="D2285" i="2"/>
  <c r="D2286" i="2"/>
  <c r="D2287" i="2"/>
  <c r="D2288" i="2"/>
  <c r="D2289" i="2"/>
  <c r="D2290" i="2"/>
  <c r="D1338" i="2"/>
  <c r="D18" i="2"/>
  <c r="D2291" i="2"/>
  <c r="D1554" i="2"/>
  <c r="D2292" i="2"/>
  <c r="D2293" i="2"/>
  <c r="D2294" i="2"/>
  <c r="D2295" i="2"/>
  <c r="D2296" i="2"/>
  <c r="D2297" i="2"/>
  <c r="D2298" i="2"/>
  <c r="D2299" i="2"/>
  <c r="D2300" i="2"/>
  <c r="D2301" i="2"/>
  <c r="D2302" i="2"/>
  <c r="D339" i="2"/>
  <c r="D1339" i="2"/>
  <c r="D2303" i="2"/>
  <c r="D2304" i="2"/>
  <c r="D2305" i="2"/>
  <c r="D237" i="2"/>
  <c r="D2306" i="2"/>
  <c r="D2307" i="2"/>
  <c r="D2308" i="2"/>
  <c r="D2309" i="2"/>
  <c r="D2310" i="2"/>
  <c r="D2311" i="2"/>
  <c r="D1340" i="2"/>
  <c r="D2312" i="2"/>
  <c r="D2313" i="2"/>
  <c r="D2314" i="2"/>
  <c r="D771" i="2"/>
  <c r="D1555" i="2"/>
  <c r="D238" i="2"/>
  <c r="D239" i="2"/>
  <c r="D2315" i="2"/>
  <c r="D2316" i="2"/>
  <c r="D2317" i="2"/>
  <c r="D2318" i="2"/>
  <c r="D2319" i="2"/>
  <c r="D2320" i="2"/>
  <c r="D2321" i="2"/>
  <c r="D2322" i="2"/>
  <c r="D772" i="2"/>
  <c r="D2323" i="2"/>
  <c r="D2324" i="2"/>
  <c r="D2325" i="2"/>
  <c r="D414" i="2"/>
  <c r="D2326" i="2"/>
  <c r="D1556" i="2"/>
  <c r="D2327" i="2"/>
  <c r="D2328" i="2"/>
  <c r="D600" i="2"/>
  <c r="D1557" i="2"/>
  <c r="D1558" i="2"/>
  <c r="D2329" i="2"/>
  <c r="D2330" i="2"/>
  <c r="D2331" i="2"/>
  <c r="D340" i="2"/>
  <c r="D341" i="2"/>
  <c r="D415" i="2"/>
  <c r="D2332" i="2"/>
  <c r="D1341" i="2"/>
  <c r="D2333" i="2"/>
  <c r="D2334" i="2"/>
  <c r="D2335" i="2"/>
  <c r="D2336" i="2"/>
  <c r="D485" i="2"/>
  <c r="D1342" i="2"/>
  <c r="D2337" i="2"/>
  <c r="D1343" i="2"/>
  <c r="D2338" i="2"/>
  <c r="D342" i="2"/>
  <c r="D416" i="2"/>
  <c r="D2339" i="2"/>
  <c r="D417" i="2"/>
  <c r="D343" i="2"/>
  <c r="D1559" i="2"/>
  <c r="D2340" i="2"/>
  <c r="D2341" i="2"/>
  <c r="D486" i="2"/>
  <c r="D601" i="2"/>
  <c r="D1344" i="2"/>
  <c r="D2342" i="2"/>
  <c r="D2343" i="2"/>
  <c r="D2344" i="2"/>
  <c r="D2345" i="2"/>
  <c r="D2346" i="2"/>
  <c r="D773" i="2"/>
  <c r="D19" i="2"/>
  <c r="D2347" i="2"/>
  <c r="D2348" i="2"/>
  <c r="D2349" i="2"/>
  <c r="D2350" i="2"/>
  <c r="D344" i="2"/>
  <c r="D2351" i="2"/>
  <c r="D2352" i="2"/>
  <c r="D1560" i="2"/>
  <c r="D2353" i="2"/>
  <c r="D2354" i="2"/>
  <c r="D774" i="2"/>
  <c r="D2355" i="2"/>
  <c r="D2356" i="2"/>
  <c r="D487" i="2"/>
  <c r="D2357" i="2"/>
  <c r="D1345" i="2"/>
  <c r="D2358" i="2"/>
  <c r="D2359" i="2"/>
  <c r="D2360" i="2"/>
  <c r="D20" i="2"/>
  <c r="D2361" i="2"/>
  <c r="D2362" i="2"/>
  <c r="D2363" i="2"/>
  <c r="D2364" i="2"/>
  <c r="D2365" i="2"/>
  <c r="D345" i="2"/>
  <c r="D775" i="2"/>
  <c r="D2366" i="2"/>
  <c r="D2367" i="2"/>
  <c r="D240" i="2"/>
  <c r="D602" i="2"/>
  <c r="D2368" i="2"/>
  <c r="D2369" i="2"/>
  <c r="D1346" i="2"/>
  <c r="D2370" i="2"/>
  <c r="D418" i="2"/>
  <c r="D2371" i="2"/>
  <c r="D2372" i="2"/>
  <c r="D2373" i="2"/>
  <c r="D2374" i="2"/>
  <c r="D2375" i="2"/>
  <c r="D2376" i="2"/>
  <c r="D2377" i="2"/>
  <c r="D2378" i="2"/>
  <c r="D2379" i="2"/>
  <c r="D241" i="2"/>
  <c r="D1561" i="2"/>
  <c r="D488" i="2"/>
  <c r="D2380" i="2"/>
  <c r="D2381" i="2"/>
  <c r="D2382" i="2"/>
  <c r="D603" i="2"/>
  <c r="D2383" i="2"/>
  <c r="D604" i="2"/>
  <c r="D2384" i="2"/>
  <c r="D1562" i="2"/>
  <c r="D2385" i="2"/>
  <c r="D1347" i="2"/>
  <c r="D21" i="2"/>
  <c r="D2386" i="2"/>
  <c r="D2387" i="2"/>
  <c r="D2388" i="2"/>
  <c r="D242" i="2"/>
  <c r="D419" i="2"/>
  <c r="D1563" i="2"/>
  <c r="D346" i="2"/>
  <c r="D2389" i="2"/>
  <c r="D2390" i="2"/>
  <c r="D2391" i="2"/>
  <c r="D2392" i="2"/>
  <c r="D2393" i="2"/>
  <c r="D2394" i="2"/>
  <c r="D2395" i="2"/>
  <c r="D2396" i="2"/>
  <c r="D2397" i="2"/>
  <c r="D243" i="2"/>
  <c r="D2398" i="2"/>
  <c r="D2399" i="2"/>
  <c r="D776" i="2"/>
  <c r="D1348" i="2"/>
  <c r="D2400" i="2"/>
  <c r="D2401" i="2"/>
  <c r="D2402" i="2"/>
  <c r="D605" i="2"/>
  <c r="D606" i="2"/>
  <c r="D2403" i="2"/>
  <c r="D2404" i="2"/>
  <c r="D2405" i="2"/>
  <c r="D2406" i="2"/>
  <c r="D1349" i="2"/>
  <c r="D607" i="2"/>
  <c r="D2407" i="2"/>
  <c r="D608" i="2"/>
  <c r="D244" i="2"/>
  <c r="D2408" i="2"/>
  <c r="D2409" i="2"/>
  <c r="D1564" i="2"/>
  <c r="D2410" i="2"/>
  <c r="D2411" i="2"/>
  <c r="D2412" i="2"/>
  <c r="D2413" i="2"/>
  <c r="D1565" i="2"/>
  <c r="D2414" i="2"/>
  <c r="D1350" i="2"/>
  <c r="D2415" i="2"/>
  <c r="D2416" i="2"/>
  <c r="D1566" i="2"/>
  <c r="D2417" i="2"/>
  <c r="D777" i="2"/>
  <c r="D2418" i="2"/>
  <c r="D2419" i="2"/>
  <c r="D1351" i="2"/>
  <c r="D609" i="2"/>
  <c r="D2420" i="2"/>
  <c r="D2421" i="2"/>
  <c r="D2422" i="2"/>
  <c r="D2423" i="2"/>
  <c r="D2424" i="2"/>
  <c r="D245" i="2"/>
  <c r="D610" i="2"/>
  <c r="D2425" i="2"/>
  <c r="D2426" i="2"/>
  <c r="D2427" i="2"/>
  <c r="D2428" i="2"/>
  <c r="D2429" i="2"/>
  <c r="D2430" i="2"/>
  <c r="D420" i="2"/>
  <c r="D611" i="2"/>
  <c r="D2431" i="2"/>
  <c r="D2432" i="2"/>
  <c r="D2433" i="2"/>
  <c r="D2434" i="2"/>
  <c r="D489" i="2"/>
  <c r="D778" i="2"/>
  <c r="D2435" i="2"/>
  <c r="D421" i="2"/>
  <c r="D1567" i="2"/>
  <c r="D246" i="2"/>
  <c r="D2436" i="2"/>
  <c r="D347" i="2"/>
  <c r="D2437" i="2"/>
  <c r="D612" i="2"/>
  <c r="D348" i="2"/>
  <c r="D2438" i="2"/>
  <c r="D2439" i="2"/>
  <c r="D2440" i="2"/>
  <c r="D247" i="2"/>
  <c r="D422" i="2"/>
  <c r="D1568" i="2"/>
  <c r="D613" i="2"/>
  <c r="D2441" i="2"/>
  <c r="D490" i="2"/>
  <c r="D1569" i="2"/>
  <c r="D2442" i="2"/>
  <c r="D2443" i="2"/>
  <c r="D2444" i="2"/>
  <c r="D2445" i="2"/>
  <c r="D2446" i="2"/>
  <c r="D2447" i="2"/>
  <c r="D614" i="2"/>
  <c r="D615" i="2"/>
  <c r="D1352" i="2"/>
  <c r="D2448" i="2"/>
  <c r="D1570" i="2"/>
  <c r="D2449" i="2"/>
  <c r="D2450" i="2"/>
  <c r="D1353" i="2"/>
  <c r="D616" i="2"/>
  <c r="D2451" i="2"/>
  <c r="D2452" i="2"/>
  <c r="D2453" i="2"/>
  <c r="D779" i="2"/>
  <c r="D1571" i="2"/>
  <c r="D2454" i="2"/>
  <c r="D2455" i="2"/>
  <c r="D2456" i="2"/>
  <c r="D2457" i="2"/>
  <c r="D1047" i="2"/>
  <c r="D2458" i="2"/>
  <c r="D2459" i="2"/>
  <c r="D1048" i="2"/>
  <c r="D248" i="2"/>
  <c r="D2460" i="2"/>
  <c r="D2461" i="2"/>
  <c r="D2462" i="2"/>
  <c r="D491" i="2"/>
  <c r="D2463" i="2"/>
  <c r="D492" i="2"/>
  <c r="D2464" i="2"/>
  <c r="D2465" i="2"/>
  <c r="D780" i="2"/>
  <c r="D781" i="2"/>
  <c r="D2466" i="2"/>
  <c r="D2467" i="2"/>
  <c r="D249" i="2"/>
  <c r="D1049" i="2"/>
  <c r="D2468" i="2"/>
  <c r="D2469" i="2"/>
  <c r="D2470" i="2"/>
  <c r="D617" i="2"/>
  <c r="D1572" i="2"/>
  <c r="D2471" i="2"/>
  <c r="D2472" i="2"/>
  <c r="D1354" i="2"/>
  <c r="D618" i="2"/>
  <c r="D2473" i="2"/>
  <c r="D619" i="2"/>
  <c r="D1573" i="2"/>
  <c r="D2474" i="2"/>
  <c r="D2475" i="2"/>
  <c r="D250" i="2"/>
  <c r="D2476" i="2"/>
  <c r="D2477" i="2"/>
  <c r="D782" i="2"/>
  <c r="D620" i="2"/>
  <c r="D2478" i="2"/>
  <c r="D1355" i="2"/>
  <c r="D2479" i="2"/>
  <c r="D2480" i="2"/>
  <c r="D621" i="2"/>
  <c r="D2481" i="2"/>
  <c r="D2482" i="2"/>
  <c r="D2483" i="2"/>
  <c r="D2484" i="2"/>
  <c r="D2485" i="2"/>
  <c r="D251" i="2"/>
  <c r="D1574" i="2"/>
  <c r="D2486" i="2"/>
  <c r="D622" i="2"/>
  <c r="D623" i="2"/>
  <c r="D2487" i="2"/>
  <c r="D2488" i="2"/>
  <c r="D1356" i="2"/>
  <c r="D1575" i="2"/>
  <c r="D252" i="2"/>
  <c r="D2489" i="2"/>
  <c r="D2490" i="2"/>
  <c r="D2491" i="2"/>
  <c r="D624" i="2"/>
  <c r="D2492" i="2"/>
  <c r="D783" i="2"/>
  <c r="D2493" i="2"/>
  <c r="D784" i="2"/>
  <c r="D423" i="2"/>
  <c r="D2494" i="2"/>
  <c r="D2495" i="2"/>
  <c r="D1357" i="2"/>
  <c r="D2496" i="2"/>
  <c r="D253" i="2"/>
  <c r="D2497" i="2"/>
  <c r="D785" i="2"/>
  <c r="D2498" i="2"/>
  <c r="D2499" i="2"/>
  <c r="D2500" i="2"/>
  <c r="D2501" i="2"/>
  <c r="D2502" i="2"/>
  <c r="D2503" i="2"/>
  <c r="D2504" i="2"/>
  <c r="D625" i="2"/>
  <c r="D2505" i="2"/>
  <c r="D786" i="2"/>
  <c r="D787" i="2"/>
  <c r="D2506" i="2"/>
  <c r="D2507" i="2"/>
  <c r="D788" i="2"/>
  <c r="D2508" i="2"/>
  <c r="D2509" i="2"/>
  <c r="D1050" i="2"/>
  <c r="D2510" i="2"/>
  <c r="D2511" i="2"/>
  <c r="D2512" i="2"/>
  <c r="D2513" i="2"/>
  <c r="D1576" i="2"/>
  <c r="D2514" i="2"/>
  <c r="D2515" i="2"/>
  <c r="D2516" i="2"/>
  <c r="D1577" i="2"/>
  <c r="D2517" i="2"/>
  <c r="D2518" i="2"/>
  <c r="D2519" i="2"/>
  <c r="D1578" i="2"/>
  <c r="D424" i="2"/>
  <c r="D2520" i="2"/>
  <c r="D2521" i="2"/>
  <c r="D2522" i="2"/>
  <c r="D2523" i="2"/>
  <c r="D789" i="2"/>
  <c r="D1358" i="2"/>
  <c r="D1359" i="2"/>
  <c r="D2524" i="2"/>
  <c r="D626" i="2"/>
  <c r="D2525" i="2"/>
  <c r="D2526" i="2"/>
  <c r="D1360" i="2"/>
  <c r="D2527" i="2"/>
  <c r="D2528" i="2"/>
  <c r="D1051" i="2"/>
  <c r="D1361" i="2"/>
  <c r="D790" i="2"/>
  <c r="D791" i="2"/>
  <c r="D2529" i="2"/>
  <c r="D2530" i="2"/>
  <c r="D1579" i="2"/>
  <c r="D2531" i="2"/>
  <c r="D1580" i="2"/>
  <c r="D2532" i="2"/>
  <c r="D254" i="2"/>
  <c r="D255" i="2"/>
  <c r="D2533" i="2"/>
  <c r="D2534" i="2"/>
  <c r="D2535" i="2"/>
  <c r="D2536" i="2"/>
  <c r="D627" i="2"/>
  <c r="D1581" i="2"/>
  <c r="D792" i="2"/>
  <c r="D793" i="2"/>
  <c r="D2537" i="2"/>
  <c r="D2538" i="2"/>
  <c r="D2539" i="2"/>
  <c r="D2540" i="2"/>
  <c r="D1582" i="2"/>
  <c r="D2541" i="2"/>
  <c r="D2542" i="2"/>
  <c r="D256" i="2"/>
  <c r="D794" i="2"/>
  <c r="D493" i="2"/>
  <c r="D628" i="2"/>
  <c r="D2543" i="2"/>
  <c r="D1362" i="2"/>
  <c r="D795" i="2"/>
  <c r="D257" i="2"/>
  <c r="D2544" i="2"/>
  <c r="D796" i="2"/>
  <c r="D494" i="2"/>
  <c r="D797" i="2"/>
  <c r="D1363" i="2"/>
  <c r="D1583" i="2"/>
  <c r="D2545" i="2"/>
  <c r="D1584" i="2"/>
  <c r="D2546" i="2"/>
  <c r="D2547" i="2"/>
  <c r="D2548" i="2"/>
  <c r="D2549" i="2"/>
  <c r="D2550" i="2"/>
  <c r="D798" i="2"/>
  <c r="D2551" i="2"/>
  <c r="D2552" i="2"/>
  <c r="D2553" i="2"/>
  <c r="D2554" i="2"/>
  <c r="D1585" i="2"/>
  <c r="D2555" i="2"/>
  <c r="D799" i="2"/>
  <c r="D2556" i="2"/>
  <c r="D2557" i="2"/>
  <c r="D373" i="2"/>
  <c r="D2558" i="2"/>
  <c r="D800" i="2"/>
  <c r="D629" i="2"/>
  <c r="D2559" i="2"/>
  <c r="D2560" i="2"/>
  <c r="D801" i="2"/>
  <c r="D1364" i="2"/>
  <c r="D258" i="2"/>
  <c r="D2561" i="2"/>
  <c r="D2562" i="2"/>
  <c r="D1586" i="2"/>
  <c r="D2563" i="2"/>
  <c r="D2564" i="2"/>
  <c r="D630" i="2"/>
  <c r="D259" i="2"/>
  <c r="D260" i="2"/>
  <c r="D2565" i="2"/>
  <c r="D631" i="2"/>
  <c r="D2566" i="2"/>
  <c r="D261" i="2"/>
  <c r="D2567" i="2"/>
  <c r="D2568" i="2"/>
  <c r="D1052" i="2"/>
  <c r="D262" i="2"/>
  <c r="D2569" i="2"/>
  <c r="D263" i="2"/>
  <c r="D264" i="2"/>
  <c r="D2570" i="2"/>
  <c r="D265" i="2"/>
  <c r="D266" i="2"/>
  <c r="D632" i="2"/>
  <c r="D633" i="2"/>
  <c r="D2571" i="2"/>
  <c r="D802" i="2"/>
  <c r="D267" i="2"/>
  <c r="D2572" i="2"/>
  <c r="D2573" i="2"/>
  <c r="D2574" i="2"/>
  <c r="D1587" i="2"/>
  <c r="D803" i="2"/>
  <c r="D268" i="2"/>
  <c r="D2575" i="2"/>
  <c r="D269" i="2"/>
  <c r="D2576" i="2"/>
  <c r="D270" i="2"/>
  <c r="D2577" i="2"/>
  <c r="D2578" i="2"/>
  <c r="D2579" i="2"/>
  <c r="D271" i="2"/>
  <c r="D1365" i="2"/>
  <c r="D425" i="2"/>
  <c r="D2580" i="2"/>
  <c r="D804" i="2"/>
  <c r="D805" i="2"/>
  <c r="D272" i="2"/>
  <c r="D2581" i="2"/>
  <c r="D273" i="2"/>
  <c r="D2582" i="2"/>
  <c r="D1366" i="2"/>
  <c r="D2583" i="2"/>
  <c r="D2584" i="2"/>
  <c r="D2585" i="2"/>
  <c r="D2586" i="2"/>
  <c r="D2587" i="2"/>
  <c r="D634" i="2"/>
  <c r="D2588" i="2"/>
  <c r="D2589" i="2"/>
  <c r="D806" i="2"/>
  <c r="D807" i="2"/>
  <c r="D2590" i="2"/>
  <c r="D1588" i="2"/>
  <c r="D374" i="2"/>
  <c r="D2591" i="2"/>
  <c r="D2592" i="2"/>
  <c r="D2593" i="2"/>
  <c r="D2594" i="2"/>
  <c r="D2595" i="2"/>
  <c r="D1589" i="2"/>
  <c r="D2596" i="2"/>
  <c r="D2597" i="2"/>
  <c r="D2598" i="2"/>
  <c r="D808" i="2"/>
  <c r="D635" i="2"/>
  <c r="D2599" i="2"/>
  <c r="D2600" i="2"/>
  <c r="D2601" i="2"/>
  <c r="D2602" i="2"/>
  <c r="D2603" i="2"/>
  <c r="D2604" i="2"/>
  <c r="D2605" i="2"/>
  <c r="D2606" i="2"/>
  <c r="D2607" i="2"/>
  <c r="D1746" i="2"/>
  <c r="D1492" i="2"/>
  <c r="D274" i="2"/>
  <c r="D1646" i="2"/>
  <c r="D2608" i="2"/>
  <c r="D2609" i="2"/>
  <c r="D2610" i="2"/>
  <c r="D2611" i="2"/>
  <c r="D2612" i="2"/>
  <c r="D1131" i="2"/>
  <c r="D1225" i="2"/>
  <c r="D275" i="2"/>
  <c r="D943" i="2"/>
  <c r="D2613" i="2"/>
  <c r="D1367" i="2"/>
  <c r="D1053" i="2"/>
  <c r="D1747" i="2"/>
  <c r="D1368" i="2"/>
  <c r="D2614" i="2"/>
  <c r="D944" i="2"/>
  <c r="D2615" i="2"/>
  <c r="D2616" i="2"/>
  <c r="D1132" i="2"/>
  <c r="D1590" i="2"/>
  <c r="D2617" i="2"/>
  <c r="D2618" i="2"/>
  <c r="D1748" i="2"/>
  <c r="D2619" i="2"/>
  <c r="D1493" i="2"/>
  <c r="D2620" i="2"/>
  <c r="D276" i="2"/>
  <c r="D2621" i="2"/>
  <c r="D1226" i="2"/>
  <c r="D1453" i="2"/>
  <c r="D945" i="2"/>
  <c r="D1494" i="2"/>
  <c r="D1369" i="2"/>
  <c r="D2622" i="2"/>
  <c r="D277" i="2"/>
  <c r="D2623" i="2"/>
  <c r="D1271" i="2"/>
  <c r="D1272" i="2"/>
  <c r="D2624" i="2"/>
  <c r="D1647" i="2"/>
  <c r="D1370" i="2"/>
  <c r="D2625" i="2"/>
  <c r="D946" i="2"/>
  <c r="D2626" i="2"/>
  <c r="D875" i="2"/>
  <c r="D1648" i="2"/>
  <c r="D2627" i="2"/>
  <c r="D1591" i="2"/>
  <c r="D278" i="2"/>
  <c r="D279" i="2"/>
  <c r="D2628" i="2"/>
  <c r="D2629" i="2"/>
  <c r="D876" i="2"/>
  <c r="D2630" i="2"/>
  <c r="D2631" i="2"/>
  <c r="D2632" i="2"/>
  <c r="D2633" i="2"/>
  <c r="D1227" i="2"/>
  <c r="D2634" i="2"/>
  <c r="D1454" i="2"/>
  <c r="D2635" i="2"/>
  <c r="D1696" i="2"/>
  <c r="D1495" i="2"/>
  <c r="D2636" i="2"/>
  <c r="D1749" i="2"/>
  <c r="D280" i="2"/>
  <c r="D2637" i="2"/>
  <c r="D1371" i="2"/>
  <c r="D1054" i="2"/>
  <c r="D1372" i="2"/>
  <c r="D1592" i="2"/>
  <c r="D1228" i="2"/>
  <c r="D1133" i="2"/>
  <c r="D2638" i="2"/>
  <c r="D1750" i="2"/>
  <c r="D947" i="2"/>
  <c r="D1373" i="2"/>
  <c r="D2639" i="2"/>
  <c r="D1055" i="2"/>
  <c r="D1374" i="2"/>
  <c r="D2640" i="2"/>
  <c r="D2641" i="2"/>
  <c r="D281" i="2"/>
  <c r="D2642" i="2"/>
  <c r="D636" i="2"/>
  <c r="D2643" i="2"/>
  <c r="D2644" i="2"/>
  <c r="D1496" i="2"/>
  <c r="D282" i="2"/>
  <c r="D283" i="2"/>
  <c r="D948" i="2"/>
  <c r="D949" i="2"/>
  <c r="D2645" i="2"/>
  <c r="D950" i="2"/>
  <c r="D2646" i="2"/>
  <c r="D1056" i="2"/>
  <c r="D877" i="2"/>
  <c r="D1593" i="2"/>
  <c r="D637" i="2"/>
  <c r="D1057" i="2"/>
  <c r="D2647" i="2"/>
  <c r="D2648" i="2"/>
  <c r="D1649" i="2"/>
  <c r="D878" i="2"/>
  <c r="D2649" i="2"/>
  <c r="D2650" i="2"/>
  <c r="D2651" i="2"/>
  <c r="D2652" i="2"/>
  <c r="D2653" i="2"/>
  <c r="D2654" i="2"/>
  <c r="D1273" i="2"/>
  <c r="D2655" i="2"/>
  <c r="D2656" i="2"/>
  <c r="D1375" i="2"/>
  <c r="D2657" i="2"/>
  <c r="D1134" i="2"/>
  <c r="D1751" i="2"/>
  <c r="D1497" i="2"/>
  <c r="D1058" i="2"/>
  <c r="D1455" i="2"/>
  <c r="D2658" i="2"/>
  <c r="D2659" i="2"/>
  <c r="D2660" i="2"/>
  <c r="D495" i="2"/>
  <c r="D496" i="2"/>
  <c r="D638" i="2"/>
  <c r="D2661" i="2"/>
  <c r="D951" i="2"/>
  <c r="D1650" i="2"/>
  <c r="D1229" i="2"/>
  <c r="D952" i="2"/>
  <c r="D639" i="2"/>
  <c r="D1498" i="2"/>
  <c r="D953" i="2"/>
  <c r="D2662" i="2"/>
  <c r="D1230" i="2"/>
  <c r="D2663" i="2"/>
  <c r="D2664" i="2"/>
  <c r="D1376" i="2"/>
  <c r="D1651" i="2"/>
  <c r="D2665" i="2"/>
  <c r="D809" i="2"/>
  <c r="D1594" i="2"/>
  <c r="D2666" i="2"/>
  <c r="D1752" i="2"/>
  <c r="D640" i="2"/>
  <c r="D1231" i="2"/>
  <c r="D1135" i="2"/>
  <c r="D1377" i="2"/>
  <c r="D497" i="2"/>
  <c r="D1059" i="2"/>
  <c r="D1378" i="2"/>
  <c r="D2667" i="2"/>
  <c r="D1697" i="2"/>
  <c r="D498" i="2"/>
  <c r="D1753" i="2"/>
  <c r="D284" i="2"/>
  <c r="D2668" i="2"/>
  <c r="D2669" i="2"/>
  <c r="D849" i="2"/>
  <c r="D2670" i="2"/>
  <c r="D2671" i="2"/>
  <c r="D1499" i="2"/>
  <c r="D2672" i="2"/>
  <c r="D1232" i="2"/>
  <c r="D285" i="2"/>
  <c r="D879" i="2"/>
  <c r="D850" i="2"/>
  <c r="D1595" i="2"/>
  <c r="D1136" i="2"/>
  <c r="D2673" i="2"/>
  <c r="D1379" i="2"/>
  <c r="D1060" i="2"/>
  <c r="D1233" i="2"/>
  <c r="D1234" i="2"/>
  <c r="D499" i="2"/>
  <c r="D954" i="2"/>
  <c r="D500" i="2"/>
  <c r="D2674" i="2"/>
  <c r="D2675" i="2"/>
  <c r="D2676" i="2"/>
  <c r="D641" i="2"/>
  <c r="D286" i="2"/>
  <c r="D851" i="2"/>
  <c r="D2677" i="2"/>
  <c r="D2678" i="2"/>
  <c r="D287" i="2"/>
  <c r="D955" i="2"/>
  <c r="D642" i="2"/>
  <c r="D2679" i="2"/>
  <c r="D1061" i="2"/>
  <c r="D2680" i="2"/>
  <c r="D1456" i="2"/>
  <c r="D643" i="2"/>
  <c r="D1380" i="2"/>
  <c r="D1457" i="2"/>
  <c r="D2681" i="2"/>
  <c r="D1274" i="2"/>
  <c r="D1235" i="2"/>
  <c r="D1236" i="2"/>
  <c r="D644" i="2"/>
  <c r="D1381" i="2"/>
  <c r="D288" i="2"/>
  <c r="D956" i="2"/>
  <c r="D2682" i="2"/>
  <c r="D1137" i="2"/>
  <c r="D2683" i="2"/>
  <c r="D2684" i="2"/>
  <c r="D852" i="2"/>
  <c r="D645" i="2"/>
  <c r="D1382" i="2"/>
  <c r="D957" i="2"/>
  <c r="D2685" i="2"/>
  <c r="D2686" i="2"/>
  <c r="D2687" i="2"/>
  <c r="D1062" i="2"/>
  <c r="D958" i="2"/>
  <c r="D2688" i="2"/>
  <c r="D1500" i="2"/>
  <c r="D289" i="2"/>
  <c r="D1652" i="2"/>
  <c r="D426" i="2"/>
  <c r="D1754" i="2"/>
  <c r="D646" i="2"/>
  <c r="D513" i="2"/>
  <c r="D2689" i="2"/>
  <c r="D647" i="2"/>
  <c r="D1237" i="2"/>
  <c r="D2690" i="2"/>
  <c r="D1383" i="2"/>
  <c r="D648" i="2"/>
  <c r="D2691" i="2"/>
  <c r="D1596" i="2"/>
  <c r="D1063" i="2"/>
  <c r="D2692" i="2"/>
  <c r="D1064" i="2"/>
  <c r="D1755" i="2"/>
  <c r="D1138" i="2"/>
  <c r="D959" i="2"/>
  <c r="D724" i="2"/>
  <c r="D649" i="2"/>
  <c r="D501" i="2"/>
  <c r="D1698" i="2"/>
  <c r="D502" i="2"/>
  <c r="D1653" i="2"/>
  <c r="D2693" i="2"/>
  <c r="D810" i="2"/>
  <c r="D1384" i="2"/>
  <c r="D2694" i="2"/>
  <c r="D1597" i="2"/>
  <c r="D2695" i="2"/>
  <c r="D1385" i="2"/>
  <c r="D2696" i="2"/>
  <c r="D2697" i="2"/>
  <c r="D1458" i="2"/>
  <c r="D2698" i="2"/>
  <c r="D1275" i="2"/>
  <c r="D1756" i="2"/>
  <c r="D2699" i="2"/>
  <c r="D650" i="2"/>
  <c r="D427" i="2"/>
  <c r="D2700" i="2"/>
  <c r="D428" i="2"/>
  <c r="D960" i="2"/>
  <c r="D2701" i="2"/>
  <c r="D651" i="2"/>
  <c r="D1598" i="2"/>
  <c r="D1276" i="2"/>
  <c r="D725" i="2"/>
  <c r="D652" i="2"/>
  <c r="D2702" i="2"/>
  <c r="D961" i="2"/>
  <c r="D962" i="2"/>
  <c r="D653" i="2"/>
  <c r="D290" i="2"/>
  <c r="D1386" i="2"/>
  <c r="D1757" i="2"/>
  <c r="D429" i="2"/>
  <c r="D811" i="2"/>
  <c r="D654" i="2"/>
  <c r="D963" i="2"/>
  <c r="D2703" i="2"/>
  <c r="D291" i="2"/>
  <c r="D1501" i="2"/>
  <c r="D853" i="2"/>
  <c r="D1758" i="2"/>
  <c r="D292" i="2"/>
  <c r="D2704" i="2"/>
  <c r="D2705" i="2"/>
  <c r="D1065" i="2"/>
  <c r="D655" i="2"/>
  <c r="D1654" i="2"/>
  <c r="D656" i="2"/>
  <c r="D1238" i="2"/>
  <c r="D854" i="2"/>
  <c r="D1387" i="2"/>
  <c r="D1388" i="2"/>
  <c r="D293" i="2"/>
  <c r="D2706" i="2"/>
  <c r="D2707" i="2"/>
  <c r="D2708" i="2"/>
  <c r="D2709" i="2"/>
  <c r="D1599" i="2"/>
  <c r="D2710" i="2"/>
  <c r="D1389" i="2"/>
  <c r="D1066" i="2"/>
  <c r="D2711" i="2"/>
  <c r="D2712" i="2"/>
  <c r="D1139" i="2"/>
  <c r="D964" i="2"/>
  <c r="D657" i="2"/>
  <c r="D658" i="2"/>
  <c r="D2713" i="2"/>
  <c r="D1239" i="2"/>
  <c r="D1699" i="2"/>
  <c r="D1600" i="2"/>
  <c r="D1601" i="2"/>
  <c r="D1427" i="2"/>
  <c r="D2714" i="2"/>
  <c r="D2715" i="2"/>
  <c r="D2716" i="2"/>
  <c r="D1655" i="2"/>
  <c r="D1067" i="2"/>
  <c r="D812" i="2"/>
  <c r="D1277" i="2"/>
  <c r="D294" i="2"/>
  <c r="D2717" i="2"/>
  <c r="D2718" i="2"/>
  <c r="D813" i="2"/>
  <c r="D295" i="2"/>
  <c r="D430" i="2"/>
  <c r="D1459" i="2"/>
  <c r="D2719" i="2"/>
  <c r="D814" i="2"/>
  <c r="D514" i="2"/>
  <c r="D659" i="2"/>
  <c r="D1278" i="2"/>
  <c r="D2720" i="2"/>
  <c r="D726" i="2"/>
  <c r="D2721" i="2"/>
  <c r="D1068" i="2"/>
  <c r="D1390" i="2"/>
  <c r="D2722" i="2"/>
  <c r="D1656" i="2"/>
  <c r="D2723" i="2"/>
  <c r="D660" i="2"/>
  <c r="D2724" i="2"/>
  <c r="D2725" i="2"/>
  <c r="D296" i="2"/>
  <c r="D2726" i="2"/>
  <c r="D661" i="2"/>
  <c r="D2727" i="2"/>
  <c r="D2728" i="2"/>
  <c r="D2729" i="2"/>
  <c r="D1391" i="2"/>
  <c r="D297" i="2"/>
  <c r="D2730" i="2"/>
  <c r="D298" i="2"/>
  <c r="D1392" i="2"/>
  <c r="D855" i="2"/>
  <c r="D662" i="2"/>
  <c r="D1657" i="2"/>
  <c r="D856" i="2"/>
  <c r="D857" i="2"/>
  <c r="D1240" i="2"/>
  <c r="D663" i="2"/>
  <c r="D2731" i="2"/>
  <c r="D1069" i="2"/>
  <c r="D727" i="2"/>
  <c r="D815" i="2"/>
  <c r="D1279" i="2"/>
  <c r="D664" i="2"/>
  <c r="D1280" i="2"/>
  <c r="D816" i="2"/>
  <c r="D665" i="2"/>
  <c r="D1070" i="2"/>
  <c r="D1241" i="2"/>
  <c r="D817" i="2"/>
  <c r="D666" i="2"/>
  <c r="D375" i="2"/>
  <c r="D1281" i="2"/>
  <c r="D299" i="2"/>
  <c r="D300" i="2"/>
  <c r="D2732" i="2"/>
  <c r="D2733" i="2"/>
  <c r="D965" i="2"/>
  <c r="D301" i="2"/>
  <c r="D376" i="2"/>
  <c r="D1071" i="2"/>
  <c r="D2734" i="2"/>
  <c r="D2735" i="2"/>
  <c r="D818" i="2"/>
  <c r="D1428" i="2"/>
  <c r="D1282" i="2"/>
  <c r="D302" i="2"/>
  <c r="D431" i="2"/>
  <c r="D1072" i="2"/>
  <c r="D1242" i="2"/>
  <c r="D858" i="2"/>
  <c r="D303" i="2"/>
  <c r="D1393" i="2"/>
  <c r="D667" i="2"/>
  <c r="D2736" i="2"/>
  <c r="D304" i="2"/>
  <c r="D1394" i="2"/>
  <c r="D2737" i="2"/>
  <c r="D1395" i="2"/>
  <c r="D2738" i="2"/>
  <c r="D668" i="2"/>
  <c r="D819" i="2"/>
  <c r="D966" i="2"/>
  <c r="D1502" i="2"/>
  <c r="D1243" i="2"/>
  <c r="D1503" i="2"/>
  <c r="D305" i="2"/>
  <c r="D669" i="2"/>
  <c r="D306" i="2"/>
  <c r="D307" i="2"/>
  <c r="D1140" i="2"/>
  <c r="D1759" i="2"/>
  <c r="D308" i="2"/>
  <c r="D309" i="2"/>
  <c r="D820" i="2"/>
  <c r="D310" i="2"/>
  <c r="D2739" i="2"/>
  <c r="D311" i="2"/>
  <c r="D312" i="2"/>
  <c r="D313" i="2"/>
  <c r="D1396" i="2"/>
  <c r="D1397" i="2"/>
  <c r="D2740" i="2"/>
  <c r="D880" i="2"/>
  <c r="D2741" i="2"/>
  <c r="D2742" i="2"/>
  <c r="D1244" i="2"/>
  <c r="D1398" i="2"/>
  <c r="D314" i="2"/>
  <c r="D2743" i="2"/>
  <c r="D2744" i="2"/>
  <c r="D2745" i="2"/>
  <c r="D1700" i="2"/>
  <c r="D1399" i="2"/>
  <c r="D2746" i="2"/>
  <c r="D315" i="2"/>
  <c r="D2747" i="2"/>
  <c r="D2748" i="2"/>
  <c r="D2749" i="2"/>
  <c r="D2750" i="2"/>
  <c r="D316" i="2"/>
  <c r="D1701" i="2"/>
  <c r="D2751" i="2"/>
  <c r="D2752" i="2"/>
  <c r="D1400" i="2"/>
  <c r="D2753" i="2"/>
  <c r="D2754" i="2"/>
  <c r="D2755" i="2"/>
  <c r="D2756" i="2"/>
  <c r="D2757" i="2"/>
  <c r="D2758" i="2"/>
  <c r="D2759" i="2"/>
  <c r="D2760" i="2"/>
  <c r="D317" i="2"/>
  <c r="D821" i="2"/>
  <c r="D1401" i="2"/>
  <c r="D881" i="2"/>
  <c r="D318" i="2"/>
  <c r="D319" i="2"/>
  <c r="D1702" i="2"/>
  <c r="D2761" i="2"/>
  <c r="D2762" i="2"/>
  <c r="D2763" i="2"/>
  <c r="D2764" i="2"/>
  <c r="D967" i="2"/>
  <c r="D2765" i="2"/>
  <c r="D1402" i="2"/>
  <c r="D2766" i="2"/>
  <c r="D1703" i="2"/>
  <c r="D1460" i="2"/>
  <c r="D2767" i="2"/>
  <c r="D822" i="2"/>
  <c r="D1245" i="2"/>
  <c r="D2768" i="2"/>
  <c r="D2769" i="2"/>
  <c r="D2770" i="2"/>
  <c r="D2771" i="2"/>
  <c r="D2772" i="2"/>
  <c r="D2773" i="2"/>
  <c r="D1602" i="2"/>
  <c r="D2774" i="2"/>
  <c r="D2775" i="2"/>
  <c r="D1603" i="2"/>
  <c r="D882" i="2"/>
  <c r="D2776" i="2"/>
  <c r="D2777" i="2"/>
  <c r="D2778" i="2"/>
  <c r="D823" i="2"/>
  <c r="D2779" i="2"/>
  <c r="D2780" i="2"/>
  <c r="D320" i="2"/>
  <c r="D321" i="2"/>
  <c r="D883" i="2"/>
  <c r="D2781" i="2"/>
  <c r="D968" i="2"/>
  <c r="D1604" i="2"/>
  <c r="D670" i="2"/>
  <c r="D884" i="2"/>
  <c r="D2782" i="2"/>
  <c r="D1403" i="2"/>
  <c r="D2783" i="2"/>
  <c r="D885" i="2"/>
  <c r="D2784" i="2"/>
  <c r="D2785" i="2"/>
  <c r="D2786" i="2"/>
  <c r="D22" i="2"/>
  <c r="D322" i="2"/>
  <c r="D2787" i="2"/>
  <c r="D1246" i="2"/>
  <c r="D2788" i="2"/>
  <c r="D2789" i="2"/>
  <c r="D2790" i="2"/>
  <c r="D2791" i="2"/>
  <c r="D1404" i="2"/>
  <c r="D349" i="2"/>
  <c r="D2792" i="2"/>
  <c r="D2793" i="2"/>
  <c r="D432" i="2"/>
  <c r="D2794" i="2"/>
  <c r="D2795" i="2"/>
  <c r="D2796" i="2"/>
  <c r="D1605" i="2"/>
  <c r="D2797" i="2"/>
  <c r="D2798" i="2"/>
  <c r="D1405" i="2"/>
  <c r="D1704" i="2"/>
  <c r="D1461" i="2"/>
  <c r="D2799" i="2"/>
  <c r="D2800" i="2"/>
  <c r="D2801" i="2"/>
  <c r="D2802" i="2"/>
  <c r="D1705" i="2"/>
  <c r="D2803" i="2"/>
  <c r="D1706" i="2"/>
  <c r="D671" i="2"/>
  <c r="D2804" i="2"/>
  <c r="D886" i="2"/>
  <c r="D824" i="2"/>
  <c r="D2805" i="2"/>
  <c r="D1707" i="2"/>
  <c r="D2806" i="2"/>
  <c r="D2807" i="2"/>
  <c r="D2808" i="2"/>
  <c r="D323" i="2"/>
  <c r="D2809" i="2"/>
  <c r="D1247" i="2"/>
  <c r="D433" i="2"/>
  <c r="D2810" i="2"/>
  <c r="D324" i="2"/>
  <c r="D2811" i="2"/>
  <c r="D1708" i="2"/>
  <c r="D2812" i="2"/>
  <c r="D1606" i="2"/>
  <c r="D350" i="2"/>
  <c r="D2813" i="2"/>
  <c r="D2814" i="2"/>
  <c r="D2815" i="2"/>
  <c r="D1462" i="2"/>
  <c r="D887" i="2"/>
  <c r="D377" i="2"/>
  <c r="D1463" i="2"/>
  <c r="D672" i="2"/>
  <c r="D1607" i="2"/>
  <c r="D325" i="2"/>
  <c r="D2816" i="2"/>
  <c r="D2817" i="2"/>
  <c r="D2818" i="2"/>
  <c r="D2819" i="2"/>
  <c r="D2820" i="2"/>
  <c r="D326" i="2"/>
  <c r="D2821" i="2"/>
  <c r="D673" i="2"/>
  <c r="D2822" i="2"/>
  <c r="D2823" i="2"/>
  <c r="D351" i="2"/>
  <c r="D2824" i="2"/>
  <c r="D2825" i="2"/>
  <c r="D2826" i="2"/>
  <c r="D2827" i="2"/>
  <c r="D434" i="2"/>
  <c r="D2828" i="2"/>
  <c r="D2829" i="2"/>
  <c r="D390" i="2"/>
  <c r="D2830" i="2"/>
  <c r="D2831" i="2"/>
  <c r="D1608" i="2"/>
  <c r="D1073" i="2"/>
  <c r="D327" i="2"/>
  <c r="D674" i="2"/>
  <c r="D2832" i="2"/>
  <c r="D435" i="2"/>
  <c r="D352" i="2"/>
  <c r="D2833" i="2"/>
  <c r="D23" i="2"/>
  <c r="D1406" i="2"/>
  <c r="D888" i="2"/>
  <c r="D675" i="2"/>
  <c r="D1407" i="2"/>
  <c r="D1609" i="2"/>
  <c r="D1709" i="2"/>
  <c r="D436" i="2"/>
  <c r="D1464" i="2"/>
  <c r="D24" i="2"/>
  <c r="D676" i="2"/>
  <c r="D2834" i="2"/>
  <c r="D2835" i="2"/>
  <c r="D328" i="2"/>
  <c r="D2836" i="2"/>
  <c r="D2837" i="2"/>
  <c r="D2838" i="2"/>
  <c r="D677" i="2"/>
  <c r="D1074" i="2"/>
  <c r="D1710" i="2"/>
  <c r="D2839" i="2"/>
  <c r="D353" i="2"/>
  <c r="D1724" i="2"/>
  <c r="D437" i="2"/>
  <c r="D678" i="2"/>
  <c r="D2840" i="2"/>
  <c r="D2841" i="2"/>
  <c r="D354" i="2"/>
  <c r="D2842" i="2"/>
  <c r="D2843" i="2"/>
  <c r="D2844" i="2"/>
  <c r="D1075" i="2"/>
  <c r="D1711" i="2"/>
  <c r="D679" i="2"/>
  <c r="D378" i="2"/>
  <c r="D355" i="2"/>
  <c r="D969" i="2"/>
  <c r="D2845" i="2"/>
  <c r="D1610" i="2"/>
  <c r="D438" i="2"/>
  <c r="D2846" i="2"/>
  <c r="D2847" i="2"/>
  <c r="D2848" i="2"/>
  <c r="D2849" i="2"/>
  <c r="D680" i="2"/>
  <c r="D2850" i="2"/>
  <c r="D1248" i="2"/>
  <c r="D329" i="2"/>
  <c r="D2851" i="2"/>
  <c r="D2852" i="2"/>
  <c r="D2853" i="2"/>
  <c r="D461" i="2"/>
  <c r="D2854" i="2"/>
  <c r="D1408" i="2"/>
  <c r="D1076" i="2"/>
  <c r="D2855" i="2"/>
  <c r="D2856" i="2"/>
  <c r="D2857" i="2"/>
  <c r="D1409" i="2"/>
  <c r="D2858" i="2"/>
  <c r="D2859" i="2"/>
  <c r="D1077" i="2"/>
  <c r="D2860" i="2"/>
  <c r="D1078" i="2"/>
  <c r="D2861" i="2"/>
  <c r="D1249" i="2"/>
  <c r="D2862" i="2"/>
  <c r="D889" i="2"/>
  <c r="D2863" i="2"/>
  <c r="D2864" i="2"/>
  <c r="D681" i="2"/>
  <c r="D2865" i="2"/>
  <c r="D2866" i="2"/>
  <c r="D1465" i="2"/>
  <c r="D890" i="2"/>
  <c r="D970" i="2"/>
  <c r="D1079" i="2"/>
  <c r="D330" i="2"/>
  <c r="D2867" i="2"/>
  <c r="D439" i="2"/>
  <c r="D2868" i="2"/>
  <c r="D682" i="2"/>
  <c r="D683" i="2"/>
  <c r="D1466" i="2"/>
  <c r="D440" i="2"/>
  <c r="D2869" i="2"/>
  <c r="D684" i="2"/>
  <c r="D379" i="2"/>
  <c r="D25" i="2"/>
  <c r="D685" i="2"/>
  <c r="D2870" i="2"/>
  <c r="D331" i="2"/>
  <c r="D332" i="2"/>
  <c r="D686" i="2"/>
  <c r="D1080" i="2"/>
  <c r="D356" i="2"/>
  <c r="D1712" i="2"/>
  <c r="D687" i="2"/>
  <c r="D1081" i="2"/>
  <c r="D2871" i="2"/>
  <c r="D2872" i="2"/>
  <c r="D391" i="2"/>
  <c r="D2873" i="2"/>
  <c r="D1611" i="2"/>
  <c r="D1713" i="2"/>
  <c r="D2874" i="2"/>
  <c r="D2875" i="2"/>
  <c r="D1714" i="2"/>
  <c r="D1612" i="2"/>
  <c r="D462" i="2"/>
  <c r="D2876" i="2"/>
  <c r="D688" i="2"/>
  <c r="D1082" i="2"/>
  <c r="D392" i="2"/>
  <c r="D1613" i="2"/>
  <c r="D2877" i="2"/>
  <c r="D689" i="2"/>
  <c r="D1083" i="2"/>
  <c r="D1084" i="2"/>
  <c r="D2878" i="2"/>
  <c r="D2879" i="2"/>
  <c r="D503" i="2"/>
  <c r="D2880" i="2"/>
  <c r="D2881" i="2"/>
  <c r="D1715" i="2"/>
  <c r="D463" i="2"/>
  <c r="D1085" i="2"/>
  <c r="D1086" i="2"/>
  <c r="D504" i="2"/>
  <c r="D1614" i="2"/>
  <c r="D2882" i="2"/>
  <c r="D971" i="2"/>
  <c r="D1615" i="2"/>
  <c r="D2883" i="2"/>
  <c r="D2884" i="2"/>
  <c r="D690" i="2"/>
  <c r="D1087" i="2"/>
  <c r="D825" i="2"/>
  <c r="D691" i="2"/>
  <c r="D1250" i="2"/>
  <c r="D692" i="2"/>
  <c r="D2885" i="2"/>
  <c r="D2886" i="2"/>
  <c r="D2887" i="2"/>
  <c r="D891" i="2"/>
  <c r="D1616" i="2"/>
  <c r="D1617" i="2"/>
  <c r="D972" i="2"/>
  <c r="D333" i="2"/>
  <c r="D1251" i="2"/>
  <c r="D505" i="2"/>
  <c r="D693" i="2"/>
  <c r="D2888" i="2"/>
  <c r="D2889" i="2"/>
  <c r="D2890" i="2"/>
  <c r="D892" i="2"/>
  <c r="D506" i="2"/>
  <c r="D2891" i="2"/>
  <c r="D464" i="2"/>
  <c r="D2892" i="2"/>
  <c r="D2893" i="2"/>
  <c r="D2894" i="2"/>
  <c r="D2895" i="2"/>
  <c r="D2896" i="2"/>
  <c r="D1252" i="2"/>
  <c r="D357" i="2"/>
  <c r="D358" i="2"/>
  <c r="D2897" i="2"/>
  <c r="D2898" i="2"/>
  <c r="D1253" i="2"/>
  <c r="D1410" i="2"/>
  <c r="D1467" i="2"/>
  <c r="D393" i="2"/>
  <c r="D2899" i="2"/>
  <c r="D2900" i="2"/>
  <c r="D1254" i="2"/>
  <c r="D2901" i="2"/>
  <c r="D1716" i="2"/>
  <c r="D826" i="2"/>
  <c r="D2902" i="2"/>
  <c r="D2903" i="2"/>
  <c r="D1618" i="2"/>
  <c r="D1088" i="2"/>
  <c r="D507" i="2"/>
  <c r="D1717" i="2"/>
  <c r="D1411" i="2"/>
  <c r="D1619" i="2"/>
  <c r="D1255" i="2"/>
  <c r="D1256" i="2"/>
  <c r="D2904" i="2"/>
  <c r="D2905" i="2"/>
  <c r="D1089" i="2"/>
  <c r="D2906" i="2"/>
  <c r="D973" i="2"/>
  <c r="D1718" i="2"/>
  <c r="D1090" i="2"/>
  <c r="D1719" i="2"/>
  <c r="D1091" i="2"/>
  <c r="D1429" i="2"/>
  <c r="D2907" i="2"/>
  <c r="D2908" i="2"/>
  <c r="D893" i="2"/>
  <c r="D2909" i="2"/>
  <c r="D974" i="2"/>
  <c r="D2910" i="2"/>
  <c r="D1092" i="2"/>
  <c r="D2911" i="2"/>
  <c r="D975" i="2"/>
  <c r="D2912" i="2"/>
  <c r="D1093" i="2"/>
  <c r="D2913" i="2"/>
  <c r="D2914" i="2"/>
  <c r="D1620" i="2"/>
  <c r="D2915" i="2"/>
  <c r="D2916" i="2"/>
  <c r="D2917" i="2"/>
  <c r="D827" i="2"/>
  <c r="D1094" i="2"/>
  <c r="D2918" i="2"/>
  <c r="D2919" i="2"/>
  <c r="D1095" i="2"/>
  <c r="D408" i="2"/>
  <c r="D1412" i="2"/>
  <c r="D1257" i="2"/>
  <c r="D334" i="2"/>
  <c r="D2920" i="2"/>
  <c r="D1096" i="2"/>
  <c r="D828" i="2"/>
  <c r="D1413" i="2"/>
  <c r="D1258" i="2"/>
  <c r="D2921" i="2"/>
  <c r="D1621" i="2"/>
  <c r="D1141" i="2"/>
  <c r="D2922" i="2"/>
  <c r="D1622" i="2"/>
  <c r="D2923" i="2"/>
  <c r="D508" i="2"/>
  <c r="D829" i="2"/>
  <c r="D1720" i="2"/>
  <c r="D1097" i="2"/>
  <c r="D509" i="2"/>
  <c r="D1658" i="2"/>
  <c r="D2924" i="2"/>
  <c r="D1098" i="2"/>
  <c r="D2925" i="2"/>
  <c r="D976" i="2"/>
  <c r="D1142" i="2"/>
  <c r="D1623" i="2"/>
  <c r="D1283" i="2"/>
  <c r="D2926" i="2"/>
  <c r="D335" i="2"/>
  <c r="D830" i="2"/>
  <c r="D2927" i="2"/>
  <c r="D2928" i="2"/>
  <c r="D2929" i="2"/>
  <c r="D1099" i="2"/>
  <c r="D2930" i="2"/>
  <c r="D336" i="2"/>
  <c r="D510" i="2"/>
  <c r="D1100" i="2"/>
  <c r="D2931" i="2"/>
  <c r="D2932" i="2"/>
  <c r="D337" i="2"/>
  <c r="D2933" i="2"/>
  <c r="D2934" i="2"/>
  <c r="D831" i="2"/>
  <c r="D1259" i="2"/>
  <c r="D1101" i="2"/>
  <c r="D1624" i="2"/>
  <c r="D338" i="2"/>
  <c r="D1659" i="2"/>
  <c r="D1721" i="2"/>
  <c r="D2935" i="2"/>
  <c r="D1625" i="2"/>
  <c r="D832" i="2"/>
  <c r="D2936" i="2"/>
  <c r="D2937" i="2"/>
  <c r="D833" i="2"/>
  <c r="D834" i="2"/>
  <c r="D2938" i="2"/>
  <c r="D1626" i="2"/>
  <c r="D2939" i="2"/>
  <c r="D2940" i="2"/>
  <c r="D835" i="2"/>
  <c r="D1102" i="2"/>
  <c r="D2941" i="2"/>
  <c r="D1414" i="2"/>
  <c r="D836" i="2"/>
  <c r="D2942" i="2"/>
  <c r="D2943" i="2"/>
  <c r="D1660" i="2"/>
  <c r="D1661" i="2"/>
  <c r="D837" i="2"/>
  <c r="D838" i="2"/>
  <c r="D2944" i="2"/>
  <c r="D2945" i="2"/>
  <c r="D2946" i="2"/>
  <c r="D1627" i="2"/>
  <c r="D2947" i="2"/>
  <c r="D1628" i="2"/>
  <c r="D2948" i="2"/>
  <c r="D2949" i="2"/>
  <c r="D2950" i="2"/>
  <c r="D977" i="2"/>
  <c r="D2951" i="2"/>
  <c r="D1260" i="2"/>
  <c r="D839" i="2"/>
  <c r="D2952" i="2"/>
  <c r="D1261" i="2"/>
  <c r="D2953" i="2"/>
  <c r="D694" i="2"/>
  <c r="D840" i="2"/>
  <c r="D2954" i="2"/>
  <c r="D695" i="2"/>
  <c r="D978" i="2"/>
  <c r="D1662" i="2"/>
  <c r="D1663" i="2"/>
  <c r="D2955" i="2"/>
  <c r="D841" i="2"/>
  <c r="D1143" i="2"/>
  <c r="D1144" i="2"/>
  <c r="D380" i="2"/>
  <c r="D1629" i="2"/>
  <c r="D2956" i="2"/>
  <c r="D696" i="2"/>
  <c r="D2957" i="2"/>
  <c r="D697" i="2"/>
  <c r="D2958" i="2"/>
  <c r="D1722" i="2"/>
  <c r="D894" i="2"/>
  <c r="D1415" i="2"/>
  <c r="D2959" i="2"/>
  <c r="D139" i="2"/>
  <c r="D2960" i="2"/>
  <c r="D140" i="2"/>
  <c r="D2961" i="2"/>
  <c r="D141" i="2"/>
  <c r="D142" i="2"/>
  <c r="D1723" i="2"/>
  <c r="D143" i="2"/>
  <c r="D144" i="2"/>
  <c r="D698" i="2"/>
  <c r="D2962" i="2"/>
  <c r="D145" i="2"/>
  <c r="D146" i="2"/>
  <c r="D2963" i="2"/>
  <c r="D1145" i="2"/>
  <c r="D147" i="2"/>
  <c r="D842" i="2"/>
  <c r="D148" i="2"/>
  <c r="D1284" i="2"/>
  <c r="D2964" i="2"/>
  <c r="D149" i="2"/>
  <c r="D1103" i="2"/>
  <c r="D1430" i="2"/>
  <c r="D409" i="2"/>
  <c r="D1146" i="2"/>
  <c r="D1104" i="2"/>
  <c r="D150" i="2"/>
  <c r="D2965" i="2"/>
  <c r="D1725" i="2"/>
  <c r="D699" i="2"/>
  <c r="D2966" i="2"/>
  <c r="D1262" i="2"/>
  <c r="D151" i="2"/>
  <c r="D2967" i="2"/>
  <c r="D152" i="2"/>
  <c r="D2968" i="2"/>
  <c r="D153" i="2"/>
  <c r="D2969" i="2"/>
  <c r="D2970" i="2"/>
  <c r="D2971" i="2"/>
  <c r="D2972" i="2"/>
  <c r="D2973" i="2"/>
  <c r="D2974" i="2"/>
  <c r="D700" i="2"/>
  <c r="D2975" i="2"/>
  <c r="D381" i="2"/>
  <c r="D701" i="2"/>
  <c r="D2976" i="2"/>
  <c r="D2977" i="2"/>
  <c r="D2978" i="2"/>
  <c r="D2979" i="2"/>
  <c r="D1664" i="2"/>
  <c r="D2980" i="2"/>
  <c r="D2981" i="2"/>
  <c r="D2982" i="2"/>
  <c r="D2983" i="2"/>
  <c r="D1665" i="2"/>
  <c r="P89" i="2"/>
  <c r="P186" i="2"/>
  <c r="R186" i="2"/>
  <c r="P761" i="2"/>
  <c r="R761" i="2"/>
  <c r="P6" i="2"/>
  <c r="P1190" i="2"/>
  <c r="P1111" i="2"/>
  <c r="R1111" i="2"/>
  <c r="P1855" i="2"/>
  <c r="P1437" i="2"/>
  <c r="R1437" i="2"/>
  <c r="P187" i="2"/>
  <c r="R187" i="2"/>
  <c r="P993" i="2"/>
  <c r="P188" i="2"/>
  <c r="P540" i="2"/>
  <c r="R540" i="2"/>
  <c r="P90" i="2"/>
  <c r="P91" i="2"/>
  <c r="P915" i="2"/>
  <c r="R915" i="2"/>
  <c r="P1856" i="2"/>
  <c r="R1856" i="2"/>
  <c r="P1191" i="2"/>
  <c r="P92" i="2"/>
  <c r="P1192" i="2"/>
  <c r="R1192" i="2"/>
  <c r="P1112" i="2"/>
  <c r="P189" i="2"/>
  <c r="R189" i="2"/>
  <c r="P190" i="2"/>
  <c r="R190" i="2"/>
  <c r="P191" i="2"/>
  <c r="P192" i="2"/>
  <c r="P1304" i="2"/>
  <c r="P193" i="2"/>
  <c r="P93" i="2"/>
  <c r="P1857" i="2"/>
  <c r="R1857" i="2"/>
  <c r="P94" i="2"/>
  <c r="R94" i="2"/>
  <c r="P1858" i="2"/>
  <c r="P1859" i="2"/>
  <c r="P1305" i="2"/>
  <c r="P916" i="2"/>
  <c r="P95" i="2"/>
  <c r="P1860" i="2"/>
  <c r="R1860" i="2"/>
  <c r="P917" i="2"/>
  <c r="R917" i="2"/>
  <c r="P1438" i="2"/>
  <c r="R1438" i="2"/>
  <c r="P1861" i="2"/>
  <c r="P994" i="2"/>
  <c r="P762" i="2"/>
  <c r="P96" i="2"/>
  <c r="P1675" i="2"/>
  <c r="R1675" i="2"/>
  <c r="P395" i="2"/>
  <c r="R395" i="2"/>
  <c r="P97" i="2"/>
  <c r="P541" i="2"/>
  <c r="P1862" i="2"/>
  <c r="P98" i="2"/>
  <c r="P860" i="2"/>
  <c r="P918" i="2"/>
  <c r="P124" i="2"/>
  <c r="R124" i="2"/>
  <c r="P2036" i="2"/>
  <c r="P1268" i="2"/>
  <c r="P125" i="2"/>
  <c r="P568" i="2"/>
  <c r="P126" i="2"/>
  <c r="P939" i="2"/>
  <c r="P940" i="2"/>
  <c r="R940" i="2"/>
  <c r="P1688" i="2"/>
  <c r="R1688" i="2"/>
  <c r="P1123" i="2"/>
  <c r="P475" i="2"/>
  <c r="P2037" i="2"/>
  <c r="P1417" i="2"/>
  <c r="P941" i="2"/>
  <c r="R941" i="2"/>
  <c r="P127" i="2"/>
  <c r="R127" i="2"/>
  <c r="P1318" i="2"/>
  <c r="R1318" i="2"/>
  <c r="P1533" i="2"/>
  <c r="P2038" i="2"/>
  <c r="P128" i="2"/>
  <c r="P129" i="2"/>
  <c r="R129" i="2"/>
  <c r="P569" i="2"/>
  <c r="R569" i="2"/>
  <c r="P2039" i="2"/>
  <c r="R2039" i="2"/>
  <c r="P2040" i="2"/>
  <c r="P1124" i="2"/>
  <c r="P2041" i="2"/>
  <c r="P1744" i="2"/>
  <c r="P872" i="2"/>
  <c r="R872" i="2"/>
  <c r="P873" i="2"/>
  <c r="R873" i="2"/>
  <c r="P130" i="2"/>
  <c r="P131" i="2"/>
  <c r="P132" i="2"/>
  <c r="P133" i="2"/>
  <c r="P2042" i="2"/>
  <c r="P134" i="2"/>
  <c r="R134" i="2"/>
  <c r="P1689" i="2"/>
  <c r="P135" i="2"/>
  <c r="P2043" i="2"/>
  <c r="R2043" i="2"/>
  <c r="P874" i="2"/>
  <c r="R874" i="2"/>
  <c r="P942" i="2"/>
  <c r="P2044" i="2"/>
  <c r="P2045" i="2"/>
  <c r="P136" i="2"/>
  <c r="R136" i="2"/>
  <c r="P2046" i="2"/>
  <c r="P137" i="2"/>
  <c r="R137" i="2"/>
  <c r="P1208" i="2"/>
  <c r="P138" i="2"/>
  <c r="R138" i="2"/>
  <c r="P476" i="2"/>
  <c r="P848" i="2"/>
  <c r="P2047" i="2"/>
  <c r="P2048" i="2"/>
  <c r="P2049" i="2"/>
  <c r="P401" i="2"/>
  <c r="R401" i="2"/>
  <c r="P1745" i="2"/>
  <c r="P1020" i="2"/>
  <c r="R1020" i="2"/>
  <c r="P2237" i="2"/>
  <c r="P214" i="2"/>
  <c r="P1695" i="2"/>
  <c r="R1695" i="2"/>
  <c r="P2238" i="2"/>
  <c r="P2239" i="2"/>
  <c r="R2239" i="2"/>
  <c r="P215" i="2"/>
  <c r="P595" i="2"/>
  <c r="P1222" i="2"/>
  <c r="P2240" i="2"/>
  <c r="P216" i="2"/>
  <c r="P217" i="2"/>
  <c r="P1129" i="2"/>
  <c r="P2241" i="2"/>
  <c r="P1452" i="2"/>
  <c r="R1452" i="2"/>
  <c r="P1336" i="2"/>
  <c r="R1336" i="2"/>
  <c r="P2242" i="2"/>
  <c r="P1042" i="2"/>
  <c r="P2243" i="2"/>
  <c r="P2244" i="2"/>
  <c r="P218" i="2"/>
  <c r="R218" i="2"/>
  <c r="P2245" i="2"/>
  <c r="P219" i="2"/>
  <c r="P2246" i="2"/>
  <c r="R2246" i="2"/>
  <c r="P1223" i="2"/>
  <c r="P2247" i="2"/>
  <c r="P596" i="2"/>
  <c r="P2248" i="2"/>
  <c r="P220" i="2"/>
  <c r="P221" i="2"/>
  <c r="R221" i="2"/>
  <c r="P2249" i="2"/>
  <c r="P1426" i="2"/>
  <c r="R1426" i="2"/>
  <c r="P2250" i="2"/>
  <c r="P597" i="2"/>
  <c r="P222" i="2"/>
  <c r="P2251" i="2"/>
  <c r="P2252" i="2"/>
  <c r="R2252" i="2"/>
  <c r="P598" i="2"/>
  <c r="R598" i="2"/>
  <c r="P2253" i="2"/>
  <c r="R2253" i="2"/>
  <c r="P1130" i="2"/>
  <c r="P2254" i="2"/>
  <c r="P2255" i="2"/>
  <c r="P223" i="2"/>
  <c r="P1224" i="2"/>
  <c r="P224" i="2"/>
  <c r="P225" i="2"/>
  <c r="R225" i="2"/>
  <c r="P226" i="2"/>
  <c r="P227" i="2"/>
  <c r="P228" i="2"/>
  <c r="P229" i="2"/>
  <c r="P230" i="2"/>
  <c r="R230" i="2"/>
  <c r="P231" i="2"/>
  <c r="P407" i="2"/>
  <c r="R407" i="2"/>
  <c r="P232" i="2"/>
  <c r="R232" i="2"/>
  <c r="P1043" i="2"/>
  <c r="R1043" i="2"/>
  <c r="P599" i="2"/>
  <c r="P1270" i="2"/>
  <c r="P233" i="2"/>
  <c r="P1044" i="2"/>
  <c r="P1045" i="2"/>
  <c r="R1045" i="2"/>
  <c r="P1046" i="2"/>
  <c r="P2559" i="2"/>
  <c r="R2559" i="2"/>
  <c r="P2560" i="2"/>
  <c r="P801" i="2"/>
  <c r="P1364" i="2"/>
  <c r="R1364" i="2"/>
  <c r="P258" i="2"/>
  <c r="P2561" i="2"/>
  <c r="P2562" i="2"/>
  <c r="P1586" i="2"/>
  <c r="R1586" i="2"/>
  <c r="P2563" i="2"/>
  <c r="R2563" i="2"/>
  <c r="P2564" i="2"/>
  <c r="P630" i="2"/>
  <c r="P259" i="2"/>
  <c r="R259" i="2"/>
  <c r="P260" i="2"/>
  <c r="P2565" i="2"/>
  <c r="R2565" i="2"/>
  <c r="P631" i="2"/>
  <c r="P2566" i="2"/>
  <c r="P261" i="2"/>
  <c r="P2567" i="2"/>
  <c r="P2568" i="2"/>
  <c r="P1052" i="2"/>
  <c r="R1052" i="2"/>
  <c r="P262" i="2"/>
  <c r="P2569" i="2"/>
  <c r="P263" i="2"/>
  <c r="R263" i="2"/>
  <c r="P264" i="2"/>
  <c r="R264" i="2"/>
  <c r="P2570" i="2"/>
  <c r="P265" i="2"/>
  <c r="P266" i="2"/>
  <c r="P632" i="2"/>
  <c r="P633" i="2"/>
  <c r="R633" i="2"/>
  <c r="P2571" i="2"/>
  <c r="R2571" i="2"/>
  <c r="P802" i="2"/>
  <c r="P267" i="2"/>
  <c r="P2572" i="2"/>
  <c r="P2573" i="2"/>
  <c r="P2574" i="2"/>
  <c r="P1587" i="2"/>
  <c r="R1587" i="2"/>
  <c r="P803" i="2"/>
  <c r="R803" i="2"/>
  <c r="P268" i="2"/>
  <c r="P2575" i="2"/>
  <c r="P269" i="2"/>
  <c r="P2576" i="2"/>
  <c r="P270" i="2"/>
  <c r="P2577" i="2"/>
  <c r="P2578" i="2"/>
  <c r="P2579" i="2"/>
  <c r="R2579" i="2"/>
  <c r="P271" i="2"/>
  <c r="P1365" i="2"/>
  <c r="R1365" i="2"/>
  <c r="P425" i="2"/>
  <c r="P2580" i="2"/>
  <c r="P804" i="2"/>
  <c r="P805" i="2"/>
  <c r="R805" i="2"/>
  <c r="P272" i="2"/>
  <c r="R272" i="2"/>
  <c r="P2581" i="2"/>
  <c r="R2581" i="2"/>
  <c r="P273" i="2"/>
  <c r="P2582" i="2"/>
  <c r="P1366" i="2"/>
  <c r="R1366" i="2"/>
  <c r="P2583" i="2"/>
  <c r="P2584" i="2"/>
  <c r="P2585" i="2"/>
  <c r="R2585" i="2"/>
  <c r="P2586" i="2"/>
  <c r="P2587" i="2"/>
  <c r="R2587" i="2"/>
  <c r="P634" i="2"/>
  <c r="P2588" i="2"/>
  <c r="P2589" i="2"/>
  <c r="P806" i="2"/>
  <c r="P807" i="2"/>
  <c r="P2590" i="2"/>
  <c r="P1588" i="2"/>
  <c r="P374" i="2"/>
  <c r="P2591" i="2"/>
  <c r="R2591" i="2"/>
  <c r="P2592" i="2"/>
  <c r="P2593" i="2"/>
  <c r="P2594" i="2"/>
  <c r="P2595" i="2"/>
  <c r="R2595" i="2"/>
  <c r="P1589" i="2"/>
  <c r="P2596" i="2"/>
  <c r="R2596" i="2"/>
  <c r="P2597" i="2"/>
  <c r="P2598" i="2"/>
  <c r="R2598" i="2"/>
  <c r="P808" i="2"/>
  <c r="P635" i="2"/>
  <c r="P1281" i="2"/>
  <c r="P299" i="2"/>
  <c r="P300" i="2"/>
  <c r="P2732" i="2"/>
  <c r="P2733" i="2"/>
  <c r="P965" i="2"/>
  <c r="R965" i="2"/>
  <c r="P301" i="2"/>
  <c r="P376" i="2"/>
  <c r="P1071" i="2"/>
  <c r="R1071" i="2"/>
  <c r="P2734" i="2"/>
  <c r="P2735" i="2"/>
  <c r="P818" i="2"/>
  <c r="P1428" i="2"/>
  <c r="R1428" i="2"/>
  <c r="P1282" i="2"/>
  <c r="P302" i="2"/>
  <c r="R302" i="2"/>
  <c r="P431" i="2"/>
  <c r="P1072" i="2"/>
  <c r="P1242" i="2"/>
  <c r="P858" i="2"/>
  <c r="P303" i="2"/>
  <c r="P1393" i="2"/>
  <c r="P667" i="2"/>
  <c r="P2736" i="2"/>
  <c r="P304" i="2"/>
  <c r="R304" i="2"/>
  <c r="P1394" i="2"/>
  <c r="P2737" i="2"/>
  <c r="P1395" i="2"/>
  <c r="P2738" i="2"/>
  <c r="P668" i="2"/>
  <c r="R668" i="2"/>
  <c r="P819" i="2"/>
  <c r="R819" i="2"/>
  <c r="P966" i="2"/>
  <c r="P1502" i="2"/>
  <c r="P1243" i="2"/>
  <c r="R1243" i="2"/>
  <c r="P1503" i="2"/>
  <c r="P305" i="2"/>
  <c r="P669" i="2"/>
  <c r="R669" i="2"/>
  <c r="P306" i="2"/>
  <c r="P307" i="2"/>
  <c r="P1140" i="2"/>
  <c r="P1759" i="2"/>
  <c r="R1759" i="2"/>
  <c r="P308" i="2"/>
  <c r="P309" i="2"/>
  <c r="R309" i="2"/>
  <c r="P820" i="2"/>
  <c r="P310" i="2"/>
  <c r="R310" i="2"/>
  <c r="P2739" i="2"/>
  <c r="P311" i="2"/>
  <c r="P312" i="2"/>
  <c r="R312" i="2"/>
  <c r="P313" i="2"/>
  <c r="P1396" i="2"/>
  <c r="R1396" i="2"/>
  <c r="P1397" i="2"/>
  <c r="R1397" i="2"/>
  <c r="P2740" i="2"/>
  <c r="R2740" i="2"/>
  <c r="P880" i="2"/>
  <c r="P2741" i="2"/>
  <c r="P2742" i="2"/>
  <c r="P1244" i="2"/>
  <c r="P1398" i="2"/>
  <c r="P2958" i="2"/>
  <c r="P1722" i="2"/>
  <c r="R1722" i="2"/>
  <c r="P894" i="2"/>
  <c r="R894" i="2"/>
  <c r="P1415" i="2"/>
  <c r="P2959" i="2"/>
  <c r="P139" i="2"/>
  <c r="P2960" i="2"/>
  <c r="P140" i="2"/>
  <c r="R140" i="2"/>
  <c r="P2961" i="2"/>
  <c r="R2961" i="2"/>
  <c r="P141" i="2"/>
  <c r="P142" i="2"/>
  <c r="P1723" i="2"/>
  <c r="R1723" i="2"/>
  <c r="P143" i="2"/>
  <c r="P144" i="2"/>
  <c r="P698" i="2"/>
  <c r="R698" i="2"/>
  <c r="P2962" i="2"/>
  <c r="R2962" i="2"/>
  <c r="P145" i="2"/>
  <c r="P146" i="2"/>
  <c r="P2963" i="2"/>
  <c r="R2963" i="2"/>
  <c r="P1145" i="2"/>
  <c r="P147" i="2"/>
  <c r="P842" i="2"/>
  <c r="R842" i="2"/>
  <c r="P148" i="2"/>
  <c r="P1284" i="2"/>
  <c r="P2964" i="2"/>
  <c r="P149" i="2"/>
  <c r="R149" i="2"/>
  <c r="P1103" i="2"/>
  <c r="P1430" i="2"/>
  <c r="R1430" i="2"/>
  <c r="P409" i="2"/>
  <c r="R409" i="2"/>
  <c r="P1146" i="2"/>
  <c r="P1104" i="2"/>
  <c r="P150" i="2"/>
  <c r="P2965" i="2"/>
  <c r="P1725" i="2"/>
  <c r="R1725" i="2"/>
  <c r="P699" i="2"/>
  <c r="R699" i="2"/>
  <c r="P2966" i="2"/>
  <c r="R2966" i="2"/>
  <c r="P1262" i="2"/>
  <c r="P151" i="2"/>
  <c r="P2967" i="2"/>
  <c r="P152" i="2"/>
  <c r="P2968" i="2"/>
  <c r="R2968" i="2"/>
  <c r="P153" i="2"/>
  <c r="P2969" i="2"/>
  <c r="R2969" i="2"/>
  <c r="P2970" i="2"/>
  <c r="P2971" i="2"/>
  <c r="P2972" i="2"/>
  <c r="P2973" i="2"/>
  <c r="P2974" i="2"/>
  <c r="R2974" i="2"/>
  <c r="P700" i="2"/>
  <c r="P2975" i="2"/>
  <c r="P381" i="2"/>
  <c r="P701" i="2"/>
  <c r="P2976" i="2"/>
  <c r="P2977" i="2"/>
  <c r="P2978" i="2"/>
  <c r="P2979" i="2"/>
  <c r="P1664" i="2"/>
  <c r="P2980" i="2"/>
  <c r="R2980" i="2"/>
  <c r="P2981" i="2"/>
  <c r="R2981" i="2"/>
  <c r="P2982" i="2"/>
  <c r="P2983" i="2"/>
  <c r="P1665" i="2"/>
  <c r="L1770" i="2"/>
  <c r="N1770" i="2" s="1"/>
  <c r="L32" i="2"/>
  <c r="N32" i="2" s="1"/>
  <c r="L733" i="2"/>
  <c r="N733" i="2" s="1"/>
  <c r="L1771" i="2"/>
  <c r="N1771" i="2" s="1"/>
  <c r="L1772" i="2"/>
  <c r="N1772" i="2" s="1"/>
  <c r="L160" i="2"/>
  <c r="N160" i="2" s="1"/>
  <c r="L1773" i="2"/>
  <c r="N1773" i="2" s="1"/>
  <c r="L1774" i="2"/>
  <c r="N1774" i="2" s="1"/>
  <c r="L979" i="2"/>
  <c r="N979" i="2" s="1"/>
  <c r="L1775" i="2"/>
  <c r="N1775" i="2" s="1"/>
  <c r="L1776" i="2"/>
  <c r="N1776" i="2" s="1"/>
  <c r="L1777" i="2"/>
  <c r="N1777" i="2" s="1"/>
  <c r="L1778" i="2"/>
  <c r="N1778" i="2" s="1"/>
  <c r="L980" i="2"/>
  <c r="N980" i="2" s="1"/>
  <c r="L1779" i="2"/>
  <c r="N1779" i="2" s="1"/>
  <c r="L1285" i="2"/>
  <c r="N1285" i="2" s="1"/>
  <c r="L33" i="2"/>
  <c r="L1780" i="2"/>
  <c r="N1780" i="2" s="1"/>
  <c r="L734" i="2"/>
  <c r="N734" i="2" s="1"/>
  <c r="L1505" i="2"/>
  <c r="N1505" i="2" s="1"/>
  <c r="L1106" i="2"/>
  <c r="N1106" i="2" s="1"/>
  <c r="L899" i="2"/>
  <c r="N899" i="2" s="1"/>
  <c r="L34" i="2"/>
  <c r="N34" i="2" s="1"/>
  <c r="L35" i="2"/>
  <c r="N35" i="2" s="1"/>
  <c r="L981" i="2"/>
  <c r="N981" i="2" s="1"/>
  <c r="L1781" i="2"/>
  <c r="N1781" i="2" s="1"/>
  <c r="L161" i="2"/>
  <c r="N161" i="2" s="1"/>
  <c r="L704" i="2"/>
  <c r="N704" i="2" s="1"/>
  <c r="L1432" i="2"/>
  <c r="L1506" i="2"/>
  <c r="N1506" i="2" s="1"/>
  <c r="L36" i="2"/>
  <c r="N36" i="2" s="1"/>
  <c r="L1148" i="2"/>
  <c r="N1148" i="2" s="1"/>
  <c r="L1782" i="2"/>
  <c r="N1782" i="2" s="1"/>
  <c r="L162" i="2"/>
  <c r="N162" i="2" s="1"/>
  <c r="L735" i="2"/>
  <c r="N735" i="2" s="1"/>
  <c r="L1666" i="2"/>
  <c r="N1666" i="2" s="1"/>
  <c r="L1783" i="2"/>
  <c r="N1783" i="2" s="1"/>
  <c r="L1433" i="2"/>
  <c r="N1433" i="2" s="1"/>
  <c r="L1784" i="2"/>
  <c r="N1784" i="2" s="1"/>
  <c r="L1785" i="2"/>
  <c r="N1785" i="2" s="1"/>
  <c r="L859" i="2"/>
  <c r="L982" i="2"/>
  <c r="N982" i="2" s="1"/>
  <c r="L900" i="2"/>
  <c r="N900" i="2" s="1"/>
  <c r="L163" i="2"/>
  <c r="N163" i="2" s="1"/>
  <c r="L1786" i="2"/>
  <c r="N1786" i="2" s="1"/>
  <c r="L1507" i="2"/>
  <c r="N1507" i="2" s="1"/>
  <c r="L1787" i="2"/>
  <c r="N1787" i="2" s="1"/>
  <c r="L1667" i="2"/>
  <c r="N1667" i="2" s="1"/>
  <c r="L901" i="2"/>
  <c r="N901" i="2" s="1"/>
  <c r="L1788" i="2"/>
  <c r="N1788" i="2" s="1"/>
  <c r="L515" i="2"/>
  <c r="N515" i="2" s="1"/>
  <c r="L1789" i="2"/>
  <c r="N1789" i="2" s="1"/>
  <c r="L1790" i="2"/>
  <c r="N1790" i="2" s="1"/>
  <c r="L1469" i="2"/>
  <c r="N1469" i="2" s="1"/>
  <c r="L1791" i="2"/>
  <c r="N1791" i="2" s="1"/>
  <c r="L1149" i="2"/>
  <c r="N1149" i="2" s="1"/>
  <c r="L1792" i="2"/>
  <c r="N1792" i="2" s="1"/>
  <c r="L465" i="2"/>
  <c r="N465" i="2" s="1"/>
  <c r="L1793" i="2"/>
  <c r="N1793" i="2" s="1"/>
  <c r="L736" i="2"/>
  <c r="N736" i="2" s="1"/>
  <c r="L1150" i="2"/>
  <c r="N1150" i="2" s="1"/>
  <c r="L1794" i="2"/>
  <c r="N1794" i="2" s="1"/>
  <c r="L705" i="2"/>
  <c r="N705" i="2" s="1"/>
  <c r="L1795" i="2"/>
  <c r="N1795" i="2" s="1"/>
  <c r="L706" i="2"/>
  <c r="N706" i="2" s="1"/>
  <c r="L983" i="2"/>
  <c r="N983" i="2" s="1"/>
  <c r="L1151" i="2"/>
  <c r="N1151" i="2" s="1"/>
  <c r="L164" i="2"/>
  <c r="N164" i="2" s="1"/>
  <c r="L1152" i="2"/>
  <c r="N1152" i="2" s="1"/>
  <c r="L1153" i="2"/>
  <c r="N1153" i="2" s="1"/>
  <c r="L902" i="2"/>
  <c r="N902" i="2" s="1"/>
  <c r="L1796" i="2"/>
  <c r="N1796" i="2" s="1"/>
  <c r="L1797" i="2"/>
  <c r="N1797" i="2" s="1"/>
  <c r="L165" i="2"/>
  <c r="N165" i="2" s="1"/>
  <c r="L707" i="2"/>
  <c r="N707" i="2" s="1"/>
  <c r="L37" i="2"/>
  <c r="N37" i="2" s="1"/>
  <c r="L1798" i="2"/>
  <c r="N1798" i="2" s="1"/>
  <c r="L38" i="2"/>
  <c r="N38" i="2" s="1"/>
  <c r="L1799" i="2"/>
  <c r="N1799" i="2" s="1"/>
  <c r="L1154" i="2"/>
  <c r="N1154" i="2" s="1"/>
  <c r="L1434" i="2"/>
  <c r="N1434" i="2" s="1"/>
  <c r="L39" i="2"/>
  <c r="N39" i="2" s="1"/>
  <c r="L708" i="2"/>
  <c r="N708" i="2" s="1"/>
  <c r="L1508" i="2"/>
  <c r="N1508" i="2" s="1"/>
  <c r="L1668" i="2"/>
  <c r="N1668" i="2" s="1"/>
  <c r="L466" i="2"/>
  <c r="N466" i="2" s="1"/>
  <c r="L737" i="2"/>
  <c r="N737" i="2" s="1"/>
  <c r="L40" i="2"/>
  <c r="N40" i="2" s="1"/>
  <c r="L1800" i="2"/>
  <c r="N1800" i="2" s="1"/>
  <c r="L1801" i="2"/>
  <c r="N1801" i="2" s="1"/>
  <c r="L41" i="2"/>
  <c r="N41" i="2" s="1"/>
  <c r="L42" i="2"/>
  <c r="N42" i="2" s="1"/>
  <c r="L43" i="2"/>
  <c r="N43" i="2" s="1"/>
  <c r="L516" i="2"/>
  <c r="N516" i="2" s="1"/>
  <c r="L517" i="2"/>
  <c r="N517" i="2" s="1"/>
  <c r="L1435" i="2"/>
  <c r="N1435" i="2" s="1"/>
  <c r="L738" i="2"/>
  <c r="N738" i="2" s="1"/>
  <c r="L441" i="2"/>
  <c r="N441" i="2" s="1"/>
  <c r="L166" i="2"/>
  <c r="N166" i="2" s="1"/>
  <c r="L739" i="2"/>
  <c r="N739" i="2" s="1"/>
  <c r="L1802" i="2"/>
  <c r="N1802" i="2" s="1"/>
  <c r="L1286" i="2"/>
  <c r="N1286" i="2" s="1"/>
  <c r="L1803" i="2"/>
  <c r="N1803" i="2" s="1"/>
  <c r="L1155" i="2"/>
  <c r="N1155" i="2" s="1"/>
  <c r="L467" i="2"/>
  <c r="N467" i="2" s="1"/>
  <c r="L1726" i="2"/>
  <c r="N1726" i="2" s="1"/>
  <c r="L1470" i="2"/>
  <c r="N1470" i="2" s="1"/>
  <c r="L1156" i="2"/>
  <c r="N1156" i="2" s="1"/>
  <c r="L1804" i="2"/>
  <c r="N1804" i="2" s="1"/>
  <c r="L1805" i="2"/>
  <c r="N1805" i="2" s="1"/>
  <c r="L167" i="2"/>
  <c r="N167" i="2" s="1"/>
  <c r="L740" i="2"/>
  <c r="N740" i="2" s="1"/>
  <c r="L1157" i="2"/>
  <c r="N1157" i="2" s="1"/>
  <c r="L168" i="2"/>
  <c r="N168" i="2" s="1"/>
  <c r="L442" i="2"/>
  <c r="N442" i="2" s="1"/>
  <c r="L1158" i="2"/>
  <c r="N1158" i="2" s="1"/>
  <c r="L1509" i="2"/>
  <c r="N1509" i="2" s="1"/>
  <c r="L984" i="2"/>
  <c r="N984" i="2" s="1"/>
  <c r="L1107" i="2"/>
  <c r="N1107" i="2" s="1"/>
  <c r="L741" i="2"/>
  <c r="N741" i="2" s="1"/>
  <c r="L44" i="2"/>
  <c r="N44" i="2" s="1"/>
  <c r="L1806" i="2"/>
  <c r="N1806" i="2" s="1"/>
  <c r="L1807" i="2"/>
  <c r="N1807" i="2" s="1"/>
  <c r="L169" i="2"/>
  <c r="N169" i="2" s="1"/>
  <c r="L709" i="2"/>
  <c r="N709" i="2" s="1"/>
  <c r="L518" i="2"/>
  <c r="N518" i="2" s="1"/>
  <c r="L1159" i="2"/>
  <c r="N1159" i="2" s="1"/>
  <c r="L1808" i="2"/>
  <c r="N1808" i="2" s="1"/>
  <c r="L45" i="2"/>
  <c r="N45" i="2" s="1"/>
  <c r="L519" i="2"/>
  <c r="N519" i="2" s="1"/>
  <c r="L710" i="2"/>
  <c r="N710" i="2" s="1"/>
  <c r="L46" i="2"/>
  <c r="N46" i="2" s="1"/>
  <c r="L1160" i="2"/>
  <c r="N1160" i="2" s="1"/>
  <c r="L1669" i="2"/>
  <c r="N1669" i="2" s="1"/>
  <c r="L1809" i="2"/>
  <c r="N1809" i="2" s="1"/>
  <c r="L1161" i="2"/>
  <c r="N1161" i="2" s="1"/>
  <c r="L742" i="2"/>
  <c r="N742" i="2" s="1"/>
  <c r="L711" i="2"/>
  <c r="N711" i="2" s="1"/>
  <c r="L1810" i="2"/>
  <c r="N1810" i="2" s="1"/>
  <c r="L1811" i="2"/>
  <c r="N1811" i="2" s="1"/>
  <c r="L1812" i="2"/>
  <c r="N1812" i="2" s="1"/>
  <c r="L903" i="2"/>
  <c r="N903" i="2" s="1"/>
  <c r="L1813" i="2"/>
  <c r="N1813" i="2" s="1"/>
  <c r="L1162" i="2"/>
  <c r="N1162" i="2" s="1"/>
  <c r="L1814" i="2"/>
  <c r="N1814" i="2" s="1"/>
  <c r="L47" i="2"/>
  <c r="N47" i="2" s="1"/>
  <c r="L520" i="2"/>
  <c r="N520" i="2" s="1"/>
  <c r="L1670" i="2"/>
  <c r="N1670" i="2" s="1"/>
  <c r="L1815" i="2"/>
  <c r="N1815" i="2" s="1"/>
  <c r="L743" i="2"/>
  <c r="N743" i="2" s="1"/>
  <c r="L712" i="2"/>
  <c r="N712" i="2" s="1"/>
  <c r="L468" i="2"/>
  <c r="N468" i="2" s="1"/>
  <c r="L443" i="2"/>
  <c r="N443" i="2" s="1"/>
  <c r="L1163" i="2"/>
  <c r="N1163" i="2" s="1"/>
  <c r="L444" i="2"/>
  <c r="N444" i="2" s="1"/>
  <c r="L1164" i="2"/>
  <c r="N1164" i="2" s="1"/>
  <c r="L170" i="2"/>
  <c r="N170" i="2" s="1"/>
  <c r="L48" i="2"/>
  <c r="N48" i="2" s="1"/>
  <c r="L394" i="2"/>
  <c r="N394" i="2" s="1"/>
  <c r="L49" i="2"/>
  <c r="N49" i="2" s="1"/>
  <c r="L744" i="2"/>
  <c r="N744" i="2" s="1"/>
  <c r="L445" i="2"/>
  <c r="N445" i="2" s="1"/>
  <c r="L171" i="2"/>
  <c r="N171" i="2" s="1"/>
  <c r="L1165" i="2"/>
  <c r="N1165" i="2" s="1"/>
  <c r="L713" i="2"/>
  <c r="N713" i="2" s="1"/>
  <c r="L50" i="2"/>
  <c r="N50" i="2" s="1"/>
  <c r="L1166" i="2"/>
  <c r="N1166" i="2" s="1"/>
  <c r="L904" i="2"/>
  <c r="N904" i="2" s="1"/>
  <c r="L7" i="2"/>
  <c r="N7" i="2" s="1"/>
  <c r="L1816" i="2"/>
  <c r="N1816" i="2" s="1"/>
  <c r="L521" i="2"/>
  <c r="N521" i="2" s="1"/>
  <c r="L446" i="2"/>
  <c r="N446" i="2" s="1"/>
  <c r="L1817" i="2"/>
  <c r="N1817" i="2" s="1"/>
  <c r="L1471" i="2"/>
  <c r="N1471" i="2" s="1"/>
  <c r="L522" i="2"/>
  <c r="N522" i="2" s="1"/>
  <c r="L16" i="2"/>
  <c r="N16" i="2" s="1"/>
  <c r="L1167" i="2"/>
  <c r="N1167" i="2" s="1"/>
  <c r="L1168" i="2"/>
  <c r="N1168" i="2" s="1"/>
  <c r="L985" i="2"/>
  <c r="N985" i="2" s="1"/>
  <c r="L51" i="2"/>
  <c r="N51" i="2" s="1"/>
  <c r="L1436" i="2"/>
  <c r="N1436" i="2" s="1"/>
  <c r="L17" i="2"/>
  <c r="N17" i="2" s="1"/>
  <c r="L172" i="2"/>
  <c r="N172" i="2" s="1"/>
  <c r="L1169" i="2"/>
  <c r="N1169" i="2" s="1"/>
  <c r="L52" i="2"/>
  <c r="N52" i="2" s="1"/>
  <c r="L29" i="2"/>
  <c r="N29" i="2" s="1"/>
  <c r="L53" i="2"/>
  <c r="N53" i="2" s="1"/>
  <c r="L986" i="2"/>
  <c r="N986" i="2" s="1"/>
  <c r="L523" i="2"/>
  <c r="N523" i="2" s="1"/>
  <c r="L361" i="2"/>
  <c r="N361" i="2" s="1"/>
  <c r="L714" i="2"/>
  <c r="N714" i="2" s="1"/>
  <c r="L1510" i="2"/>
  <c r="N1510" i="2" s="1"/>
  <c r="L447" i="2"/>
  <c r="N447" i="2" s="1"/>
  <c r="L987" i="2"/>
  <c r="N987" i="2" s="1"/>
  <c r="L1511" i="2"/>
  <c r="N1511" i="2" s="1"/>
  <c r="L54" i="2"/>
  <c r="N54" i="2" s="1"/>
  <c r="L1287" i="2"/>
  <c r="N1287" i="2" s="1"/>
  <c r="L1818" i="2"/>
  <c r="N1818" i="2" s="1"/>
  <c r="L715" i="2"/>
  <c r="N715" i="2" s="1"/>
  <c r="L1170" i="2"/>
  <c r="N1170" i="2" s="1"/>
  <c r="L55" i="2"/>
  <c r="N55" i="2" s="1"/>
  <c r="L173" i="2"/>
  <c r="N173" i="2" s="1"/>
  <c r="L524" i="2"/>
  <c r="N524" i="2" s="1"/>
  <c r="L56" i="2"/>
  <c r="L525" i="2"/>
  <c r="N525" i="2" s="1"/>
  <c r="L1819" i="2"/>
  <c r="N1819" i="2" s="1"/>
  <c r="L448" i="2"/>
  <c r="N448" i="2" s="1"/>
  <c r="L1171" i="2"/>
  <c r="N1171" i="2" s="1"/>
  <c r="L1820" i="2"/>
  <c r="N1820" i="2" s="1"/>
  <c r="L1172" i="2"/>
  <c r="N1172" i="2" s="1"/>
  <c r="L1671" i="2"/>
  <c r="N1671" i="2" s="1"/>
  <c r="L57" i="2"/>
  <c r="N57" i="2" s="1"/>
  <c r="L1821" i="2"/>
  <c r="N1821" i="2" s="1"/>
  <c r="L362" i="2"/>
  <c r="N362" i="2" s="1"/>
  <c r="L745" i="2"/>
  <c r="N745" i="2" s="1"/>
  <c r="L1822" i="2"/>
  <c r="N1822" i="2" s="1"/>
  <c r="L58" i="2"/>
  <c r="N58" i="2" s="1"/>
  <c r="L746" i="2"/>
  <c r="N746" i="2" s="1"/>
  <c r="L1512" i="2"/>
  <c r="N1512" i="2" s="1"/>
  <c r="L1823" i="2"/>
  <c r="N1823" i="2" s="1"/>
  <c r="L526" i="2"/>
  <c r="N526" i="2" s="1"/>
  <c r="L905" i="2"/>
  <c r="N905" i="2" s="1"/>
  <c r="L1288" i="2"/>
  <c r="N1288" i="2" s="1"/>
  <c r="L59" i="2"/>
  <c r="N59" i="2" s="1"/>
  <c r="L60" i="2"/>
  <c r="N60" i="2" s="1"/>
  <c r="L527" i="2"/>
  <c r="N527" i="2" s="1"/>
  <c r="L1630" i="2"/>
  <c r="N1630" i="2" s="1"/>
  <c r="L363" i="2"/>
  <c r="N363" i="2" s="1"/>
  <c r="L1173" i="2"/>
  <c r="N1173" i="2" s="1"/>
  <c r="L1174" i="2"/>
  <c r="N1174" i="2" s="1"/>
  <c r="L1289" i="2"/>
  <c r="N1289" i="2" s="1"/>
  <c r="L528" i="2"/>
  <c r="N528" i="2" s="1"/>
  <c r="L1824" i="2"/>
  <c r="N1824" i="2" s="1"/>
  <c r="L747" i="2"/>
  <c r="N747" i="2" s="1"/>
  <c r="L174" i="2"/>
  <c r="N174" i="2" s="1"/>
  <c r="L8" i="2"/>
  <c r="N8" i="2" s="1"/>
  <c r="L1825" i="2"/>
  <c r="N1825" i="2" s="1"/>
  <c r="L1826" i="2"/>
  <c r="N1826" i="2" s="1"/>
  <c r="L1827" i="2"/>
  <c r="N1827" i="2" s="1"/>
  <c r="L988" i="2"/>
  <c r="L906" i="2"/>
  <c r="N906" i="2" s="1"/>
  <c r="L1828" i="2"/>
  <c r="N1828" i="2" s="1"/>
  <c r="L529" i="2"/>
  <c r="N529" i="2" s="1"/>
  <c r="L530" i="2"/>
  <c r="N530" i="2" s="1"/>
  <c r="L1175" i="2"/>
  <c r="N1175" i="2" s="1"/>
  <c r="L907" i="2"/>
  <c r="N907" i="2" s="1"/>
  <c r="L716" i="2"/>
  <c r="N716" i="2" s="1"/>
  <c r="L748" i="2"/>
  <c r="N748" i="2" s="1"/>
  <c r="L61" i="2"/>
  <c r="N61" i="2" s="1"/>
  <c r="L531" i="2"/>
  <c r="N531" i="2" s="1"/>
  <c r="L1829" i="2"/>
  <c r="N1829" i="2" s="1"/>
  <c r="L1176" i="2"/>
  <c r="N1176" i="2" s="1"/>
  <c r="L1830" i="2"/>
  <c r="N1830" i="2" s="1"/>
  <c r="L895" i="2"/>
  <c r="N895" i="2" s="1"/>
  <c r="L1831" i="2"/>
  <c r="N1831" i="2" s="1"/>
  <c r="L62" i="2"/>
  <c r="N62" i="2" s="1"/>
  <c r="L1832" i="2"/>
  <c r="N1832" i="2" s="1"/>
  <c r="L702" i="2"/>
  <c r="N702" i="2" s="1"/>
  <c r="L1833" i="2"/>
  <c r="N1833" i="2" s="1"/>
  <c r="L1177" i="2"/>
  <c r="N1177" i="2" s="1"/>
  <c r="L532" i="2"/>
  <c r="N532" i="2" s="1"/>
  <c r="L1178" i="2"/>
  <c r="N1178" i="2" s="1"/>
  <c r="L63" i="2"/>
  <c r="N63" i="2" s="1"/>
  <c r="L15" i="2"/>
  <c r="N15" i="2" s="1"/>
  <c r="L749" i="2"/>
  <c r="N749" i="2" s="1"/>
  <c r="L533" i="2"/>
  <c r="N533" i="2" s="1"/>
  <c r="L1290" i="2"/>
  <c r="N1290" i="2" s="1"/>
  <c r="L64" i="2"/>
  <c r="N64" i="2" s="1"/>
  <c r="L750" i="2"/>
  <c r="N750" i="2" s="1"/>
  <c r="L26" i="2"/>
  <c r="N26" i="2" s="1"/>
  <c r="L65" i="2"/>
  <c r="N65" i="2" s="1"/>
  <c r="L4" i="2"/>
  <c r="N4" i="2" s="1"/>
  <c r="L9" i="2"/>
  <c r="N9" i="2" s="1"/>
  <c r="L1672" i="2"/>
  <c r="N1672" i="2" s="1"/>
  <c r="L989" i="2"/>
  <c r="N989" i="2" s="1"/>
  <c r="L1179" i="2"/>
  <c r="N1179" i="2" s="1"/>
  <c r="L751" i="2"/>
  <c r="N751" i="2" s="1"/>
  <c r="L66" i="2"/>
  <c r="N66" i="2" s="1"/>
  <c r="L752" i="2"/>
  <c r="N752" i="2" s="1"/>
  <c r="L382" i="2"/>
  <c r="N382" i="2" s="1"/>
  <c r="L1513" i="2"/>
  <c r="N1513" i="2" s="1"/>
  <c r="L1834" i="2"/>
  <c r="N1834" i="2" s="1"/>
  <c r="L1727" i="2"/>
  <c r="N1727" i="2" s="1"/>
  <c r="L1291" i="2"/>
  <c r="N1291" i="2" s="1"/>
  <c r="L175" i="2"/>
  <c r="N175" i="2" s="1"/>
  <c r="L990" i="2"/>
  <c r="N990" i="2" s="1"/>
  <c r="L67" i="2"/>
  <c r="N67" i="2" s="1"/>
  <c r="L176" i="2"/>
  <c r="N176" i="2" s="1"/>
  <c r="L1673" i="2"/>
  <c r="N1673" i="2" s="1"/>
  <c r="L177" i="2"/>
  <c r="N177" i="2" s="1"/>
  <c r="L68" i="2"/>
  <c r="N68" i="2" s="1"/>
  <c r="L69" i="2"/>
  <c r="N69" i="2" s="1"/>
  <c r="L70" i="2"/>
  <c r="N70" i="2" s="1"/>
  <c r="L717" i="2"/>
  <c r="N717" i="2" s="1"/>
  <c r="L1835" i="2"/>
  <c r="N1835" i="2" s="1"/>
  <c r="L10" i="2"/>
  <c r="N10" i="2" s="1"/>
  <c r="L1836" i="2"/>
  <c r="N1836" i="2" s="1"/>
  <c r="L30" i="2"/>
  <c r="N30" i="2" s="1"/>
  <c r="L71" i="2"/>
  <c r="N71" i="2" s="1"/>
  <c r="L1837" i="2"/>
  <c r="N1837" i="2" s="1"/>
  <c r="L1180" i="2"/>
  <c r="N1180" i="2" s="1"/>
  <c r="L1631" i="2"/>
  <c r="N1631" i="2" s="1"/>
  <c r="L72" i="2"/>
  <c r="N72" i="2" s="1"/>
  <c r="L73" i="2"/>
  <c r="N73" i="2" s="1"/>
  <c r="L364" i="2"/>
  <c r="N364" i="2" s="1"/>
  <c r="L1838" i="2"/>
  <c r="N1838" i="2" s="1"/>
  <c r="L718" i="2"/>
  <c r="N718" i="2" s="1"/>
  <c r="L1514" i="2"/>
  <c r="N1514" i="2" s="1"/>
  <c r="L896" i="2"/>
  <c r="N896" i="2" s="1"/>
  <c r="L753" i="2"/>
  <c r="N753" i="2" s="1"/>
  <c r="L469" i="2"/>
  <c r="N469" i="2" s="1"/>
  <c r="L74" i="2"/>
  <c r="N74" i="2" s="1"/>
  <c r="L1515" i="2"/>
  <c r="N1515" i="2" s="1"/>
  <c r="L1632" i="2"/>
  <c r="N1632" i="2" s="1"/>
  <c r="L5" i="2"/>
  <c r="N5" i="2" s="1"/>
  <c r="L754" i="2"/>
  <c r="N754" i="2" s="1"/>
  <c r="L75" i="2"/>
  <c r="N75" i="2" s="1"/>
  <c r="L534" i="2"/>
  <c r="N534" i="2" s="1"/>
  <c r="L991" i="2"/>
  <c r="N991" i="2" s="1"/>
  <c r="L1516" i="2"/>
  <c r="N1516" i="2" s="1"/>
  <c r="L755" i="2"/>
  <c r="N755" i="2" s="1"/>
  <c r="L535" i="2"/>
  <c r="N535" i="2" s="1"/>
  <c r="L76" i="2"/>
  <c r="N76" i="2" s="1"/>
  <c r="L1839" i="2"/>
  <c r="N1839" i="2" s="1"/>
  <c r="L536" i="2"/>
  <c r="N536" i="2" s="1"/>
  <c r="L1840" i="2"/>
  <c r="N1840" i="2" s="1"/>
  <c r="L537" i="2"/>
  <c r="N537" i="2" s="1"/>
  <c r="L908" i="2"/>
  <c r="N908" i="2" s="1"/>
  <c r="L1292" i="2"/>
  <c r="N1292" i="2" s="1"/>
  <c r="L359" i="2"/>
  <c r="N359" i="2" s="1"/>
  <c r="L1841" i="2"/>
  <c r="N1841" i="2" s="1"/>
  <c r="L11" i="2"/>
  <c r="N11" i="2" s="1"/>
  <c r="L178" i="2"/>
  <c r="N178" i="2" s="1"/>
  <c r="L1293" i="2"/>
  <c r="N1293" i="2" s="1"/>
  <c r="L703" i="2"/>
  <c r="N703" i="2" s="1"/>
  <c r="L909" i="2"/>
  <c r="N909" i="2" s="1"/>
  <c r="L992" i="2"/>
  <c r="N992" i="2" s="1"/>
  <c r="L383" i="2"/>
  <c r="N383" i="2" s="1"/>
  <c r="L77" i="2"/>
  <c r="N77" i="2" s="1"/>
  <c r="L897" i="2"/>
  <c r="N897" i="2" s="1"/>
  <c r="L179" i="2"/>
  <c r="N179" i="2" s="1"/>
  <c r="L1294" i="2"/>
  <c r="N1294" i="2" s="1"/>
  <c r="L13" i="2"/>
  <c r="N13" i="2" s="1"/>
  <c r="L78" i="2"/>
  <c r="N78" i="2" s="1"/>
  <c r="L79" i="2"/>
  <c r="N79" i="2" s="1"/>
  <c r="L1181" i="2"/>
  <c r="N1181" i="2" s="1"/>
  <c r="L1182" i="2"/>
  <c r="N1182" i="2" s="1"/>
  <c r="L1295" i="2"/>
  <c r="N1295" i="2" s="1"/>
  <c r="L756" i="2"/>
  <c r="N756" i="2" s="1"/>
  <c r="L1674" i="2"/>
  <c r="N1674" i="2" s="1"/>
  <c r="L1842" i="2"/>
  <c r="N1842" i="2" s="1"/>
  <c r="L384" i="2"/>
  <c r="N384" i="2" s="1"/>
  <c r="L1296" i="2"/>
  <c r="N1296" i="2" s="1"/>
  <c r="L180" i="2"/>
  <c r="N180" i="2" s="1"/>
  <c r="L1297" i="2"/>
  <c r="N1297" i="2" s="1"/>
  <c r="L12" i="2"/>
  <c r="N12" i="2" s="1"/>
  <c r="L719" i="2"/>
  <c r="N719" i="2" s="1"/>
  <c r="L910" i="2"/>
  <c r="N910" i="2" s="1"/>
  <c r="L1843" i="2"/>
  <c r="N1843" i="2" s="1"/>
  <c r="L911" i="2"/>
  <c r="N911" i="2" s="1"/>
  <c r="L80" i="2"/>
  <c r="N80" i="2" s="1"/>
  <c r="L1108" i="2"/>
  <c r="N1108" i="2" s="1"/>
  <c r="L1633" i="2"/>
  <c r="N1633" i="2" s="1"/>
  <c r="L912" i="2"/>
  <c r="N912" i="2" s="1"/>
  <c r="L81" i="2"/>
  <c r="N81" i="2" s="1"/>
  <c r="L385" i="2"/>
  <c r="N385" i="2" s="1"/>
  <c r="L14" i="2"/>
  <c r="N14" i="2" s="1"/>
  <c r="L1844" i="2"/>
  <c r="N1844" i="2" s="1"/>
  <c r="L1183" i="2"/>
  <c r="N1183" i="2" s="1"/>
  <c r="L360" i="2"/>
  <c r="N360" i="2" s="1"/>
  <c r="L898" i="2"/>
  <c r="N898" i="2" s="1"/>
  <c r="L1845" i="2"/>
  <c r="N1845" i="2" s="1"/>
  <c r="L27" i="2"/>
  <c r="N27" i="2" s="1"/>
  <c r="L82" i="2"/>
  <c r="N82" i="2" s="1"/>
  <c r="L1298" i="2"/>
  <c r="N1298" i="2" s="1"/>
  <c r="L83" i="2"/>
  <c r="N83" i="2" s="1"/>
  <c r="L1846" i="2"/>
  <c r="N1846" i="2" s="1"/>
  <c r="L1847" i="2"/>
  <c r="N1847" i="2" s="1"/>
  <c r="L757" i="2"/>
  <c r="N757" i="2" s="1"/>
  <c r="L758" i="2"/>
  <c r="N758" i="2" s="1"/>
  <c r="L84" i="2"/>
  <c r="N84" i="2" s="1"/>
  <c r="L85" i="2"/>
  <c r="N85" i="2" s="1"/>
  <c r="L470" i="2"/>
  <c r="N470" i="2" s="1"/>
  <c r="L471" i="2"/>
  <c r="N471" i="2" s="1"/>
  <c r="L86" i="2"/>
  <c r="N86" i="2" s="1"/>
  <c r="L365" i="2"/>
  <c r="N365" i="2" s="1"/>
  <c r="L181" i="2"/>
  <c r="N181" i="2" s="1"/>
  <c r="L1517" i="2"/>
  <c r="N1517" i="2" s="1"/>
  <c r="L87" i="2"/>
  <c r="N87" i="2" s="1"/>
  <c r="L1299" i="2"/>
  <c r="N1299" i="2" s="1"/>
  <c r="L1300" i="2"/>
  <c r="N1300" i="2" s="1"/>
  <c r="L759" i="2"/>
  <c r="N759" i="2" s="1"/>
  <c r="L1728" i="2"/>
  <c r="N1728" i="2" s="1"/>
  <c r="L1184" i="2"/>
  <c r="N1184" i="2" s="1"/>
  <c r="L1848" i="2"/>
  <c r="N1848" i="2" s="1"/>
  <c r="L913" i="2"/>
  <c r="N913" i="2" s="1"/>
  <c r="L1185" i="2"/>
  <c r="N1185" i="2" s="1"/>
  <c r="L28" i="2"/>
  <c r="N28" i="2" s="1"/>
  <c r="L1109" i="2"/>
  <c r="N1109" i="2" s="1"/>
  <c r="L1849" i="2"/>
  <c r="N1849" i="2" s="1"/>
  <c r="L366" i="2"/>
  <c r="N366" i="2" s="1"/>
  <c r="L1850" i="2"/>
  <c r="N1850" i="2" s="1"/>
  <c r="L1301" i="2"/>
  <c r="N1301" i="2" s="1"/>
  <c r="L182" i="2"/>
  <c r="N182" i="2" s="1"/>
  <c r="L183" i="2"/>
  <c r="N183" i="2" s="1"/>
  <c r="L184" i="2"/>
  <c r="N184" i="2" s="1"/>
  <c r="L760" i="2"/>
  <c r="N760" i="2" s="1"/>
  <c r="L369" i="2"/>
  <c r="N369" i="2" s="1"/>
  <c r="L1729" i="2"/>
  <c r="N1729" i="2" s="1"/>
  <c r="L1186" i="2"/>
  <c r="N1186" i="2" s="1"/>
  <c r="L472" i="2"/>
  <c r="N472" i="2" s="1"/>
  <c r="L1187" i="2"/>
  <c r="N1187" i="2" s="1"/>
  <c r="L1188" i="2"/>
  <c r="N1188" i="2" s="1"/>
  <c r="L720" i="2"/>
  <c r="N720" i="2" s="1"/>
  <c r="L1110" i="2"/>
  <c r="N1110" i="2" s="1"/>
  <c r="L1518" i="2"/>
  <c r="N1518" i="2" s="1"/>
  <c r="L1189" i="2"/>
  <c r="N1189" i="2" s="1"/>
  <c r="L1851" i="2"/>
  <c r="N1851" i="2" s="1"/>
  <c r="L88" i="2"/>
  <c r="N88" i="2" s="1"/>
  <c r="L721" i="2"/>
  <c r="N721" i="2" s="1"/>
  <c r="L1519" i="2"/>
  <c r="N1519" i="2" s="1"/>
  <c r="L538" i="2"/>
  <c r="N538" i="2" s="1"/>
  <c r="L367" i="2"/>
  <c r="N367" i="2" s="1"/>
  <c r="L539" i="2"/>
  <c r="N539" i="2" s="1"/>
  <c r="L368" i="2"/>
  <c r="N368" i="2" s="1"/>
  <c r="L722" i="2"/>
  <c r="N722" i="2" s="1"/>
  <c r="L1852" i="2"/>
  <c r="N1852" i="2" s="1"/>
  <c r="L914" i="2"/>
  <c r="N914" i="2" s="1"/>
  <c r="L185" i="2"/>
  <c r="N185" i="2" s="1"/>
  <c r="L1302" i="2"/>
  <c r="N1302" i="2" s="1"/>
  <c r="L1853" i="2"/>
  <c r="N1853" i="2" s="1"/>
  <c r="L1854" i="2"/>
  <c r="N1854" i="2" s="1"/>
  <c r="L1303" i="2"/>
  <c r="N1303" i="2" s="1"/>
  <c r="L723" i="2"/>
  <c r="N723" i="2" s="1"/>
  <c r="L370" i="2"/>
  <c r="N370" i="2" s="1"/>
  <c r="L89" i="2"/>
  <c r="N89" i="2" s="1"/>
  <c r="L186" i="2"/>
  <c r="N186" i="2" s="1"/>
  <c r="L761" i="2"/>
  <c r="N761" i="2" s="1"/>
  <c r="L6" i="2"/>
  <c r="N6" i="2" s="1"/>
  <c r="L1190" i="2"/>
  <c r="N1190" i="2" s="1"/>
  <c r="L1111" i="2"/>
  <c r="N1111" i="2" s="1"/>
  <c r="L1855" i="2"/>
  <c r="N1855" i="2" s="1"/>
  <c r="L1437" i="2"/>
  <c r="N1437" i="2" s="1"/>
  <c r="L187" i="2"/>
  <c r="N187" i="2" s="1"/>
  <c r="L993" i="2"/>
  <c r="N993" i="2" s="1"/>
  <c r="L188" i="2"/>
  <c r="N188" i="2" s="1"/>
  <c r="L540" i="2"/>
  <c r="N540" i="2" s="1"/>
  <c r="L90" i="2"/>
  <c r="N90" i="2" s="1"/>
  <c r="L91" i="2"/>
  <c r="N91" i="2" s="1"/>
  <c r="L915" i="2"/>
  <c r="N915" i="2" s="1"/>
  <c r="L1856" i="2"/>
  <c r="N1856" i="2" s="1"/>
  <c r="L1191" i="2"/>
  <c r="N1191" i="2" s="1"/>
  <c r="L92" i="2"/>
  <c r="N92" i="2" s="1"/>
  <c r="L1192" i="2"/>
  <c r="N1192" i="2" s="1"/>
  <c r="L1112" i="2"/>
  <c r="N1112" i="2" s="1"/>
  <c r="L189" i="2"/>
  <c r="N189" i="2" s="1"/>
  <c r="L190" i="2"/>
  <c r="N190" i="2" s="1"/>
  <c r="L191" i="2"/>
  <c r="N191" i="2" s="1"/>
  <c r="L192" i="2"/>
  <c r="N192" i="2" s="1"/>
  <c r="L1304" i="2"/>
  <c r="N1304" i="2" s="1"/>
  <c r="L193" i="2"/>
  <c r="N193" i="2" s="1"/>
  <c r="L93" i="2"/>
  <c r="N93" i="2" s="1"/>
  <c r="L1857" i="2"/>
  <c r="N1857" i="2" s="1"/>
  <c r="L94" i="2"/>
  <c r="N94" i="2" s="1"/>
  <c r="L1858" i="2"/>
  <c r="N1858" i="2" s="1"/>
  <c r="L1859" i="2"/>
  <c r="N1859" i="2" s="1"/>
  <c r="L1305" i="2"/>
  <c r="N1305" i="2" s="1"/>
  <c r="L916" i="2"/>
  <c r="N916" i="2" s="1"/>
  <c r="L95" i="2"/>
  <c r="N95" i="2" s="1"/>
  <c r="L1860" i="2"/>
  <c r="N1860" i="2" s="1"/>
  <c r="L917" i="2"/>
  <c r="N917" i="2" s="1"/>
  <c r="L1438" i="2"/>
  <c r="N1438" i="2" s="1"/>
  <c r="L1861" i="2"/>
  <c r="N1861" i="2" s="1"/>
  <c r="L994" i="2"/>
  <c r="N994" i="2" s="1"/>
  <c r="L762" i="2"/>
  <c r="N762" i="2" s="1"/>
  <c r="L96" i="2"/>
  <c r="N96" i="2" s="1"/>
  <c r="L1675" i="2"/>
  <c r="N1675" i="2" s="1"/>
  <c r="L395" i="2"/>
  <c r="N395" i="2" s="1"/>
  <c r="L97" i="2"/>
  <c r="N97" i="2" s="1"/>
  <c r="L541" i="2"/>
  <c r="N541" i="2" s="1"/>
  <c r="L1862" i="2"/>
  <c r="N1862" i="2" s="1"/>
  <c r="L98" i="2"/>
  <c r="N98" i="2" s="1"/>
  <c r="L860" i="2"/>
  <c r="N860" i="2" s="1"/>
  <c r="L918" i="2"/>
  <c r="N918" i="2" s="1"/>
  <c r="L99" i="2"/>
  <c r="N99" i="2" s="1"/>
  <c r="L1863" i="2"/>
  <c r="N1863" i="2" s="1"/>
  <c r="L1676" i="2"/>
  <c r="N1676" i="2" s="1"/>
  <c r="L1263" i="2"/>
  <c r="N1263" i="2" s="1"/>
  <c r="L1864" i="2"/>
  <c r="N1864" i="2" s="1"/>
  <c r="L1865" i="2"/>
  <c r="N1865" i="2" s="1"/>
  <c r="L1866" i="2"/>
  <c r="N1866" i="2" s="1"/>
  <c r="L1867" i="2"/>
  <c r="N1867" i="2" s="1"/>
  <c r="L1868" i="2"/>
  <c r="N1868" i="2" s="1"/>
  <c r="L100" i="2"/>
  <c r="N100" i="2" s="1"/>
  <c r="L101" i="2"/>
  <c r="N101" i="2" s="1"/>
  <c r="L1869" i="2"/>
  <c r="N1869" i="2" s="1"/>
  <c r="L1870" i="2"/>
  <c r="N1870" i="2" s="1"/>
  <c r="L1871" i="2"/>
  <c r="N1871" i="2" s="1"/>
  <c r="L1872" i="2"/>
  <c r="N1872" i="2" s="1"/>
  <c r="L1472" i="2"/>
  <c r="N1472" i="2" s="1"/>
  <c r="L1520" i="2"/>
  <c r="N1520" i="2" s="1"/>
  <c r="L1521" i="2"/>
  <c r="N1521" i="2" s="1"/>
  <c r="L1873" i="2"/>
  <c r="N1873" i="2" s="1"/>
  <c r="L1677" i="2"/>
  <c r="N1677" i="2" s="1"/>
  <c r="L1874" i="2"/>
  <c r="N1874" i="2" s="1"/>
  <c r="L1730" i="2"/>
  <c r="N1730" i="2" s="1"/>
  <c r="L1731" i="2"/>
  <c r="N1731" i="2" s="1"/>
  <c r="L102" i="2"/>
  <c r="N102" i="2" s="1"/>
  <c r="L1264" i="2"/>
  <c r="N1264" i="2" s="1"/>
  <c r="L1875" i="2"/>
  <c r="N1875" i="2" s="1"/>
  <c r="L103" i="2"/>
  <c r="N103" i="2" s="1"/>
  <c r="L1306" i="2"/>
  <c r="N1306" i="2" s="1"/>
  <c r="L1732" i="2"/>
  <c r="N1732" i="2" s="1"/>
  <c r="L104" i="2"/>
  <c r="N104" i="2" s="1"/>
  <c r="L728" i="2"/>
  <c r="N728" i="2" s="1"/>
  <c r="L1876" i="2"/>
  <c r="N1876" i="2" s="1"/>
  <c r="L1678" i="2"/>
  <c r="N1678" i="2" s="1"/>
  <c r="L1877" i="2"/>
  <c r="N1877" i="2" s="1"/>
  <c r="L1878" i="2"/>
  <c r="N1878" i="2" s="1"/>
  <c r="L105" i="2"/>
  <c r="N105" i="2" s="1"/>
  <c r="L1879" i="2"/>
  <c r="N1879" i="2" s="1"/>
  <c r="L1880" i="2"/>
  <c r="N1880" i="2" s="1"/>
  <c r="L1881" i="2"/>
  <c r="N1881" i="2" s="1"/>
  <c r="L1882" i="2"/>
  <c r="N1882" i="2" s="1"/>
  <c r="L1883" i="2"/>
  <c r="N1883" i="2" s="1"/>
  <c r="L1884" i="2"/>
  <c r="N1884" i="2" s="1"/>
  <c r="L1193" i="2"/>
  <c r="N1193" i="2" s="1"/>
  <c r="L861" i="2"/>
  <c r="N861" i="2" s="1"/>
  <c r="L1885" i="2"/>
  <c r="N1885" i="2" s="1"/>
  <c r="L1886" i="2"/>
  <c r="N1886" i="2" s="1"/>
  <c r="L1887" i="2"/>
  <c r="N1887" i="2" s="1"/>
  <c r="L862" i="2"/>
  <c r="N862" i="2" s="1"/>
  <c r="L1888" i="2"/>
  <c r="N1888" i="2" s="1"/>
  <c r="L919" i="2"/>
  <c r="N919" i="2" s="1"/>
  <c r="L1889" i="2"/>
  <c r="N1889" i="2" s="1"/>
  <c r="L106" i="2"/>
  <c r="N106" i="2" s="1"/>
  <c r="L1890" i="2"/>
  <c r="N1890" i="2" s="1"/>
  <c r="L1891" i="2"/>
  <c r="N1891" i="2" s="1"/>
  <c r="L1892" i="2"/>
  <c r="N1892" i="2" s="1"/>
  <c r="L1893" i="2"/>
  <c r="N1893" i="2" s="1"/>
  <c r="L1894" i="2"/>
  <c r="N1894" i="2" s="1"/>
  <c r="L1895" i="2"/>
  <c r="N1895" i="2" s="1"/>
  <c r="L1679" i="2"/>
  <c r="N1679" i="2" s="1"/>
  <c r="L1896" i="2"/>
  <c r="N1896" i="2" s="1"/>
  <c r="L1897" i="2"/>
  <c r="N1897" i="2" s="1"/>
  <c r="L1898" i="2"/>
  <c r="N1898" i="2" s="1"/>
  <c r="L1899" i="2"/>
  <c r="N1899" i="2" s="1"/>
  <c r="L1900" i="2"/>
  <c r="N1900" i="2" s="1"/>
  <c r="L1307" i="2"/>
  <c r="N1307" i="2" s="1"/>
  <c r="L995" i="2"/>
  <c r="N995" i="2" s="1"/>
  <c r="L843" i="2"/>
  <c r="N843" i="2" s="1"/>
  <c r="L763" i="2"/>
  <c r="N763" i="2" s="1"/>
  <c r="L1733" i="2"/>
  <c r="N1733" i="2" s="1"/>
  <c r="L996" i="2"/>
  <c r="N996" i="2" s="1"/>
  <c r="L1901" i="2"/>
  <c r="N1901" i="2" s="1"/>
  <c r="L1902" i="2"/>
  <c r="N1902" i="2" s="1"/>
  <c r="L920" i="2"/>
  <c r="N920" i="2" s="1"/>
  <c r="L1265" i="2"/>
  <c r="N1265" i="2" s="1"/>
  <c r="L1194" i="2"/>
  <c r="N1194" i="2" s="1"/>
  <c r="L1522" i="2"/>
  <c r="N1522" i="2" s="1"/>
  <c r="L1903" i="2"/>
  <c r="N1903" i="2" s="1"/>
  <c r="L1308" i="2"/>
  <c r="N1308" i="2" s="1"/>
  <c r="L1473" i="2"/>
  <c r="N1473" i="2" s="1"/>
  <c r="L1523" i="2"/>
  <c r="N1523" i="2" s="1"/>
  <c r="L1680" i="2"/>
  <c r="N1680" i="2" s="1"/>
  <c r="L1904" i="2"/>
  <c r="N1904" i="2" s="1"/>
  <c r="L729" i="2"/>
  <c r="N729" i="2" s="1"/>
  <c r="L1905" i="2"/>
  <c r="N1905" i="2" s="1"/>
  <c r="L1309" i="2"/>
  <c r="N1309" i="2" s="1"/>
  <c r="L1906" i="2"/>
  <c r="N1906" i="2" s="1"/>
  <c r="L1907" i="2"/>
  <c r="N1907" i="2" s="1"/>
  <c r="L1524" i="2"/>
  <c r="N1524" i="2" s="1"/>
  <c r="L1908" i="2"/>
  <c r="N1908" i="2" s="1"/>
  <c r="L1909" i="2"/>
  <c r="N1909" i="2" s="1"/>
  <c r="L997" i="2"/>
  <c r="N997" i="2" s="1"/>
  <c r="L1910" i="2"/>
  <c r="N1910" i="2" s="1"/>
  <c r="L1911" i="2"/>
  <c r="N1911" i="2" s="1"/>
  <c r="L1734" i="2"/>
  <c r="N1734" i="2" s="1"/>
  <c r="L107" i="2"/>
  <c r="N107" i="2" s="1"/>
  <c r="L1912" i="2"/>
  <c r="N1912" i="2" s="1"/>
  <c r="L863" i="2"/>
  <c r="N863" i="2" s="1"/>
  <c r="L864" i="2"/>
  <c r="N864" i="2" s="1"/>
  <c r="L844" i="2"/>
  <c r="N844" i="2" s="1"/>
  <c r="L921" i="2"/>
  <c r="L1913" i="2"/>
  <c r="N1913" i="2" s="1"/>
  <c r="L1914" i="2"/>
  <c r="N1914" i="2" s="1"/>
  <c r="L1310" i="2"/>
  <c r="N1310" i="2" s="1"/>
  <c r="L1915" i="2"/>
  <c r="N1915" i="2" s="1"/>
  <c r="L396" i="2"/>
  <c r="N396" i="2" s="1"/>
  <c r="L1916" i="2"/>
  <c r="N1916" i="2" s="1"/>
  <c r="L764" i="2"/>
  <c r="N764" i="2" s="1"/>
  <c r="L108" i="2"/>
  <c r="N108" i="2" s="1"/>
  <c r="L1681" i="2"/>
  <c r="N1681" i="2" s="1"/>
  <c r="L1917" i="2"/>
  <c r="N1917" i="2" s="1"/>
  <c r="L1918" i="2"/>
  <c r="N1918" i="2" s="1"/>
  <c r="L865" i="2"/>
  <c r="N865" i="2" s="1"/>
  <c r="L1735" i="2"/>
  <c r="N1735" i="2" s="1"/>
  <c r="L1919" i="2"/>
  <c r="N1919" i="2" s="1"/>
  <c r="L1920" i="2"/>
  <c r="N1920" i="2" s="1"/>
  <c r="L109" i="2"/>
  <c r="N109" i="2" s="1"/>
  <c r="L1195" i="2"/>
  <c r="N1195" i="2" s="1"/>
  <c r="L998" i="2"/>
  <c r="N998" i="2" s="1"/>
  <c r="L1921" i="2"/>
  <c r="N1921" i="2" s="1"/>
  <c r="L542" i="2"/>
  <c r="N542" i="2" s="1"/>
  <c r="L1922" i="2"/>
  <c r="N1922" i="2" s="1"/>
  <c r="L1736" i="2"/>
  <c r="N1736" i="2" s="1"/>
  <c r="L1923" i="2"/>
  <c r="N1923" i="2" s="1"/>
  <c r="L1924" i="2"/>
  <c r="N1924" i="2" s="1"/>
  <c r="L1925" i="2"/>
  <c r="N1925" i="2" s="1"/>
  <c r="L845" i="2"/>
  <c r="N845" i="2" s="1"/>
  <c r="L1926" i="2"/>
  <c r="N1926" i="2" s="1"/>
  <c r="L1927" i="2"/>
  <c r="N1927" i="2" s="1"/>
  <c r="L1928" i="2"/>
  <c r="N1928" i="2" s="1"/>
  <c r="L922" i="2"/>
  <c r="N922" i="2" s="1"/>
  <c r="L110" i="2"/>
  <c r="N110" i="2" s="1"/>
  <c r="L866" i="2"/>
  <c r="N866" i="2" s="1"/>
  <c r="L1929" i="2"/>
  <c r="N1929" i="2" s="1"/>
  <c r="L1682" i="2"/>
  <c r="N1682" i="2" s="1"/>
  <c r="L1930" i="2"/>
  <c r="N1930" i="2" s="1"/>
  <c r="L1931" i="2"/>
  <c r="N1931" i="2" s="1"/>
  <c r="L1932" i="2"/>
  <c r="N1932" i="2" s="1"/>
  <c r="L1933" i="2"/>
  <c r="N1933" i="2" s="1"/>
  <c r="L730" i="2"/>
  <c r="N730" i="2" s="1"/>
  <c r="L111" i="2"/>
  <c r="N111" i="2" s="1"/>
  <c r="L1934" i="2"/>
  <c r="N1934" i="2" s="1"/>
  <c r="L1439" i="2"/>
  <c r="N1439" i="2" s="1"/>
  <c r="L543" i="2"/>
  <c r="N543" i="2" s="1"/>
  <c r="L112" i="2"/>
  <c r="N112" i="2" s="1"/>
  <c r="L544" i="2"/>
  <c r="N544" i="2" s="1"/>
  <c r="L1935" i="2"/>
  <c r="N1935" i="2" s="1"/>
  <c r="L1936" i="2"/>
  <c r="N1936" i="2" s="1"/>
  <c r="L113" i="2"/>
  <c r="N113" i="2" s="1"/>
  <c r="L1937" i="2"/>
  <c r="N1937" i="2" s="1"/>
  <c r="L1938" i="2"/>
  <c r="N1938" i="2" s="1"/>
  <c r="L1474" i="2"/>
  <c r="N1474" i="2" s="1"/>
  <c r="L1939" i="2"/>
  <c r="N1939" i="2" s="1"/>
  <c r="L545" i="2"/>
  <c r="N545" i="2" s="1"/>
  <c r="L1940" i="2"/>
  <c r="N1940" i="2" s="1"/>
  <c r="L1941" i="2"/>
  <c r="N1941" i="2" s="1"/>
  <c r="L1942" i="2"/>
  <c r="N1942" i="2" s="1"/>
  <c r="L397" i="2"/>
  <c r="N397" i="2" s="1"/>
  <c r="L1943" i="2"/>
  <c r="N1943" i="2" s="1"/>
  <c r="L1944" i="2"/>
  <c r="N1944" i="2" s="1"/>
  <c r="L1945" i="2"/>
  <c r="N1945" i="2" s="1"/>
  <c r="L114" i="2"/>
  <c r="N114" i="2" s="1"/>
  <c r="L1946" i="2"/>
  <c r="N1946" i="2" s="1"/>
  <c r="L1475" i="2"/>
  <c r="N1475" i="2" s="1"/>
  <c r="L546" i="2"/>
  <c r="N546" i="2" s="1"/>
  <c r="L846" i="2"/>
  <c r="N846" i="2" s="1"/>
  <c r="L1947" i="2"/>
  <c r="N1947" i="2" s="1"/>
  <c r="L398" i="2"/>
  <c r="N398" i="2" s="1"/>
  <c r="L1948" i="2"/>
  <c r="N1948" i="2" s="1"/>
  <c r="L1266" i="2"/>
  <c r="N1266" i="2" s="1"/>
  <c r="L1949" i="2"/>
  <c r="N1949" i="2" s="1"/>
  <c r="L547" i="2"/>
  <c r="N547" i="2" s="1"/>
  <c r="L548" i="2"/>
  <c r="N548" i="2" s="1"/>
  <c r="L765" i="2"/>
  <c r="N765" i="2" s="1"/>
  <c r="L1476" i="2"/>
  <c r="N1476" i="2" s="1"/>
  <c r="L999" i="2"/>
  <c r="N999" i="2" s="1"/>
  <c r="L1525" i="2"/>
  <c r="N1525" i="2" s="1"/>
  <c r="L1950" i="2"/>
  <c r="N1950" i="2" s="1"/>
  <c r="L1311" i="2"/>
  <c r="N1311" i="2" s="1"/>
  <c r="L1951" i="2"/>
  <c r="N1951" i="2" s="1"/>
  <c r="L1952" i="2"/>
  <c r="N1952" i="2" s="1"/>
  <c r="L1000" i="2"/>
  <c r="N1000" i="2" s="1"/>
  <c r="L1953" i="2"/>
  <c r="N1953" i="2" s="1"/>
  <c r="L867" i="2"/>
  <c r="N867" i="2" s="1"/>
  <c r="L1683" i="2"/>
  <c r="N1683" i="2" s="1"/>
  <c r="L1954" i="2"/>
  <c r="N1954" i="2" s="1"/>
  <c r="L1196" i="2"/>
  <c r="N1196" i="2" s="1"/>
  <c r="L923" i="2"/>
  <c r="N923" i="2" s="1"/>
  <c r="L924" i="2"/>
  <c r="N924" i="2" s="1"/>
  <c r="L549" i="2"/>
  <c r="N549" i="2" s="1"/>
  <c r="L1955" i="2"/>
  <c r="N1955" i="2" s="1"/>
  <c r="L1684" i="2"/>
  <c r="N1684" i="2" s="1"/>
  <c r="L1956" i="2"/>
  <c r="N1956" i="2" s="1"/>
  <c r="L1526" i="2"/>
  <c r="N1526" i="2" s="1"/>
  <c r="L1197" i="2"/>
  <c r="N1197" i="2" s="1"/>
  <c r="L1001" i="2"/>
  <c r="N1001" i="2" s="1"/>
  <c r="L1957" i="2"/>
  <c r="N1957" i="2" s="1"/>
  <c r="L1958" i="2"/>
  <c r="N1958" i="2" s="1"/>
  <c r="L1959" i="2"/>
  <c r="N1959" i="2" s="1"/>
  <c r="L1737" i="2"/>
  <c r="N1737" i="2" s="1"/>
  <c r="L1002" i="2"/>
  <c r="N1002" i="2" s="1"/>
  <c r="L1003" i="2"/>
  <c r="N1003" i="2" s="1"/>
  <c r="L1960" i="2"/>
  <c r="N1960" i="2" s="1"/>
  <c r="L1004" i="2"/>
  <c r="N1004" i="2" s="1"/>
  <c r="L1961" i="2"/>
  <c r="N1961" i="2" s="1"/>
  <c r="L1416" i="2"/>
  <c r="N1416" i="2" s="1"/>
  <c r="L1738" i="2"/>
  <c r="N1738" i="2" s="1"/>
  <c r="L1962" i="2"/>
  <c r="N1962" i="2" s="1"/>
  <c r="L1963" i="2"/>
  <c r="N1963" i="2" s="1"/>
  <c r="L1312" i="2"/>
  <c r="N1312" i="2" s="1"/>
  <c r="L1964" i="2"/>
  <c r="N1964" i="2" s="1"/>
  <c r="L550" i="2"/>
  <c r="N550" i="2" s="1"/>
  <c r="L1313" i="2"/>
  <c r="N1313" i="2" s="1"/>
  <c r="L1440" i="2"/>
  <c r="N1440" i="2" s="1"/>
  <c r="L1005" i="2"/>
  <c r="N1005" i="2" s="1"/>
  <c r="L410" i="2"/>
  <c r="N410" i="2" s="1"/>
  <c r="L1527" i="2"/>
  <c r="N1527" i="2" s="1"/>
  <c r="L766" i="2"/>
  <c r="N766" i="2" s="1"/>
  <c r="L767" i="2"/>
  <c r="N767" i="2" s="1"/>
  <c r="L449" i="2"/>
  <c r="N449" i="2" s="1"/>
  <c r="L1006" i="2"/>
  <c r="N1006" i="2" s="1"/>
  <c r="L1965" i="2"/>
  <c r="N1965" i="2" s="1"/>
  <c r="L1966" i="2"/>
  <c r="N1966" i="2" s="1"/>
  <c r="L115" i="2"/>
  <c r="N115" i="2" s="1"/>
  <c r="L411" i="2"/>
  <c r="N411" i="2" s="1"/>
  <c r="L412" i="2"/>
  <c r="N412" i="2" s="1"/>
  <c r="L116" i="2"/>
  <c r="N116" i="2" s="1"/>
  <c r="L1967" i="2"/>
  <c r="N1967" i="2" s="1"/>
  <c r="L1007" i="2"/>
  <c r="N1007" i="2" s="1"/>
  <c r="L1113" i="2"/>
  <c r="N1113" i="2" s="1"/>
  <c r="L1968" i="2"/>
  <c r="N1968" i="2" s="1"/>
  <c r="L1969" i="2"/>
  <c r="N1969" i="2" s="1"/>
  <c r="L868" i="2"/>
  <c r="N868" i="2" s="1"/>
  <c r="L847" i="2"/>
  <c r="N847" i="2" s="1"/>
  <c r="L1970" i="2"/>
  <c r="N1970" i="2" s="1"/>
  <c r="L551" i="2"/>
  <c r="N551" i="2" s="1"/>
  <c r="L1971" i="2"/>
  <c r="N1971" i="2" s="1"/>
  <c r="L1972" i="2"/>
  <c r="N1972" i="2" s="1"/>
  <c r="L731" i="2"/>
  <c r="N731" i="2" s="1"/>
  <c r="L399" i="2"/>
  <c r="N399" i="2" s="1"/>
  <c r="L1008" i="2"/>
  <c r="N1008" i="2" s="1"/>
  <c r="L1477" i="2"/>
  <c r="N1477" i="2" s="1"/>
  <c r="L1441" i="2"/>
  <c r="N1441" i="2" s="1"/>
  <c r="L1685" i="2"/>
  <c r="N1685" i="2" s="1"/>
  <c r="L1973" i="2"/>
  <c r="N1973" i="2" s="1"/>
  <c r="L552" i="2"/>
  <c r="N552" i="2" s="1"/>
  <c r="L1974" i="2"/>
  <c r="N1974" i="2" s="1"/>
  <c r="L450" i="2"/>
  <c r="N450" i="2" s="1"/>
  <c r="L1975" i="2"/>
  <c r="N1975" i="2" s="1"/>
  <c r="L1976" i="2"/>
  <c r="N1976" i="2" s="1"/>
  <c r="L413" i="2"/>
  <c r="N413" i="2" s="1"/>
  <c r="L1977" i="2"/>
  <c r="N1977" i="2" s="1"/>
  <c r="L1978" i="2"/>
  <c r="N1978" i="2" s="1"/>
  <c r="L553" i="2"/>
  <c r="N553" i="2" s="1"/>
  <c r="L1528" i="2"/>
  <c r="N1528" i="2" s="1"/>
  <c r="L1529" i="2"/>
  <c r="N1529" i="2" s="1"/>
  <c r="L1979" i="2"/>
  <c r="N1979" i="2" s="1"/>
  <c r="L1980" i="2"/>
  <c r="N1980" i="2" s="1"/>
  <c r="L117" i="2"/>
  <c r="N117" i="2" s="1"/>
  <c r="L1314" i="2"/>
  <c r="N1314" i="2" s="1"/>
  <c r="L1981" i="2"/>
  <c r="N1981" i="2" s="1"/>
  <c r="L1982" i="2"/>
  <c r="N1982" i="2" s="1"/>
  <c r="L1983" i="2"/>
  <c r="N1983" i="2" s="1"/>
  <c r="L1442" i="2"/>
  <c r="N1442" i="2" s="1"/>
  <c r="L1443" i="2"/>
  <c r="N1443" i="2" s="1"/>
  <c r="L1984" i="2"/>
  <c r="N1984" i="2" s="1"/>
  <c r="L1985" i="2"/>
  <c r="N1985" i="2" s="1"/>
  <c r="L1739" i="2"/>
  <c r="N1739" i="2" s="1"/>
  <c r="L1986" i="2"/>
  <c r="N1986" i="2" s="1"/>
  <c r="L451" i="2"/>
  <c r="N451" i="2" s="1"/>
  <c r="L1987" i="2"/>
  <c r="N1987" i="2" s="1"/>
  <c r="L452" i="2"/>
  <c r="N452" i="2" s="1"/>
  <c r="L1530" i="2"/>
  <c r="N1530" i="2" s="1"/>
  <c r="L453" i="2"/>
  <c r="N453" i="2" s="1"/>
  <c r="L1988" i="2"/>
  <c r="N1988" i="2" s="1"/>
  <c r="L1444" i="2"/>
  <c r="N1444" i="2" s="1"/>
  <c r="L1989" i="2"/>
  <c r="N1989" i="2" s="1"/>
  <c r="L1990" i="2"/>
  <c r="N1990" i="2" s="1"/>
  <c r="L1991" i="2"/>
  <c r="N1991" i="2" s="1"/>
  <c r="L1992" i="2"/>
  <c r="N1992" i="2" s="1"/>
  <c r="L1478" i="2"/>
  <c r="N1478" i="2" s="1"/>
  <c r="L1009" i="2"/>
  <c r="N1009" i="2" s="1"/>
  <c r="L454" i="2"/>
  <c r="N454" i="2" s="1"/>
  <c r="L1993" i="2"/>
  <c r="N1993" i="2" s="1"/>
  <c r="L1010" i="2"/>
  <c r="N1010" i="2" s="1"/>
  <c r="L768" i="2"/>
  <c r="N768" i="2" s="1"/>
  <c r="L554" i="2"/>
  <c r="N554" i="2" s="1"/>
  <c r="L1198" i="2"/>
  <c r="N1198" i="2" s="1"/>
  <c r="L455" i="2"/>
  <c r="N455" i="2" s="1"/>
  <c r="L1994" i="2"/>
  <c r="N1994" i="2" s="1"/>
  <c r="L1995" i="2"/>
  <c r="N1995" i="2" s="1"/>
  <c r="L1199" i="2"/>
  <c r="N1199" i="2" s="1"/>
  <c r="L118" i="2"/>
  <c r="N118" i="2" s="1"/>
  <c r="L1996" i="2"/>
  <c r="N1996" i="2" s="1"/>
  <c r="L1997" i="2"/>
  <c r="N1997" i="2" s="1"/>
  <c r="L1998" i="2"/>
  <c r="N1998" i="2" s="1"/>
  <c r="L925" i="2"/>
  <c r="N925" i="2" s="1"/>
  <c r="L1531" i="2"/>
  <c r="N1531" i="2" s="1"/>
  <c r="L555" i="2"/>
  <c r="N555" i="2" s="1"/>
  <c r="L556" i="2"/>
  <c r="N556" i="2" s="1"/>
  <c r="L1267" i="2"/>
  <c r="N1267" i="2" s="1"/>
  <c r="L1315" i="2"/>
  <c r="N1315" i="2" s="1"/>
  <c r="L1999" i="2"/>
  <c r="N1999" i="2" s="1"/>
  <c r="L2000" i="2"/>
  <c r="N2000" i="2" s="1"/>
  <c r="L2001" i="2"/>
  <c r="N2001" i="2" s="1"/>
  <c r="L557" i="2"/>
  <c r="N557" i="2" s="1"/>
  <c r="L2002" i="2"/>
  <c r="N2002" i="2" s="1"/>
  <c r="L1200" i="2"/>
  <c r="N1200" i="2" s="1"/>
  <c r="L2003" i="2"/>
  <c r="N2003" i="2" s="1"/>
  <c r="L1740" i="2"/>
  <c r="N1740" i="2" s="1"/>
  <c r="L2004" i="2"/>
  <c r="N2004" i="2" s="1"/>
  <c r="L2005" i="2"/>
  <c r="N2005" i="2" s="1"/>
  <c r="L1479" i="2"/>
  <c r="N1479" i="2" s="1"/>
  <c r="L2006" i="2"/>
  <c r="N2006" i="2" s="1"/>
  <c r="L2007" i="2"/>
  <c r="N2007" i="2" s="1"/>
  <c r="L1480" i="2"/>
  <c r="N1480" i="2" s="1"/>
  <c r="L869" i="2"/>
  <c r="N869" i="2" s="1"/>
  <c r="L870" i="2"/>
  <c r="N870" i="2" s="1"/>
  <c r="L2008" i="2"/>
  <c r="N2008" i="2" s="1"/>
  <c r="L1201" i="2"/>
  <c r="N1201" i="2" s="1"/>
  <c r="L1316" i="2"/>
  <c r="N1316" i="2" s="1"/>
  <c r="L2009" i="2"/>
  <c r="N2009" i="2" s="1"/>
  <c r="L558" i="2"/>
  <c r="N558" i="2" s="1"/>
  <c r="L1532" i="2"/>
  <c r="N1532" i="2" s="1"/>
  <c r="L2010" i="2"/>
  <c r="N2010" i="2" s="1"/>
  <c r="L559" i="2"/>
  <c r="N559" i="2" s="1"/>
  <c r="L769" i="2"/>
  <c r="N769" i="2" s="1"/>
  <c r="L1114" i="2"/>
  <c r="N1114" i="2" s="1"/>
  <c r="L2011" i="2"/>
  <c r="N2011" i="2" s="1"/>
  <c r="L560" i="2"/>
  <c r="N560" i="2" s="1"/>
  <c r="L1202" i="2"/>
  <c r="N1202" i="2" s="1"/>
  <c r="L1445" i="2"/>
  <c r="N1445" i="2" s="1"/>
  <c r="L2012" i="2"/>
  <c r="N2012" i="2" s="1"/>
  <c r="L456" i="2"/>
  <c r="N456" i="2" s="1"/>
  <c r="L2013" i="2"/>
  <c r="N2013" i="2" s="1"/>
  <c r="L473" i="2"/>
  <c r="N473" i="2" s="1"/>
  <c r="L1115" i="2"/>
  <c r="N1115" i="2" s="1"/>
  <c r="L561" i="2"/>
  <c r="N561" i="2" s="1"/>
  <c r="L926" i="2"/>
  <c r="N926" i="2" s="1"/>
  <c r="L2014" i="2"/>
  <c r="N2014" i="2" s="1"/>
  <c r="L2015" i="2"/>
  <c r="N2015" i="2" s="1"/>
  <c r="L770" i="2"/>
  <c r="N770" i="2" s="1"/>
  <c r="L2016" i="2"/>
  <c r="N2016" i="2" s="1"/>
  <c r="L1011" i="2"/>
  <c r="N1011" i="2" s="1"/>
  <c r="L2017" i="2"/>
  <c r="N2017" i="2" s="1"/>
  <c r="L927" i="2"/>
  <c r="N927" i="2" s="1"/>
  <c r="L1481" i="2"/>
  <c r="N1481" i="2" s="1"/>
  <c r="L2018" i="2"/>
  <c r="N2018" i="2" s="1"/>
  <c r="L2019" i="2"/>
  <c r="N2019" i="2" s="1"/>
  <c r="L2020" i="2"/>
  <c r="N2020" i="2" s="1"/>
  <c r="L2021" i="2"/>
  <c r="N2021" i="2" s="1"/>
  <c r="L1203" i="2"/>
  <c r="N1203" i="2" s="1"/>
  <c r="L1116" i="2"/>
  <c r="N1116" i="2" s="1"/>
  <c r="L474" i="2"/>
  <c r="N474" i="2" s="1"/>
  <c r="L928" i="2"/>
  <c r="N928" i="2" s="1"/>
  <c r="L929" i="2"/>
  <c r="N929" i="2" s="1"/>
  <c r="L457" i="2"/>
  <c r="N457" i="2" s="1"/>
  <c r="L1204" i="2"/>
  <c r="N1204" i="2" s="1"/>
  <c r="L2022" i="2"/>
  <c r="N2022" i="2" s="1"/>
  <c r="L2023" i="2"/>
  <c r="N2023" i="2" s="1"/>
  <c r="L2024" i="2"/>
  <c r="N2024" i="2" s="1"/>
  <c r="L386" i="2"/>
  <c r="N386" i="2" s="1"/>
  <c r="L1686" i="2"/>
  <c r="N1686" i="2" s="1"/>
  <c r="L119" i="2"/>
  <c r="N119" i="2" s="1"/>
  <c r="L120" i="2"/>
  <c r="N120" i="2" s="1"/>
  <c r="L1012" i="2"/>
  <c r="N1012" i="2" s="1"/>
  <c r="L1446" i="2"/>
  <c r="N1446" i="2" s="1"/>
  <c r="L2025" i="2"/>
  <c r="N2025" i="2" s="1"/>
  <c r="L1741" i="2"/>
  <c r="N1741" i="2" s="1"/>
  <c r="L2026" i="2"/>
  <c r="N2026" i="2" s="1"/>
  <c r="L121" i="2"/>
  <c r="N121" i="2" s="1"/>
  <c r="L2027" i="2"/>
  <c r="N2027" i="2" s="1"/>
  <c r="L400" i="2"/>
  <c r="N400" i="2" s="1"/>
  <c r="L1013" i="2"/>
  <c r="N1013" i="2" s="1"/>
  <c r="L458" i="2"/>
  <c r="N458" i="2" s="1"/>
  <c r="L1014" i="2"/>
  <c r="N1014" i="2" s="1"/>
  <c r="L1015" i="2"/>
  <c r="N1015" i="2" s="1"/>
  <c r="L1117" i="2"/>
  <c r="N1117" i="2" s="1"/>
  <c r="L1482" i="2"/>
  <c r="N1482" i="2" s="1"/>
  <c r="L1447" i="2"/>
  <c r="N1447" i="2" s="1"/>
  <c r="L1118" i="2"/>
  <c r="N1118" i="2" s="1"/>
  <c r="L930" i="2"/>
  <c r="N930" i="2" s="1"/>
  <c r="L1205" i="2"/>
  <c r="N1205" i="2" s="1"/>
  <c r="L1119" i="2"/>
  <c r="N1119" i="2" s="1"/>
  <c r="L931" i="2"/>
  <c r="N931" i="2" s="1"/>
  <c r="L932" i="2"/>
  <c r="N932" i="2" s="1"/>
  <c r="L387" i="2"/>
  <c r="N387" i="2" s="1"/>
  <c r="L1120" i="2"/>
  <c r="N1120" i="2" s="1"/>
  <c r="L122" i="2"/>
  <c r="N122" i="2" s="1"/>
  <c r="L123" i="2"/>
  <c r="N123" i="2" s="1"/>
  <c r="L2028" i="2"/>
  <c r="N2028" i="2" s="1"/>
  <c r="L871" i="2"/>
  <c r="N871" i="2" s="1"/>
  <c r="L1016" i="2"/>
  <c r="N1016" i="2" s="1"/>
  <c r="L388" i="2"/>
  <c r="N388" i="2" s="1"/>
  <c r="L1206" i="2"/>
  <c r="N1206" i="2" s="1"/>
  <c r="L933" i="2"/>
  <c r="N933" i="2" s="1"/>
  <c r="L1017" i="2"/>
  <c r="N1017" i="2" s="1"/>
  <c r="L2029" i="2"/>
  <c r="N2029" i="2" s="1"/>
  <c r="L371" i="2"/>
  <c r="N371" i="2" s="1"/>
  <c r="L372" i="2"/>
  <c r="N372" i="2" s="1"/>
  <c r="L2030" i="2"/>
  <c r="N2030" i="2" s="1"/>
  <c r="L1448" i="2"/>
  <c r="N1448" i="2" s="1"/>
  <c r="L934" i="2"/>
  <c r="N934" i="2" s="1"/>
  <c r="L935" i="2"/>
  <c r="N935" i="2" s="1"/>
  <c r="L562" i="2"/>
  <c r="N562" i="2" s="1"/>
  <c r="L563" i="2"/>
  <c r="N563" i="2" s="1"/>
  <c r="L389" i="2"/>
  <c r="N389" i="2" s="1"/>
  <c r="L1687" i="2"/>
  <c r="N1687" i="2" s="1"/>
  <c r="L2031" i="2"/>
  <c r="N2031" i="2" s="1"/>
  <c r="L936" i="2"/>
  <c r="N936" i="2" s="1"/>
  <c r="L1317" i="2"/>
  <c r="N1317" i="2" s="1"/>
  <c r="L937" i="2"/>
  <c r="N937" i="2" s="1"/>
  <c r="L1483" i="2"/>
  <c r="N1483" i="2" s="1"/>
  <c r="L1449" i="2"/>
  <c r="N1449" i="2" s="1"/>
  <c r="L2032" i="2"/>
  <c r="N2032" i="2" s="1"/>
  <c r="L1450" i="2"/>
  <c r="N1450" i="2" s="1"/>
  <c r="L564" i="2"/>
  <c r="N564" i="2" s="1"/>
  <c r="L1018" i="2"/>
  <c r="N1018" i="2" s="1"/>
  <c r="L565" i="2"/>
  <c r="N565" i="2" s="1"/>
  <c r="L566" i="2"/>
  <c r="N566" i="2" s="1"/>
  <c r="L2033" i="2"/>
  <c r="N2033" i="2" s="1"/>
  <c r="L1207" i="2"/>
  <c r="N1207" i="2" s="1"/>
  <c r="L1019" i="2"/>
  <c r="N1019" i="2" s="1"/>
  <c r="L1742" i="2"/>
  <c r="N1742" i="2" s="1"/>
  <c r="L938" i="2"/>
  <c r="N938" i="2" s="1"/>
  <c r="L2034" i="2"/>
  <c r="N2034" i="2" s="1"/>
  <c r="L1743" i="2"/>
  <c r="N1743" i="2" s="1"/>
  <c r="L1121" i="2"/>
  <c r="N1121" i="2" s="1"/>
  <c r="L1122" i="2"/>
  <c r="N1122" i="2" s="1"/>
  <c r="L567" i="2"/>
  <c r="N567" i="2" s="1"/>
  <c r="L2035" i="2"/>
  <c r="N2035" i="2" s="1"/>
  <c r="L124" i="2"/>
  <c r="N124" i="2" s="1"/>
  <c r="L2036" i="2"/>
  <c r="N2036" i="2" s="1"/>
  <c r="L1268" i="2"/>
  <c r="N1268" i="2" s="1"/>
  <c r="L125" i="2"/>
  <c r="N125" i="2" s="1"/>
  <c r="L568" i="2"/>
  <c r="N568" i="2" s="1"/>
  <c r="L126" i="2"/>
  <c r="N126" i="2" s="1"/>
  <c r="L939" i="2"/>
  <c r="N939" i="2" s="1"/>
  <c r="L940" i="2"/>
  <c r="N940" i="2" s="1"/>
  <c r="L1688" i="2"/>
  <c r="N1688" i="2" s="1"/>
  <c r="L1123" i="2"/>
  <c r="N1123" i="2" s="1"/>
  <c r="L475" i="2"/>
  <c r="N475" i="2" s="1"/>
  <c r="L2037" i="2"/>
  <c r="N2037" i="2" s="1"/>
  <c r="L1417" i="2"/>
  <c r="N1417" i="2" s="1"/>
  <c r="L941" i="2"/>
  <c r="N941" i="2" s="1"/>
  <c r="L127" i="2"/>
  <c r="N127" i="2" s="1"/>
  <c r="L1318" i="2"/>
  <c r="N1318" i="2" s="1"/>
  <c r="L1533" i="2"/>
  <c r="N1533" i="2" s="1"/>
  <c r="L2038" i="2"/>
  <c r="N2038" i="2" s="1"/>
  <c r="L128" i="2"/>
  <c r="N128" i="2" s="1"/>
  <c r="L129" i="2"/>
  <c r="N129" i="2" s="1"/>
  <c r="L569" i="2"/>
  <c r="N569" i="2" s="1"/>
  <c r="L2039" i="2"/>
  <c r="N2039" i="2" s="1"/>
  <c r="L2040" i="2"/>
  <c r="N2040" i="2" s="1"/>
  <c r="L1124" i="2"/>
  <c r="N1124" i="2" s="1"/>
  <c r="L2041" i="2"/>
  <c r="N2041" i="2" s="1"/>
  <c r="L1744" i="2"/>
  <c r="N1744" i="2" s="1"/>
  <c r="L872" i="2"/>
  <c r="N872" i="2" s="1"/>
  <c r="L873" i="2"/>
  <c r="N873" i="2" s="1"/>
  <c r="L130" i="2"/>
  <c r="N130" i="2" s="1"/>
  <c r="L131" i="2"/>
  <c r="N131" i="2" s="1"/>
  <c r="L132" i="2"/>
  <c r="N132" i="2" s="1"/>
  <c r="L133" i="2"/>
  <c r="N133" i="2" s="1"/>
  <c r="L2042" i="2"/>
  <c r="N2042" i="2" s="1"/>
  <c r="L134" i="2"/>
  <c r="N134" i="2" s="1"/>
  <c r="L1689" i="2"/>
  <c r="N1689" i="2" s="1"/>
  <c r="L135" i="2"/>
  <c r="N135" i="2" s="1"/>
  <c r="L2043" i="2"/>
  <c r="N2043" i="2" s="1"/>
  <c r="L874" i="2"/>
  <c r="N874" i="2" s="1"/>
  <c r="L942" i="2"/>
  <c r="N942" i="2" s="1"/>
  <c r="L2044" i="2"/>
  <c r="N2044" i="2" s="1"/>
  <c r="L2045" i="2"/>
  <c r="N2045" i="2" s="1"/>
  <c r="L136" i="2"/>
  <c r="N136" i="2" s="1"/>
  <c r="L2046" i="2"/>
  <c r="N2046" i="2" s="1"/>
  <c r="L137" i="2"/>
  <c r="N137" i="2" s="1"/>
  <c r="L1208" i="2"/>
  <c r="N1208" i="2" s="1"/>
  <c r="L138" i="2"/>
  <c r="N138" i="2" s="1"/>
  <c r="L476" i="2"/>
  <c r="N476" i="2" s="1"/>
  <c r="L848" i="2"/>
  <c r="N848" i="2" s="1"/>
  <c r="L2047" i="2"/>
  <c r="N2047" i="2" s="1"/>
  <c r="L2048" i="2"/>
  <c r="N2048" i="2" s="1"/>
  <c r="L2049" i="2"/>
  <c r="N2049" i="2" s="1"/>
  <c r="L401" i="2"/>
  <c r="N401" i="2" s="1"/>
  <c r="L1745" i="2"/>
  <c r="N1745" i="2" s="1"/>
  <c r="L1020" i="2"/>
  <c r="N1020" i="2" s="1"/>
  <c r="L194" i="2"/>
  <c r="N194" i="2" s="1"/>
  <c r="P194" i="2" s="1"/>
  <c r="L2050" i="2"/>
  <c r="N2050" i="2" s="1"/>
  <c r="P2050" i="2" s="1"/>
  <c r="L1319" i="2"/>
  <c r="N1319" i="2" s="1"/>
  <c r="P1319" i="2" s="1"/>
  <c r="L2051" i="2"/>
  <c r="N2051" i="2" s="1"/>
  <c r="P2051" i="2" s="1"/>
  <c r="L2052" i="2"/>
  <c r="N2052" i="2" s="1"/>
  <c r="P2052" i="2" s="1"/>
  <c r="L2053" i="2"/>
  <c r="N2053" i="2" s="1"/>
  <c r="P2053" i="2" s="1"/>
  <c r="L2054" i="2"/>
  <c r="N2054" i="2" s="1"/>
  <c r="P2054" i="2" s="1"/>
  <c r="L2055" i="2"/>
  <c r="N2055" i="2" s="1"/>
  <c r="P2055" i="2" s="1"/>
  <c r="L195" i="2"/>
  <c r="N195" i="2" s="1"/>
  <c r="P195" i="2" s="1"/>
  <c r="L2056" i="2"/>
  <c r="N2056" i="2" s="1"/>
  <c r="P2056" i="2" s="1"/>
  <c r="L1534" i="2"/>
  <c r="N1534" i="2" s="1"/>
  <c r="P1534" i="2" s="1"/>
  <c r="L1484" i="2"/>
  <c r="N1484" i="2" s="1"/>
  <c r="P1484" i="2" s="1"/>
  <c r="L196" i="2"/>
  <c r="N196" i="2" s="1"/>
  <c r="P196" i="2" s="1"/>
  <c r="L2057" i="2"/>
  <c r="N2057" i="2" s="1"/>
  <c r="P2057" i="2" s="1"/>
  <c r="L1690" i="2"/>
  <c r="N1690" i="2" s="1"/>
  <c r="P1690" i="2" s="1"/>
  <c r="L2058" i="2"/>
  <c r="N2058" i="2" s="1"/>
  <c r="P2058" i="2" s="1"/>
  <c r="L2059" i="2"/>
  <c r="N2059" i="2" s="1"/>
  <c r="P2059" i="2" s="1"/>
  <c r="L2060" i="2"/>
  <c r="N2060" i="2" s="1"/>
  <c r="P2060" i="2" s="1"/>
  <c r="L1485" i="2"/>
  <c r="N1485" i="2" s="1"/>
  <c r="P1485" i="2" s="1"/>
  <c r="L2061" i="2"/>
  <c r="N2061" i="2" s="1"/>
  <c r="P2061" i="2" s="1"/>
  <c r="L197" i="2"/>
  <c r="N197" i="2" s="1"/>
  <c r="P197" i="2" s="1"/>
  <c r="L2062" i="2"/>
  <c r="N2062" i="2" s="1"/>
  <c r="P2062" i="2" s="1"/>
  <c r="L1320" i="2"/>
  <c r="N1320" i="2" s="1"/>
  <c r="P1320" i="2" s="1"/>
  <c r="L2063" i="2"/>
  <c r="N2063" i="2" s="1"/>
  <c r="P2063" i="2" s="1"/>
  <c r="L198" i="2"/>
  <c r="N198" i="2" s="1"/>
  <c r="P198" i="2" s="1"/>
  <c r="L2064" i="2"/>
  <c r="N2064" i="2" s="1"/>
  <c r="P2064" i="2" s="1"/>
  <c r="L2065" i="2"/>
  <c r="N2065" i="2" s="1"/>
  <c r="P2065" i="2" s="1"/>
  <c r="L2066" i="2"/>
  <c r="N2066" i="2" s="1"/>
  <c r="P2066" i="2" s="1"/>
  <c r="L199" i="2"/>
  <c r="N199" i="2" s="1"/>
  <c r="P199" i="2" s="1"/>
  <c r="L2067" i="2"/>
  <c r="N2067" i="2" s="1"/>
  <c r="P2067" i="2" s="1"/>
  <c r="L2068" i="2"/>
  <c r="N2068" i="2" s="1"/>
  <c r="P2068" i="2" s="1"/>
  <c r="L2069" i="2"/>
  <c r="N2069" i="2" s="1"/>
  <c r="P2069" i="2" s="1"/>
  <c r="L2070" i="2"/>
  <c r="N2070" i="2" s="1"/>
  <c r="P2070" i="2" s="1"/>
  <c r="L2071" i="2"/>
  <c r="N2071" i="2" s="1"/>
  <c r="P2071" i="2" s="1"/>
  <c r="L2072" i="2"/>
  <c r="N2072" i="2" s="1"/>
  <c r="P2072" i="2" s="1"/>
  <c r="L2073" i="2"/>
  <c r="N2073" i="2" s="1"/>
  <c r="P2073" i="2" s="1"/>
  <c r="L2074" i="2"/>
  <c r="N2074" i="2" s="1"/>
  <c r="P2074" i="2" s="1"/>
  <c r="L2075" i="2"/>
  <c r="N2075" i="2" s="1"/>
  <c r="P2075" i="2" s="1"/>
  <c r="L2076" i="2"/>
  <c r="N2076" i="2" s="1"/>
  <c r="P2076" i="2" s="1"/>
  <c r="L1535" i="2"/>
  <c r="N1535" i="2" s="1"/>
  <c r="P1535" i="2" s="1"/>
  <c r="L2077" i="2"/>
  <c r="N2077" i="2" s="1"/>
  <c r="P2077" i="2" s="1"/>
  <c r="L2078" i="2"/>
  <c r="N2078" i="2" s="1"/>
  <c r="P2078" i="2" s="1"/>
  <c r="L2079" i="2"/>
  <c r="N2079" i="2" s="1"/>
  <c r="P2079" i="2" s="1"/>
  <c r="L2080" i="2"/>
  <c r="N2080" i="2" s="1"/>
  <c r="P2080" i="2" s="1"/>
  <c r="L200" i="2"/>
  <c r="N200" i="2" s="1"/>
  <c r="P200" i="2" s="1"/>
  <c r="L2081" i="2"/>
  <c r="N2081" i="2" s="1"/>
  <c r="P2081" i="2" s="1"/>
  <c r="L1536" i="2"/>
  <c r="N1536" i="2" s="1"/>
  <c r="P1536" i="2" s="1"/>
  <c r="L1537" i="2"/>
  <c r="N1537" i="2" s="1"/>
  <c r="P1537" i="2" s="1"/>
  <c r="L1321" i="2"/>
  <c r="N1321" i="2" s="1"/>
  <c r="P1321" i="2" s="1"/>
  <c r="L1486" i="2"/>
  <c r="N1486" i="2" s="1"/>
  <c r="P1486" i="2" s="1"/>
  <c r="L1021" i="2"/>
  <c r="N1021" i="2" s="1"/>
  <c r="P1021" i="2" s="1"/>
  <c r="L1322" i="2"/>
  <c r="N1322" i="2" s="1"/>
  <c r="P1322" i="2" s="1"/>
  <c r="L2082" i="2"/>
  <c r="N2082" i="2" s="1"/>
  <c r="P2082" i="2" s="1"/>
  <c r="L2083" i="2"/>
  <c r="N2083" i="2" s="1"/>
  <c r="P2083" i="2" s="1"/>
  <c r="L1323" i="2"/>
  <c r="N1323" i="2" s="1"/>
  <c r="P1323" i="2" s="1"/>
  <c r="L2084" i="2"/>
  <c r="N2084" i="2" s="1"/>
  <c r="P2084" i="2" s="1"/>
  <c r="L1487" i="2"/>
  <c r="N1487" i="2" s="1"/>
  <c r="P1487" i="2" s="1"/>
  <c r="L2085" i="2"/>
  <c r="N2085" i="2" s="1"/>
  <c r="P2085" i="2" s="1"/>
  <c r="L2086" i="2"/>
  <c r="N2086" i="2" s="1"/>
  <c r="P2086" i="2" s="1"/>
  <c r="L1691" i="2"/>
  <c r="N1691" i="2" s="1"/>
  <c r="P1691" i="2" s="1"/>
  <c r="L2087" i="2"/>
  <c r="N2087" i="2" s="1"/>
  <c r="P2087" i="2" s="1"/>
  <c r="L2088" i="2"/>
  <c r="N2088" i="2" s="1"/>
  <c r="P2088" i="2" s="1"/>
  <c r="L2089" i="2"/>
  <c r="N2089" i="2" s="1"/>
  <c r="P2089" i="2" s="1"/>
  <c r="L2090" i="2"/>
  <c r="N2090" i="2" s="1"/>
  <c r="P2090" i="2" s="1"/>
  <c r="L1418" i="2"/>
  <c r="N1418" i="2" s="1"/>
  <c r="P1418" i="2" s="1"/>
  <c r="L2091" i="2"/>
  <c r="N2091" i="2" s="1"/>
  <c r="P2091" i="2" s="1"/>
  <c r="L2092" i="2"/>
  <c r="N2092" i="2" s="1"/>
  <c r="P2092" i="2" s="1"/>
  <c r="L2093" i="2"/>
  <c r="N2093" i="2" s="1"/>
  <c r="P2093" i="2" s="1"/>
  <c r="L2094" i="2"/>
  <c r="N2094" i="2" s="1"/>
  <c r="P2094" i="2" s="1"/>
  <c r="L2095" i="2"/>
  <c r="N2095" i="2" s="1"/>
  <c r="P2095" i="2" s="1"/>
  <c r="L2096" i="2"/>
  <c r="N2096" i="2" s="1"/>
  <c r="P2096" i="2" s="1"/>
  <c r="L2097" i="2"/>
  <c r="N2097" i="2" s="1"/>
  <c r="P2097" i="2" s="1"/>
  <c r="L2098" i="2"/>
  <c r="N2098" i="2" s="1"/>
  <c r="P2098" i="2" s="1"/>
  <c r="L2099" i="2"/>
  <c r="N2099" i="2" s="1"/>
  <c r="P2099" i="2" s="1"/>
  <c r="L1022" i="2"/>
  <c r="N1022" i="2" s="1"/>
  <c r="P1022" i="2" s="1"/>
  <c r="L2100" i="2"/>
  <c r="N2100" i="2" s="1"/>
  <c r="P2100" i="2" s="1"/>
  <c r="L1125" i="2"/>
  <c r="N1125" i="2" s="1"/>
  <c r="P1125" i="2" s="1"/>
  <c r="L2101" i="2"/>
  <c r="N2101" i="2" s="1"/>
  <c r="P2101" i="2" s="1"/>
  <c r="L2102" i="2"/>
  <c r="N2102" i="2" s="1"/>
  <c r="P2102" i="2" s="1"/>
  <c r="L2103" i="2"/>
  <c r="N2103" i="2" s="1"/>
  <c r="P2103" i="2" s="1"/>
  <c r="L1419" i="2"/>
  <c r="N1419" i="2" s="1"/>
  <c r="P1419" i="2" s="1"/>
  <c r="L1023" i="2"/>
  <c r="N1023" i="2" s="1"/>
  <c r="P1023" i="2" s="1"/>
  <c r="L2104" i="2"/>
  <c r="N2104" i="2" s="1"/>
  <c r="P2104" i="2" s="1"/>
  <c r="L201" i="2"/>
  <c r="N201" i="2" s="1"/>
  <c r="P201" i="2" s="1"/>
  <c r="L2105" i="2"/>
  <c r="N2105" i="2" s="1"/>
  <c r="P2105" i="2" s="1"/>
  <c r="L2106" i="2"/>
  <c r="N2106" i="2" s="1"/>
  <c r="P2106" i="2" s="1"/>
  <c r="L2107" i="2"/>
  <c r="N2107" i="2" s="1"/>
  <c r="P2107" i="2" s="1"/>
  <c r="L202" i="2"/>
  <c r="N202" i="2" s="1"/>
  <c r="P202" i="2" s="1"/>
  <c r="L1324" i="2"/>
  <c r="N1324" i="2" s="1"/>
  <c r="P1324" i="2" s="1"/>
  <c r="L2108" i="2"/>
  <c r="N2108" i="2" s="1"/>
  <c r="P2108" i="2" s="1"/>
  <c r="L2109" i="2"/>
  <c r="N2109" i="2" s="1"/>
  <c r="P2109" i="2" s="1"/>
  <c r="L1024" i="2"/>
  <c r="N1024" i="2" s="1"/>
  <c r="P1024" i="2" s="1"/>
  <c r="L2110" i="2"/>
  <c r="N2110" i="2" s="1"/>
  <c r="P2110" i="2" s="1"/>
  <c r="L203" i="2"/>
  <c r="N203" i="2" s="1"/>
  <c r="P203" i="2" s="1"/>
  <c r="L2111" i="2"/>
  <c r="N2111" i="2" s="1"/>
  <c r="P2111" i="2" s="1"/>
  <c r="L204" i="2"/>
  <c r="N204" i="2" s="1"/>
  <c r="P204" i="2" s="1"/>
  <c r="L205" i="2"/>
  <c r="N205" i="2" s="1"/>
  <c r="P205" i="2" s="1"/>
  <c r="L206" i="2"/>
  <c r="N206" i="2" s="1"/>
  <c r="P206" i="2" s="1"/>
  <c r="L2112" i="2"/>
  <c r="N2112" i="2" s="1"/>
  <c r="P2112" i="2" s="1"/>
  <c r="L2113" i="2"/>
  <c r="N2113" i="2" s="1"/>
  <c r="P2113" i="2" s="1"/>
  <c r="L1420" i="2"/>
  <c r="N1420" i="2" s="1"/>
  <c r="L1488" i="2"/>
  <c r="N1488" i="2" s="1"/>
  <c r="P1488" i="2" s="1"/>
  <c r="L2114" i="2"/>
  <c r="N2114" i="2" s="1"/>
  <c r="P2114" i="2" s="1"/>
  <c r="L1489" i="2"/>
  <c r="N1489" i="2" s="1"/>
  <c r="P1489" i="2" s="1"/>
  <c r="L2115" i="2"/>
  <c r="N2115" i="2" s="1"/>
  <c r="P2115" i="2" s="1"/>
  <c r="L2116" i="2"/>
  <c r="N2116" i="2" s="1"/>
  <c r="P2116" i="2" s="1"/>
  <c r="L207" i="2"/>
  <c r="N207" i="2" s="1"/>
  <c r="P207" i="2" s="1"/>
  <c r="L1692" i="2"/>
  <c r="N1692" i="2" s="1"/>
  <c r="P1692" i="2" s="1"/>
  <c r="L2117" i="2"/>
  <c r="N2117" i="2" s="1"/>
  <c r="P2117" i="2" s="1"/>
  <c r="L1209" i="2"/>
  <c r="N1209" i="2" s="1"/>
  <c r="P1209" i="2" s="1"/>
  <c r="L1538" i="2"/>
  <c r="N1538" i="2" s="1"/>
  <c r="P1538" i="2" s="1"/>
  <c r="L2118" i="2"/>
  <c r="N2118" i="2" s="1"/>
  <c r="P2118" i="2" s="1"/>
  <c r="L2119" i="2"/>
  <c r="N2119" i="2" s="1"/>
  <c r="P2119" i="2" s="1"/>
  <c r="L1634" i="2"/>
  <c r="N1634" i="2" s="1"/>
  <c r="P1634" i="2" s="1"/>
  <c r="L2120" i="2"/>
  <c r="N2120" i="2" s="1"/>
  <c r="P2120" i="2" s="1"/>
  <c r="L2121" i="2"/>
  <c r="N2121" i="2" s="1"/>
  <c r="P2121" i="2" s="1"/>
  <c r="L1325" i="2"/>
  <c r="N1325" i="2" s="1"/>
  <c r="P1325" i="2" s="1"/>
  <c r="L2122" i="2"/>
  <c r="N2122" i="2" s="1"/>
  <c r="P2122" i="2" s="1"/>
  <c r="L1326" i="2"/>
  <c r="N1326" i="2" s="1"/>
  <c r="P1326" i="2" s="1"/>
  <c r="L1635" i="2"/>
  <c r="N1635" i="2" s="1"/>
  <c r="P1635" i="2" s="1"/>
  <c r="L2123" i="2"/>
  <c r="N2123" i="2" s="1"/>
  <c r="P2123" i="2" s="1"/>
  <c r="L2124" i="2"/>
  <c r="N2124" i="2" s="1"/>
  <c r="P2124" i="2" s="1"/>
  <c r="L2125" i="2"/>
  <c r="N2125" i="2" s="1"/>
  <c r="P2125" i="2" s="1"/>
  <c r="L2126" i="2"/>
  <c r="N2126" i="2" s="1"/>
  <c r="P2126" i="2" s="1"/>
  <c r="L570" i="2"/>
  <c r="N570" i="2" s="1"/>
  <c r="P570" i="2" s="1"/>
  <c r="L2127" i="2"/>
  <c r="N2127" i="2" s="1"/>
  <c r="P2127" i="2" s="1"/>
  <c r="L2128" i="2"/>
  <c r="N2128" i="2" s="1"/>
  <c r="P2128" i="2" s="1"/>
  <c r="L2129" i="2"/>
  <c r="N2129" i="2" s="1"/>
  <c r="P2129" i="2" s="1"/>
  <c r="L571" i="2"/>
  <c r="N571" i="2" s="1"/>
  <c r="P571" i="2" s="1"/>
  <c r="L1451" i="2"/>
  <c r="N1451" i="2" s="1"/>
  <c r="P1451" i="2" s="1"/>
  <c r="L2130" i="2"/>
  <c r="N2130" i="2" s="1"/>
  <c r="P2130" i="2" s="1"/>
  <c r="L1539" i="2"/>
  <c r="N1539" i="2" s="1"/>
  <c r="P1539" i="2" s="1"/>
  <c r="L2131" i="2"/>
  <c r="N2131" i="2" s="1"/>
  <c r="P2131" i="2" s="1"/>
  <c r="L572" i="2"/>
  <c r="N572" i="2" s="1"/>
  <c r="P572" i="2" s="1"/>
  <c r="L1210" i="2"/>
  <c r="N1210" i="2" s="1"/>
  <c r="P1210" i="2" s="1"/>
  <c r="L2132" i="2"/>
  <c r="N2132" i="2" s="1"/>
  <c r="P2132" i="2" s="1"/>
  <c r="L1540" i="2"/>
  <c r="N1540" i="2" s="1"/>
  <c r="P1540" i="2" s="1"/>
  <c r="L2133" i="2"/>
  <c r="N2133" i="2" s="1"/>
  <c r="P2133" i="2" s="1"/>
  <c r="L2134" i="2"/>
  <c r="N2134" i="2" s="1"/>
  <c r="P2134" i="2" s="1"/>
  <c r="L208" i="2"/>
  <c r="N208" i="2" s="1"/>
  <c r="P208" i="2" s="1"/>
  <c r="L477" i="2"/>
  <c r="N477" i="2" s="1"/>
  <c r="P477" i="2" s="1"/>
  <c r="L1327" i="2"/>
  <c r="N1327" i="2" s="1"/>
  <c r="P1327" i="2" s="1"/>
  <c r="L2135" i="2"/>
  <c r="N2135" i="2" s="1"/>
  <c r="P2135" i="2" s="1"/>
  <c r="L2136" i="2"/>
  <c r="N2136" i="2" s="1"/>
  <c r="P2136" i="2" s="1"/>
  <c r="L1693" i="2"/>
  <c r="N1693" i="2" s="1"/>
  <c r="P1693" i="2" s="1"/>
  <c r="L2137" i="2"/>
  <c r="N2137" i="2" s="1"/>
  <c r="P2137" i="2" s="1"/>
  <c r="L1328" i="2"/>
  <c r="N1328" i="2" s="1"/>
  <c r="P1328" i="2" s="1"/>
  <c r="L2138" i="2"/>
  <c r="N2138" i="2" s="1"/>
  <c r="P2138" i="2" s="1"/>
  <c r="L2139" i="2"/>
  <c r="N2139" i="2" s="1"/>
  <c r="P2139" i="2" s="1"/>
  <c r="L2140" i="2"/>
  <c r="N2140" i="2" s="1"/>
  <c r="P2140" i="2" s="1"/>
  <c r="L1126" i="2"/>
  <c r="N1126" i="2" s="1"/>
  <c r="P1126" i="2" s="1"/>
  <c r="L2141" i="2"/>
  <c r="N2141" i="2" s="1"/>
  <c r="P2141" i="2" s="1"/>
  <c r="L2142" i="2"/>
  <c r="N2142" i="2" s="1"/>
  <c r="P2142" i="2" s="1"/>
  <c r="L2143" i="2"/>
  <c r="N2143" i="2" s="1"/>
  <c r="P2143" i="2" s="1"/>
  <c r="L2144" i="2"/>
  <c r="N2144" i="2" s="1"/>
  <c r="P2144" i="2" s="1"/>
  <c r="L573" i="2"/>
  <c r="N573" i="2" s="1"/>
  <c r="P573" i="2" s="1"/>
  <c r="L2145" i="2"/>
  <c r="N2145" i="2" s="1"/>
  <c r="P2145" i="2" s="1"/>
  <c r="L1025" i="2"/>
  <c r="N1025" i="2" s="1"/>
  <c r="P1025" i="2" s="1"/>
  <c r="L2146" i="2"/>
  <c r="N2146" i="2" s="1"/>
  <c r="P2146" i="2" s="1"/>
  <c r="L2147" i="2"/>
  <c r="L1211" i="2"/>
  <c r="N1211" i="2" s="1"/>
  <c r="P1211" i="2" s="1"/>
  <c r="L478" i="2"/>
  <c r="N478" i="2" s="1"/>
  <c r="P478" i="2" s="1"/>
  <c r="L2148" i="2"/>
  <c r="N2148" i="2" s="1"/>
  <c r="P2148" i="2" s="1"/>
  <c r="L1490" i="2"/>
  <c r="N1490" i="2" s="1"/>
  <c r="P1490" i="2" s="1"/>
  <c r="L479" i="2"/>
  <c r="N479" i="2" s="1"/>
  <c r="P479" i="2" s="1"/>
  <c r="L2149" i="2"/>
  <c r="N2149" i="2" s="1"/>
  <c r="P2149" i="2" s="1"/>
  <c r="L480" i="2"/>
  <c r="N480" i="2" s="1"/>
  <c r="P480" i="2" s="1"/>
  <c r="L2150" i="2"/>
  <c r="N2150" i="2" s="1"/>
  <c r="P2150" i="2" s="1"/>
  <c r="L2151" i="2"/>
  <c r="N2151" i="2" s="1"/>
  <c r="P2151" i="2" s="1"/>
  <c r="L2152" i="2"/>
  <c r="N2152" i="2" s="1"/>
  <c r="P2152" i="2" s="1"/>
  <c r="L1491" i="2"/>
  <c r="N1491" i="2" s="1"/>
  <c r="P1491" i="2" s="1"/>
  <c r="L574" i="2"/>
  <c r="N574" i="2" s="1"/>
  <c r="P574" i="2" s="1"/>
  <c r="L575" i="2"/>
  <c r="N575" i="2" s="1"/>
  <c r="P575" i="2" s="1"/>
  <c r="L2153" i="2"/>
  <c r="N2153" i="2" s="1"/>
  <c r="P2153" i="2" s="1"/>
  <c r="L2154" i="2"/>
  <c r="N2154" i="2" s="1"/>
  <c r="P2154" i="2" s="1"/>
  <c r="L2155" i="2"/>
  <c r="N2155" i="2" s="1"/>
  <c r="P2155" i="2" s="1"/>
  <c r="L2156" i="2"/>
  <c r="N2156" i="2" s="1"/>
  <c r="P2156" i="2" s="1"/>
  <c r="L1026" i="2"/>
  <c r="N1026" i="2" s="1"/>
  <c r="P1026" i="2" s="1"/>
  <c r="L209" i="2"/>
  <c r="N209" i="2" s="1"/>
  <c r="P209" i="2" s="1"/>
  <c r="L1212" i="2"/>
  <c r="N1212" i="2" s="1"/>
  <c r="P1212" i="2" s="1"/>
  <c r="L2157" i="2"/>
  <c r="N2157" i="2" s="1"/>
  <c r="P2157" i="2" s="1"/>
  <c r="L1213" i="2"/>
  <c r="N1213" i="2" s="1"/>
  <c r="P1213" i="2" s="1"/>
  <c r="L1027" i="2"/>
  <c r="N1027" i="2" s="1"/>
  <c r="P1027" i="2" s="1"/>
  <c r="L2158" i="2"/>
  <c r="N2158" i="2" s="1"/>
  <c r="P2158" i="2" s="1"/>
  <c r="L2159" i="2"/>
  <c r="N2159" i="2" s="1"/>
  <c r="P2159" i="2" s="1"/>
  <c r="L1421" i="2"/>
  <c r="N1421" i="2" s="1"/>
  <c r="P1421" i="2" s="1"/>
  <c r="L2160" i="2"/>
  <c r="N2160" i="2" s="1"/>
  <c r="P2160" i="2" s="1"/>
  <c r="L1329" i="2"/>
  <c r="N1329" i="2" s="1"/>
  <c r="P1329" i="2" s="1"/>
  <c r="L2161" i="2"/>
  <c r="N2161" i="2" s="1"/>
  <c r="P2161" i="2" s="1"/>
  <c r="L1636" i="2"/>
  <c r="N1636" i="2" s="1"/>
  <c r="P1636" i="2" s="1"/>
  <c r="L1028" i="2"/>
  <c r="N1028" i="2" s="1"/>
  <c r="P1028" i="2" s="1"/>
  <c r="L2162" i="2"/>
  <c r="N2162" i="2" s="1"/>
  <c r="P2162" i="2" s="1"/>
  <c r="L1541" i="2"/>
  <c r="N1541" i="2" s="1"/>
  <c r="P1541" i="2" s="1"/>
  <c r="L2163" i="2"/>
  <c r="N2163" i="2" s="1"/>
  <c r="P2163" i="2" s="1"/>
  <c r="L2164" i="2"/>
  <c r="N2164" i="2" s="1"/>
  <c r="P2164" i="2" s="1"/>
  <c r="L2165" i="2"/>
  <c r="N2165" i="2" s="1"/>
  <c r="P2165" i="2" s="1"/>
  <c r="L2166" i="2"/>
  <c r="N2166" i="2" s="1"/>
  <c r="P2166" i="2" s="1"/>
  <c r="L2167" i="2"/>
  <c r="N2167" i="2" s="1"/>
  <c r="P2167" i="2" s="1"/>
  <c r="L2168" i="2"/>
  <c r="N2168" i="2" s="1"/>
  <c r="P2168" i="2" s="1"/>
  <c r="L576" i="2"/>
  <c r="N576" i="2" s="1"/>
  <c r="P576" i="2" s="1"/>
  <c r="L577" i="2"/>
  <c r="N577" i="2" s="1"/>
  <c r="P577" i="2" s="1"/>
  <c r="L1542" i="2"/>
  <c r="N1542" i="2" s="1"/>
  <c r="P1542" i="2" s="1"/>
  <c r="L1029" i="2"/>
  <c r="N1029" i="2" s="1"/>
  <c r="P1029" i="2" s="1"/>
  <c r="L1637" i="2"/>
  <c r="N1637" i="2" s="1"/>
  <c r="P1637" i="2" s="1"/>
  <c r="L2169" i="2"/>
  <c r="N2169" i="2" s="1"/>
  <c r="P2169" i="2" s="1"/>
  <c r="L2170" i="2"/>
  <c r="N2170" i="2" s="1"/>
  <c r="P2170" i="2" s="1"/>
  <c r="L1330" i="2"/>
  <c r="N1330" i="2" s="1"/>
  <c r="P1330" i="2" s="1"/>
  <c r="L1694" i="2"/>
  <c r="N1694" i="2" s="1"/>
  <c r="P1694" i="2" s="1"/>
  <c r="L1422" i="2"/>
  <c r="N1422" i="2" s="1"/>
  <c r="P1422" i="2" s="1"/>
  <c r="L2171" i="2"/>
  <c r="N2171" i="2" s="1"/>
  <c r="P2171" i="2" s="1"/>
  <c r="L2172" i="2"/>
  <c r="N2172" i="2" s="1"/>
  <c r="P2172" i="2" s="1"/>
  <c r="L578" i="2"/>
  <c r="N578" i="2" s="1"/>
  <c r="P578" i="2" s="1"/>
  <c r="L1331" i="2"/>
  <c r="N1331" i="2" s="1"/>
  <c r="P1331" i="2" s="1"/>
  <c r="L481" i="2"/>
  <c r="N481" i="2" s="1"/>
  <c r="P481" i="2" s="1"/>
  <c r="L2173" i="2"/>
  <c r="N2173" i="2" s="1"/>
  <c r="P2173" i="2" s="1"/>
  <c r="L1214" i="2"/>
  <c r="N1214" i="2" s="1"/>
  <c r="P1214" i="2" s="1"/>
  <c r="L2174" i="2"/>
  <c r="N2174" i="2" s="1"/>
  <c r="P2174" i="2" s="1"/>
  <c r="L1543" i="2"/>
  <c r="N1543" i="2" s="1"/>
  <c r="P1543" i="2" s="1"/>
  <c r="L2175" i="2"/>
  <c r="N2175" i="2" s="1"/>
  <c r="P2175" i="2" s="1"/>
  <c r="L2176" i="2"/>
  <c r="N2176" i="2" s="1"/>
  <c r="P2176" i="2" s="1"/>
  <c r="L2177" i="2"/>
  <c r="N2177" i="2" s="1"/>
  <c r="P2177" i="2" s="1"/>
  <c r="L2178" i="2"/>
  <c r="N2178" i="2" s="1"/>
  <c r="P2178" i="2" s="1"/>
  <c r="L2179" i="2"/>
  <c r="N2179" i="2" s="1"/>
  <c r="P2179" i="2" s="1"/>
  <c r="L2180" i="2"/>
  <c r="N2180" i="2" s="1"/>
  <c r="P2180" i="2" s="1"/>
  <c r="L2181" i="2"/>
  <c r="N2181" i="2" s="1"/>
  <c r="P2181" i="2" s="1"/>
  <c r="L579" i="2"/>
  <c r="N579" i="2" s="1"/>
  <c r="P579" i="2" s="1"/>
  <c r="L2182" i="2"/>
  <c r="N2182" i="2" s="1"/>
  <c r="P2182" i="2" s="1"/>
  <c r="L2183" i="2"/>
  <c r="N2183" i="2" s="1"/>
  <c r="P2183" i="2" s="1"/>
  <c r="L210" i="2"/>
  <c r="N210" i="2" s="1"/>
  <c r="P210" i="2" s="1"/>
  <c r="L2184" i="2"/>
  <c r="N2184" i="2" s="1"/>
  <c r="P2184" i="2" s="1"/>
  <c r="L2185" i="2"/>
  <c r="N2185" i="2" s="1"/>
  <c r="P2185" i="2" s="1"/>
  <c r="L1030" i="2"/>
  <c r="N1030" i="2" s="1"/>
  <c r="P1030" i="2" s="1"/>
  <c r="L2186" i="2"/>
  <c r="N2186" i="2" s="1"/>
  <c r="P2186" i="2" s="1"/>
  <c r="L2187" i="2"/>
  <c r="N2187" i="2" s="1"/>
  <c r="P2187" i="2" s="1"/>
  <c r="L580" i="2"/>
  <c r="N580" i="2" s="1"/>
  <c r="P580" i="2" s="1"/>
  <c r="L581" i="2"/>
  <c r="N581" i="2" s="1"/>
  <c r="P581" i="2" s="1"/>
  <c r="L482" i="2"/>
  <c r="N482" i="2" s="1"/>
  <c r="P482" i="2" s="1"/>
  <c r="L582" i="2"/>
  <c r="N582" i="2" s="1"/>
  <c r="P582" i="2" s="1"/>
  <c r="L1031" i="2"/>
  <c r="N1031" i="2" s="1"/>
  <c r="P1031" i="2" s="1"/>
  <c r="L2188" i="2"/>
  <c r="N2188" i="2" s="1"/>
  <c r="P2188" i="2" s="1"/>
  <c r="L2189" i="2"/>
  <c r="N2189" i="2" s="1"/>
  <c r="P2189" i="2" s="1"/>
  <c r="L2190" i="2"/>
  <c r="N2190" i="2" s="1"/>
  <c r="P2190" i="2" s="1"/>
  <c r="L1638" i="2"/>
  <c r="N1638" i="2" s="1"/>
  <c r="P1638" i="2" s="1"/>
  <c r="L1639" i="2"/>
  <c r="N1639" i="2" s="1"/>
  <c r="P1639" i="2" s="1"/>
  <c r="L2191" i="2"/>
  <c r="N2191" i="2" s="1"/>
  <c r="P2191" i="2" s="1"/>
  <c r="L2192" i="2"/>
  <c r="N2192" i="2" s="1"/>
  <c r="P2192" i="2" s="1"/>
  <c r="L2193" i="2"/>
  <c r="N2193" i="2" s="1"/>
  <c r="L2194" i="2"/>
  <c r="N2194" i="2" s="1"/>
  <c r="P2194" i="2" s="1"/>
  <c r="L583" i="2"/>
  <c r="N583" i="2" s="1"/>
  <c r="P583" i="2" s="1"/>
  <c r="L1269" i="2"/>
  <c r="N1269" i="2" s="1"/>
  <c r="P1269" i="2" s="1"/>
  <c r="L1640" i="2"/>
  <c r="N1640" i="2" s="1"/>
  <c r="P1640" i="2" s="1"/>
  <c r="L584" i="2"/>
  <c r="N584" i="2" s="1"/>
  <c r="P584" i="2" s="1"/>
  <c r="L1332" i="2"/>
  <c r="N1332" i="2" s="1"/>
  <c r="P1332" i="2" s="1"/>
  <c r="L483" i="2"/>
  <c r="N483" i="2" s="1"/>
  <c r="P483" i="2" s="1"/>
  <c r="L2195" i="2"/>
  <c r="N2195" i="2" s="1"/>
  <c r="P2195" i="2" s="1"/>
  <c r="L2196" i="2"/>
  <c r="L1333" i="2"/>
  <c r="N1333" i="2" s="1"/>
  <c r="P1333" i="2" s="1"/>
  <c r="L585" i="2"/>
  <c r="N585" i="2" s="1"/>
  <c r="P585" i="2" s="1"/>
  <c r="L1544" i="2"/>
  <c r="N1544" i="2" s="1"/>
  <c r="P1544" i="2" s="1"/>
  <c r="L1032" i="2"/>
  <c r="N1032" i="2" s="1"/>
  <c r="P1032" i="2" s="1"/>
  <c r="L2197" i="2"/>
  <c r="N2197" i="2" s="1"/>
  <c r="P2197" i="2" s="1"/>
  <c r="L2198" i="2"/>
  <c r="N2198" i="2" s="1"/>
  <c r="P2198" i="2" s="1"/>
  <c r="L2199" i="2"/>
  <c r="N2199" i="2" s="1"/>
  <c r="P2199" i="2" s="1"/>
  <c r="L1423" i="2"/>
  <c r="N1423" i="2" s="1"/>
  <c r="P1423" i="2" s="1"/>
  <c r="L1641" i="2"/>
  <c r="N1641" i="2" s="1"/>
  <c r="P1641" i="2" s="1"/>
  <c r="L1215" i="2"/>
  <c r="N1215" i="2" s="1"/>
  <c r="P1215" i="2" s="1"/>
  <c r="L1334" i="2"/>
  <c r="N1334" i="2" s="1"/>
  <c r="P1334" i="2" s="1"/>
  <c r="L586" i="2"/>
  <c r="N586" i="2" s="1"/>
  <c r="P586" i="2" s="1"/>
  <c r="L2200" i="2"/>
  <c r="N2200" i="2" s="1"/>
  <c r="P2200" i="2" s="1"/>
  <c r="L587" i="2"/>
  <c r="N587" i="2" s="1"/>
  <c r="P587" i="2" s="1"/>
  <c r="L1424" i="2"/>
  <c r="N1424" i="2" s="1"/>
  <c r="P1424" i="2" s="1"/>
  <c r="L1545" i="2"/>
  <c r="N1545" i="2" s="1"/>
  <c r="P1545" i="2" s="1"/>
  <c r="L2201" i="2"/>
  <c r="N2201" i="2" s="1"/>
  <c r="P2201" i="2" s="1"/>
  <c r="L2202" i="2"/>
  <c r="N2202" i="2" s="1"/>
  <c r="P2202" i="2" s="1"/>
  <c r="L2203" i="2"/>
  <c r="N2203" i="2" s="1"/>
  <c r="P2203" i="2" s="1"/>
  <c r="L2204" i="2"/>
  <c r="N2204" i="2" s="1"/>
  <c r="P2204" i="2" s="1"/>
  <c r="L2205" i="2"/>
  <c r="N2205" i="2" s="1"/>
  <c r="P2205" i="2" s="1"/>
  <c r="L1033" i="2"/>
  <c r="N1033" i="2" s="1"/>
  <c r="P1033" i="2" s="1"/>
  <c r="L2206" i="2"/>
  <c r="N2206" i="2" s="1"/>
  <c r="P2206" i="2" s="1"/>
  <c r="L588" i="2"/>
  <c r="N588" i="2" s="1"/>
  <c r="P588" i="2" s="1"/>
  <c r="L402" i="2"/>
  <c r="N402" i="2" s="1"/>
  <c r="P402" i="2" s="1"/>
  <c r="L1546" i="2"/>
  <c r="N1546" i="2" s="1"/>
  <c r="P1546" i="2" s="1"/>
  <c r="L2207" i="2"/>
  <c r="N2207" i="2" s="1"/>
  <c r="P2207" i="2" s="1"/>
  <c r="L1547" i="2"/>
  <c r="N1547" i="2" s="1"/>
  <c r="P1547" i="2" s="1"/>
  <c r="L2208" i="2"/>
  <c r="N2208" i="2" s="1"/>
  <c r="P2208" i="2" s="1"/>
  <c r="L2209" i="2"/>
  <c r="N2209" i="2" s="1"/>
  <c r="P2209" i="2" s="1"/>
  <c r="L511" i="2"/>
  <c r="N511" i="2" s="1"/>
  <c r="P511" i="2" s="1"/>
  <c r="L512" i="2"/>
  <c r="N512" i="2" s="1"/>
  <c r="P512" i="2" s="1"/>
  <c r="L2210" i="2"/>
  <c r="N2210" i="2" s="1"/>
  <c r="P2210" i="2" s="1"/>
  <c r="L403" i="2"/>
  <c r="N403" i="2" s="1"/>
  <c r="P403" i="2" s="1"/>
  <c r="L2211" i="2"/>
  <c r="N2211" i="2" s="1"/>
  <c r="P2211" i="2" s="1"/>
  <c r="L1216" i="2"/>
  <c r="N1216" i="2" s="1"/>
  <c r="P1216" i="2" s="1"/>
  <c r="L1034" i="2"/>
  <c r="N1034" i="2" s="1"/>
  <c r="P1034" i="2" s="1"/>
  <c r="L1035" i="2"/>
  <c r="N1035" i="2" s="1"/>
  <c r="P1035" i="2" s="1"/>
  <c r="L2212" i="2"/>
  <c r="N2212" i="2" s="1"/>
  <c r="P2212" i="2" s="1"/>
  <c r="L2213" i="2"/>
  <c r="N2213" i="2" s="1"/>
  <c r="P2213" i="2" s="1"/>
  <c r="L2214" i="2"/>
  <c r="N2214" i="2" s="1"/>
  <c r="P2214" i="2" s="1"/>
  <c r="L1335" i="2"/>
  <c r="N1335" i="2" s="1"/>
  <c r="P1335" i="2" s="1"/>
  <c r="L1036" i="2"/>
  <c r="N1036" i="2" s="1"/>
  <c r="P1036" i="2" s="1"/>
  <c r="L2215" i="2"/>
  <c r="N2215" i="2" s="1"/>
  <c r="L2216" i="2"/>
  <c r="N2216" i="2" s="1"/>
  <c r="P2216" i="2" s="1"/>
  <c r="L2217" i="2"/>
  <c r="N2217" i="2" s="1"/>
  <c r="P2217" i="2" s="1"/>
  <c r="L1217" i="2"/>
  <c r="N1217" i="2" s="1"/>
  <c r="P1217" i="2" s="1"/>
  <c r="L2218" i="2"/>
  <c r="N2218" i="2" s="1"/>
  <c r="P2218" i="2" s="1"/>
  <c r="L2219" i="2"/>
  <c r="N2219" i="2" s="1"/>
  <c r="P2219" i="2" s="1"/>
  <c r="L484" i="2"/>
  <c r="N484" i="2" s="1"/>
  <c r="P484" i="2" s="1"/>
  <c r="L2220" i="2"/>
  <c r="N2220" i="2" s="1"/>
  <c r="P2220" i="2" s="1"/>
  <c r="L1642" i="2"/>
  <c r="N1642" i="2" s="1"/>
  <c r="P1642" i="2" s="1"/>
  <c r="L1643" i="2"/>
  <c r="N1643" i="2" s="1"/>
  <c r="P1643" i="2" s="1"/>
  <c r="L2221" i="2"/>
  <c r="N2221" i="2" s="1"/>
  <c r="P2221" i="2" s="1"/>
  <c r="L2222" i="2"/>
  <c r="N2222" i="2" s="1"/>
  <c r="P2222" i="2" s="1"/>
  <c r="L589" i="2"/>
  <c r="N589" i="2" s="1"/>
  <c r="P589" i="2" s="1"/>
  <c r="L590" i="2"/>
  <c r="N590" i="2" s="1"/>
  <c r="P590" i="2" s="1"/>
  <c r="L459" i="2"/>
  <c r="N459" i="2" s="1"/>
  <c r="P459" i="2" s="1"/>
  <c r="L2223" i="2"/>
  <c r="N2223" i="2" s="1"/>
  <c r="P2223" i="2" s="1"/>
  <c r="L591" i="2"/>
  <c r="N591" i="2" s="1"/>
  <c r="P591" i="2" s="1"/>
  <c r="L404" i="2"/>
  <c r="N404" i="2" s="1"/>
  <c r="P404" i="2" s="1"/>
  <c r="L211" i="2"/>
  <c r="N211" i="2" s="1"/>
  <c r="P211" i="2" s="1"/>
  <c r="L2224" i="2"/>
  <c r="N2224" i="2" s="1"/>
  <c r="P2224" i="2" s="1"/>
  <c r="L2225" i="2"/>
  <c r="N2225" i="2" s="1"/>
  <c r="P2225" i="2" s="1"/>
  <c r="L460" i="2"/>
  <c r="N460" i="2" s="1"/>
  <c r="P460" i="2" s="1"/>
  <c r="L2226" i="2"/>
  <c r="N2226" i="2" s="1"/>
  <c r="P2226" i="2" s="1"/>
  <c r="L1037" i="2"/>
  <c r="N1037" i="2" s="1"/>
  <c r="P1037" i="2" s="1"/>
  <c r="L1548" i="2"/>
  <c r="N1548" i="2" s="1"/>
  <c r="P1548" i="2" s="1"/>
  <c r="L592" i="2"/>
  <c r="N592" i="2" s="1"/>
  <c r="P592" i="2" s="1"/>
  <c r="L2227" i="2"/>
  <c r="N2227" i="2" s="1"/>
  <c r="P2227" i="2" s="1"/>
  <c r="L1218" i="2"/>
  <c r="N1218" i="2" s="1"/>
  <c r="P1218" i="2" s="1"/>
  <c r="L1549" i="2"/>
  <c r="N1549" i="2" s="1"/>
  <c r="P1549" i="2" s="1"/>
  <c r="L405" i="2"/>
  <c r="N405" i="2" s="1"/>
  <c r="P405" i="2" s="1"/>
  <c r="L1219" i="2"/>
  <c r="N1219" i="2" s="1"/>
  <c r="P1219" i="2" s="1"/>
  <c r="L1127" i="2"/>
  <c r="N1127" i="2" s="1"/>
  <c r="P1127" i="2" s="1"/>
  <c r="L406" i="2"/>
  <c r="N406" i="2" s="1"/>
  <c r="P406" i="2" s="1"/>
  <c r="L1644" i="2"/>
  <c r="N1644" i="2" s="1"/>
  <c r="P1644" i="2" s="1"/>
  <c r="L2228" i="2"/>
  <c r="N2228" i="2" s="1"/>
  <c r="P2228" i="2" s="1"/>
  <c r="L2229" i="2"/>
  <c r="N2229" i="2" s="1"/>
  <c r="P2229" i="2" s="1"/>
  <c r="L1038" i="2"/>
  <c r="N1038" i="2" s="1"/>
  <c r="P1038" i="2" s="1"/>
  <c r="L2230" i="2"/>
  <c r="N2230" i="2" s="1"/>
  <c r="P2230" i="2" s="1"/>
  <c r="L2231" i="2"/>
  <c r="N2231" i="2" s="1"/>
  <c r="P2231" i="2" s="1"/>
  <c r="L212" i="2"/>
  <c r="N212" i="2" s="1"/>
  <c r="P212" i="2" s="1"/>
  <c r="L1039" i="2"/>
  <c r="N1039" i="2" s="1"/>
  <c r="P1039" i="2" s="1"/>
  <c r="L1425" i="2"/>
  <c r="N1425" i="2" s="1"/>
  <c r="P1425" i="2" s="1"/>
  <c r="L213" i="2"/>
  <c r="N213" i="2" s="1"/>
  <c r="P213" i="2" s="1"/>
  <c r="L593" i="2"/>
  <c r="N593" i="2" s="1"/>
  <c r="P593" i="2" s="1"/>
  <c r="L1645" i="2"/>
  <c r="N1645" i="2" s="1"/>
  <c r="P1645" i="2" s="1"/>
  <c r="L2232" i="2"/>
  <c r="N2232" i="2" s="1"/>
  <c r="P2232" i="2" s="1"/>
  <c r="L1040" i="2"/>
  <c r="N1040" i="2" s="1"/>
  <c r="P1040" i="2" s="1"/>
  <c r="L1220" i="2"/>
  <c r="N1220" i="2" s="1"/>
  <c r="P1220" i="2" s="1"/>
  <c r="L2233" i="2"/>
  <c r="N2233" i="2" s="1"/>
  <c r="P2233" i="2" s="1"/>
  <c r="L1221" i="2"/>
  <c r="N1221" i="2" s="1"/>
  <c r="P1221" i="2" s="1"/>
  <c r="L594" i="2"/>
  <c r="N594" i="2" s="1"/>
  <c r="P594" i="2" s="1"/>
  <c r="L1041" i="2"/>
  <c r="N1041" i="2" s="1"/>
  <c r="P1041" i="2" s="1"/>
  <c r="L2234" i="2"/>
  <c r="N2234" i="2" s="1"/>
  <c r="P2234" i="2" s="1"/>
  <c r="L2235" i="2"/>
  <c r="N2235" i="2" s="1"/>
  <c r="P2235" i="2" s="1"/>
  <c r="L2236" i="2"/>
  <c r="N2236" i="2" s="1"/>
  <c r="P2236" i="2" s="1"/>
  <c r="L1128" i="2"/>
  <c r="N1128" i="2" s="1"/>
  <c r="P1128" i="2" s="1"/>
  <c r="L2237" i="2"/>
  <c r="N2237" i="2" s="1"/>
  <c r="L214" i="2"/>
  <c r="N214" i="2" s="1"/>
  <c r="L1695" i="2"/>
  <c r="N1695" i="2" s="1"/>
  <c r="L2238" i="2"/>
  <c r="N2238" i="2" s="1"/>
  <c r="L2239" i="2"/>
  <c r="N2239" i="2" s="1"/>
  <c r="L215" i="2"/>
  <c r="N215" i="2" s="1"/>
  <c r="L595" i="2"/>
  <c r="N595" i="2" s="1"/>
  <c r="L1222" i="2"/>
  <c r="N1222" i="2" s="1"/>
  <c r="L2240" i="2"/>
  <c r="N2240" i="2" s="1"/>
  <c r="L216" i="2"/>
  <c r="N216" i="2" s="1"/>
  <c r="L217" i="2"/>
  <c r="N217" i="2" s="1"/>
  <c r="L1129" i="2"/>
  <c r="N1129" i="2" s="1"/>
  <c r="L2241" i="2"/>
  <c r="N2241" i="2" s="1"/>
  <c r="L1452" i="2"/>
  <c r="N1452" i="2" s="1"/>
  <c r="L1336" i="2"/>
  <c r="N1336" i="2" s="1"/>
  <c r="L2242" i="2"/>
  <c r="N2242" i="2" s="1"/>
  <c r="L1042" i="2"/>
  <c r="N1042" i="2" s="1"/>
  <c r="L2243" i="2"/>
  <c r="N2243" i="2" s="1"/>
  <c r="L2244" i="2"/>
  <c r="N2244" i="2" s="1"/>
  <c r="L218" i="2"/>
  <c r="N218" i="2" s="1"/>
  <c r="L2245" i="2"/>
  <c r="N2245" i="2" s="1"/>
  <c r="L219" i="2"/>
  <c r="N219" i="2" s="1"/>
  <c r="L2246" i="2"/>
  <c r="N2246" i="2" s="1"/>
  <c r="L1223" i="2"/>
  <c r="N1223" i="2" s="1"/>
  <c r="L2247" i="2"/>
  <c r="N2247" i="2" s="1"/>
  <c r="L596" i="2"/>
  <c r="N596" i="2" s="1"/>
  <c r="L2248" i="2"/>
  <c r="N2248" i="2" s="1"/>
  <c r="L220" i="2"/>
  <c r="N220" i="2" s="1"/>
  <c r="L221" i="2"/>
  <c r="N221" i="2" s="1"/>
  <c r="L2249" i="2"/>
  <c r="N2249" i="2" s="1"/>
  <c r="L1426" i="2"/>
  <c r="N1426" i="2" s="1"/>
  <c r="L2250" i="2"/>
  <c r="N2250" i="2" s="1"/>
  <c r="L597" i="2"/>
  <c r="N597" i="2" s="1"/>
  <c r="L222" i="2"/>
  <c r="L2251" i="2"/>
  <c r="N2251" i="2" s="1"/>
  <c r="L2252" i="2"/>
  <c r="N2252" i="2" s="1"/>
  <c r="L598" i="2"/>
  <c r="N598" i="2" s="1"/>
  <c r="L2253" i="2"/>
  <c r="N2253" i="2" s="1"/>
  <c r="L1130" i="2"/>
  <c r="N1130" i="2" s="1"/>
  <c r="L2254" i="2"/>
  <c r="N2254" i="2" s="1"/>
  <c r="L2255" i="2"/>
  <c r="N2255" i="2" s="1"/>
  <c r="L223" i="2"/>
  <c r="N223" i="2" s="1"/>
  <c r="L1224" i="2"/>
  <c r="N1224" i="2" s="1"/>
  <c r="L224" i="2"/>
  <c r="N224" i="2" s="1"/>
  <c r="L225" i="2"/>
  <c r="N225" i="2" s="1"/>
  <c r="L226" i="2"/>
  <c r="N226" i="2" s="1"/>
  <c r="L227" i="2"/>
  <c r="N227" i="2" s="1"/>
  <c r="L228" i="2"/>
  <c r="N228" i="2" s="1"/>
  <c r="L229" i="2"/>
  <c r="N229" i="2" s="1"/>
  <c r="L230" i="2"/>
  <c r="N230" i="2" s="1"/>
  <c r="L231" i="2"/>
  <c r="N231" i="2" s="1"/>
  <c r="L407" i="2"/>
  <c r="N407" i="2" s="1"/>
  <c r="L232" i="2"/>
  <c r="N232" i="2" s="1"/>
  <c r="L1043" i="2"/>
  <c r="N1043" i="2" s="1"/>
  <c r="L599" i="2"/>
  <c r="N599" i="2" s="1"/>
  <c r="L1270" i="2"/>
  <c r="N1270" i="2" s="1"/>
  <c r="L233" i="2"/>
  <c r="N233" i="2" s="1"/>
  <c r="L1044" i="2"/>
  <c r="N1044" i="2" s="1"/>
  <c r="L1045" i="2"/>
  <c r="N1045" i="2" s="1"/>
  <c r="L1046" i="2"/>
  <c r="N1046" i="2" s="1"/>
  <c r="L2256" i="2"/>
  <c r="N2256" i="2" s="1"/>
  <c r="L2257" i="2"/>
  <c r="N2257" i="2" s="1"/>
  <c r="L2258" i="2"/>
  <c r="N2258" i="2" s="1"/>
  <c r="L2259" i="2"/>
  <c r="N2259" i="2" s="1"/>
  <c r="L2260" i="2"/>
  <c r="N2260" i="2" s="1"/>
  <c r="L1550" i="2"/>
  <c r="N1550" i="2" s="1"/>
  <c r="L2261" i="2"/>
  <c r="N2261" i="2" s="1"/>
  <c r="L2262" i="2"/>
  <c r="N2262" i="2" s="1"/>
  <c r="L2263" i="2"/>
  <c r="N2263" i="2" s="1"/>
  <c r="L234" i="2"/>
  <c r="N234" i="2" s="1"/>
  <c r="L1551" i="2"/>
  <c r="N1551" i="2" s="1"/>
  <c r="L2264" i="2"/>
  <c r="N2264" i="2" s="1"/>
  <c r="L2265" i="2"/>
  <c r="N2265" i="2" s="1"/>
  <c r="L2266" i="2"/>
  <c r="N2266" i="2" s="1"/>
  <c r="L2267" i="2"/>
  <c r="N2267" i="2" s="1"/>
  <c r="L2268" i="2"/>
  <c r="N2268" i="2" s="1"/>
  <c r="L2269" i="2"/>
  <c r="N2269" i="2" s="1"/>
  <c r="L2270" i="2"/>
  <c r="N2270" i="2" s="1"/>
  <c r="L2271" i="2"/>
  <c r="N2271" i="2" s="1"/>
  <c r="L2272" i="2"/>
  <c r="N2272" i="2" s="1"/>
  <c r="L1552" i="2"/>
  <c r="N1552" i="2" s="1"/>
  <c r="L2273" i="2"/>
  <c r="N2273" i="2" s="1"/>
  <c r="L2274" i="2"/>
  <c r="N2274" i="2" s="1"/>
  <c r="L2275" i="2"/>
  <c r="N2275" i="2" s="1"/>
  <c r="L1337" i="2"/>
  <c r="N1337" i="2" s="1"/>
  <c r="L2276" i="2"/>
  <c r="N2276" i="2" s="1"/>
  <c r="L235" i="2"/>
  <c r="N235" i="2" s="1"/>
  <c r="L2277" i="2"/>
  <c r="N2277" i="2" s="1"/>
  <c r="L1553" i="2"/>
  <c r="N1553" i="2" s="1"/>
  <c r="L2278" i="2"/>
  <c r="N2278" i="2" s="1"/>
  <c r="L2279" i="2"/>
  <c r="N2279" i="2" s="1"/>
  <c r="L2280" i="2"/>
  <c r="N2280" i="2" s="1"/>
  <c r="L236" i="2"/>
  <c r="N236" i="2" s="1"/>
  <c r="L2281" i="2"/>
  <c r="N2281" i="2" s="1"/>
  <c r="L2282" i="2"/>
  <c r="N2282" i="2" s="1"/>
  <c r="L2283" i="2"/>
  <c r="N2283" i="2" s="1"/>
  <c r="L2284" i="2"/>
  <c r="N2284" i="2" s="1"/>
  <c r="L2285" i="2"/>
  <c r="N2285" i="2" s="1"/>
  <c r="L2286" i="2"/>
  <c r="N2286" i="2" s="1"/>
  <c r="L2287" i="2"/>
  <c r="N2287" i="2" s="1"/>
  <c r="L2288" i="2"/>
  <c r="N2288" i="2" s="1"/>
  <c r="L2289" i="2"/>
  <c r="N2289" i="2" s="1"/>
  <c r="L2290" i="2"/>
  <c r="N2290" i="2" s="1"/>
  <c r="L1338" i="2"/>
  <c r="N1338" i="2" s="1"/>
  <c r="L18" i="2"/>
  <c r="N18" i="2" s="1"/>
  <c r="L2291" i="2"/>
  <c r="N2291" i="2" s="1"/>
  <c r="L1554" i="2"/>
  <c r="N1554" i="2" s="1"/>
  <c r="L2292" i="2"/>
  <c r="N2292" i="2" s="1"/>
  <c r="L2293" i="2"/>
  <c r="N2293" i="2" s="1"/>
  <c r="L2294" i="2"/>
  <c r="N2294" i="2" s="1"/>
  <c r="L2295" i="2"/>
  <c r="N2295" i="2" s="1"/>
  <c r="L2296" i="2"/>
  <c r="N2296" i="2" s="1"/>
  <c r="L2297" i="2"/>
  <c r="N2297" i="2" s="1"/>
  <c r="L2298" i="2"/>
  <c r="N2298" i="2" s="1"/>
  <c r="L2299" i="2"/>
  <c r="N2299" i="2" s="1"/>
  <c r="L2300" i="2"/>
  <c r="N2300" i="2" s="1"/>
  <c r="L2301" i="2"/>
  <c r="N2301" i="2" s="1"/>
  <c r="L2302" i="2"/>
  <c r="N2302" i="2" s="1"/>
  <c r="L339" i="2"/>
  <c r="N339" i="2" s="1"/>
  <c r="L1339" i="2"/>
  <c r="N1339" i="2" s="1"/>
  <c r="L2303" i="2"/>
  <c r="N2303" i="2" s="1"/>
  <c r="L2304" i="2"/>
  <c r="N2304" i="2" s="1"/>
  <c r="L2305" i="2"/>
  <c r="N2305" i="2" s="1"/>
  <c r="L237" i="2"/>
  <c r="N237" i="2" s="1"/>
  <c r="L2306" i="2"/>
  <c r="N2306" i="2" s="1"/>
  <c r="L2307" i="2"/>
  <c r="N2307" i="2" s="1"/>
  <c r="L2308" i="2"/>
  <c r="N2308" i="2" s="1"/>
  <c r="L2309" i="2"/>
  <c r="N2309" i="2" s="1"/>
  <c r="L2310" i="2"/>
  <c r="N2310" i="2" s="1"/>
  <c r="L2311" i="2"/>
  <c r="N2311" i="2" s="1"/>
  <c r="L1340" i="2"/>
  <c r="N1340" i="2" s="1"/>
  <c r="L2312" i="2"/>
  <c r="N2312" i="2" s="1"/>
  <c r="L2313" i="2"/>
  <c r="N2313" i="2" s="1"/>
  <c r="L2314" i="2"/>
  <c r="N2314" i="2" s="1"/>
  <c r="L771" i="2"/>
  <c r="N771" i="2" s="1"/>
  <c r="L1555" i="2"/>
  <c r="N1555" i="2" s="1"/>
  <c r="L238" i="2"/>
  <c r="N238" i="2" s="1"/>
  <c r="L239" i="2"/>
  <c r="N239" i="2" s="1"/>
  <c r="L2315" i="2"/>
  <c r="N2315" i="2" s="1"/>
  <c r="L2316" i="2"/>
  <c r="N2316" i="2" s="1"/>
  <c r="L2317" i="2"/>
  <c r="N2317" i="2" s="1"/>
  <c r="L2318" i="2"/>
  <c r="N2318" i="2" s="1"/>
  <c r="L2319" i="2"/>
  <c r="N2319" i="2" s="1"/>
  <c r="L2320" i="2"/>
  <c r="N2320" i="2" s="1"/>
  <c r="L2321" i="2"/>
  <c r="N2321" i="2" s="1"/>
  <c r="L2322" i="2"/>
  <c r="N2322" i="2" s="1"/>
  <c r="L772" i="2"/>
  <c r="N772" i="2" s="1"/>
  <c r="L2323" i="2"/>
  <c r="N2323" i="2" s="1"/>
  <c r="L2324" i="2"/>
  <c r="N2324" i="2" s="1"/>
  <c r="L2325" i="2"/>
  <c r="N2325" i="2" s="1"/>
  <c r="L414" i="2"/>
  <c r="N414" i="2" s="1"/>
  <c r="L2326" i="2"/>
  <c r="N2326" i="2" s="1"/>
  <c r="L1556" i="2"/>
  <c r="N1556" i="2" s="1"/>
  <c r="L2327" i="2"/>
  <c r="N2327" i="2" s="1"/>
  <c r="L2328" i="2"/>
  <c r="N2328" i="2" s="1"/>
  <c r="L600" i="2"/>
  <c r="N600" i="2" s="1"/>
  <c r="L1557" i="2"/>
  <c r="N1557" i="2" s="1"/>
  <c r="L1558" i="2"/>
  <c r="N1558" i="2" s="1"/>
  <c r="L2329" i="2"/>
  <c r="N2329" i="2" s="1"/>
  <c r="L2330" i="2"/>
  <c r="N2330" i="2" s="1"/>
  <c r="L2331" i="2"/>
  <c r="N2331" i="2" s="1"/>
  <c r="L340" i="2"/>
  <c r="N340" i="2" s="1"/>
  <c r="L341" i="2"/>
  <c r="N341" i="2" s="1"/>
  <c r="L415" i="2"/>
  <c r="N415" i="2" s="1"/>
  <c r="L2332" i="2"/>
  <c r="N2332" i="2" s="1"/>
  <c r="L1341" i="2"/>
  <c r="N1341" i="2" s="1"/>
  <c r="L2333" i="2"/>
  <c r="N2333" i="2" s="1"/>
  <c r="L2334" i="2"/>
  <c r="N2334" i="2" s="1"/>
  <c r="L2335" i="2"/>
  <c r="N2335" i="2" s="1"/>
  <c r="L2336" i="2"/>
  <c r="N2336" i="2" s="1"/>
  <c r="L485" i="2"/>
  <c r="N485" i="2" s="1"/>
  <c r="L1342" i="2"/>
  <c r="N1342" i="2" s="1"/>
  <c r="L2337" i="2"/>
  <c r="N2337" i="2" s="1"/>
  <c r="L1343" i="2"/>
  <c r="N1343" i="2" s="1"/>
  <c r="L2338" i="2"/>
  <c r="N2338" i="2" s="1"/>
  <c r="L342" i="2"/>
  <c r="N342" i="2" s="1"/>
  <c r="L416" i="2"/>
  <c r="N416" i="2" s="1"/>
  <c r="L2339" i="2"/>
  <c r="N2339" i="2" s="1"/>
  <c r="L417" i="2"/>
  <c r="N417" i="2" s="1"/>
  <c r="L343" i="2"/>
  <c r="N343" i="2" s="1"/>
  <c r="L1559" i="2"/>
  <c r="N1559" i="2" s="1"/>
  <c r="L2340" i="2"/>
  <c r="N2340" i="2" s="1"/>
  <c r="L2341" i="2"/>
  <c r="N2341" i="2" s="1"/>
  <c r="L486" i="2"/>
  <c r="N486" i="2" s="1"/>
  <c r="L601" i="2"/>
  <c r="N601" i="2" s="1"/>
  <c r="L1344" i="2"/>
  <c r="N1344" i="2" s="1"/>
  <c r="L2342" i="2"/>
  <c r="N2342" i="2" s="1"/>
  <c r="L2343" i="2"/>
  <c r="N2343" i="2" s="1"/>
  <c r="L2344" i="2"/>
  <c r="N2344" i="2" s="1"/>
  <c r="L2345" i="2"/>
  <c r="N2345" i="2" s="1"/>
  <c r="L2346" i="2"/>
  <c r="N2346" i="2" s="1"/>
  <c r="L773" i="2"/>
  <c r="N773" i="2" s="1"/>
  <c r="L19" i="2"/>
  <c r="N19" i="2" s="1"/>
  <c r="L2347" i="2"/>
  <c r="N2347" i="2" s="1"/>
  <c r="L2348" i="2"/>
  <c r="N2348" i="2" s="1"/>
  <c r="L2349" i="2"/>
  <c r="N2349" i="2" s="1"/>
  <c r="L2350" i="2"/>
  <c r="N2350" i="2" s="1"/>
  <c r="L344" i="2"/>
  <c r="N344" i="2" s="1"/>
  <c r="L2351" i="2"/>
  <c r="N2351" i="2" s="1"/>
  <c r="L2352" i="2"/>
  <c r="N2352" i="2" s="1"/>
  <c r="L1560" i="2"/>
  <c r="N1560" i="2" s="1"/>
  <c r="L2353" i="2"/>
  <c r="N2353" i="2" s="1"/>
  <c r="L2354" i="2"/>
  <c r="N2354" i="2" s="1"/>
  <c r="L774" i="2"/>
  <c r="N774" i="2" s="1"/>
  <c r="L2355" i="2"/>
  <c r="N2355" i="2" s="1"/>
  <c r="L2356" i="2"/>
  <c r="N2356" i="2" s="1"/>
  <c r="L487" i="2"/>
  <c r="N487" i="2" s="1"/>
  <c r="L2357" i="2"/>
  <c r="N2357" i="2" s="1"/>
  <c r="L1345" i="2"/>
  <c r="N1345" i="2" s="1"/>
  <c r="L2358" i="2"/>
  <c r="N2358" i="2" s="1"/>
  <c r="L2359" i="2"/>
  <c r="N2359" i="2" s="1"/>
  <c r="L2360" i="2"/>
  <c r="N2360" i="2" s="1"/>
  <c r="L20" i="2"/>
  <c r="N20" i="2" s="1"/>
  <c r="L2361" i="2"/>
  <c r="N2361" i="2" s="1"/>
  <c r="L2362" i="2"/>
  <c r="N2362" i="2" s="1"/>
  <c r="L2363" i="2"/>
  <c r="N2363" i="2" s="1"/>
  <c r="L2364" i="2"/>
  <c r="N2364" i="2" s="1"/>
  <c r="L2365" i="2"/>
  <c r="N2365" i="2" s="1"/>
  <c r="L345" i="2"/>
  <c r="N345" i="2" s="1"/>
  <c r="L775" i="2"/>
  <c r="N775" i="2" s="1"/>
  <c r="L2366" i="2"/>
  <c r="N2366" i="2" s="1"/>
  <c r="L2367" i="2"/>
  <c r="N2367" i="2" s="1"/>
  <c r="L240" i="2"/>
  <c r="N240" i="2" s="1"/>
  <c r="L602" i="2"/>
  <c r="N602" i="2" s="1"/>
  <c r="L2368" i="2"/>
  <c r="N2368" i="2" s="1"/>
  <c r="L2369" i="2"/>
  <c r="N2369" i="2" s="1"/>
  <c r="L1346" i="2"/>
  <c r="N1346" i="2" s="1"/>
  <c r="L2370" i="2"/>
  <c r="N2370" i="2" s="1"/>
  <c r="L418" i="2"/>
  <c r="N418" i="2" s="1"/>
  <c r="L2371" i="2"/>
  <c r="N2371" i="2" s="1"/>
  <c r="L2372" i="2"/>
  <c r="N2372" i="2" s="1"/>
  <c r="L2373" i="2"/>
  <c r="N2373" i="2" s="1"/>
  <c r="L2374" i="2"/>
  <c r="N2374" i="2" s="1"/>
  <c r="L2375" i="2"/>
  <c r="N2375" i="2" s="1"/>
  <c r="L2376" i="2"/>
  <c r="N2376" i="2" s="1"/>
  <c r="L2377" i="2"/>
  <c r="N2377" i="2" s="1"/>
  <c r="L2378" i="2"/>
  <c r="N2378" i="2" s="1"/>
  <c r="L2379" i="2"/>
  <c r="N2379" i="2" s="1"/>
  <c r="L241" i="2"/>
  <c r="N241" i="2" s="1"/>
  <c r="L1561" i="2"/>
  <c r="N1561" i="2" s="1"/>
  <c r="L488" i="2"/>
  <c r="N488" i="2" s="1"/>
  <c r="L2380" i="2"/>
  <c r="N2380" i="2" s="1"/>
  <c r="L2381" i="2"/>
  <c r="N2381" i="2" s="1"/>
  <c r="L2382" i="2"/>
  <c r="N2382" i="2" s="1"/>
  <c r="L603" i="2"/>
  <c r="N603" i="2" s="1"/>
  <c r="L2383" i="2"/>
  <c r="N2383" i="2" s="1"/>
  <c r="L604" i="2"/>
  <c r="N604" i="2" s="1"/>
  <c r="L2384" i="2"/>
  <c r="N2384" i="2" s="1"/>
  <c r="L1562" i="2"/>
  <c r="N1562" i="2" s="1"/>
  <c r="L2385" i="2"/>
  <c r="N2385" i="2" s="1"/>
  <c r="L1347" i="2"/>
  <c r="N1347" i="2" s="1"/>
  <c r="L21" i="2"/>
  <c r="N21" i="2" s="1"/>
  <c r="L2386" i="2"/>
  <c r="N2386" i="2" s="1"/>
  <c r="L2387" i="2"/>
  <c r="N2387" i="2" s="1"/>
  <c r="L2388" i="2"/>
  <c r="N2388" i="2" s="1"/>
  <c r="L242" i="2"/>
  <c r="N242" i="2" s="1"/>
  <c r="L419" i="2"/>
  <c r="N419" i="2" s="1"/>
  <c r="L1563" i="2"/>
  <c r="N1563" i="2" s="1"/>
  <c r="L346" i="2"/>
  <c r="N346" i="2" s="1"/>
  <c r="L2389" i="2"/>
  <c r="N2389" i="2" s="1"/>
  <c r="L2390" i="2"/>
  <c r="N2390" i="2" s="1"/>
  <c r="L2391" i="2"/>
  <c r="N2391" i="2" s="1"/>
  <c r="L2392" i="2"/>
  <c r="N2392" i="2" s="1"/>
  <c r="L2393" i="2"/>
  <c r="N2393" i="2" s="1"/>
  <c r="L2394" i="2"/>
  <c r="N2394" i="2" s="1"/>
  <c r="L2395" i="2"/>
  <c r="N2395" i="2" s="1"/>
  <c r="L2396" i="2"/>
  <c r="N2396" i="2" s="1"/>
  <c r="L2397" i="2"/>
  <c r="N2397" i="2" s="1"/>
  <c r="L243" i="2"/>
  <c r="N243" i="2" s="1"/>
  <c r="L2398" i="2"/>
  <c r="N2398" i="2" s="1"/>
  <c r="L2399" i="2"/>
  <c r="N2399" i="2" s="1"/>
  <c r="L776" i="2"/>
  <c r="N776" i="2" s="1"/>
  <c r="L1348" i="2"/>
  <c r="N1348" i="2" s="1"/>
  <c r="L2400" i="2"/>
  <c r="N2400" i="2" s="1"/>
  <c r="L2401" i="2"/>
  <c r="N2401" i="2" s="1"/>
  <c r="L2402" i="2"/>
  <c r="N2402" i="2" s="1"/>
  <c r="L605" i="2"/>
  <c r="N605" i="2" s="1"/>
  <c r="L606" i="2"/>
  <c r="N606" i="2" s="1"/>
  <c r="L2403" i="2"/>
  <c r="N2403" i="2" s="1"/>
  <c r="L2404" i="2"/>
  <c r="N2404" i="2" s="1"/>
  <c r="L2405" i="2"/>
  <c r="N2405" i="2" s="1"/>
  <c r="L2406" i="2"/>
  <c r="N2406" i="2" s="1"/>
  <c r="L1349" i="2"/>
  <c r="N1349" i="2" s="1"/>
  <c r="L607" i="2"/>
  <c r="N607" i="2" s="1"/>
  <c r="L2407" i="2"/>
  <c r="N2407" i="2" s="1"/>
  <c r="L608" i="2"/>
  <c r="N608" i="2" s="1"/>
  <c r="L244" i="2"/>
  <c r="L2408" i="2"/>
  <c r="N2408" i="2" s="1"/>
  <c r="L2409" i="2"/>
  <c r="N2409" i="2" s="1"/>
  <c r="L1564" i="2"/>
  <c r="N1564" i="2" s="1"/>
  <c r="L2410" i="2"/>
  <c r="N2410" i="2" s="1"/>
  <c r="L2411" i="2"/>
  <c r="N2411" i="2" s="1"/>
  <c r="L2412" i="2"/>
  <c r="N2412" i="2" s="1"/>
  <c r="L2413" i="2"/>
  <c r="N2413" i="2" s="1"/>
  <c r="L1565" i="2"/>
  <c r="N1565" i="2" s="1"/>
  <c r="L2414" i="2"/>
  <c r="N2414" i="2" s="1"/>
  <c r="L1350" i="2"/>
  <c r="N1350" i="2" s="1"/>
  <c r="L2415" i="2"/>
  <c r="N2415" i="2" s="1"/>
  <c r="L2416" i="2"/>
  <c r="L1566" i="2"/>
  <c r="N1566" i="2" s="1"/>
  <c r="L2417" i="2"/>
  <c r="N2417" i="2" s="1"/>
  <c r="L777" i="2"/>
  <c r="N777" i="2" s="1"/>
  <c r="L2418" i="2"/>
  <c r="N2418" i="2" s="1"/>
  <c r="L2419" i="2"/>
  <c r="N2419" i="2" s="1"/>
  <c r="L1351" i="2"/>
  <c r="N1351" i="2" s="1"/>
  <c r="L609" i="2"/>
  <c r="N609" i="2" s="1"/>
  <c r="L2420" i="2"/>
  <c r="N2420" i="2" s="1"/>
  <c r="L2421" i="2"/>
  <c r="N2421" i="2" s="1"/>
  <c r="L2422" i="2"/>
  <c r="N2422" i="2" s="1"/>
  <c r="L2423" i="2"/>
  <c r="N2423" i="2" s="1"/>
  <c r="L2424" i="2"/>
  <c r="N2424" i="2" s="1"/>
  <c r="L245" i="2"/>
  <c r="N245" i="2" s="1"/>
  <c r="L610" i="2"/>
  <c r="N610" i="2" s="1"/>
  <c r="L2425" i="2"/>
  <c r="N2425" i="2" s="1"/>
  <c r="L2426" i="2"/>
  <c r="N2426" i="2" s="1"/>
  <c r="L2427" i="2"/>
  <c r="N2427" i="2" s="1"/>
  <c r="L2428" i="2"/>
  <c r="N2428" i="2" s="1"/>
  <c r="L2429" i="2"/>
  <c r="N2429" i="2" s="1"/>
  <c r="L2430" i="2"/>
  <c r="N2430" i="2" s="1"/>
  <c r="L420" i="2"/>
  <c r="N420" i="2" s="1"/>
  <c r="L611" i="2"/>
  <c r="N611" i="2" s="1"/>
  <c r="L2431" i="2"/>
  <c r="N2431" i="2" s="1"/>
  <c r="L2432" i="2"/>
  <c r="N2432" i="2" s="1"/>
  <c r="L2433" i="2"/>
  <c r="N2433" i="2" s="1"/>
  <c r="L2434" i="2"/>
  <c r="N2434" i="2" s="1"/>
  <c r="L489" i="2"/>
  <c r="N489" i="2" s="1"/>
  <c r="L778" i="2"/>
  <c r="N778" i="2" s="1"/>
  <c r="L2435" i="2"/>
  <c r="N2435" i="2" s="1"/>
  <c r="L421" i="2"/>
  <c r="N421" i="2" s="1"/>
  <c r="L1567" i="2"/>
  <c r="N1567" i="2" s="1"/>
  <c r="L246" i="2"/>
  <c r="N246" i="2" s="1"/>
  <c r="L2436" i="2"/>
  <c r="N2436" i="2" s="1"/>
  <c r="L347" i="2"/>
  <c r="N347" i="2" s="1"/>
  <c r="L2437" i="2"/>
  <c r="N2437" i="2" s="1"/>
  <c r="L612" i="2"/>
  <c r="N612" i="2" s="1"/>
  <c r="L348" i="2"/>
  <c r="N348" i="2" s="1"/>
  <c r="L2438" i="2"/>
  <c r="N2438" i="2" s="1"/>
  <c r="L2439" i="2"/>
  <c r="N2439" i="2" s="1"/>
  <c r="L2440" i="2"/>
  <c r="N2440" i="2" s="1"/>
  <c r="L247" i="2"/>
  <c r="N247" i="2" s="1"/>
  <c r="L422" i="2"/>
  <c r="N422" i="2" s="1"/>
  <c r="L1568" i="2"/>
  <c r="N1568" i="2" s="1"/>
  <c r="L613" i="2"/>
  <c r="N613" i="2" s="1"/>
  <c r="L2441" i="2"/>
  <c r="N2441" i="2" s="1"/>
  <c r="L490" i="2"/>
  <c r="N490" i="2" s="1"/>
  <c r="L1569" i="2"/>
  <c r="N1569" i="2" s="1"/>
  <c r="L2442" i="2"/>
  <c r="N2442" i="2" s="1"/>
  <c r="L2443" i="2"/>
  <c r="N2443" i="2" s="1"/>
  <c r="L2444" i="2"/>
  <c r="N2444" i="2" s="1"/>
  <c r="L2445" i="2"/>
  <c r="N2445" i="2" s="1"/>
  <c r="L2446" i="2"/>
  <c r="N2446" i="2" s="1"/>
  <c r="L2447" i="2"/>
  <c r="N2447" i="2" s="1"/>
  <c r="L614" i="2"/>
  <c r="N614" i="2" s="1"/>
  <c r="L615" i="2"/>
  <c r="N615" i="2" s="1"/>
  <c r="L1352" i="2"/>
  <c r="N1352" i="2" s="1"/>
  <c r="L2448" i="2"/>
  <c r="N2448" i="2" s="1"/>
  <c r="L1570" i="2"/>
  <c r="N1570" i="2" s="1"/>
  <c r="L2449" i="2"/>
  <c r="N2449" i="2" s="1"/>
  <c r="L2450" i="2"/>
  <c r="N2450" i="2" s="1"/>
  <c r="L1353" i="2"/>
  <c r="N1353" i="2" s="1"/>
  <c r="L616" i="2"/>
  <c r="N616" i="2" s="1"/>
  <c r="L2451" i="2"/>
  <c r="N2451" i="2" s="1"/>
  <c r="L2452" i="2"/>
  <c r="N2452" i="2" s="1"/>
  <c r="L2453" i="2"/>
  <c r="N2453" i="2" s="1"/>
  <c r="L779" i="2"/>
  <c r="N779" i="2" s="1"/>
  <c r="L1571" i="2"/>
  <c r="N1571" i="2" s="1"/>
  <c r="L2454" i="2"/>
  <c r="N2454" i="2" s="1"/>
  <c r="L2455" i="2"/>
  <c r="N2455" i="2" s="1"/>
  <c r="L2456" i="2"/>
  <c r="N2456" i="2" s="1"/>
  <c r="L2457" i="2"/>
  <c r="N2457" i="2" s="1"/>
  <c r="L1047" i="2"/>
  <c r="N1047" i="2" s="1"/>
  <c r="L2458" i="2"/>
  <c r="N2458" i="2" s="1"/>
  <c r="L2459" i="2"/>
  <c r="N2459" i="2" s="1"/>
  <c r="L1048" i="2"/>
  <c r="N1048" i="2" s="1"/>
  <c r="L248" i="2"/>
  <c r="N248" i="2" s="1"/>
  <c r="L2460" i="2"/>
  <c r="N2460" i="2" s="1"/>
  <c r="L2461" i="2"/>
  <c r="N2461" i="2" s="1"/>
  <c r="L2462" i="2"/>
  <c r="N2462" i="2" s="1"/>
  <c r="L491" i="2"/>
  <c r="N491" i="2" s="1"/>
  <c r="L2463" i="2"/>
  <c r="N2463" i="2" s="1"/>
  <c r="L492" i="2"/>
  <c r="N492" i="2" s="1"/>
  <c r="L2464" i="2"/>
  <c r="N2464" i="2" s="1"/>
  <c r="L2465" i="2"/>
  <c r="N2465" i="2" s="1"/>
  <c r="L780" i="2"/>
  <c r="N780" i="2" s="1"/>
  <c r="L781" i="2"/>
  <c r="N781" i="2" s="1"/>
  <c r="L2466" i="2"/>
  <c r="N2466" i="2" s="1"/>
  <c r="L2467" i="2"/>
  <c r="N2467" i="2" s="1"/>
  <c r="L249" i="2"/>
  <c r="N249" i="2" s="1"/>
  <c r="L1049" i="2"/>
  <c r="N1049" i="2" s="1"/>
  <c r="L2468" i="2"/>
  <c r="N2468" i="2" s="1"/>
  <c r="L2469" i="2"/>
  <c r="N2469" i="2" s="1"/>
  <c r="L2470" i="2"/>
  <c r="N2470" i="2" s="1"/>
  <c r="L617" i="2"/>
  <c r="N617" i="2" s="1"/>
  <c r="L1572" i="2"/>
  <c r="N1572" i="2" s="1"/>
  <c r="L2471" i="2"/>
  <c r="N2471" i="2" s="1"/>
  <c r="L2472" i="2"/>
  <c r="N2472" i="2" s="1"/>
  <c r="L1354" i="2"/>
  <c r="N1354" i="2" s="1"/>
  <c r="L618" i="2"/>
  <c r="N618" i="2" s="1"/>
  <c r="L2473" i="2"/>
  <c r="N2473" i="2" s="1"/>
  <c r="L619" i="2"/>
  <c r="N619" i="2" s="1"/>
  <c r="L1573" i="2"/>
  <c r="N1573" i="2" s="1"/>
  <c r="L2474" i="2"/>
  <c r="N2474" i="2" s="1"/>
  <c r="L2475" i="2"/>
  <c r="N2475" i="2" s="1"/>
  <c r="L250" i="2"/>
  <c r="N250" i="2" s="1"/>
  <c r="L2476" i="2"/>
  <c r="N2476" i="2" s="1"/>
  <c r="L2477" i="2"/>
  <c r="L782" i="2"/>
  <c r="N782" i="2" s="1"/>
  <c r="L620" i="2"/>
  <c r="N620" i="2" s="1"/>
  <c r="L2478" i="2"/>
  <c r="N2478" i="2" s="1"/>
  <c r="L1355" i="2"/>
  <c r="N1355" i="2" s="1"/>
  <c r="L2479" i="2"/>
  <c r="N2479" i="2" s="1"/>
  <c r="L2480" i="2"/>
  <c r="N2480" i="2" s="1"/>
  <c r="L621" i="2"/>
  <c r="N621" i="2" s="1"/>
  <c r="L2481" i="2"/>
  <c r="N2481" i="2" s="1"/>
  <c r="L2482" i="2"/>
  <c r="N2482" i="2" s="1"/>
  <c r="L2483" i="2"/>
  <c r="N2483" i="2" s="1"/>
  <c r="L2484" i="2"/>
  <c r="N2484" i="2" s="1"/>
  <c r="L2485" i="2"/>
  <c r="N2485" i="2" s="1"/>
  <c r="L251" i="2"/>
  <c r="N251" i="2" s="1"/>
  <c r="L1574" i="2"/>
  <c r="N1574" i="2" s="1"/>
  <c r="L2486" i="2"/>
  <c r="N2486" i="2" s="1"/>
  <c r="L622" i="2"/>
  <c r="N622" i="2" s="1"/>
  <c r="L623" i="2"/>
  <c r="N623" i="2" s="1"/>
  <c r="L2487" i="2"/>
  <c r="N2487" i="2" s="1"/>
  <c r="L2488" i="2"/>
  <c r="N2488" i="2" s="1"/>
  <c r="L1356" i="2"/>
  <c r="N1356" i="2" s="1"/>
  <c r="L1575" i="2"/>
  <c r="N1575" i="2" s="1"/>
  <c r="L252" i="2"/>
  <c r="N252" i="2" s="1"/>
  <c r="L2489" i="2"/>
  <c r="N2489" i="2" s="1"/>
  <c r="L2490" i="2"/>
  <c r="N2490" i="2" s="1"/>
  <c r="L2491" i="2"/>
  <c r="N2491" i="2" s="1"/>
  <c r="L624" i="2"/>
  <c r="N624" i="2" s="1"/>
  <c r="L2492" i="2"/>
  <c r="N2492" i="2" s="1"/>
  <c r="L783" i="2"/>
  <c r="N783" i="2" s="1"/>
  <c r="L2493" i="2"/>
  <c r="N2493" i="2" s="1"/>
  <c r="L784" i="2"/>
  <c r="N784" i="2" s="1"/>
  <c r="L423" i="2"/>
  <c r="N423" i="2" s="1"/>
  <c r="L2494" i="2"/>
  <c r="N2494" i="2" s="1"/>
  <c r="L2495" i="2"/>
  <c r="N2495" i="2" s="1"/>
  <c r="L1357" i="2"/>
  <c r="N1357" i="2" s="1"/>
  <c r="L2496" i="2"/>
  <c r="N2496" i="2" s="1"/>
  <c r="L253" i="2"/>
  <c r="N253" i="2" s="1"/>
  <c r="L2497" i="2"/>
  <c r="N2497" i="2" s="1"/>
  <c r="L785" i="2"/>
  <c r="N785" i="2" s="1"/>
  <c r="L2498" i="2"/>
  <c r="N2498" i="2" s="1"/>
  <c r="L2499" i="2"/>
  <c r="N2499" i="2" s="1"/>
  <c r="L2500" i="2"/>
  <c r="N2500" i="2" s="1"/>
  <c r="L2501" i="2"/>
  <c r="N2501" i="2" s="1"/>
  <c r="L2502" i="2"/>
  <c r="N2502" i="2" s="1"/>
  <c r="L2503" i="2"/>
  <c r="N2503" i="2" s="1"/>
  <c r="L2504" i="2"/>
  <c r="N2504" i="2" s="1"/>
  <c r="L625" i="2"/>
  <c r="N625" i="2" s="1"/>
  <c r="L2505" i="2"/>
  <c r="N2505" i="2" s="1"/>
  <c r="L786" i="2"/>
  <c r="N786" i="2" s="1"/>
  <c r="L787" i="2"/>
  <c r="N787" i="2" s="1"/>
  <c r="L2506" i="2"/>
  <c r="N2506" i="2" s="1"/>
  <c r="L2507" i="2"/>
  <c r="N2507" i="2" s="1"/>
  <c r="L788" i="2"/>
  <c r="N788" i="2" s="1"/>
  <c r="L2508" i="2"/>
  <c r="N2508" i="2" s="1"/>
  <c r="L2509" i="2"/>
  <c r="N2509" i="2" s="1"/>
  <c r="L1050" i="2"/>
  <c r="N1050" i="2" s="1"/>
  <c r="L2510" i="2"/>
  <c r="N2510" i="2" s="1"/>
  <c r="L2511" i="2"/>
  <c r="N2511" i="2" s="1"/>
  <c r="L2512" i="2"/>
  <c r="N2512" i="2" s="1"/>
  <c r="L2513" i="2"/>
  <c r="N2513" i="2" s="1"/>
  <c r="L1576" i="2"/>
  <c r="N1576" i="2" s="1"/>
  <c r="L2514" i="2"/>
  <c r="N2514" i="2" s="1"/>
  <c r="L2515" i="2"/>
  <c r="N2515" i="2" s="1"/>
  <c r="L2516" i="2"/>
  <c r="N2516" i="2" s="1"/>
  <c r="L1577" i="2"/>
  <c r="N1577" i="2" s="1"/>
  <c r="L2517" i="2"/>
  <c r="N2517" i="2" s="1"/>
  <c r="L2518" i="2"/>
  <c r="N2518" i="2" s="1"/>
  <c r="L2519" i="2"/>
  <c r="N2519" i="2" s="1"/>
  <c r="L1578" i="2"/>
  <c r="N1578" i="2" s="1"/>
  <c r="L424" i="2"/>
  <c r="N424" i="2" s="1"/>
  <c r="L2520" i="2"/>
  <c r="N2520" i="2" s="1"/>
  <c r="L2521" i="2"/>
  <c r="N2521" i="2" s="1"/>
  <c r="L2522" i="2"/>
  <c r="N2522" i="2" s="1"/>
  <c r="L2523" i="2"/>
  <c r="N2523" i="2" s="1"/>
  <c r="L789" i="2"/>
  <c r="N789" i="2" s="1"/>
  <c r="L1358" i="2"/>
  <c r="N1358" i="2" s="1"/>
  <c r="L1359" i="2"/>
  <c r="N1359" i="2" s="1"/>
  <c r="L2524" i="2"/>
  <c r="N2524" i="2" s="1"/>
  <c r="L626" i="2"/>
  <c r="N626" i="2" s="1"/>
  <c r="L2525" i="2"/>
  <c r="N2525" i="2" s="1"/>
  <c r="L2526" i="2"/>
  <c r="N2526" i="2" s="1"/>
  <c r="L1360" i="2"/>
  <c r="N1360" i="2" s="1"/>
  <c r="L2527" i="2"/>
  <c r="N2527" i="2" s="1"/>
  <c r="L2528" i="2"/>
  <c r="N2528" i="2" s="1"/>
  <c r="L1051" i="2"/>
  <c r="N1051" i="2" s="1"/>
  <c r="L1361" i="2"/>
  <c r="N1361" i="2" s="1"/>
  <c r="L790" i="2"/>
  <c r="N790" i="2" s="1"/>
  <c r="L791" i="2"/>
  <c r="N791" i="2" s="1"/>
  <c r="L2529" i="2"/>
  <c r="N2529" i="2" s="1"/>
  <c r="L2530" i="2"/>
  <c r="N2530" i="2" s="1"/>
  <c r="L1579" i="2"/>
  <c r="N1579" i="2" s="1"/>
  <c r="L2531" i="2"/>
  <c r="N2531" i="2" s="1"/>
  <c r="L1580" i="2"/>
  <c r="N1580" i="2" s="1"/>
  <c r="L2532" i="2"/>
  <c r="N2532" i="2" s="1"/>
  <c r="L254" i="2"/>
  <c r="N254" i="2" s="1"/>
  <c r="L255" i="2"/>
  <c r="N255" i="2" s="1"/>
  <c r="L2533" i="2"/>
  <c r="N2533" i="2" s="1"/>
  <c r="L2534" i="2"/>
  <c r="N2534" i="2" s="1"/>
  <c r="L2535" i="2"/>
  <c r="N2535" i="2" s="1"/>
  <c r="L2536" i="2"/>
  <c r="N2536" i="2" s="1"/>
  <c r="L627" i="2"/>
  <c r="N627" i="2" s="1"/>
  <c r="L1581" i="2"/>
  <c r="N1581" i="2" s="1"/>
  <c r="L792" i="2"/>
  <c r="N792" i="2" s="1"/>
  <c r="L793" i="2"/>
  <c r="N793" i="2" s="1"/>
  <c r="L2537" i="2"/>
  <c r="N2537" i="2" s="1"/>
  <c r="L2538" i="2"/>
  <c r="N2538" i="2" s="1"/>
  <c r="L2539" i="2"/>
  <c r="N2539" i="2" s="1"/>
  <c r="L2540" i="2"/>
  <c r="N2540" i="2" s="1"/>
  <c r="L1582" i="2"/>
  <c r="N1582" i="2" s="1"/>
  <c r="L2541" i="2"/>
  <c r="N2541" i="2" s="1"/>
  <c r="L2542" i="2"/>
  <c r="N2542" i="2" s="1"/>
  <c r="L256" i="2"/>
  <c r="N256" i="2" s="1"/>
  <c r="L794" i="2"/>
  <c r="N794" i="2" s="1"/>
  <c r="L493" i="2"/>
  <c r="N493" i="2" s="1"/>
  <c r="L628" i="2"/>
  <c r="N628" i="2" s="1"/>
  <c r="L2543" i="2"/>
  <c r="N2543" i="2" s="1"/>
  <c r="L1362" i="2"/>
  <c r="N1362" i="2" s="1"/>
  <c r="L795" i="2"/>
  <c r="N795" i="2" s="1"/>
  <c r="L257" i="2"/>
  <c r="N257" i="2" s="1"/>
  <c r="L2544" i="2"/>
  <c r="N2544" i="2" s="1"/>
  <c r="L796" i="2"/>
  <c r="N796" i="2" s="1"/>
  <c r="L494" i="2"/>
  <c r="N494" i="2" s="1"/>
  <c r="L797" i="2"/>
  <c r="N797" i="2" s="1"/>
  <c r="L1363" i="2"/>
  <c r="N1363" i="2" s="1"/>
  <c r="L1583" i="2"/>
  <c r="N1583" i="2" s="1"/>
  <c r="L2545" i="2"/>
  <c r="N2545" i="2" s="1"/>
  <c r="L1584" i="2"/>
  <c r="N1584" i="2" s="1"/>
  <c r="L2546" i="2"/>
  <c r="N2546" i="2" s="1"/>
  <c r="L2547" i="2"/>
  <c r="N2547" i="2" s="1"/>
  <c r="L2548" i="2"/>
  <c r="N2548" i="2" s="1"/>
  <c r="L2549" i="2"/>
  <c r="N2549" i="2" s="1"/>
  <c r="L2550" i="2"/>
  <c r="N2550" i="2" s="1"/>
  <c r="L798" i="2"/>
  <c r="N798" i="2" s="1"/>
  <c r="L2551" i="2"/>
  <c r="N2551" i="2" s="1"/>
  <c r="L2552" i="2"/>
  <c r="N2552" i="2" s="1"/>
  <c r="L2553" i="2"/>
  <c r="N2553" i="2" s="1"/>
  <c r="L2554" i="2"/>
  <c r="N2554" i="2" s="1"/>
  <c r="L1585" i="2"/>
  <c r="N1585" i="2" s="1"/>
  <c r="L2555" i="2"/>
  <c r="N2555" i="2" s="1"/>
  <c r="L799" i="2"/>
  <c r="N799" i="2" s="1"/>
  <c r="L2556" i="2"/>
  <c r="N2556" i="2" s="1"/>
  <c r="L2557" i="2"/>
  <c r="N2557" i="2" s="1"/>
  <c r="L373" i="2"/>
  <c r="N373" i="2" s="1"/>
  <c r="L2558" i="2"/>
  <c r="N2558" i="2" s="1"/>
  <c r="L800" i="2"/>
  <c r="N800" i="2" s="1"/>
  <c r="L629" i="2"/>
  <c r="N629" i="2" s="1"/>
  <c r="L2559" i="2"/>
  <c r="N2559" i="2" s="1"/>
  <c r="L2560" i="2"/>
  <c r="N2560" i="2" s="1"/>
  <c r="L801" i="2"/>
  <c r="N801" i="2" s="1"/>
  <c r="L1364" i="2"/>
  <c r="N1364" i="2" s="1"/>
  <c r="L258" i="2"/>
  <c r="N258" i="2" s="1"/>
  <c r="L2561" i="2"/>
  <c r="N2561" i="2" s="1"/>
  <c r="L2562" i="2"/>
  <c r="N2562" i="2" s="1"/>
  <c r="L1586" i="2"/>
  <c r="N1586" i="2" s="1"/>
  <c r="L2563" i="2"/>
  <c r="N2563" i="2" s="1"/>
  <c r="L2564" i="2"/>
  <c r="N2564" i="2" s="1"/>
  <c r="L630" i="2"/>
  <c r="N630" i="2" s="1"/>
  <c r="L259" i="2"/>
  <c r="N259" i="2" s="1"/>
  <c r="L260" i="2"/>
  <c r="N260" i="2" s="1"/>
  <c r="L2565" i="2"/>
  <c r="N2565" i="2" s="1"/>
  <c r="L631" i="2"/>
  <c r="N631" i="2" s="1"/>
  <c r="L2566" i="2"/>
  <c r="N2566" i="2" s="1"/>
  <c r="L261" i="2"/>
  <c r="N261" i="2" s="1"/>
  <c r="L2567" i="2"/>
  <c r="N2567" i="2" s="1"/>
  <c r="L2568" i="2"/>
  <c r="N2568" i="2" s="1"/>
  <c r="L1052" i="2"/>
  <c r="N1052" i="2" s="1"/>
  <c r="L262" i="2"/>
  <c r="N262" i="2" s="1"/>
  <c r="L2569" i="2"/>
  <c r="N2569" i="2" s="1"/>
  <c r="L263" i="2"/>
  <c r="N263" i="2" s="1"/>
  <c r="L264" i="2"/>
  <c r="N264" i="2" s="1"/>
  <c r="L2570" i="2"/>
  <c r="N2570" i="2" s="1"/>
  <c r="L265" i="2"/>
  <c r="N265" i="2" s="1"/>
  <c r="L266" i="2"/>
  <c r="N266" i="2" s="1"/>
  <c r="L632" i="2"/>
  <c r="N632" i="2" s="1"/>
  <c r="L633" i="2"/>
  <c r="N633" i="2" s="1"/>
  <c r="L2571" i="2"/>
  <c r="N2571" i="2" s="1"/>
  <c r="L802" i="2"/>
  <c r="N802" i="2" s="1"/>
  <c r="L267" i="2"/>
  <c r="N267" i="2" s="1"/>
  <c r="L2572" i="2"/>
  <c r="N2572" i="2" s="1"/>
  <c r="L2573" i="2"/>
  <c r="N2573" i="2" s="1"/>
  <c r="L2574" i="2"/>
  <c r="N2574" i="2" s="1"/>
  <c r="L1587" i="2"/>
  <c r="N1587" i="2" s="1"/>
  <c r="L803" i="2"/>
  <c r="N803" i="2" s="1"/>
  <c r="L268" i="2"/>
  <c r="N268" i="2" s="1"/>
  <c r="L2575" i="2"/>
  <c r="N2575" i="2" s="1"/>
  <c r="L269" i="2"/>
  <c r="N269" i="2" s="1"/>
  <c r="L2576" i="2"/>
  <c r="N2576" i="2" s="1"/>
  <c r="L270" i="2"/>
  <c r="N270" i="2" s="1"/>
  <c r="L2577" i="2"/>
  <c r="N2577" i="2" s="1"/>
  <c r="L2578" i="2"/>
  <c r="N2578" i="2" s="1"/>
  <c r="L2579" i="2"/>
  <c r="N2579" i="2" s="1"/>
  <c r="L271" i="2"/>
  <c r="N271" i="2" s="1"/>
  <c r="L1365" i="2"/>
  <c r="N1365" i="2" s="1"/>
  <c r="L425" i="2"/>
  <c r="N425" i="2" s="1"/>
  <c r="L2580" i="2"/>
  <c r="N2580" i="2" s="1"/>
  <c r="L804" i="2"/>
  <c r="N804" i="2" s="1"/>
  <c r="L805" i="2"/>
  <c r="N805" i="2" s="1"/>
  <c r="L272" i="2"/>
  <c r="N272" i="2" s="1"/>
  <c r="L2581" i="2"/>
  <c r="N2581" i="2" s="1"/>
  <c r="L273" i="2"/>
  <c r="N273" i="2" s="1"/>
  <c r="L2582" i="2"/>
  <c r="N2582" i="2" s="1"/>
  <c r="L1366" i="2"/>
  <c r="N1366" i="2" s="1"/>
  <c r="L2583" i="2"/>
  <c r="N2583" i="2" s="1"/>
  <c r="L2584" i="2"/>
  <c r="N2584" i="2" s="1"/>
  <c r="L2585" i="2"/>
  <c r="N2585" i="2" s="1"/>
  <c r="L2586" i="2"/>
  <c r="N2586" i="2" s="1"/>
  <c r="L2587" i="2"/>
  <c r="N2587" i="2" s="1"/>
  <c r="L634" i="2"/>
  <c r="N634" i="2" s="1"/>
  <c r="L2588" i="2"/>
  <c r="N2588" i="2" s="1"/>
  <c r="L2589" i="2"/>
  <c r="N2589" i="2" s="1"/>
  <c r="L806" i="2"/>
  <c r="N806" i="2" s="1"/>
  <c r="L807" i="2"/>
  <c r="N807" i="2" s="1"/>
  <c r="L2590" i="2"/>
  <c r="N2590" i="2" s="1"/>
  <c r="L1588" i="2"/>
  <c r="N1588" i="2" s="1"/>
  <c r="L374" i="2"/>
  <c r="N374" i="2" s="1"/>
  <c r="L2591" i="2"/>
  <c r="N2591" i="2" s="1"/>
  <c r="L2592" i="2"/>
  <c r="N2592" i="2" s="1"/>
  <c r="L2593" i="2"/>
  <c r="N2593" i="2" s="1"/>
  <c r="L2594" i="2"/>
  <c r="N2594" i="2" s="1"/>
  <c r="L2595" i="2"/>
  <c r="N2595" i="2" s="1"/>
  <c r="L1589" i="2"/>
  <c r="N1589" i="2" s="1"/>
  <c r="L2596" i="2"/>
  <c r="N2596" i="2" s="1"/>
  <c r="L2597" i="2"/>
  <c r="N2597" i="2" s="1"/>
  <c r="L2598" i="2"/>
  <c r="N2598" i="2" s="1"/>
  <c r="L808" i="2"/>
  <c r="N808" i="2" s="1"/>
  <c r="L635" i="2"/>
  <c r="N635" i="2" s="1"/>
  <c r="L2599" i="2"/>
  <c r="N2599" i="2" s="1"/>
  <c r="P2599" i="2" s="1"/>
  <c r="L2600" i="2"/>
  <c r="N2600" i="2" s="1"/>
  <c r="P2600" i="2" s="1"/>
  <c r="L2601" i="2"/>
  <c r="N2601" i="2" s="1"/>
  <c r="P2601" i="2" s="1"/>
  <c r="L2602" i="2"/>
  <c r="N2602" i="2" s="1"/>
  <c r="P2602" i="2" s="1"/>
  <c r="L2603" i="2"/>
  <c r="N2603" i="2" s="1"/>
  <c r="P2603" i="2" s="1"/>
  <c r="L2604" i="2"/>
  <c r="N2604" i="2" s="1"/>
  <c r="P2604" i="2" s="1"/>
  <c r="L2605" i="2"/>
  <c r="N2605" i="2" s="1"/>
  <c r="P2605" i="2" s="1"/>
  <c r="L2606" i="2"/>
  <c r="N2606" i="2" s="1"/>
  <c r="L2607" i="2"/>
  <c r="N2607" i="2" s="1"/>
  <c r="P2607" i="2" s="1"/>
  <c r="L1746" i="2"/>
  <c r="N1746" i="2" s="1"/>
  <c r="P1746" i="2" s="1"/>
  <c r="L1492" i="2"/>
  <c r="N1492" i="2" s="1"/>
  <c r="P1492" i="2" s="1"/>
  <c r="L274" i="2"/>
  <c r="N274" i="2" s="1"/>
  <c r="P274" i="2" s="1"/>
  <c r="L1646" i="2"/>
  <c r="N1646" i="2" s="1"/>
  <c r="P1646" i="2" s="1"/>
  <c r="L2608" i="2"/>
  <c r="N2608" i="2" s="1"/>
  <c r="P2608" i="2" s="1"/>
  <c r="L2609" i="2"/>
  <c r="N2609" i="2" s="1"/>
  <c r="P2609" i="2" s="1"/>
  <c r="L2610" i="2"/>
  <c r="N2610" i="2" s="1"/>
  <c r="P2610" i="2" s="1"/>
  <c r="L2611" i="2"/>
  <c r="N2611" i="2" s="1"/>
  <c r="P2611" i="2" s="1"/>
  <c r="L2612" i="2"/>
  <c r="N2612" i="2" s="1"/>
  <c r="P2612" i="2" s="1"/>
  <c r="L1131" i="2"/>
  <c r="N1131" i="2" s="1"/>
  <c r="P1131" i="2" s="1"/>
  <c r="L1225" i="2"/>
  <c r="N1225" i="2" s="1"/>
  <c r="P1225" i="2" s="1"/>
  <c r="L275" i="2"/>
  <c r="N275" i="2" s="1"/>
  <c r="P275" i="2" s="1"/>
  <c r="L943" i="2"/>
  <c r="N943" i="2" s="1"/>
  <c r="P943" i="2" s="1"/>
  <c r="L2613" i="2"/>
  <c r="N2613" i="2" s="1"/>
  <c r="P2613" i="2" s="1"/>
  <c r="L1367" i="2"/>
  <c r="N1367" i="2" s="1"/>
  <c r="P1367" i="2" s="1"/>
  <c r="L1053" i="2"/>
  <c r="N1053" i="2" s="1"/>
  <c r="P1053" i="2" s="1"/>
  <c r="L1747" i="2"/>
  <c r="N1747" i="2" s="1"/>
  <c r="P1747" i="2" s="1"/>
  <c r="L1368" i="2"/>
  <c r="N1368" i="2" s="1"/>
  <c r="P1368" i="2" s="1"/>
  <c r="L2614" i="2"/>
  <c r="N2614" i="2" s="1"/>
  <c r="P2614" i="2" s="1"/>
  <c r="L944" i="2"/>
  <c r="N944" i="2" s="1"/>
  <c r="P944" i="2" s="1"/>
  <c r="L2615" i="2"/>
  <c r="N2615" i="2" s="1"/>
  <c r="P2615" i="2" s="1"/>
  <c r="L2616" i="2"/>
  <c r="N2616" i="2" s="1"/>
  <c r="P2616" i="2" s="1"/>
  <c r="L1132" i="2"/>
  <c r="N1132" i="2" s="1"/>
  <c r="P1132" i="2" s="1"/>
  <c r="L1590" i="2"/>
  <c r="N1590" i="2" s="1"/>
  <c r="P1590" i="2" s="1"/>
  <c r="L2617" i="2"/>
  <c r="N2617" i="2" s="1"/>
  <c r="P2617" i="2" s="1"/>
  <c r="L2618" i="2"/>
  <c r="N2618" i="2" s="1"/>
  <c r="P2618" i="2" s="1"/>
  <c r="L1748" i="2"/>
  <c r="N1748" i="2" s="1"/>
  <c r="P1748" i="2" s="1"/>
  <c r="L2619" i="2"/>
  <c r="N2619" i="2" s="1"/>
  <c r="P2619" i="2" s="1"/>
  <c r="L1493" i="2"/>
  <c r="N1493" i="2" s="1"/>
  <c r="P1493" i="2" s="1"/>
  <c r="L2620" i="2"/>
  <c r="N2620" i="2" s="1"/>
  <c r="P2620" i="2" s="1"/>
  <c r="L276" i="2"/>
  <c r="N276" i="2" s="1"/>
  <c r="P276" i="2" s="1"/>
  <c r="L2621" i="2"/>
  <c r="N2621" i="2" s="1"/>
  <c r="P2621" i="2" s="1"/>
  <c r="L1226" i="2"/>
  <c r="N1226" i="2" s="1"/>
  <c r="P1226" i="2" s="1"/>
  <c r="L1453" i="2"/>
  <c r="N1453" i="2" s="1"/>
  <c r="P1453" i="2" s="1"/>
  <c r="L945" i="2"/>
  <c r="N945" i="2" s="1"/>
  <c r="P945" i="2" s="1"/>
  <c r="L1494" i="2"/>
  <c r="N1494" i="2" s="1"/>
  <c r="P1494" i="2" s="1"/>
  <c r="L1369" i="2"/>
  <c r="N1369" i="2" s="1"/>
  <c r="P1369" i="2" s="1"/>
  <c r="L2622" i="2"/>
  <c r="N2622" i="2" s="1"/>
  <c r="P2622" i="2" s="1"/>
  <c r="L277" i="2"/>
  <c r="N277" i="2" s="1"/>
  <c r="P277" i="2" s="1"/>
  <c r="L2623" i="2"/>
  <c r="N2623" i="2" s="1"/>
  <c r="P2623" i="2" s="1"/>
  <c r="L1271" i="2"/>
  <c r="N1271" i="2" s="1"/>
  <c r="P1271" i="2" s="1"/>
  <c r="L1272" i="2"/>
  <c r="N1272" i="2" s="1"/>
  <c r="P1272" i="2" s="1"/>
  <c r="L2624" i="2"/>
  <c r="N2624" i="2" s="1"/>
  <c r="P2624" i="2" s="1"/>
  <c r="L1647" i="2"/>
  <c r="N1647" i="2" s="1"/>
  <c r="P1647" i="2" s="1"/>
  <c r="L1370" i="2"/>
  <c r="N1370" i="2" s="1"/>
  <c r="P1370" i="2" s="1"/>
  <c r="L2625" i="2"/>
  <c r="N2625" i="2" s="1"/>
  <c r="P2625" i="2" s="1"/>
  <c r="L946" i="2"/>
  <c r="N946" i="2" s="1"/>
  <c r="P946" i="2" s="1"/>
  <c r="L2626" i="2"/>
  <c r="N2626" i="2" s="1"/>
  <c r="L875" i="2"/>
  <c r="N875" i="2" s="1"/>
  <c r="P875" i="2" s="1"/>
  <c r="L1648" i="2"/>
  <c r="N1648" i="2" s="1"/>
  <c r="P1648" i="2" s="1"/>
  <c r="L2627" i="2"/>
  <c r="N2627" i="2" s="1"/>
  <c r="L1591" i="2"/>
  <c r="N1591" i="2" s="1"/>
  <c r="P1591" i="2" s="1"/>
  <c r="L278" i="2"/>
  <c r="N278" i="2" s="1"/>
  <c r="P278" i="2" s="1"/>
  <c r="L279" i="2"/>
  <c r="N279" i="2" s="1"/>
  <c r="P279" i="2" s="1"/>
  <c r="L2628" i="2"/>
  <c r="N2628" i="2" s="1"/>
  <c r="P2628" i="2" s="1"/>
  <c r="L2629" i="2"/>
  <c r="N2629" i="2" s="1"/>
  <c r="L876" i="2"/>
  <c r="N876" i="2" s="1"/>
  <c r="P876" i="2" s="1"/>
  <c r="L2630" i="2"/>
  <c r="N2630" i="2" s="1"/>
  <c r="P2630" i="2" s="1"/>
  <c r="L2631" i="2"/>
  <c r="N2631" i="2" s="1"/>
  <c r="P2631" i="2" s="1"/>
  <c r="L2632" i="2"/>
  <c r="N2632" i="2" s="1"/>
  <c r="P2632" i="2" s="1"/>
  <c r="L2633" i="2"/>
  <c r="N2633" i="2" s="1"/>
  <c r="P2633" i="2" s="1"/>
  <c r="L1227" i="2"/>
  <c r="N1227" i="2" s="1"/>
  <c r="P1227" i="2" s="1"/>
  <c r="L2634" i="2"/>
  <c r="N2634" i="2" s="1"/>
  <c r="P2634" i="2" s="1"/>
  <c r="L1454" i="2"/>
  <c r="N1454" i="2" s="1"/>
  <c r="P1454" i="2" s="1"/>
  <c r="L2635" i="2"/>
  <c r="N2635" i="2" s="1"/>
  <c r="P2635" i="2" s="1"/>
  <c r="L1696" i="2"/>
  <c r="N1696" i="2" s="1"/>
  <c r="P1696" i="2" s="1"/>
  <c r="L1495" i="2"/>
  <c r="N1495" i="2" s="1"/>
  <c r="P1495" i="2" s="1"/>
  <c r="L2636" i="2"/>
  <c r="N2636" i="2" s="1"/>
  <c r="P2636" i="2" s="1"/>
  <c r="L1749" i="2"/>
  <c r="N1749" i="2" s="1"/>
  <c r="P1749" i="2" s="1"/>
  <c r="L280" i="2"/>
  <c r="N280" i="2" s="1"/>
  <c r="P280" i="2" s="1"/>
  <c r="L2637" i="2"/>
  <c r="N2637" i="2" s="1"/>
  <c r="P2637" i="2" s="1"/>
  <c r="L1371" i="2"/>
  <c r="N1371" i="2" s="1"/>
  <c r="P1371" i="2" s="1"/>
  <c r="L1054" i="2"/>
  <c r="N1054" i="2" s="1"/>
  <c r="P1054" i="2" s="1"/>
  <c r="L1372" i="2"/>
  <c r="N1372" i="2" s="1"/>
  <c r="P1372" i="2" s="1"/>
  <c r="L1592" i="2"/>
  <c r="N1592" i="2" s="1"/>
  <c r="P1592" i="2" s="1"/>
  <c r="L1228" i="2"/>
  <c r="N1228" i="2" s="1"/>
  <c r="P1228" i="2" s="1"/>
  <c r="L1133" i="2"/>
  <c r="N1133" i="2" s="1"/>
  <c r="P1133" i="2" s="1"/>
  <c r="L2638" i="2"/>
  <c r="N2638" i="2" s="1"/>
  <c r="P2638" i="2" s="1"/>
  <c r="L1750" i="2"/>
  <c r="N1750" i="2" s="1"/>
  <c r="P1750" i="2" s="1"/>
  <c r="L947" i="2"/>
  <c r="N947" i="2" s="1"/>
  <c r="P947" i="2" s="1"/>
  <c r="L1373" i="2"/>
  <c r="N1373" i="2" s="1"/>
  <c r="P1373" i="2" s="1"/>
  <c r="L2639" i="2"/>
  <c r="N2639" i="2" s="1"/>
  <c r="P2639" i="2" s="1"/>
  <c r="L1055" i="2"/>
  <c r="N1055" i="2" s="1"/>
  <c r="P1055" i="2" s="1"/>
  <c r="L1374" i="2"/>
  <c r="N1374" i="2" s="1"/>
  <c r="P1374" i="2" s="1"/>
  <c r="L2640" i="2"/>
  <c r="N2640" i="2" s="1"/>
  <c r="P2640" i="2" s="1"/>
  <c r="L2641" i="2"/>
  <c r="N2641" i="2" s="1"/>
  <c r="P2641" i="2" s="1"/>
  <c r="L281" i="2"/>
  <c r="N281" i="2" s="1"/>
  <c r="P281" i="2" s="1"/>
  <c r="L2642" i="2"/>
  <c r="N2642" i="2" s="1"/>
  <c r="P2642" i="2" s="1"/>
  <c r="L636" i="2"/>
  <c r="N636" i="2" s="1"/>
  <c r="P636" i="2" s="1"/>
  <c r="L2643" i="2"/>
  <c r="N2643" i="2" s="1"/>
  <c r="P2643" i="2" s="1"/>
  <c r="L2644" i="2"/>
  <c r="N2644" i="2" s="1"/>
  <c r="P2644" i="2" s="1"/>
  <c r="L1496" i="2"/>
  <c r="N1496" i="2" s="1"/>
  <c r="P1496" i="2" s="1"/>
  <c r="L282" i="2"/>
  <c r="N282" i="2" s="1"/>
  <c r="P282" i="2" s="1"/>
  <c r="L283" i="2"/>
  <c r="N283" i="2" s="1"/>
  <c r="P283" i="2" s="1"/>
  <c r="L948" i="2"/>
  <c r="N948" i="2" s="1"/>
  <c r="P948" i="2" s="1"/>
  <c r="L949" i="2"/>
  <c r="N949" i="2" s="1"/>
  <c r="P949" i="2" s="1"/>
  <c r="L2645" i="2"/>
  <c r="N2645" i="2" s="1"/>
  <c r="P2645" i="2" s="1"/>
  <c r="L950" i="2"/>
  <c r="N950" i="2" s="1"/>
  <c r="P950" i="2" s="1"/>
  <c r="L2646" i="2"/>
  <c r="N2646" i="2" s="1"/>
  <c r="P2646" i="2" s="1"/>
  <c r="L1056" i="2"/>
  <c r="N1056" i="2" s="1"/>
  <c r="P1056" i="2" s="1"/>
  <c r="L877" i="2"/>
  <c r="N877" i="2" s="1"/>
  <c r="P877" i="2" s="1"/>
  <c r="L1593" i="2"/>
  <c r="N1593" i="2" s="1"/>
  <c r="P1593" i="2" s="1"/>
  <c r="L637" i="2"/>
  <c r="N637" i="2" s="1"/>
  <c r="P637" i="2" s="1"/>
  <c r="L1057" i="2"/>
  <c r="N1057" i="2" s="1"/>
  <c r="P1057" i="2" s="1"/>
  <c r="L2647" i="2"/>
  <c r="N2647" i="2" s="1"/>
  <c r="P2647" i="2" s="1"/>
  <c r="L2648" i="2"/>
  <c r="N2648" i="2" s="1"/>
  <c r="P2648" i="2" s="1"/>
  <c r="L1649" i="2"/>
  <c r="N1649" i="2" s="1"/>
  <c r="P1649" i="2" s="1"/>
  <c r="L878" i="2"/>
  <c r="N878" i="2" s="1"/>
  <c r="P878" i="2" s="1"/>
  <c r="L2649" i="2"/>
  <c r="N2649" i="2" s="1"/>
  <c r="P2649" i="2" s="1"/>
  <c r="L2650" i="2"/>
  <c r="N2650" i="2" s="1"/>
  <c r="P2650" i="2" s="1"/>
  <c r="L2651" i="2"/>
  <c r="N2651" i="2" s="1"/>
  <c r="L2652" i="2"/>
  <c r="N2652" i="2" s="1"/>
  <c r="P2652" i="2" s="1"/>
  <c r="L2653" i="2"/>
  <c r="N2653" i="2" s="1"/>
  <c r="L2654" i="2"/>
  <c r="N2654" i="2" s="1"/>
  <c r="P2654" i="2" s="1"/>
  <c r="L1273" i="2"/>
  <c r="N1273" i="2" s="1"/>
  <c r="P1273" i="2" s="1"/>
  <c r="L2655" i="2"/>
  <c r="N2655" i="2" s="1"/>
  <c r="P2655" i="2" s="1"/>
  <c r="L2656" i="2"/>
  <c r="N2656" i="2" s="1"/>
  <c r="P2656" i="2" s="1"/>
  <c r="L1375" i="2"/>
  <c r="N1375" i="2" s="1"/>
  <c r="P1375" i="2" s="1"/>
  <c r="L2657" i="2"/>
  <c r="N2657" i="2" s="1"/>
  <c r="P2657" i="2" s="1"/>
  <c r="L1134" i="2"/>
  <c r="N1134" i="2" s="1"/>
  <c r="P1134" i="2" s="1"/>
  <c r="L1751" i="2"/>
  <c r="N1751" i="2" s="1"/>
  <c r="P1751" i="2" s="1"/>
  <c r="L1497" i="2"/>
  <c r="N1497" i="2" s="1"/>
  <c r="P1497" i="2" s="1"/>
  <c r="L1058" i="2"/>
  <c r="N1058" i="2" s="1"/>
  <c r="P1058" i="2" s="1"/>
  <c r="L1455" i="2"/>
  <c r="N1455" i="2" s="1"/>
  <c r="P1455" i="2" s="1"/>
  <c r="L2658" i="2"/>
  <c r="N2658" i="2" s="1"/>
  <c r="P2658" i="2" s="1"/>
  <c r="L2659" i="2"/>
  <c r="N2659" i="2" s="1"/>
  <c r="P2659" i="2" s="1"/>
  <c r="L2660" i="2"/>
  <c r="N2660" i="2" s="1"/>
  <c r="P2660" i="2" s="1"/>
  <c r="L495" i="2"/>
  <c r="N495" i="2" s="1"/>
  <c r="P495" i="2" s="1"/>
  <c r="L496" i="2"/>
  <c r="N496" i="2" s="1"/>
  <c r="P496" i="2" s="1"/>
  <c r="L638" i="2"/>
  <c r="N638" i="2" s="1"/>
  <c r="P638" i="2" s="1"/>
  <c r="L2661" i="2"/>
  <c r="N2661" i="2" s="1"/>
  <c r="P2661" i="2" s="1"/>
  <c r="L951" i="2"/>
  <c r="N951" i="2" s="1"/>
  <c r="P951" i="2" s="1"/>
  <c r="L1650" i="2"/>
  <c r="N1650" i="2" s="1"/>
  <c r="P1650" i="2" s="1"/>
  <c r="L1229" i="2"/>
  <c r="N1229" i="2" s="1"/>
  <c r="P1229" i="2" s="1"/>
  <c r="L952" i="2"/>
  <c r="N952" i="2" s="1"/>
  <c r="P952" i="2" s="1"/>
  <c r="L639" i="2"/>
  <c r="N639" i="2" s="1"/>
  <c r="P639" i="2" s="1"/>
  <c r="L1498" i="2"/>
  <c r="N1498" i="2" s="1"/>
  <c r="P1498" i="2" s="1"/>
  <c r="L953" i="2"/>
  <c r="N953" i="2" s="1"/>
  <c r="P953" i="2" s="1"/>
  <c r="L2662" i="2"/>
  <c r="L1230" i="2"/>
  <c r="N1230" i="2" s="1"/>
  <c r="P1230" i="2" s="1"/>
  <c r="L2663" i="2"/>
  <c r="N2663" i="2" s="1"/>
  <c r="P2663" i="2" s="1"/>
  <c r="L2664" i="2"/>
  <c r="N2664" i="2" s="1"/>
  <c r="P2664" i="2" s="1"/>
  <c r="L1376" i="2"/>
  <c r="N1376" i="2" s="1"/>
  <c r="P1376" i="2" s="1"/>
  <c r="L1651" i="2"/>
  <c r="N1651" i="2" s="1"/>
  <c r="P1651" i="2" s="1"/>
  <c r="L2665" i="2"/>
  <c r="N2665" i="2" s="1"/>
  <c r="P2665" i="2" s="1"/>
  <c r="L809" i="2"/>
  <c r="N809" i="2" s="1"/>
  <c r="P809" i="2" s="1"/>
  <c r="L1594" i="2"/>
  <c r="N1594" i="2" s="1"/>
  <c r="P1594" i="2" s="1"/>
  <c r="L2666" i="2"/>
  <c r="N2666" i="2" s="1"/>
  <c r="P2666" i="2" s="1"/>
  <c r="L1752" i="2"/>
  <c r="N1752" i="2" s="1"/>
  <c r="P1752" i="2" s="1"/>
  <c r="L640" i="2"/>
  <c r="N640" i="2" s="1"/>
  <c r="P640" i="2" s="1"/>
  <c r="L1231" i="2"/>
  <c r="N1231" i="2" s="1"/>
  <c r="P1231" i="2" s="1"/>
  <c r="L1135" i="2"/>
  <c r="N1135" i="2" s="1"/>
  <c r="P1135" i="2" s="1"/>
  <c r="L1377" i="2"/>
  <c r="N1377" i="2" s="1"/>
  <c r="P1377" i="2" s="1"/>
  <c r="L497" i="2"/>
  <c r="N497" i="2" s="1"/>
  <c r="P497" i="2" s="1"/>
  <c r="L1059" i="2"/>
  <c r="N1059" i="2" s="1"/>
  <c r="P1059" i="2" s="1"/>
  <c r="L1378" i="2"/>
  <c r="N1378" i="2" s="1"/>
  <c r="P1378" i="2" s="1"/>
  <c r="L2667" i="2"/>
  <c r="N2667" i="2" s="1"/>
  <c r="P2667" i="2" s="1"/>
  <c r="L1697" i="2"/>
  <c r="N1697" i="2" s="1"/>
  <c r="P1697" i="2" s="1"/>
  <c r="L498" i="2"/>
  <c r="N498" i="2" s="1"/>
  <c r="P498" i="2" s="1"/>
  <c r="L1753" i="2"/>
  <c r="N1753" i="2" s="1"/>
  <c r="P1753" i="2" s="1"/>
  <c r="L284" i="2"/>
  <c r="N284" i="2" s="1"/>
  <c r="P284" i="2" s="1"/>
  <c r="L2668" i="2"/>
  <c r="N2668" i="2" s="1"/>
  <c r="P2668" i="2" s="1"/>
  <c r="L2669" i="2"/>
  <c r="N2669" i="2" s="1"/>
  <c r="P2669" i="2" s="1"/>
  <c r="L849" i="2"/>
  <c r="N849" i="2" s="1"/>
  <c r="P849" i="2" s="1"/>
  <c r="L2670" i="2"/>
  <c r="N2670" i="2" s="1"/>
  <c r="P2670" i="2" s="1"/>
  <c r="L2671" i="2"/>
  <c r="N2671" i="2" s="1"/>
  <c r="P2671" i="2" s="1"/>
  <c r="L1499" i="2"/>
  <c r="N1499" i="2" s="1"/>
  <c r="P1499" i="2" s="1"/>
  <c r="L2672" i="2"/>
  <c r="N2672" i="2" s="1"/>
  <c r="P2672" i="2" s="1"/>
  <c r="L1232" i="2"/>
  <c r="N1232" i="2" s="1"/>
  <c r="P1232" i="2" s="1"/>
  <c r="L285" i="2"/>
  <c r="N285" i="2" s="1"/>
  <c r="P285" i="2" s="1"/>
  <c r="L879" i="2"/>
  <c r="N879" i="2" s="1"/>
  <c r="P879" i="2" s="1"/>
  <c r="L850" i="2"/>
  <c r="N850" i="2" s="1"/>
  <c r="P850" i="2" s="1"/>
  <c r="L1595" i="2"/>
  <c r="N1595" i="2" s="1"/>
  <c r="P1595" i="2" s="1"/>
  <c r="L1136" i="2"/>
  <c r="N1136" i="2" s="1"/>
  <c r="P1136" i="2" s="1"/>
  <c r="L2673" i="2"/>
  <c r="N2673" i="2" s="1"/>
  <c r="P2673" i="2" s="1"/>
  <c r="L1379" i="2"/>
  <c r="N1379" i="2" s="1"/>
  <c r="P1379" i="2" s="1"/>
  <c r="L1060" i="2"/>
  <c r="N1060" i="2" s="1"/>
  <c r="P1060" i="2" s="1"/>
  <c r="L1233" i="2"/>
  <c r="N1233" i="2" s="1"/>
  <c r="P1233" i="2" s="1"/>
  <c r="L1234" i="2"/>
  <c r="N1234" i="2" s="1"/>
  <c r="P1234" i="2" s="1"/>
  <c r="L499" i="2"/>
  <c r="N499" i="2" s="1"/>
  <c r="P499" i="2" s="1"/>
  <c r="L954" i="2"/>
  <c r="N954" i="2" s="1"/>
  <c r="P954" i="2" s="1"/>
  <c r="L500" i="2"/>
  <c r="N500" i="2" s="1"/>
  <c r="P500" i="2" s="1"/>
  <c r="L2674" i="2"/>
  <c r="N2674" i="2" s="1"/>
  <c r="P2674" i="2" s="1"/>
  <c r="L2675" i="2"/>
  <c r="N2675" i="2" s="1"/>
  <c r="P2675" i="2" s="1"/>
  <c r="L2676" i="2"/>
  <c r="N2676" i="2" s="1"/>
  <c r="P2676" i="2" s="1"/>
  <c r="L641" i="2"/>
  <c r="N641" i="2" s="1"/>
  <c r="P641" i="2" s="1"/>
  <c r="L286" i="2"/>
  <c r="N286" i="2" s="1"/>
  <c r="P286" i="2" s="1"/>
  <c r="L851" i="2"/>
  <c r="N851" i="2" s="1"/>
  <c r="P851" i="2" s="1"/>
  <c r="L2677" i="2"/>
  <c r="N2677" i="2" s="1"/>
  <c r="P2677" i="2" s="1"/>
  <c r="L2678" i="2"/>
  <c r="N2678" i="2" s="1"/>
  <c r="P2678" i="2" s="1"/>
  <c r="L287" i="2"/>
  <c r="N287" i="2" s="1"/>
  <c r="P287" i="2" s="1"/>
  <c r="L955" i="2"/>
  <c r="N955" i="2" s="1"/>
  <c r="P955" i="2" s="1"/>
  <c r="L642" i="2"/>
  <c r="N642" i="2" s="1"/>
  <c r="P642" i="2" s="1"/>
  <c r="L2679" i="2"/>
  <c r="N2679" i="2" s="1"/>
  <c r="P2679" i="2" s="1"/>
  <c r="L1061" i="2"/>
  <c r="N1061" i="2" s="1"/>
  <c r="P1061" i="2" s="1"/>
  <c r="L2680" i="2"/>
  <c r="N2680" i="2" s="1"/>
  <c r="P2680" i="2" s="1"/>
  <c r="L1456" i="2"/>
  <c r="N1456" i="2" s="1"/>
  <c r="P1456" i="2" s="1"/>
  <c r="L643" i="2"/>
  <c r="N643" i="2" s="1"/>
  <c r="P643" i="2" s="1"/>
  <c r="L1380" i="2"/>
  <c r="N1380" i="2" s="1"/>
  <c r="P1380" i="2" s="1"/>
  <c r="L1457" i="2"/>
  <c r="N1457" i="2" s="1"/>
  <c r="P1457" i="2" s="1"/>
  <c r="L2681" i="2"/>
  <c r="N2681" i="2" s="1"/>
  <c r="P2681" i="2" s="1"/>
  <c r="L1274" i="2"/>
  <c r="N1274" i="2" s="1"/>
  <c r="P1274" i="2" s="1"/>
  <c r="L1235" i="2"/>
  <c r="N1235" i="2" s="1"/>
  <c r="P1235" i="2" s="1"/>
  <c r="L1236" i="2"/>
  <c r="N1236" i="2" s="1"/>
  <c r="P1236" i="2" s="1"/>
  <c r="L644" i="2"/>
  <c r="N644" i="2" s="1"/>
  <c r="P644" i="2" s="1"/>
  <c r="L1381" i="2"/>
  <c r="N1381" i="2" s="1"/>
  <c r="P1381" i="2" s="1"/>
  <c r="L288" i="2"/>
  <c r="N288" i="2" s="1"/>
  <c r="P288" i="2" s="1"/>
  <c r="L956" i="2"/>
  <c r="N956" i="2" s="1"/>
  <c r="P956" i="2" s="1"/>
  <c r="L2682" i="2"/>
  <c r="N2682" i="2" s="1"/>
  <c r="P2682" i="2" s="1"/>
  <c r="L1137" i="2"/>
  <c r="N1137" i="2" s="1"/>
  <c r="P1137" i="2" s="1"/>
  <c r="L2683" i="2"/>
  <c r="L2684" i="2"/>
  <c r="N2684" i="2" s="1"/>
  <c r="L852" i="2"/>
  <c r="N852" i="2" s="1"/>
  <c r="P852" i="2" s="1"/>
  <c r="L645" i="2"/>
  <c r="N645" i="2" s="1"/>
  <c r="P645" i="2" s="1"/>
  <c r="L1382" i="2"/>
  <c r="N1382" i="2" s="1"/>
  <c r="P1382" i="2" s="1"/>
  <c r="L957" i="2"/>
  <c r="N957" i="2" s="1"/>
  <c r="P957" i="2" s="1"/>
  <c r="L2685" i="2"/>
  <c r="N2685" i="2" s="1"/>
  <c r="P2685" i="2" s="1"/>
  <c r="L2686" i="2"/>
  <c r="N2686" i="2" s="1"/>
  <c r="P2686" i="2" s="1"/>
  <c r="L2687" i="2"/>
  <c r="N2687" i="2" s="1"/>
  <c r="P2687" i="2" s="1"/>
  <c r="L1062" i="2"/>
  <c r="N1062" i="2" s="1"/>
  <c r="P1062" i="2" s="1"/>
  <c r="L958" i="2"/>
  <c r="N958" i="2" s="1"/>
  <c r="P958" i="2" s="1"/>
  <c r="L2688" i="2"/>
  <c r="N2688" i="2" s="1"/>
  <c r="P2688" i="2" s="1"/>
  <c r="L1500" i="2"/>
  <c r="N1500" i="2" s="1"/>
  <c r="P1500" i="2" s="1"/>
  <c r="L289" i="2"/>
  <c r="N289" i="2" s="1"/>
  <c r="P289" i="2" s="1"/>
  <c r="L1652" i="2"/>
  <c r="N1652" i="2" s="1"/>
  <c r="P1652" i="2" s="1"/>
  <c r="L426" i="2"/>
  <c r="N426" i="2" s="1"/>
  <c r="P426" i="2" s="1"/>
  <c r="L1754" i="2"/>
  <c r="N1754" i="2" s="1"/>
  <c r="P1754" i="2" s="1"/>
  <c r="L646" i="2"/>
  <c r="N646" i="2" s="1"/>
  <c r="P646" i="2" s="1"/>
  <c r="L513" i="2"/>
  <c r="N513" i="2" s="1"/>
  <c r="P513" i="2" s="1"/>
  <c r="L2689" i="2"/>
  <c r="N2689" i="2" s="1"/>
  <c r="P2689" i="2" s="1"/>
  <c r="L647" i="2"/>
  <c r="N647" i="2" s="1"/>
  <c r="P647" i="2" s="1"/>
  <c r="L1237" i="2"/>
  <c r="N1237" i="2" s="1"/>
  <c r="P1237" i="2" s="1"/>
  <c r="L2690" i="2"/>
  <c r="N2690" i="2" s="1"/>
  <c r="P2690" i="2" s="1"/>
  <c r="L1383" i="2"/>
  <c r="N1383" i="2" s="1"/>
  <c r="P1383" i="2" s="1"/>
  <c r="L648" i="2"/>
  <c r="N648" i="2" s="1"/>
  <c r="P648" i="2" s="1"/>
  <c r="L2691" i="2"/>
  <c r="N2691" i="2" s="1"/>
  <c r="P2691" i="2" s="1"/>
  <c r="L1596" i="2"/>
  <c r="N1596" i="2" s="1"/>
  <c r="P1596" i="2" s="1"/>
  <c r="L1063" i="2"/>
  <c r="N1063" i="2" s="1"/>
  <c r="P1063" i="2" s="1"/>
  <c r="L2692" i="2"/>
  <c r="N2692" i="2" s="1"/>
  <c r="P2692" i="2" s="1"/>
  <c r="L1064" i="2"/>
  <c r="N1064" i="2" s="1"/>
  <c r="P1064" i="2" s="1"/>
  <c r="L1755" i="2"/>
  <c r="N1755" i="2" s="1"/>
  <c r="P1755" i="2" s="1"/>
  <c r="L1138" i="2"/>
  <c r="N1138" i="2" s="1"/>
  <c r="P1138" i="2" s="1"/>
  <c r="L959" i="2"/>
  <c r="N959" i="2" s="1"/>
  <c r="P959" i="2" s="1"/>
  <c r="L724" i="2"/>
  <c r="N724" i="2" s="1"/>
  <c r="P724" i="2" s="1"/>
  <c r="L649" i="2"/>
  <c r="N649" i="2" s="1"/>
  <c r="P649" i="2" s="1"/>
  <c r="L501" i="2"/>
  <c r="N501" i="2" s="1"/>
  <c r="P501" i="2" s="1"/>
  <c r="L1698" i="2"/>
  <c r="N1698" i="2" s="1"/>
  <c r="P1698" i="2" s="1"/>
  <c r="L502" i="2"/>
  <c r="N502" i="2" s="1"/>
  <c r="P502" i="2" s="1"/>
  <c r="L1653" i="2"/>
  <c r="N1653" i="2" s="1"/>
  <c r="P1653" i="2" s="1"/>
  <c r="L2693" i="2"/>
  <c r="N2693" i="2" s="1"/>
  <c r="P2693" i="2" s="1"/>
  <c r="L810" i="2"/>
  <c r="N810" i="2" s="1"/>
  <c r="P810" i="2" s="1"/>
  <c r="L1384" i="2"/>
  <c r="N1384" i="2" s="1"/>
  <c r="P1384" i="2" s="1"/>
  <c r="L2694" i="2"/>
  <c r="N2694" i="2" s="1"/>
  <c r="P2694" i="2" s="1"/>
  <c r="L1597" i="2"/>
  <c r="N1597" i="2" s="1"/>
  <c r="P1597" i="2" s="1"/>
  <c r="L2695" i="2"/>
  <c r="N2695" i="2" s="1"/>
  <c r="P2695" i="2" s="1"/>
  <c r="L1385" i="2"/>
  <c r="N1385" i="2" s="1"/>
  <c r="P1385" i="2" s="1"/>
  <c r="L2696" i="2"/>
  <c r="N2696" i="2" s="1"/>
  <c r="P2696" i="2" s="1"/>
  <c r="L2697" i="2"/>
  <c r="N2697" i="2" s="1"/>
  <c r="P2697" i="2" s="1"/>
  <c r="L1458" i="2"/>
  <c r="N1458" i="2" s="1"/>
  <c r="P1458" i="2" s="1"/>
  <c r="L2698" i="2"/>
  <c r="N2698" i="2" s="1"/>
  <c r="P2698" i="2" s="1"/>
  <c r="L1275" i="2"/>
  <c r="N1275" i="2" s="1"/>
  <c r="P1275" i="2" s="1"/>
  <c r="L1756" i="2"/>
  <c r="N1756" i="2" s="1"/>
  <c r="P1756" i="2" s="1"/>
  <c r="L2699" i="2"/>
  <c r="N2699" i="2" s="1"/>
  <c r="P2699" i="2" s="1"/>
  <c r="L650" i="2"/>
  <c r="N650" i="2" s="1"/>
  <c r="P650" i="2" s="1"/>
  <c r="L427" i="2"/>
  <c r="N427" i="2" s="1"/>
  <c r="P427" i="2" s="1"/>
  <c r="L2700" i="2"/>
  <c r="N2700" i="2" s="1"/>
  <c r="P2700" i="2" s="1"/>
  <c r="L428" i="2"/>
  <c r="N428" i="2" s="1"/>
  <c r="P428" i="2" s="1"/>
  <c r="L960" i="2"/>
  <c r="N960" i="2" s="1"/>
  <c r="P960" i="2" s="1"/>
  <c r="L2701" i="2"/>
  <c r="L651" i="2"/>
  <c r="N651" i="2" s="1"/>
  <c r="P651" i="2" s="1"/>
  <c r="L1598" i="2"/>
  <c r="N1598" i="2" s="1"/>
  <c r="P1598" i="2" s="1"/>
  <c r="L1276" i="2"/>
  <c r="N1276" i="2" s="1"/>
  <c r="P1276" i="2" s="1"/>
  <c r="L725" i="2"/>
  <c r="N725" i="2" s="1"/>
  <c r="P725" i="2" s="1"/>
  <c r="L652" i="2"/>
  <c r="N652" i="2" s="1"/>
  <c r="P652" i="2" s="1"/>
  <c r="L2702" i="2"/>
  <c r="N2702" i="2" s="1"/>
  <c r="P2702" i="2" s="1"/>
  <c r="L961" i="2"/>
  <c r="N961" i="2" s="1"/>
  <c r="P961" i="2" s="1"/>
  <c r="L962" i="2"/>
  <c r="N962" i="2" s="1"/>
  <c r="P962" i="2" s="1"/>
  <c r="L653" i="2"/>
  <c r="N653" i="2" s="1"/>
  <c r="P653" i="2" s="1"/>
  <c r="L290" i="2"/>
  <c r="N290" i="2" s="1"/>
  <c r="P290" i="2" s="1"/>
  <c r="L1386" i="2"/>
  <c r="N1386" i="2" s="1"/>
  <c r="P1386" i="2" s="1"/>
  <c r="L1757" i="2"/>
  <c r="L429" i="2"/>
  <c r="N429" i="2" s="1"/>
  <c r="P429" i="2" s="1"/>
  <c r="L811" i="2"/>
  <c r="N811" i="2" s="1"/>
  <c r="P811" i="2" s="1"/>
  <c r="L654" i="2"/>
  <c r="N654" i="2" s="1"/>
  <c r="P654" i="2" s="1"/>
  <c r="L963" i="2"/>
  <c r="N963" i="2" s="1"/>
  <c r="P963" i="2" s="1"/>
  <c r="L2703" i="2"/>
  <c r="N2703" i="2" s="1"/>
  <c r="P2703" i="2" s="1"/>
  <c r="L291" i="2"/>
  <c r="N291" i="2" s="1"/>
  <c r="P291" i="2" s="1"/>
  <c r="L1501" i="2"/>
  <c r="N1501" i="2" s="1"/>
  <c r="P1501" i="2" s="1"/>
  <c r="L853" i="2"/>
  <c r="N853" i="2" s="1"/>
  <c r="P853" i="2" s="1"/>
  <c r="L1758" i="2"/>
  <c r="N1758" i="2" s="1"/>
  <c r="P1758" i="2" s="1"/>
  <c r="L292" i="2"/>
  <c r="N292" i="2" s="1"/>
  <c r="P292" i="2" s="1"/>
  <c r="L2704" i="2"/>
  <c r="N2704" i="2" s="1"/>
  <c r="P2704" i="2" s="1"/>
  <c r="L2705" i="2"/>
  <c r="N2705" i="2" s="1"/>
  <c r="P2705" i="2" s="1"/>
  <c r="L1065" i="2"/>
  <c r="N1065" i="2" s="1"/>
  <c r="P1065" i="2" s="1"/>
  <c r="L655" i="2"/>
  <c r="N655" i="2" s="1"/>
  <c r="P655" i="2" s="1"/>
  <c r="L1654" i="2"/>
  <c r="N1654" i="2" s="1"/>
  <c r="P1654" i="2" s="1"/>
  <c r="L656" i="2"/>
  <c r="N656" i="2" s="1"/>
  <c r="P656" i="2" s="1"/>
  <c r="L1238" i="2"/>
  <c r="N1238" i="2" s="1"/>
  <c r="P1238" i="2" s="1"/>
  <c r="L854" i="2"/>
  <c r="N854" i="2" s="1"/>
  <c r="P854" i="2" s="1"/>
  <c r="L1387" i="2"/>
  <c r="N1387" i="2" s="1"/>
  <c r="P1387" i="2" s="1"/>
  <c r="L1388" i="2"/>
  <c r="N1388" i="2" s="1"/>
  <c r="P1388" i="2" s="1"/>
  <c r="L293" i="2"/>
  <c r="N293" i="2" s="1"/>
  <c r="P293" i="2" s="1"/>
  <c r="L2706" i="2"/>
  <c r="N2706" i="2" s="1"/>
  <c r="P2706" i="2" s="1"/>
  <c r="L2707" i="2"/>
  <c r="N2707" i="2" s="1"/>
  <c r="P2707" i="2" s="1"/>
  <c r="L2708" i="2"/>
  <c r="N2708" i="2" s="1"/>
  <c r="P2708" i="2" s="1"/>
  <c r="L2709" i="2"/>
  <c r="N2709" i="2" s="1"/>
  <c r="P2709" i="2" s="1"/>
  <c r="L1599" i="2"/>
  <c r="N1599" i="2" s="1"/>
  <c r="P1599" i="2" s="1"/>
  <c r="L2710" i="2"/>
  <c r="N2710" i="2" s="1"/>
  <c r="P2710" i="2" s="1"/>
  <c r="L1389" i="2"/>
  <c r="N1389" i="2" s="1"/>
  <c r="P1389" i="2" s="1"/>
  <c r="L1066" i="2"/>
  <c r="N1066" i="2" s="1"/>
  <c r="P1066" i="2" s="1"/>
  <c r="L2711" i="2"/>
  <c r="N2711" i="2" s="1"/>
  <c r="P2711" i="2" s="1"/>
  <c r="L2712" i="2"/>
  <c r="N2712" i="2" s="1"/>
  <c r="P2712" i="2" s="1"/>
  <c r="L1139" i="2"/>
  <c r="N1139" i="2" s="1"/>
  <c r="P1139" i="2" s="1"/>
  <c r="L964" i="2"/>
  <c r="N964" i="2" s="1"/>
  <c r="P964" i="2" s="1"/>
  <c r="L657" i="2"/>
  <c r="N657" i="2" s="1"/>
  <c r="P657" i="2" s="1"/>
  <c r="L658" i="2"/>
  <c r="N658" i="2" s="1"/>
  <c r="P658" i="2" s="1"/>
  <c r="L2713" i="2"/>
  <c r="N2713" i="2" s="1"/>
  <c r="P2713" i="2" s="1"/>
  <c r="L1239" i="2"/>
  <c r="N1239" i="2" s="1"/>
  <c r="P1239" i="2" s="1"/>
  <c r="L1699" i="2"/>
  <c r="N1699" i="2" s="1"/>
  <c r="P1699" i="2" s="1"/>
  <c r="L1600" i="2"/>
  <c r="N1600" i="2" s="1"/>
  <c r="P1600" i="2" s="1"/>
  <c r="L1601" i="2"/>
  <c r="N1601" i="2" s="1"/>
  <c r="P1601" i="2" s="1"/>
  <c r="L1427" i="2"/>
  <c r="N1427" i="2" s="1"/>
  <c r="P1427" i="2" s="1"/>
  <c r="L2714" i="2"/>
  <c r="N2714" i="2" s="1"/>
  <c r="P2714" i="2" s="1"/>
  <c r="L2715" i="2"/>
  <c r="N2715" i="2" s="1"/>
  <c r="P2715" i="2" s="1"/>
  <c r="L2716" i="2"/>
  <c r="N2716" i="2" s="1"/>
  <c r="P2716" i="2" s="1"/>
  <c r="L1655" i="2"/>
  <c r="N1655" i="2" s="1"/>
  <c r="P1655" i="2" s="1"/>
  <c r="L1067" i="2"/>
  <c r="N1067" i="2" s="1"/>
  <c r="P1067" i="2" s="1"/>
  <c r="L812" i="2"/>
  <c r="N812" i="2" s="1"/>
  <c r="P812" i="2" s="1"/>
  <c r="L1277" i="2"/>
  <c r="N1277" i="2" s="1"/>
  <c r="P1277" i="2" s="1"/>
  <c r="L294" i="2"/>
  <c r="L2717" i="2"/>
  <c r="N2717" i="2" s="1"/>
  <c r="P2717" i="2" s="1"/>
  <c r="L2718" i="2"/>
  <c r="N2718" i="2" s="1"/>
  <c r="P2718" i="2" s="1"/>
  <c r="L813" i="2"/>
  <c r="N813" i="2" s="1"/>
  <c r="P813" i="2" s="1"/>
  <c r="L295" i="2"/>
  <c r="N295" i="2" s="1"/>
  <c r="P295" i="2" s="1"/>
  <c r="L430" i="2"/>
  <c r="N430" i="2" s="1"/>
  <c r="P430" i="2" s="1"/>
  <c r="L1459" i="2"/>
  <c r="N1459" i="2" s="1"/>
  <c r="P1459" i="2" s="1"/>
  <c r="L2719" i="2"/>
  <c r="N2719" i="2" s="1"/>
  <c r="P2719" i="2" s="1"/>
  <c r="L814" i="2"/>
  <c r="N814" i="2" s="1"/>
  <c r="P814" i="2" s="1"/>
  <c r="L514" i="2"/>
  <c r="N514" i="2" s="1"/>
  <c r="P514" i="2" s="1"/>
  <c r="L659" i="2"/>
  <c r="N659" i="2" s="1"/>
  <c r="P659" i="2" s="1"/>
  <c r="L1278" i="2"/>
  <c r="N1278" i="2" s="1"/>
  <c r="P1278" i="2" s="1"/>
  <c r="L2720" i="2"/>
  <c r="N2720" i="2" s="1"/>
  <c r="P2720" i="2" s="1"/>
  <c r="L726" i="2"/>
  <c r="N726" i="2" s="1"/>
  <c r="P726" i="2" s="1"/>
  <c r="L2721" i="2"/>
  <c r="N2721" i="2" s="1"/>
  <c r="P2721" i="2" s="1"/>
  <c r="L1068" i="2"/>
  <c r="N1068" i="2" s="1"/>
  <c r="P1068" i="2" s="1"/>
  <c r="L1390" i="2"/>
  <c r="N1390" i="2" s="1"/>
  <c r="P1390" i="2" s="1"/>
  <c r="L2722" i="2"/>
  <c r="N2722" i="2" s="1"/>
  <c r="P2722" i="2" s="1"/>
  <c r="L1656" i="2"/>
  <c r="N1656" i="2" s="1"/>
  <c r="P1656" i="2" s="1"/>
  <c r="L2723" i="2"/>
  <c r="N2723" i="2" s="1"/>
  <c r="P2723" i="2" s="1"/>
  <c r="L660" i="2"/>
  <c r="N660" i="2" s="1"/>
  <c r="P660" i="2" s="1"/>
  <c r="L2724" i="2"/>
  <c r="N2724" i="2" s="1"/>
  <c r="P2724" i="2" s="1"/>
  <c r="L2725" i="2"/>
  <c r="N2725" i="2" s="1"/>
  <c r="P2725" i="2" s="1"/>
  <c r="L296" i="2"/>
  <c r="N296" i="2" s="1"/>
  <c r="P296" i="2" s="1"/>
  <c r="L2726" i="2"/>
  <c r="N2726" i="2" s="1"/>
  <c r="P2726" i="2" s="1"/>
  <c r="L661" i="2"/>
  <c r="N661" i="2" s="1"/>
  <c r="P661" i="2" s="1"/>
  <c r="L2727" i="2"/>
  <c r="N2727" i="2" s="1"/>
  <c r="P2727" i="2" s="1"/>
  <c r="L2728" i="2"/>
  <c r="N2728" i="2" s="1"/>
  <c r="P2728" i="2" s="1"/>
  <c r="L2729" i="2"/>
  <c r="N2729" i="2" s="1"/>
  <c r="P2729" i="2" s="1"/>
  <c r="L1391" i="2"/>
  <c r="N1391" i="2" s="1"/>
  <c r="P1391" i="2" s="1"/>
  <c r="L297" i="2"/>
  <c r="N297" i="2" s="1"/>
  <c r="P297" i="2" s="1"/>
  <c r="L2730" i="2"/>
  <c r="N2730" i="2" s="1"/>
  <c r="P2730" i="2" s="1"/>
  <c r="L298" i="2"/>
  <c r="N298" i="2" s="1"/>
  <c r="P298" i="2" s="1"/>
  <c r="L1392" i="2"/>
  <c r="N1392" i="2" s="1"/>
  <c r="P1392" i="2" s="1"/>
  <c r="L855" i="2"/>
  <c r="N855" i="2" s="1"/>
  <c r="P855" i="2" s="1"/>
  <c r="L662" i="2"/>
  <c r="N662" i="2" s="1"/>
  <c r="P662" i="2" s="1"/>
  <c r="L1657" i="2"/>
  <c r="N1657" i="2" s="1"/>
  <c r="P1657" i="2" s="1"/>
  <c r="L856" i="2"/>
  <c r="N856" i="2" s="1"/>
  <c r="P856" i="2" s="1"/>
  <c r="L857" i="2"/>
  <c r="N857" i="2" s="1"/>
  <c r="P857" i="2" s="1"/>
  <c r="L1240" i="2"/>
  <c r="N1240" i="2" s="1"/>
  <c r="P1240" i="2" s="1"/>
  <c r="L663" i="2"/>
  <c r="N663" i="2" s="1"/>
  <c r="P663" i="2" s="1"/>
  <c r="L2731" i="2"/>
  <c r="N2731" i="2" s="1"/>
  <c r="P2731" i="2" s="1"/>
  <c r="L1069" i="2"/>
  <c r="N1069" i="2" s="1"/>
  <c r="P1069" i="2" s="1"/>
  <c r="L727" i="2"/>
  <c r="N727" i="2" s="1"/>
  <c r="P727" i="2" s="1"/>
  <c r="L815" i="2"/>
  <c r="N815" i="2" s="1"/>
  <c r="P815" i="2" s="1"/>
  <c r="L1279" i="2"/>
  <c r="N1279" i="2" s="1"/>
  <c r="P1279" i="2" s="1"/>
  <c r="L664" i="2"/>
  <c r="N664" i="2" s="1"/>
  <c r="P664" i="2" s="1"/>
  <c r="L1280" i="2"/>
  <c r="N1280" i="2" s="1"/>
  <c r="P1280" i="2" s="1"/>
  <c r="L816" i="2"/>
  <c r="N816" i="2" s="1"/>
  <c r="P816" i="2" s="1"/>
  <c r="L665" i="2"/>
  <c r="N665" i="2" s="1"/>
  <c r="P665" i="2" s="1"/>
  <c r="L1070" i="2"/>
  <c r="N1070" i="2" s="1"/>
  <c r="P1070" i="2" s="1"/>
  <c r="L1241" i="2"/>
  <c r="N1241" i="2" s="1"/>
  <c r="P1241" i="2" s="1"/>
  <c r="L817" i="2"/>
  <c r="N817" i="2" s="1"/>
  <c r="P817" i="2" s="1"/>
  <c r="L666" i="2"/>
  <c r="N666" i="2" s="1"/>
  <c r="P666" i="2" s="1"/>
  <c r="L375" i="2"/>
  <c r="N375" i="2" s="1"/>
  <c r="P375" i="2" s="1"/>
  <c r="L1281" i="2"/>
  <c r="N1281" i="2" s="1"/>
  <c r="L299" i="2"/>
  <c r="N299" i="2" s="1"/>
  <c r="L300" i="2"/>
  <c r="N300" i="2" s="1"/>
  <c r="L2732" i="2"/>
  <c r="N2732" i="2" s="1"/>
  <c r="L2733" i="2"/>
  <c r="N2733" i="2" s="1"/>
  <c r="L965" i="2"/>
  <c r="N965" i="2" s="1"/>
  <c r="L301" i="2"/>
  <c r="N301" i="2" s="1"/>
  <c r="L376" i="2"/>
  <c r="N376" i="2" s="1"/>
  <c r="L1071" i="2"/>
  <c r="N1071" i="2" s="1"/>
  <c r="L2734" i="2"/>
  <c r="N2734" i="2" s="1"/>
  <c r="L2735" i="2"/>
  <c r="N2735" i="2" s="1"/>
  <c r="L818" i="2"/>
  <c r="N818" i="2" s="1"/>
  <c r="L1428" i="2"/>
  <c r="N1428" i="2" s="1"/>
  <c r="L1282" i="2"/>
  <c r="N1282" i="2" s="1"/>
  <c r="L302" i="2"/>
  <c r="N302" i="2" s="1"/>
  <c r="L431" i="2"/>
  <c r="N431" i="2" s="1"/>
  <c r="L1072" i="2"/>
  <c r="L1242" i="2"/>
  <c r="N1242" i="2" s="1"/>
  <c r="L858" i="2"/>
  <c r="N858" i="2" s="1"/>
  <c r="L303" i="2"/>
  <c r="N303" i="2" s="1"/>
  <c r="L1393" i="2"/>
  <c r="N1393" i="2" s="1"/>
  <c r="L667" i="2"/>
  <c r="N667" i="2" s="1"/>
  <c r="L2736" i="2"/>
  <c r="N2736" i="2" s="1"/>
  <c r="L304" i="2"/>
  <c r="N304" i="2" s="1"/>
  <c r="L1394" i="2"/>
  <c r="N1394" i="2" s="1"/>
  <c r="L2737" i="2"/>
  <c r="N2737" i="2" s="1"/>
  <c r="L1395" i="2"/>
  <c r="N1395" i="2" s="1"/>
  <c r="L2738" i="2"/>
  <c r="N2738" i="2" s="1"/>
  <c r="L668" i="2"/>
  <c r="N668" i="2" s="1"/>
  <c r="L819" i="2"/>
  <c r="N819" i="2" s="1"/>
  <c r="L966" i="2"/>
  <c r="N966" i="2" s="1"/>
  <c r="L1502" i="2"/>
  <c r="N1502" i="2" s="1"/>
  <c r="L1243" i="2"/>
  <c r="N1243" i="2" s="1"/>
  <c r="L1503" i="2"/>
  <c r="N1503" i="2" s="1"/>
  <c r="L305" i="2"/>
  <c r="N305" i="2" s="1"/>
  <c r="L669" i="2"/>
  <c r="N669" i="2" s="1"/>
  <c r="L306" i="2"/>
  <c r="N306" i="2" s="1"/>
  <c r="L307" i="2"/>
  <c r="N307" i="2" s="1"/>
  <c r="L1140" i="2"/>
  <c r="N1140" i="2" s="1"/>
  <c r="L1759" i="2"/>
  <c r="N1759" i="2" s="1"/>
  <c r="L308" i="2"/>
  <c r="N308" i="2" s="1"/>
  <c r="L309" i="2"/>
  <c r="N309" i="2" s="1"/>
  <c r="L820" i="2"/>
  <c r="N820" i="2" s="1"/>
  <c r="L310" i="2"/>
  <c r="N310" i="2" s="1"/>
  <c r="L2739" i="2"/>
  <c r="N2739" i="2" s="1"/>
  <c r="L311" i="2"/>
  <c r="N311" i="2" s="1"/>
  <c r="L312" i="2"/>
  <c r="N312" i="2" s="1"/>
  <c r="L313" i="2"/>
  <c r="N313" i="2" s="1"/>
  <c r="L1396" i="2"/>
  <c r="N1396" i="2" s="1"/>
  <c r="L1397" i="2"/>
  <c r="N1397" i="2" s="1"/>
  <c r="L2740" i="2"/>
  <c r="N2740" i="2" s="1"/>
  <c r="L880" i="2"/>
  <c r="N880" i="2" s="1"/>
  <c r="L2741" i="2"/>
  <c r="N2741" i="2" s="1"/>
  <c r="L2742" i="2"/>
  <c r="N2742" i="2" s="1"/>
  <c r="L1244" i="2"/>
  <c r="N1244" i="2" s="1"/>
  <c r="L1398" i="2"/>
  <c r="N1398" i="2" s="1"/>
  <c r="L314" i="2"/>
  <c r="N314" i="2" s="1"/>
  <c r="L2743" i="2"/>
  <c r="N2743" i="2" s="1"/>
  <c r="L2744" i="2"/>
  <c r="N2744" i="2" s="1"/>
  <c r="L2745" i="2"/>
  <c r="N2745" i="2" s="1"/>
  <c r="L1700" i="2"/>
  <c r="N1700" i="2" s="1"/>
  <c r="L1399" i="2"/>
  <c r="N1399" i="2" s="1"/>
  <c r="L2746" i="2"/>
  <c r="N2746" i="2" s="1"/>
  <c r="L315" i="2"/>
  <c r="N315" i="2" s="1"/>
  <c r="L2747" i="2"/>
  <c r="N2747" i="2" s="1"/>
  <c r="L2748" i="2"/>
  <c r="N2748" i="2" s="1"/>
  <c r="L2749" i="2"/>
  <c r="N2749" i="2" s="1"/>
  <c r="L2750" i="2"/>
  <c r="N2750" i="2" s="1"/>
  <c r="L316" i="2"/>
  <c r="N316" i="2" s="1"/>
  <c r="L1701" i="2"/>
  <c r="N1701" i="2" s="1"/>
  <c r="L2751" i="2"/>
  <c r="N2751" i="2" s="1"/>
  <c r="L2752" i="2"/>
  <c r="N2752" i="2" s="1"/>
  <c r="L1400" i="2"/>
  <c r="N1400" i="2" s="1"/>
  <c r="L2753" i="2"/>
  <c r="N2753" i="2" s="1"/>
  <c r="L2754" i="2"/>
  <c r="N2754" i="2" s="1"/>
  <c r="L2755" i="2"/>
  <c r="N2755" i="2" s="1"/>
  <c r="L2756" i="2"/>
  <c r="N2756" i="2" s="1"/>
  <c r="L2757" i="2"/>
  <c r="N2757" i="2" s="1"/>
  <c r="L2758" i="2"/>
  <c r="N2758" i="2" s="1"/>
  <c r="L2759" i="2"/>
  <c r="N2759" i="2" s="1"/>
  <c r="L2760" i="2"/>
  <c r="N2760" i="2" s="1"/>
  <c r="L317" i="2"/>
  <c r="N317" i="2" s="1"/>
  <c r="L821" i="2"/>
  <c r="N821" i="2" s="1"/>
  <c r="L1401" i="2"/>
  <c r="N1401" i="2" s="1"/>
  <c r="L881" i="2"/>
  <c r="N881" i="2" s="1"/>
  <c r="L318" i="2"/>
  <c r="N318" i="2" s="1"/>
  <c r="L319" i="2"/>
  <c r="N319" i="2" s="1"/>
  <c r="L1702" i="2"/>
  <c r="N1702" i="2" s="1"/>
  <c r="L2761" i="2"/>
  <c r="N2761" i="2" s="1"/>
  <c r="L2762" i="2"/>
  <c r="N2762" i="2" s="1"/>
  <c r="L2763" i="2"/>
  <c r="N2763" i="2" s="1"/>
  <c r="L2764" i="2"/>
  <c r="N2764" i="2" s="1"/>
  <c r="L967" i="2"/>
  <c r="N967" i="2" s="1"/>
  <c r="L2765" i="2"/>
  <c r="N2765" i="2" s="1"/>
  <c r="L1402" i="2"/>
  <c r="N1402" i="2" s="1"/>
  <c r="L2766" i="2"/>
  <c r="N2766" i="2" s="1"/>
  <c r="L1703" i="2"/>
  <c r="N1703" i="2" s="1"/>
  <c r="L1460" i="2"/>
  <c r="N1460" i="2" s="1"/>
  <c r="L2767" i="2"/>
  <c r="N2767" i="2" s="1"/>
  <c r="L822" i="2"/>
  <c r="N822" i="2" s="1"/>
  <c r="L1245" i="2"/>
  <c r="N1245" i="2" s="1"/>
  <c r="L2768" i="2"/>
  <c r="N2768" i="2" s="1"/>
  <c r="L2769" i="2"/>
  <c r="N2769" i="2" s="1"/>
  <c r="L2770" i="2"/>
  <c r="N2770" i="2" s="1"/>
  <c r="L2771" i="2"/>
  <c r="N2771" i="2" s="1"/>
  <c r="L2772" i="2"/>
  <c r="N2772" i="2" s="1"/>
  <c r="L2773" i="2"/>
  <c r="N2773" i="2" s="1"/>
  <c r="L1602" i="2"/>
  <c r="N1602" i="2" s="1"/>
  <c r="L2774" i="2"/>
  <c r="N2774" i="2" s="1"/>
  <c r="L2775" i="2"/>
  <c r="N2775" i="2" s="1"/>
  <c r="L1603" i="2"/>
  <c r="N1603" i="2" s="1"/>
  <c r="L882" i="2"/>
  <c r="N882" i="2" s="1"/>
  <c r="L2776" i="2"/>
  <c r="L2777" i="2"/>
  <c r="N2777" i="2" s="1"/>
  <c r="L2778" i="2"/>
  <c r="N2778" i="2" s="1"/>
  <c r="L823" i="2"/>
  <c r="N823" i="2" s="1"/>
  <c r="L2779" i="2"/>
  <c r="N2779" i="2" s="1"/>
  <c r="L2780" i="2"/>
  <c r="N2780" i="2" s="1"/>
  <c r="L320" i="2"/>
  <c r="N320" i="2" s="1"/>
  <c r="L321" i="2"/>
  <c r="N321" i="2" s="1"/>
  <c r="L883" i="2"/>
  <c r="N883" i="2" s="1"/>
  <c r="L2781" i="2"/>
  <c r="N2781" i="2" s="1"/>
  <c r="L968" i="2"/>
  <c r="N968" i="2" s="1"/>
  <c r="L1604" i="2"/>
  <c r="N1604" i="2" s="1"/>
  <c r="L670" i="2"/>
  <c r="N670" i="2" s="1"/>
  <c r="L884" i="2"/>
  <c r="N884" i="2" s="1"/>
  <c r="L2782" i="2"/>
  <c r="N2782" i="2" s="1"/>
  <c r="L1403" i="2"/>
  <c r="N1403" i="2" s="1"/>
  <c r="L2783" i="2"/>
  <c r="N2783" i="2" s="1"/>
  <c r="L885" i="2"/>
  <c r="N885" i="2" s="1"/>
  <c r="L2784" i="2"/>
  <c r="N2784" i="2" s="1"/>
  <c r="L2785" i="2"/>
  <c r="N2785" i="2" s="1"/>
  <c r="L2786" i="2"/>
  <c r="N2786" i="2" s="1"/>
  <c r="L22" i="2"/>
  <c r="N22" i="2" s="1"/>
  <c r="L322" i="2"/>
  <c r="N322" i="2" s="1"/>
  <c r="L2787" i="2"/>
  <c r="N2787" i="2" s="1"/>
  <c r="L1246" i="2"/>
  <c r="N1246" i="2" s="1"/>
  <c r="L2788" i="2"/>
  <c r="N2788" i="2" s="1"/>
  <c r="L2789" i="2"/>
  <c r="N2789" i="2" s="1"/>
  <c r="L2790" i="2"/>
  <c r="N2790" i="2" s="1"/>
  <c r="L2791" i="2"/>
  <c r="N2791" i="2" s="1"/>
  <c r="L1404" i="2"/>
  <c r="N1404" i="2" s="1"/>
  <c r="L349" i="2"/>
  <c r="N349" i="2" s="1"/>
  <c r="L2792" i="2"/>
  <c r="N2792" i="2" s="1"/>
  <c r="L2793" i="2"/>
  <c r="N2793" i="2" s="1"/>
  <c r="L432" i="2"/>
  <c r="N432" i="2" s="1"/>
  <c r="L2794" i="2"/>
  <c r="N2794" i="2" s="1"/>
  <c r="L2795" i="2"/>
  <c r="N2795" i="2" s="1"/>
  <c r="L2796" i="2"/>
  <c r="N2796" i="2" s="1"/>
  <c r="L1605" i="2"/>
  <c r="N1605" i="2" s="1"/>
  <c r="L2797" i="2"/>
  <c r="N2797" i="2" s="1"/>
  <c r="L2798" i="2"/>
  <c r="N2798" i="2" s="1"/>
  <c r="L1405" i="2"/>
  <c r="N1405" i="2" s="1"/>
  <c r="L1704" i="2"/>
  <c r="N1704" i="2" s="1"/>
  <c r="L1461" i="2"/>
  <c r="N1461" i="2" s="1"/>
  <c r="L2799" i="2"/>
  <c r="N2799" i="2" s="1"/>
  <c r="P2799" i="2" s="1"/>
  <c r="L2800" i="2"/>
  <c r="N2800" i="2" s="1"/>
  <c r="L2801" i="2"/>
  <c r="N2801" i="2" s="1"/>
  <c r="L2802" i="2"/>
  <c r="N2802" i="2" s="1"/>
  <c r="L1705" i="2"/>
  <c r="N1705" i="2" s="1"/>
  <c r="L2803" i="2"/>
  <c r="N2803" i="2" s="1"/>
  <c r="L1706" i="2"/>
  <c r="N1706" i="2" s="1"/>
  <c r="P1706" i="2" s="1"/>
  <c r="L671" i="2"/>
  <c r="N671" i="2" s="1"/>
  <c r="L2804" i="2"/>
  <c r="N2804" i="2" s="1"/>
  <c r="L886" i="2"/>
  <c r="N886" i="2" s="1"/>
  <c r="L824" i="2"/>
  <c r="N824" i="2" s="1"/>
  <c r="L2805" i="2"/>
  <c r="N2805" i="2" s="1"/>
  <c r="L1707" i="2"/>
  <c r="N1707" i="2" s="1"/>
  <c r="L2806" i="2"/>
  <c r="N2806" i="2" s="1"/>
  <c r="L2807" i="2"/>
  <c r="N2807" i="2" s="1"/>
  <c r="L2808" i="2"/>
  <c r="N2808" i="2" s="1"/>
  <c r="L323" i="2"/>
  <c r="N323" i="2" s="1"/>
  <c r="L2809" i="2"/>
  <c r="N2809" i="2" s="1"/>
  <c r="L1247" i="2"/>
  <c r="N1247" i="2" s="1"/>
  <c r="P1247" i="2" s="1"/>
  <c r="L433" i="2"/>
  <c r="N433" i="2" s="1"/>
  <c r="L2810" i="2"/>
  <c r="N2810" i="2" s="1"/>
  <c r="L324" i="2"/>
  <c r="N324" i="2" s="1"/>
  <c r="L2811" i="2"/>
  <c r="N2811" i="2" s="1"/>
  <c r="L1708" i="2"/>
  <c r="N1708" i="2" s="1"/>
  <c r="L2812" i="2"/>
  <c r="N2812" i="2" s="1"/>
  <c r="L1606" i="2"/>
  <c r="N1606" i="2" s="1"/>
  <c r="L350" i="2"/>
  <c r="N350" i="2" s="1"/>
  <c r="L2813" i="2"/>
  <c r="N2813" i="2" s="1"/>
  <c r="L2814" i="2"/>
  <c r="N2814" i="2" s="1"/>
  <c r="L2815" i="2"/>
  <c r="N2815" i="2" s="1"/>
  <c r="L1462" i="2"/>
  <c r="L887" i="2"/>
  <c r="N887" i="2" s="1"/>
  <c r="L377" i="2"/>
  <c r="N377" i="2" s="1"/>
  <c r="L1463" i="2"/>
  <c r="N1463" i="2" s="1"/>
  <c r="L672" i="2"/>
  <c r="N672" i="2" s="1"/>
  <c r="L1607" i="2"/>
  <c r="N1607" i="2" s="1"/>
  <c r="L325" i="2"/>
  <c r="N325" i="2" s="1"/>
  <c r="L2816" i="2"/>
  <c r="N2816" i="2" s="1"/>
  <c r="L2817" i="2"/>
  <c r="N2817" i="2" s="1"/>
  <c r="L2818" i="2"/>
  <c r="N2818" i="2" s="1"/>
  <c r="L2819" i="2"/>
  <c r="N2819" i="2" s="1"/>
  <c r="L2820" i="2"/>
  <c r="N2820" i="2" s="1"/>
  <c r="L326" i="2"/>
  <c r="N326" i="2" s="1"/>
  <c r="L2821" i="2"/>
  <c r="L673" i="2"/>
  <c r="N673" i="2" s="1"/>
  <c r="L2822" i="2"/>
  <c r="N2822" i="2" s="1"/>
  <c r="L2823" i="2"/>
  <c r="N2823" i="2" s="1"/>
  <c r="L351" i="2"/>
  <c r="N351" i="2" s="1"/>
  <c r="P351" i="2" s="1"/>
  <c r="L2824" i="2"/>
  <c r="N2824" i="2" s="1"/>
  <c r="L2825" i="2"/>
  <c r="N2825" i="2" s="1"/>
  <c r="L2826" i="2"/>
  <c r="N2826" i="2" s="1"/>
  <c r="L2827" i="2"/>
  <c r="N2827" i="2" s="1"/>
  <c r="L434" i="2"/>
  <c r="N434" i="2" s="1"/>
  <c r="L2828" i="2"/>
  <c r="L2829" i="2"/>
  <c r="N2829" i="2" s="1"/>
  <c r="L390" i="2"/>
  <c r="N390" i="2" s="1"/>
  <c r="L2830" i="2"/>
  <c r="N2830" i="2" s="1"/>
  <c r="L2831" i="2"/>
  <c r="N2831" i="2" s="1"/>
  <c r="L1608" i="2"/>
  <c r="N1608" i="2" s="1"/>
  <c r="L1073" i="2"/>
  <c r="N1073" i="2" s="1"/>
  <c r="L327" i="2"/>
  <c r="N327" i="2" s="1"/>
  <c r="L674" i="2"/>
  <c r="N674" i="2" s="1"/>
  <c r="L2832" i="2"/>
  <c r="N2832" i="2" s="1"/>
  <c r="L435" i="2"/>
  <c r="N435" i="2" s="1"/>
  <c r="L352" i="2"/>
  <c r="N352" i="2" s="1"/>
  <c r="L2833" i="2"/>
  <c r="N2833" i="2" s="1"/>
  <c r="L23" i="2"/>
  <c r="N23" i="2" s="1"/>
  <c r="L1406" i="2"/>
  <c r="N1406" i="2" s="1"/>
  <c r="L888" i="2"/>
  <c r="N888" i="2" s="1"/>
  <c r="L675" i="2"/>
  <c r="N675" i="2" s="1"/>
  <c r="L1407" i="2"/>
  <c r="N1407" i="2" s="1"/>
  <c r="L1609" i="2"/>
  <c r="N1609" i="2" s="1"/>
  <c r="P1609" i="2" s="1"/>
  <c r="L1709" i="2"/>
  <c r="N1709" i="2" s="1"/>
  <c r="L436" i="2"/>
  <c r="N436" i="2" s="1"/>
  <c r="L1464" i="2"/>
  <c r="N1464" i="2" s="1"/>
  <c r="L24" i="2"/>
  <c r="N24" i="2" s="1"/>
  <c r="L676" i="2"/>
  <c r="N676" i="2" s="1"/>
  <c r="L2834" i="2"/>
  <c r="N2834" i="2" s="1"/>
  <c r="P2834" i="2" s="1"/>
  <c r="L2835" i="2"/>
  <c r="N2835" i="2" s="1"/>
  <c r="L328" i="2"/>
  <c r="N328" i="2" s="1"/>
  <c r="L2836" i="2"/>
  <c r="N2836" i="2" s="1"/>
  <c r="L2837" i="2"/>
  <c r="N2837" i="2" s="1"/>
  <c r="L2838" i="2"/>
  <c r="N2838" i="2" s="1"/>
  <c r="L677" i="2"/>
  <c r="N677" i="2" s="1"/>
  <c r="L1074" i="2"/>
  <c r="N1074" i="2" s="1"/>
  <c r="L1710" i="2"/>
  <c r="N1710" i="2" s="1"/>
  <c r="L2839" i="2"/>
  <c r="N2839" i="2" s="1"/>
  <c r="L353" i="2"/>
  <c r="N353" i="2" s="1"/>
  <c r="L1724" i="2"/>
  <c r="N1724" i="2" s="1"/>
  <c r="L437" i="2"/>
  <c r="L678" i="2"/>
  <c r="N678" i="2" s="1"/>
  <c r="L2840" i="2"/>
  <c r="L2841" i="2"/>
  <c r="N2841" i="2" s="1"/>
  <c r="L354" i="2"/>
  <c r="N354" i="2" s="1"/>
  <c r="L2842" i="2"/>
  <c r="N2842" i="2" s="1"/>
  <c r="L2843" i="2"/>
  <c r="N2843" i="2" s="1"/>
  <c r="L2844" i="2"/>
  <c r="N2844" i="2" s="1"/>
  <c r="L1075" i="2"/>
  <c r="N1075" i="2" s="1"/>
  <c r="L1711" i="2"/>
  <c r="N1711" i="2" s="1"/>
  <c r="L679" i="2"/>
  <c r="N679" i="2" s="1"/>
  <c r="L378" i="2"/>
  <c r="N378" i="2" s="1"/>
  <c r="P378" i="2" s="1"/>
  <c r="L355" i="2"/>
  <c r="N355" i="2" s="1"/>
  <c r="L969" i="2"/>
  <c r="N969" i="2" s="1"/>
  <c r="L2845" i="2"/>
  <c r="N2845" i="2" s="1"/>
  <c r="L1610" i="2"/>
  <c r="N1610" i="2" s="1"/>
  <c r="L438" i="2"/>
  <c r="N438" i="2" s="1"/>
  <c r="L2846" i="2"/>
  <c r="N2846" i="2" s="1"/>
  <c r="L2847" i="2"/>
  <c r="N2847" i="2" s="1"/>
  <c r="L2848" i="2"/>
  <c r="N2848" i="2" s="1"/>
  <c r="L2849" i="2"/>
  <c r="N2849" i="2" s="1"/>
  <c r="L680" i="2"/>
  <c r="N680" i="2" s="1"/>
  <c r="L2850" i="2"/>
  <c r="N2850" i="2" s="1"/>
  <c r="L1248" i="2"/>
  <c r="N1248" i="2" s="1"/>
  <c r="L329" i="2"/>
  <c r="N329" i="2" s="1"/>
  <c r="L2851" i="2"/>
  <c r="N2851" i="2" s="1"/>
  <c r="L2852" i="2"/>
  <c r="N2852" i="2" s="1"/>
  <c r="L2853" i="2"/>
  <c r="N2853" i="2" s="1"/>
  <c r="L461" i="2"/>
  <c r="N461" i="2" s="1"/>
  <c r="L2854" i="2"/>
  <c r="N2854" i="2" s="1"/>
  <c r="P2854" i="2" s="1"/>
  <c r="L1408" i="2"/>
  <c r="N1408" i="2" s="1"/>
  <c r="L1076" i="2"/>
  <c r="N1076" i="2" s="1"/>
  <c r="L2855" i="2"/>
  <c r="N2855" i="2" s="1"/>
  <c r="L2856" i="2"/>
  <c r="N2856" i="2" s="1"/>
  <c r="L2857" i="2"/>
  <c r="N2857" i="2" s="1"/>
  <c r="L1409" i="2"/>
  <c r="N1409" i="2" s="1"/>
  <c r="L2858" i="2"/>
  <c r="N2858" i="2" s="1"/>
  <c r="L2859" i="2"/>
  <c r="N2859" i="2" s="1"/>
  <c r="L1077" i="2"/>
  <c r="N1077" i="2" s="1"/>
  <c r="L2860" i="2"/>
  <c r="N2860" i="2" s="1"/>
  <c r="L1078" i="2"/>
  <c r="N1078" i="2" s="1"/>
  <c r="L2861" i="2"/>
  <c r="N2861" i="2" s="1"/>
  <c r="L1249" i="2"/>
  <c r="N1249" i="2" s="1"/>
  <c r="L2862" i="2"/>
  <c r="N2862" i="2" s="1"/>
  <c r="L889" i="2"/>
  <c r="N889" i="2" s="1"/>
  <c r="L2863" i="2"/>
  <c r="N2863" i="2" s="1"/>
  <c r="L2864" i="2"/>
  <c r="N2864" i="2" s="1"/>
  <c r="L681" i="2"/>
  <c r="N681" i="2" s="1"/>
  <c r="L2865" i="2"/>
  <c r="N2865" i="2" s="1"/>
  <c r="L2866" i="2"/>
  <c r="N2866" i="2" s="1"/>
  <c r="L1465" i="2"/>
  <c r="N1465" i="2" s="1"/>
  <c r="L890" i="2"/>
  <c r="N890" i="2" s="1"/>
  <c r="L970" i="2"/>
  <c r="N970" i="2" s="1"/>
  <c r="P970" i="2" s="1"/>
  <c r="L1079" i="2"/>
  <c r="N1079" i="2" s="1"/>
  <c r="L330" i="2"/>
  <c r="N330" i="2" s="1"/>
  <c r="L2867" i="2"/>
  <c r="N2867" i="2" s="1"/>
  <c r="L439" i="2"/>
  <c r="N439" i="2" s="1"/>
  <c r="L2868" i="2"/>
  <c r="N2868" i="2" s="1"/>
  <c r="L682" i="2"/>
  <c r="N682" i="2" s="1"/>
  <c r="P682" i="2" s="1"/>
  <c r="L683" i="2"/>
  <c r="N683" i="2" s="1"/>
  <c r="L1466" i="2"/>
  <c r="N1466" i="2" s="1"/>
  <c r="L440" i="2"/>
  <c r="N440" i="2" s="1"/>
  <c r="L2869" i="2"/>
  <c r="L684" i="2"/>
  <c r="N684" i="2" s="1"/>
  <c r="L379" i="2"/>
  <c r="N379" i="2" s="1"/>
  <c r="L25" i="2"/>
  <c r="N25" i="2" s="1"/>
  <c r="L685" i="2"/>
  <c r="N685" i="2" s="1"/>
  <c r="L2870" i="2"/>
  <c r="N2870" i="2" s="1"/>
  <c r="L331" i="2"/>
  <c r="N331" i="2" s="1"/>
  <c r="L332" i="2"/>
  <c r="N332" i="2" s="1"/>
  <c r="L686" i="2"/>
  <c r="N686" i="2" s="1"/>
  <c r="L1080" i="2"/>
  <c r="N1080" i="2" s="1"/>
  <c r="L356" i="2"/>
  <c r="N356" i="2" s="1"/>
  <c r="L1712" i="2"/>
  <c r="N1712" i="2" s="1"/>
  <c r="L687" i="2"/>
  <c r="N687" i="2" s="1"/>
  <c r="L1081" i="2"/>
  <c r="N1081" i="2" s="1"/>
  <c r="L2871" i="2"/>
  <c r="N2871" i="2" s="1"/>
  <c r="L2872" i="2"/>
  <c r="N2872" i="2" s="1"/>
  <c r="L391" i="2"/>
  <c r="N391" i="2" s="1"/>
  <c r="L2873" i="2"/>
  <c r="N2873" i="2" s="1"/>
  <c r="L1611" i="2"/>
  <c r="N1611" i="2" s="1"/>
  <c r="L1713" i="2"/>
  <c r="N1713" i="2" s="1"/>
  <c r="L2874" i="2"/>
  <c r="N2874" i="2" s="1"/>
  <c r="L2875" i="2"/>
  <c r="N2875" i="2" s="1"/>
  <c r="L1714" i="2"/>
  <c r="N1714" i="2" s="1"/>
  <c r="L1612" i="2"/>
  <c r="N1612" i="2" s="1"/>
  <c r="L462" i="2"/>
  <c r="N462" i="2" s="1"/>
  <c r="L2876" i="2"/>
  <c r="N2876" i="2" s="1"/>
  <c r="L688" i="2"/>
  <c r="N688" i="2" s="1"/>
  <c r="L1082" i="2"/>
  <c r="N1082" i="2" s="1"/>
  <c r="L392" i="2"/>
  <c r="N392" i="2" s="1"/>
  <c r="L1613" i="2"/>
  <c r="N1613" i="2" s="1"/>
  <c r="L2877" i="2"/>
  <c r="N2877" i="2" s="1"/>
  <c r="L689" i="2"/>
  <c r="N689" i="2" s="1"/>
  <c r="L1083" i="2"/>
  <c r="N1083" i="2" s="1"/>
  <c r="L1084" i="2"/>
  <c r="N1084" i="2" s="1"/>
  <c r="L2878" i="2"/>
  <c r="L2879" i="2"/>
  <c r="N2879" i="2" s="1"/>
  <c r="L503" i="2"/>
  <c r="N503" i="2" s="1"/>
  <c r="P503" i="2" s="1"/>
  <c r="L2880" i="2"/>
  <c r="N2880" i="2" s="1"/>
  <c r="L2881" i="2"/>
  <c r="N2881" i="2" s="1"/>
  <c r="L1715" i="2"/>
  <c r="N1715" i="2" s="1"/>
  <c r="L463" i="2"/>
  <c r="N463" i="2" s="1"/>
  <c r="L1085" i="2"/>
  <c r="N1085" i="2" s="1"/>
  <c r="L1086" i="2"/>
  <c r="N1086" i="2" s="1"/>
  <c r="L504" i="2"/>
  <c r="N504" i="2" s="1"/>
  <c r="L1614" i="2"/>
  <c r="N1614" i="2" s="1"/>
  <c r="L2882" i="2"/>
  <c r="N2882" i="2" s="1"/>
  <c r="L971" i="2"/>
  <c r="N971" i="2" s="1"/>
  <c r="L1615" i="2"/>
  <c r="N1615" i="2" s="1"/>
  <c r="L2883" i="2"/>
  <c r="N2883" i="2" s="1"/>
  <c r="L2884" i="2"/>
  <c r="N2884" i="2" s="1"/>
  <c r="L690" i="2"/>
  <c r="N690" i="2" s="1"/>
  <c r="L1087" i="2"/>
  <c r="N1087" i="2" s="1"/>
  <c r="L825" i="2"/>
  <c r="N825" i="2" s="1"/>
  <c r="L691" i="2"/>
  <c r="N691" i="2" s="1"/>
  <c r="L1250" i="2"/>
  <c r="N1250" i="2" s="1"/>
  <c r="L692" i="2"/>
  <c r="N692" i="2" s="1"/>
  <c r="L2885" i="2"/>
  <c r="N2885" i="2" s="1"/>
  <c r="L2886" i="2"/>
  <c r="N2886" i="2" s="1"/>
  <c r="L2887" i="2"/>
  <c r="N2887" i="2" s="1"/>
  <c r="L891" i="2"/>
  <c r="N891" i="2" s="1"/>
  <c r="P891" i="2" s="1"/>
  <c r="L1616" i="2"/>
  <c r="N1616" i="2" s="1"/>
  <c r="L1617" i="2"/>
  <c r="N1617" i="2" s="1"/>
  <c r="L972" i="2"/>
  <c r="N972" i="2" s="1"/>
  <c r="L333" i="2"/>
  <c r="N333" i="2" s="1"/>
  <c r="L1251" i="2"/>
  <c r="N1251" i="2" s="1"/>
  <c r="L505" i="2"/>
  <c r="N505" i="2" s="1"/>
  <c r="L693" i="2"/>
  <c r="N693" i="2" s="1"/>
  <c r="L2888" i="2"/>
  <c r="N2888" i="2" s="1"/>
  <c r="L2889" i="2"/>
  <c r="N2889" i="2" s="1"/>
  <c r="L2890" i="2"/>
  <c r="N2890" i="2" s="1"/>
  <c r="L892" i="2"/>
  <c r="N892" i="2" s="1"/>
  <c r="L506" i="2"/>
  <c r="N506" i="2" s="1"/>
  <c r="L2891" i="2"/>
  <c r="N2891" i="2" s="1"/>
  <c r="L464" i="2"/>
  <c r="N464" i="2" s="1"/>
  <c r="L2892" i="2"/>
  <c r="N2892" i="2" s="1"/>
  <c r="L2893" i="2"/>
  <c r="N2893" i="2" s="1"/>
  <c r="L2894" i="2"/>
  <c r="N2894" i="2" s="1"/>
  <c r="L2895" i="2"/>
  <c r="N2895" i="2" s="1"/>
  <c r="L2896" i="2"/>
  <c r="N2896" i="2" s="1"/>
  <c r="L1252" i="2"/>
  <c r="N1252" i="2" s="1"/>
  <c r="L357" i="2"/>
  <c r="N357" i="2" s="1"/>
  <c r="L358" i="2"/>
  <c r="N358" i="2" s="1"/>
  <c r="L2897" i="2"/>
  <c r="N2897" i="2" s="1"/>
  <c r="L2898" i="2"/>
  <c r="N2898" i="2" s="1"/>
  <c r="L1253" i="2"/>
  <c r="N1253" i="2" s="1"/>
  <c r="L1410" i="2"/>
  <c r="N1410" i="2" s="1"/>
  <c r="L1467" i="2"/>
  <c r="N1467" i="2" s="1"/>
  <c r="L393" i="2"/>
  <c r="N393" i="2" s="1"/>
  <c r="L2899" i="2"/>
  <c r="N2899" i="2" s="1"/>
  <c r="L2900" i="2"/>
  <c r="N2900" i="2" s="1"/>
  <c r="L1254" i="2"/>
  <c r="N1254" i="2" s="1"/>
  <c r="L2901" i="2"/>
  <c r="N2901" i="2" s="1"/>
  <c r="L1716" i="2"/>
  <c r="N1716" i="2" s="1"/>
  <c r="L826" i="2"/>
  <c r="N826" i="2" s="1"/>
  <c r="L2902" i="2"/>
  <c r="N2902" i="2" s="1"/>
  <c r="L2903" i="2"/>
  <c r="N2903" i="2" s="1"/>
  <c r="L1618" i="2"/>
  <c r="N1618" i="2" s="1"/>
  <c r="L1088" i="2"/>
  <c r="N1088" i="2" s="1"/>
  <c r="L507" i="2"/>
  <c r="N507" i="2" s="1"/>
  <c r="L1717" i="2"/>
  <c r="N1717" i="2" s="1"/>
  <c r="L1411" i="2"/>
  <c r="N1411" i="2" s="1"/>
  <c r="L1619" i="2"/>
  <c r="N1619" i="2" s="1"/>
  <c r="L1255" i="2"/>
  <c r="N1255" i="2" s="1"/>
  <c r="L1256" i="2"/>
  <c r="N1256" i="2" s="1"/>
  <c r="L2904" i="2"/>
  <c r="N2904" i="2" s="1"/>
  <c r="L2905" i="2"/>
  <c r="N2905" i="2" s="1"/>
  <c r="L1089" i="2"/>
  <c r="N1089" i="2" s="1"/>
  <c r="P1089" i="2" s="1"/>
  <c r="L2906" i="2"/>
  <c r="N2906" i="2" s="1"/>
  <c r="L973" i="2"/>
  <c r="N973" i="2" s="1"/>
  <c r="L1718" i="2"/>
  <c r="N1718" i="2" s="1"/>
  <c r="L1090" i="2"/>
  <c r="N1090" i="2" s="1"/>
  <c r="L1719" i="2"/>
  <c r="N1719" i="2" s="1"/>
  <c r="L1091" i="2"/>
  <c r="N1091" i="2" s="1"/>
  <c r="P1091" i="2" s="1"/>
  <c r="L1429" i="2"/>
  <c r="N1429" i="2" s="1"/>
  <c r="L2907" i="2"/>
  <c r="N2907" i="2" s="1"/>
  <c r="P2907" i="2" s="1"/>
  <c r="L2908" i="2"/>
  <c r="N2908" i="2" s="1"/>
  <c r="L893" i="2"/>
  <c r="N893" i="2" s="1"/>
  <c r="L2909" i="2"/>
  <c r="N2909" i="2" s="1"/>
  <c r="L974" i="2"/>
  <c r="N974" i="2" s="1"/>
  <c r="L2910" i="2"/>
  <c r="N2910" i="2" s="1"/>
  <c r="L1092" i="2"/>
  <c r="N1092" i="2" s="1"/>
  <c r="P1092" i="2" s="1"/>
  <c r="L2911" i="2"/>
  <c r="N2911" i="2" s="1"/>
  <c r="L975" i="2"/>
  <c r="N975" i="2" s="1"/>
  <c r="L2912" i="2"/>
  <c r="N2912" i="2" s="1"/>
  <c r="L1093" i="2"/>
  <c r="N1093" i="2" s="1"/>
  <c r="L2913" i="2"/>
  <c r="N2913" i="2" s="1"/>
  <c r="L2914" i="2"/>
  <c r="N2914" i="2" s="1"/>
  <c r="L1620" i="2"/>
  <c r="N1620" i="2" s="1"/>
  <c r="P1620" i="2" s="1"/>
  <c r="L2915" i="2"/>
  <c r="N2915" i="2" s="1"/>
  <c r="P2915" i="2" s="1"/>
  <c r="L2916" i="2"/>
  <c r="N2916" i="2" s="1"/>
  <c r="L2917" i="2"/>
  <c r="N2917" i="2" s="1"/>
  <c r="L827" i="2"/>
  <c r="N827" i="2" s="1"/>
  <c r="L1094" i="2"/>
  <c r="N1094" i="2" s="1"/>
  <c r="L2918" i="2"/>
  <c r="N2918" i="2" s="1"/>
  <c r="P2918" i="2" s="1"/>
  <c r="L2919" i="2"/>
  <c r="N2919" i="2" s="1"/>
  <c r="L1095" i="2"/>
  <c r="N1095" i="2" s="1"/>
  <c r="L408" i="2"/>
  <c r="N408" i="2" s="1"/>
  <c r="L1412" i="2"/>
  <c r="N1412" i="2" s="1"/>
  <c r="L1257" i="2"/>
  <c r="N1257" i="2" s="1"/>
  <c r="P1257" i="2" s="1"/>
  <c r="L334" i="2"/>
  <c r="N334" i="2" s="1"/>
  <c r="L2920" i="2"/>
  <c r="N2920" i="2" s="1"/>
  <c r="L1096" i="2"/>
  <c r="N1096" i="2" s="1"/>
  <c r="L828" i="2"/>
  <c r="N828" i="2" s="1"/>
  <c r="L1413" i="2"/>
  <c r="N1413" i="2" s="1"/>
  <c r="L1258" i="2"/>
  <c r="N1258" i="2" s="1"/>
  <c r="L2921" i="2"/>
  <c r="N2921" i="2" s="1"/>
  <c r="L1621" i="2"/>
  <c r="N1621" i="2" s="1"/>
  <c r="L1141" i="2"/>
  <c r="N1141" i="2" s="1"/>
  <c r="L2922" i="2"/>
  <c r="N2922" i="2" s="1"/>
  <c r="P2922" i="2" s="1"/>
  <c r="L1622" i="2"/>
  <c r="N1622" i="2" s="1"/>
  <c r="L2923" i="2"/>
  <c r="N2923" i="2" s="1"/>
  <c r="L508" i="2"/>
  <c r="N508" i="2" s="1"/>
  <c r="L829" i="2"/>
  <c r="N829" i="2" s="1"/>
  <c r="P829" i="2" s="1"/>
  <c r="L1720" i="2"/>
  <c r="N1720" i="2" s="1"/>
  <c r="L1097" i="2"/>
  <c r="N1097" i="2" s="1"/>
  <c r="P1097" i="2" s="1"/>
  <c r="L509" i="2"/>
  <c r="N509" i="2" s="1"/>
  <c r="L1658" i="2"/>
  <c r="N1658" i="2" s="1"/>
  <c r="L2924" i="2"/>
  <c r="N2924" i="2" s="1"/>
  <c r="P2924" i="2" s="1"/>
  <c r="L1098" i="2"/>
  <c r="N1098" i="2" s="1"/>
  <c r="L2925" i="2"/>
  <c r="N2925" i="2" s="1"/>
  <c r="L976" i="2"/>
  <c r="N976" i="2" s="1"/>
  <c r="L1142" i="2"/>
  <c r="N1142" i="2" s="1"/>
  <c r="L1623" i="2"/>
  <c r="N1623" i="2" s="1"/>
  <c r="L1283" i="2"/>
  <c r="N1283" i="2" s="1"/>
  <c r="L2926" i="2"/>
  <c r="N2926" i="2" s="1"/>
  <c r="L335" i="2"/>
  <c r="N335" i="2" s="1"/>
  <c r="L830" i="2"/>
  <c r="L2927" i="2"/>
  <c r="N2927" i="2" s="1"/>
  <c r="L2928" i="2"/>
  <c r="N2928" i="2" s="1"/>
  <c r="P2928" i="2" s="1"/>
  <c r="L2929" i="2"/>
  <c r="N2929" i="2" s="1"/>
  <c r="P2929" i="2" s="1"/>
  <c r="L1099" i="2"/>
  <c r="N1099" i="2" s="1"/>
  <c r="L2930" i="2"/>
  <c r="N2930" i="2" s="1"/>
  <c r="L336" i="2"/>
  <c r="N336" i="2" s="1"/>
  <c r="L510" i="2"/>
  <c r="N510" i="2" s="1"/>
  <c r="P510" i="2" s="1"/>
  <c r="L1100" i="2"/>
  <c r="N1100" i="2" s="1"/>
  <c r="L2931" i="2"/>
  <c r="N2931" i="2" s="1"/>
  <c r="L2932" i="2"/>
  <c r="N2932" i="2" s="1"/>
  <c r="L337" i="2"/>
  <c r="N337" i="2" s="1"/>
  <c r="L2933" i="2"/>
  <c r="N2933" i="2" s="1"/>
  <c r="P2933" i="2" s="1"/>
  <c r="L2934" i="2"/>
  <c r="N2934" i="2" s="1"/>
  <c r="L831" i="2"/>
  <c r="N831" i="2" s="1"/>
  <c r="L1259" i="2"/>
  <c r="N1259" i="2" s="1"/>
  <c r="L1101" i="2"/>
  <c r="N1101" i="2" s="1"/>
  <c r="L1624" i="2"/>
  <c r="N1624" i="2" s="1"/>
  <c r="P1624" i="2" s="1"/>
  <c r="L338" i="2"/>
  <c r="N338" i="2" s="1"/>
  <c r="L1659" i="2"/>
  <c r="N1659" i="2" s="1"/>
  <c r="L1721" i="2"/>
  <c r="N1721" i="2" s="1"/>
  <c r="L2935" i="2"/>
  <c r="N2935" i="2" s="1"/>
  <c r="P2935" i="2" s="1"/>
  <c r="L1625" i="2"/>
  <c r="N1625" i="2" s="1"/>
  <c r="L832" i="2"/>
  <c r="N832" i="2" s="1"/>
  <c r="L2936" i="2"/>
  <c r="N2936" i="2" s="1"/>
  <c r="P2936" i="2" s="1"/>
  <c r="L2937" i="2"/>
  <c r="N2937" i="2" s="1"/>
  <c r="L833" i="2"/>
  <c r="N833" i="2" s="1"/>
  <c r="L834" i="2"/>
  <c r="N834" i="2" s="1"/>
  <c r="L2938" i="2"/>
  <c r="N2938" i="2" s="1"/>
  <c r="L1626" i="2"/>
  <c r="N1626" i="2" s="1"/>
  <c r="P1626" i="2" s="1"/>
  <c r="L2939" i="2"/>
  <c r="N2939" i="2" s="1"/>
  <c r="L2940" i="2"/>
  <c r="N2940" i="2" s="1"/>
  <c r="L835" i="2"/>
  <c r="N835" i="2" s="1"/>
  <c r="L1102" i="2"/>
  <c r="N1102" i="2" s="1"/>
  <c r="L2941" i="2"/>
  <c r="N2941" i="2" s="1"/>
  <c r="P2941" i="2" s="1"/>
  <c r="L1414" i="2"/>
  <c r="N1414" i="2" s="1"/>
  <c r="L836" i="2"/>
  <c r="N836" i="2" s="1"/>
  <c r="L2942" i="2"/>
  <c r="N2942" i="2" s="1"/>
  <c r="L2943" i="2"/>
  <c r="N2943" i="2" s="1"/>
  <c r="L1660" i="2"/>
  <c r="N1660" i="2" s="1"/>
  <c r="L1661" i="2"/>
  <c r="N1661" i="2" s="1"/>
  <c r="P1661" i="2" s="1"/>
  <c r="L837" i="2"/>
  <c r="N837" i="2" s="1"/>
  <c r="L838" i="2"/>
  <c r="N838" i="2" s="1"/>
  <c r="P838" i="2" s="1"/>
  <c r="L2944" i="2"/>
  <c r="N2944" i="2" s="1"/>
  <c r="L2945" i="2"/>
  <c r="N2945" i="2" s="1"/>
  <c r="L2946" i="2"/>
  <c r="N2946" i="2" s="1"/>
  <c r="L1627" i="2"/>
  <c r="N1627" i="2" s="1"/>
  <c r="L2947" i="2"/>
  <c r="N2947" i="2" s="1"/>
  <c r="P2947" i="2" s="1"/>
  <c r="L1628" i="2"/>
  <c r="N1628" i="2" s="1"/>
  <c r="L2948" i="2"/>
  <c r="N2948" i="2" s="1"/>
  <c r="L2949" i="2"/>
  <c r="N2949" i="2" s="1"/>
  <c r="L2950" i="2"/>
  <c r="N2950" i="2" s="1"/>
  <c r="L977" i="2"/>
  <c r="N977" i="2" s="1"/>
  <c r="P977" i="2" s="1"/>
  <c r="L2951" i="2"/>
  <c r="N2951" i="2" s="1"/>
  <c r="L1260" i="2"/>
  <c r="N1260" i="2" s="1"/>
  <c r="L839" i="2"/>
  <c r="N839" i="2" s="1"/>
  <c r="P839" i="2" s="1"/>
  <c r="L2952" i="2"/>
  <c r="N2952" i="2" s="1"/>
  <c r="L1261" i="2"/>
  <c r="N1261" i="2" s="1"/>
  <c r="L2953" i="2"/>
  <c r="N2953" i="2" s="1"/>
  <c r="P2953" i="2" s="1"/>
  <c r="L694" i="2"/>
  <c r="N694" i="2" s="1"/>
  <c r="L840" i="2"/>
  <c r="N840" i="2" s="1"/>
  <c r="L2954" i="2"/>
  <c r="N2954" i="2" s="1"/>
  <c r="L695" i="2"/>
  <c r="N695" i="2" s="1"/>
  <c r="L978" i="2"/>
  <c r="N978" i="2" s="1"/>
  <c r="P978" i="2" s="1"/>
  <c r="L1662" i="2"/>
  <c r="N1662" i="2" s="1"/>
  <c r="L1663" i="2"/>
  <c r="N1663" i="2" s="1"/>
  <c r="L2955" i="2"/>
  <c r="N2955" i="2" s="1"/>
  <c r="L841" i="2"/>
  <c r="N841" i="2" s="1"/>
  <c r="L1143" i="2"/>
  <c r="N1143" i="2" s="1"/>
  <c r="L1144" i="2"/>
  <c r="N1144" i="2" s="1"/>
  <c r="L380" i="2"/>
  <c r="N380" i="2" s="1"/>
  <c r="L1629" i="2"/>
  <c r="N1629" i="2" s="1"/>
  <c r="L2956" i="2"/>
  <c r="N2956" i="2" s="1"/>
  <c r="L696" i="2"/>
  <c r="N696" i="2" s="1"/>
  <c r="L2957" i="2"/>
  <c r="N2957" i="2" s="1"/>
  <c r="L697" i="2"/>
  <c r="N697" i="2" s="1"/>
  <c r="L2958" i="2"/>
  <c r="N2958" i="2" s="1"/>
  <c r="L1722" i="2"/>
  <c r="N1722" i="2" s="1"/>
  <c r="L894" i="2"/>
  <c r="N894" i="2" s="1"/>
  <c r="L1415" i="2"/>
  <c r="N1415" i="2" s="1"/>
  <c r="L2959" i="2"/>
  <c r="N2959" i="2" s="1"/>
  <c r="L139" i="2"/>
  <c r="N139" i="2" s="1"/>
  <c r="L2960" i="2"/>
  <c r="N2960" i="2" s="1"/>
  <c r="L140" i="2"/>
  <c r="N140" i="2" s="1"/>
  <c r="L2961" i="2"/>
  <c r="N2961" i="2" s="1"/>
  <c r="L141" i="2"/>
  <c r="N141" i="2" s="1"/>
  <c r="L142" i="2"/>
  <c r="N142" i="2" s="1"/>
  <c r="L1723" i="2"/>
  <c r="N1723" i="2" s="1"/>
  <c r="L143" i="2"/>
  <c r="N143" i="2" s="1"/>
  <c r="L144" i="2"/>
  <c r="N144" i="2" s="1"/>
  <c r="L698" i="2"/>
  <c r="N698" i="2" s="1"/>
  <c r="L2962" i="2"/>
  <c r="N2962" i="2" s="1"/>
  <c r="L145" i="2"/>
  <c r="N145" i="2" s="1"/>
  <c r="L146" i="2"/>
  <c r="N146" i="2" s="1"/>
  <c r="L2963" i="2"/>
  <c r="N2963" i="2" s="1"/>
  <c r="L1145" i="2"/>
  <c r="N1145" i="2" s="1"/>
  <c r="L147" i="2"/>
  <c r="N147" i="2" s="1"/>
  <c r="L842" i="2"/>
  <c r="N842" i="2" s="1"/>
  <c r="L148" i="2"/>
  <c r="N148" i="2" s="1"/>
  <c r="L1284" i="2"/>
  <c r="N1284" i="2" s="1"/>
  <c r="L2964" i="2"/>
  <c r="N2964" i="2" s="1"/>
  <c r="L149" i="2"/>
  <c r="N149" i="2" s="1"/>
  <c r="L1103" i="2"/>
  <c r="N1103" i="2" s="1"/>
  <c r="L1430" i="2"/>
  <c r="N1430" i="2" s="1"/>
  <c r="L409" i="2"/>
  <c r="N409" i="2" s="1"/>
  <c r="L1146" i="2"/>
  <c r="N1146" i="2" s="1"/>
  <c r="L1104" i="2"/>
  <c r="N1104" i="2" s="1"/>
  <c r="L150" i="2"/>
  <c r="N150" i="2" s="1"/>
  <c r="L2965" i="2"/>
  <c r="N2965" i="2" s="1"/>
  <c r="L1725" i="2"/>
  <c r="N1725" i="2" s="1"/>
  <c r="L699" i="2"/>
  <c r="N699" i="2" s="1"/>
  <c r="L2966" i="2"/>
  <c r="N2966" i="2" s="1"/>
  <c r="L1262" i="2"/>
  <c r="N1262" i="2" s="1"/>
  <c r="L151" i="2"/>
  <c r="N151" i="2" s="1"/>
  <c r="L2967" i="2"/>
  <c r="N2967" i="2" s="1"/>
  <c r="L152" i="2"/>
  <c r="N152" i="2" s="1"/>
  <c r="L2968" i="2"/>
  <c r="N2968" i="2" s="1"/>
  <c r="L153" i="2"/>
  <c r="N153" i="2" s="1"/>
  <c r="L2969" i="2"/>
  <c r="N2969" i="2" s="1"/>
  <c r="L2970" i="2"/>
  <c r="N2970" i="2" s="1"/>
  <c r="L2971" i="2"/>
  <c r="N2971" i="2" s="1"/>
  <c r="L2972" i="2"/>
  <c r="N2972" i="2" s="1"/>
  <c r="L2973" i="2"/>
  <c r="N2973" i="2" s="1"/>
  <c r="L2974" i="2"/>
  <c r="N2974" i="2" s="1"/>
  <c r="L700" i="2"/>
  <c r="N700" i="2" s="1"/>
  <c r="L2975" i="2"/>
  <c r="N2975" i="2" s="1"/>
  <c r="L381" i="2"/>
  <c r="N381" i="2" s="1"/>
  <c r="L701" i="2"/>
  <c r="N701" i="2" s="1"/>
  <c r="L2976" i="2"/>
  <c r="N2976" i="2" s="1"/>
  <c r="L2977" i="2"/>
  <c r="N2977" i="2" s="1"/>
  <c r="L2978" i="2"/>
  <c r="N2978" i="2" s="1"/>
  <c r="L2979" i="2"/>
  <c r="N2979" i="2" s="1"/>
  <c r="L1664" i="2"/>
  <c r="N1664" i="2" s="1"/>
  <c r="L2980" i="2"/>
  <c r="N2980" i="2" s="1"/>
  <c r="L2981" i="2"/>
  <c r="N2981" i="2" s="1"/>
  <c r="L2982" i="2"/>
  <c r="N2982" i="2" s="1"/>
  <c r="L2983" i="2"/>
  <c r="N2983" i="2" s="1"/>
  <c r="L1665" i="2"/>
  <c r="N1665" i="2" s="1"/>
  <c r="N56" i="2"/>
  <c r="N988" i="2"/>
  <c r="N921" i="2"/>
  <c r="N2147" i="2"/>
  <c r="P2147" i="2" s="1"/>
  <c r="N2196" i="2"/>
  <c r="P2196" i="2" s="1"/>
  <c r="N222" i="2"/>
  <c r="N244" i="2"/>
  <c r="N2416" i="2"/>
  <c r="N2477" i="2"/>
  <c r="N2662" i="2"/>
  <c r="P2662" i="2" s="1"/>
  <c r="N2683" i="2"/>
  <c r="P2683" i="2" s="1"/>
  <c r="N2701" i="2"/>
  <c r="P2701" i="2" s="1"/>
  <c r="N1757" i="2"/>
  <c r="P1757" i="2" s="1"/>
  <c r="N294" i="2"/>
  <c r="P294" i="2" s="1"/>
  <c r="N1072" i="2"/>
  <c r="N2776" i="2"/>
  <c r="N1462" i="2"/>
  <c r="N2821" i="2"/>
  <c r="N2828" i="2"/>
  <c r="P2828" i="2" s="1"/>
  <c r="N437" i="2"/>
  <c r="N2840" i="2"/>
  <c r="N2869" i="2"/>
  <c r="N2878" i="2"/>
  <c r="N830" i="2"/>
  <c r="J2" i="2"/>
  <c r="I1770" i="2"/>
  <c r="I32" i="2"/>
  <c r="I733" i="2"/>
  <c r="I1771" i="2"/>
  <c r="I1772" i="2"/>
  <c r="I160" i="2"/>
  <c r="I1773" i="2"/>
  <c r="I1774" i="2"/>
  <c r="I979" i="2"/>
  <c r="I1775" i="2"/>
  <c r="I1776" i="2"/>
  <c r="I1777" i="2"/>
  <c r="I1778" i="2"/>
  <c r="I980" i="2"/>
  <c r="I1779" i="2"/>
  <c r="I1285" i="2"/>
  <c r="I33" i="2"/>
  <c r="I1780" i="2"/>
  <c r="I734" i="2"/>
  <c r="I1505" i="2"/>
  <c r="I1106" i="2"/>
  <c r="I899" i="2"/>
  <c r="I34" i="2"/>
  <c r="I35" i="2"/>
  <c r="I981" i="2"/>
  <c r="I1781" i="2"/>
  <c r="I161" i="2"/>
  <c r="I704" i="2"/>
  <c r="I1432" i="2"/>
  <c r="I1506" i="2"/>
  <c r="I36" i="2"/>
  <c r="I1148" i="2"/>
  <c r="I1782" i="2"/>
  <c r="I162" i="2"/>
  <c r="I735" i="2"/>
  <c r="I1666" i="2"/>
  <c r="I1783" i="2"/>
  <c r="I1433" i="2"/>
  <c r="I1784" i="2"/>
  <c r="I1785" i="2"/>
  <c r="I859" i="2"/>
  <c r="I982" i="2"/>
  <c r="I900" i="2"/>
  <c r="I163" i="2"/>
  <c r="I1786" i="2"/>
  <c r="I1507" i="2"/>
  <c r="I1787" i="2"/>
  <c r="I1667" i="2"/>
  <c r="I901" i="2"/>
  <c r="I1788" i="2"/>
  <c r="I515" i="2"/>
  <c r="I1789" i="2"/>
  <c r="I1790" i="2"/>
  <c r="I1469" i="2"/>
  <c r="I1791" i="2"/>
  <c r="I1149" i="2"/>
  <c r="I1792" i="2"/>
  <c r="I465" i="2"/>
  <c r="I1793" i="2"/>
  <c r="I736" i="2"/>
  <c r="I1150" i="2"/>
  <c r="I1794" i="2"/>
  <c r="I705" i="2"/>
  <c r="I1795" i="2"/>
  <c r="I706" i="2"/>
  <c r="I983" i="2"/>
  <c r="I1151" i="2"/>
  <c r="I164" i="2"/>
  <c r="I1152" i="2"/>
  <c r="I1153" i="2"/>
  <c r="I902" i="2"/>
  <c r="I1796" i="2"/>
  <c r="I1797" i="2"/>
  <c r="I165" i="2"/>
  <c r="I707" i="2"/>
  <c r="I37" i="2"/>
  <c r="I1798" i="2"/>
  <c r="I38" i="2"/>
  <c r="I1799" i="2"/>
  <c r="I1154" i="2"/>
  <c r="I1434" i="2"/>
  <c r="I39" i="2"/>
  <c r="I708" i="2"/>
  <c r="I1508" i="2"/>
  <c r="I1668" i="2"/>
  <c r="I466" i="2"/>
  <c r="I737" i="2"/>
  <c r="I40" i="2"/>
  <c r="I1800" i="2"/>
  <c r="I1801" i="2"/>
  <c r="I41" i="2"/>
  <c r="I42" i="2"/>
  <c r="I43" i="2"/>
  <c r="I516" i="2"/>
  <c r="I517" i="2"/>
  <c r="I1435" i="2"/>
  <c r="I738" i="2"/>
  <c r="I441" i="2"/>
  <c r="I166" i="2"/>
  <c r="I739" i="2"/>
  <c r="I1802" i="2"/>
  <c r="I1286" i="2"/>
  <c r="I1803" i="2"/>
  <c r="I1155" i="2"/>
  <c r="I467" i="2"/>
  <c r="I1726" i="2"/>
  <c r="I1470" i="2"/>
  <c r="I1156" i="2"/>
  <c r="I1804" i="2"/>
  <c r="I1805" i="2"/>
  <c r="I167" i="2"/>
  <c r="I740" i="2"/>
  <c r="I1157" i="2"/>
  <c r="I168" i="2"/>
  <c r="I442" i="2"/>
  <c r="I1158" i="2"/>
  <c r="I1509" i="2"/>
  <c r="I984" i="2"/>
  <c r="I1107" i="2"/>
  <c r="I741" i="2"/>
  <c r="I44" i="2"/>
  <c r="I1806" i="2"/>
  <c r="I1807" i="2"/>
  <c r="I169" i="2"/>
  <c r="I709" i="2"/>
  <c r="I518" i="2"/>
  <c r="I1159" i="2"/>
  <c r="I1808" i="2"/>
  <c r="I45" i="2"/>
  <c r="I519" i="2"/>
  <c r="I710" i="2"/>
  <c r="I46" i="2"/>
  <c r="I1160" i="2"/>
  <c r="I1669" i="2"/>
  <c r="I1809" i="2"/>
  <c r="I1161" i="2"/>
  <c r="I742" i="2"/>
  <c r="I711" i="2"/>
  <c r="I1810" i="2"/>
  <c r="I1811" i="2"/>
  <c r="I1812" i="2"/>
  <c r="I903" i="2"/>
  <c r="I1813" i="2"/>
  <c r="I1162" i="2"/>
  <c r="I1814" i="2"/>
  <c r="I47" i="2"/>
  <c r="I520" i="2"/>
  <c r="I1670" i="2"/>
  <c r="I1815" i="2"/>
  <c r="I743" i="2"/>
  <c r="I712" i="2"/>
  <c r="I468" i="2"/>
  <c r="I443" i="2"/>
  <c r="I1163" i="2"/>
  <c r="I444" i="2"/>
  <c r="I1164" i="2"/>
  <c r="I170" i="2"/>
  <c r="I48" i="2"/>
  <c r="I394" i="2"/>
  <c r="I49" i="2"/>
  <c r="I744" i="2"/>
  <c r="I445" i="2"/>
  <c r="I171" i="2"/>
  <c r="I1165" i="2"/>
  <c r="I713" i="2"/>
  <c r="I50" i="2"/>
  <c r="I1166" i="2"/>
  <c r="I904" i="2"/>
  <c r="I7" i="2"/>
  <c r="I1816" i="2"/>
  <c r="I521" i="2"/>
  <c r="I446" i="2"/>
  <c r="I1817" i="2"/>
  <c r="I1471" i="2"/>
  <c r="I522" i="2"/>
  <c r="I16" i="2"/>
  <c r="I1167" i="2"/>
  <c r="I1168" i="2"/>
  <c r="I985" i="2"/>
  <c r="I51" i="2"/>
  <c r="I1436" i="2"/>
  <c r="I17" i="2"/>
  <c r="I172" i="2"/>
  <c r="I1169" i="2"/>
  <c r="I52" i="2"/>
  <c r="I29" i="2"/>
  <c r="I53" i="2"/>
  <c r="I986" i="2"/>
  <c r="I523" i="2"/>
  <c r="I361" i="2"/>
  <c r="I714" i="2"/>
  <c r="I1510" i="2"/>
  <c r="I447" i="2"/>
  <c r="I987" i="2"/>
  <c r="I1511" i="2"/>
  <c r="I54" i="2"/>
  <c r="I1287" i="2"/>
  <c r="I1818" i="2"/>
  <c r="I715" i="2"/>
  <c r="I1170" i="2"/>
  <c r="I55" i="2"/>
  <c r="I173" i="2"/>
  <c r="I524" i="2"/>
  <c r="I56" i="2"/>
  <c r="I525" i="2"/>
  <c r="I1819" i="2"/>
  <c r="I448" i="2"/>
  <c r="I1171" i="2"/>
  <c r="I1820" i="2"/>
  <c r="I1172" i="2"/>
  <c r="I1671" i="2"/>
  <c r="I57" i="2"/>
  <c r="I1821" i="2"/>
  <c r="I362" i="2"/>
  <c r="I745" i="2"/>
  <c r="I1822" i="2"/>
  <c r="I58" i="2"/>
  <c r="I746" i="2"/>
  <c r="I1512" i="2"/>
  <c r="I1823" i="2"/>
  <c r="I526" i="2"/>
  <c r="I905" i="2"/>
  <c r="I1288" i="2"/>
  <c r="I59" i="2"/>
  <c r="I60" i="2"/>
  <c r="I527" i="2"/>
  <c r="I1630" i="2"/>
  <c r="I363" i="2"/>
  <c r="I1173" i="2"/>
  <c r="I1174" i="2"/>
  <c r="I1289" i="2"/>
  <c r="I528" i="2"/>
  <c r="I1824" i="2"/>
  <c r="I747" i="2"/>
  <c r="I174" i="2"/>
  <c r="I8" i="2"/>
  <c r="I1825" i="2"/>
  <c r="I1826" i="2"/>
  <c r="I1827" i="2"/>
  <c r="I988" i="2"/>
  <c r="I906" i="2"/>
  <c r="I1828" i="2"/>
  <c r="I529" i="2"/>
  <c r="I530" i="2"/>
  <c r="I1175" i="2"/>
  <c r="I907" i="2"/>
  <c r="I716" i="2"/>
  <c r="I748" i="2"/>
  <c r="I61" i="2"/>
  <c r="I531" i="2"/>
  <c r="I1829" i="2"/>
  <c r="I1176" i="2"/>
  <c r="I1830" i="2"/>
  <c r="I895" i="2"/>
  <c r="I1831" i="2"/>
  <c r="I62" i="2"/>
  <c r="I1832" i="2"/>
  <c r="I702" i="2"/>
  <c r="I1833" i="2"/>
  <c r="I1177" i="2"/>
  <c r="I532" i="2"/>
  <c r="I1178" i="2"/>
  <c r="I63" i="2"/>
  <c r="I15" i="2"/>
  <c r="I749" i="2"/>
  <c r="I533" i="2"/>
  <c r="I1290" i="2"/>
  <c r="I64" i="2"/>
  <c r="I750" i="2"/>
  <c r="I26" i="2"/>
  <c r="I65" i="2"/>
  <c r="I4" i="2"/>
  <c r="I9" i="2"/>
  <c r="I1672" i="2"/>
  <c r="I989" i="2"/>
  <c r="I1179" i="2"/>
  <c r="I751" i="2"/>
  <c r="I66" i="2"/>
  <c r="I752" i="2"/>
  <c r="I382" i="2"/>
  <c r="I1513" i="2"/>
  <c r="I1834" i="2"/>
  <c r="I1727" i="2"/>
  <c r="I1291" i="2"/>
  <c r="I175" i="2"/>
  <c r="I990" i="2"/>
  <c r="I67" i="2"/>
  <c r="I176" i="2"/>
  <c r="I1673" i="2"/>
  <c r="I177" i="2"/>
  <c r="I68" i="2"/>
  <c r="I69" i="2"/>
  <c r="I70" i="2"/>
  <c r="I717" i="2"/>
  <c r="I1835" i="2"/>
  <c r="I10" i="2"/>
  <c r="I1836" i="2"/>
  <c r="I30" i="2"/>
  <c r="I71" i="2"/>
  <c r="I1837" i="2"/>
  <c r="I1180" i="2"/>
  <c r="I1631" i="2"/>
  <c r="I72" i="2"/>
  <c r="I73" i="2"/>
  <c r="I364" i="2"/>
  <c r="I1838" i="2"/>
  <c r="I718" i="2"/>
  <c r="I1514" i="2"/>
  <c r="I896" i="2"/>
  <c r="I753" i="2"/>
  <c r="I469" i="2"/>
  <c r="I74" i="2"/>
  <c r="I1515" i="2"/>
  <c r="I1632" i="2"/>
  <c r="I5" i="2"/>
  <c r="I754" i="2"/>
  <c r="I75" i="2"/>
  <c r="I534" i="2"/>
  <c r="I991" i="2"/>
  <c r="I1516" i="2"/>
  <c r="I755" i="2"/>
  <c r="I535" i="2"/>
  <c r="I76" i="2"/>
  <c r="I1839" i="2"/>
  <c r="I536" i="2"/>
  <c r="I1840" i="2"/>
  <c r="I537" i="2"/>
  <c r="I908" i="2"/>
  <c r="I1292" i="2"/>
  <c r="I359" i="2"/>
  <c r="I1841" i="2"/>
  <c r="I11" i="2"/>
  <c r="I178" i="2"/>
  <c r="I1293" i="2"/>
  <c r="I703" i="2"/>
  <c r="I909" i="2"/>
  <c r="I992" i="2"/>
  <c r="I383" i="2"/>
  <c r="I77" i="2"/>
  <c r="I897" i="2"/>
  <c r="I179" i="2"/>
  <c r="I1294" i="2"/>
  <c r="I13" i="2"/>
  <c r="I78" i="2"/>
  <c r="I79" i="2"/>
  <c r="I1181" i="2"/>
  <c r="I1182" i="2"/>
  <c r="I1295" i="2"/>
  <c r="I756" i="2"/>
  <c r="I1674" i="2"/>
  <c r="I1842" i="2"/>
  <c r="I384" i="2"/>
  <c r="I1296" i="2"/>
  <c r="I180" i="2"/>
  <c r="I1297" i="2"/>
  <c r="I12" i="2"/>
  <c r="I719" i="2"/>
  <c r="I910" i="2"/>
  <c r="I1843" i="2"/>
  <c r="I911" i="2"/>
  <c r="I80" i="2"/>
  <c r="I1108" i="2"/>
  <c r="I1633" i="2"/>
  <c r="I912" i="2"/>
  <c r="I81" i="2"/>
  <c r="I385" i="2"/>
  <c r="I14" i="2"/>
  <c r="I1844" i="2"/>
  <c r="I1183" i="2"/>
  <c r="I360" i="2"/>
  <c r="I898" i="2"/>
  <c r="I1845" i="2"/>
  <c r="I27" i="2"/>
  <c r="I82" i="2"/>
  <c r="I1298" i="2"/>
  <c r="I83" i="2"/>
  <c r="I1846" i="2"/>
  <c r="I1847" i="2"/>
  <c r="I757" i="2"/>
  <c r="I758" i="2"/>
  <c r="I84" i="2"/>
  <c r="I85" i="2"/>
  <c r="I470" i="2"/>
  <c r="I471" i="2"/>
  <c r="I86" i="2"/>
  <c r="I365" i="2"/>
  <c r="I181" i="2"/>
  <c r="I1517" i="2"/>
  <c r="I87" i="2"/>
  <c r="I1299" i="2"/>
  <c r="I1300" i="2"/>
  <c r="I759" i="2"/>
  <c r="I1728" i="2"/>
  <c r="I1184" i="2"/>
  <c r="I1848" i="2"/>
  <c r="I913" i="2"/>
  <c r="I1185" i="2"/>
  <c r="I28" i="2"/>
  <c r="I1109" i="2"/>
  <c r="I1849" i="2"/>
  <c r="I366" i="2"/>
  <c r="I1850" i="2"/>
  <c r="I1301" i="2"/>
  <c r="I182" i="2"/>
  <c r="I183" i="2"/>
  <c r="I184" i="2"/>
  <c r="I760" i="2"/>
  <c r="I369" i="2"/>
  <c r="I1729" i="2"/>
  <c r="I1186" i="2"/>
  <c r="I472" i="2"/>
  <c r="I1187" i="2"/>
  <c r="I1188" i="2"/>
  <c r="I720" i="2"/>
  <c r="I1110" i="2"/>
  <c r="I1518" i="2"/>
  <c r="I1189" i="2"/>
  <c r="I1851" i="2"/>
  <c r="I88" i="2"/>
  <c r="I721" i="2"/>
  <c r="I1519" i="2"/>
  <c r="I538" i="2"/>
  <c r="I367" i="2"/>
  <c r="I539" i="2"/>
  <c r="I368" i="2"/>
  <c r="I722" i="2"/>
  <c r="I1852" i="2"/>
  <c r="I914" i="2"/>
  <c r="I185" i="2"/>
  <c r="I1302" i="2"/>
  <c r="I1853" i="2"/>
  <c r="I1854" i="2"/>
  <c r="I1303" i="2"/>
  <c r="I723" i="2"/>
  <c r="I370" i="2"/>
  <c r="I89" i="2"/>
  <c r="I186" i="2"/>
  <c r="I761" i="2"/>
  <c r="I6" i="2"/>
  <c r="I1190" i="2"/>
  <c r="I1111" i="2"/>
  <c r="I1855" i="2"/>
  <c r="I1437" i="2"/>
  <c r="I187" i="2"/>
  <c r="I993" i="2"/>
  <c r="I188" i="2"/>
  <c r="I540" i="2"/>
  <c r="I90" i="2"/>
  <c r="I91" i="2"/>
  <c r="I915" i="2"/>
  <c r="I1856" i="2"/>
  <c r="I1191" i="2"/>
  <c r="I92" i="2"/>
  <c r="I1192" i="2"/>
  <c r="I1112" i="2"/>
  <c r="I189" i="2"/>
  <c r="I190" i="2"/>
  <c r="I191" i="2"/>
  <c r="I192" i="2"/>
  <c r="I1304" i="2"/>
  <c r="I193" i="2"/>
  <c r="I93" i="2"/>
  <c r="I1857" i="2"/>
  <c r="I94" i="2"/>
  <c r="I1858" i="2"/>
  <c r="I1859" i="2"/>
  <c r="I1305" i="2"/>
  <c r="I916" i="2"/>
  <c r="I95" i="2"/>
  <c r="I1860" i="2"/>
  <c r="I917" i="2"/>
  <c r="I1438" i="2"/>
  <c r="I1861" i="2"/>
  <c r="I994" i="2"/>
  <c r="I762" i="2"/>
  <c r="I96" i="2"/>
  <c r="I1675" i="2"/>
  <c r="I395" i="2"/>
  <c r="I97" i="2"/>
  <c r="I541" i="2"/>
  <c r="I1862" i="2"/>
  <c r="I98" i="2"/>
  <c r="I860" i="2"/>
  <c r="I918" i="2"/>
  <c r="I99" i="2"/>
  <c r="I1863" i="2"/>
  <c r="I1676" i="2"/>
  <c r="I1263" i="2"/>
  <c r="I1864" i="2"/>
  <c r="I1865" i="2"/>
  <c r="I1866" i="2"/>
  <c r="I1867" i="2"/>
  <c r="I1868" i="2"/>
  <c r="I100" i="2"/>
  <c r="I101" i="2"/>
  <c r="I1869" i="2"/>
  <c r="I1870" i="2"/>
  <c r="I1871" i="2"/>
  <c r="I1872" i="2"/>
  <c r="I1472" i="2"/>
  <c r="I1520" i="2"/>
  <c r="I1521" i="2"/>
  <c r="I1873" i="2"/>
  <c r="I1677" i="2"/>
  <c r="I1874" i="2"/>
  <c r="I1730" i="2"/>
  <c r="I1731" i="2"/>
  <c r="I102" i="2"/>
  <c r="I1264" i="2"/>
  <c r="I1875" i="2"/>
  <c r="I103" i="2"/>
  <c r="I1306" i="2"/>
  <c r="I1732" i="2"/>
  <c r="I104" i="2"/>
  <c r="I728" i="2"/>
  <c r="I1876" i="2"/>
  <c r="I1678" i="2"/>
  <c r="I1877" i="2"/>
  <c r="I1878" i="2"/>
  <c r="I105" i="2"/>
  <c r="I1879" i="2"/>
  <c r="I1880" i="2"/>
  <c r="I1881" i="2"/>
  <c r="I1882" i="2"/>
  <c r="I1883" i="2"/>
  <c r="I1884" i="2"/>
  <c r="I1193" i="2"/>
  <c r="I861" i="2"/>
  <c r="I1885" i="2"/>
  <c r="I1886" i="2"/>
  <c r="I1887" i="2"/>
  <c r="I862" i="2"/>
  <c r="I1888" i="2"/>
  <c r="I919" i="2"/>
  <c r="I1889" i="2"/>
  <c r="I106" i="2"/>
  <c r="I1890" i="2"/>
  <c r="I1891" i="2"/>
  <c r="I1892" i="2"/>
  <c r="I1893" i="2"/>
  <c r="I1894" i="2"/>
  <c r="I1895" i="2"/>
  <c r="I1679" i="2"/>
  <c r="I1896" i="2"/>
  <c r="I1897" i="2"/>
  <c r="I1898" i="2"/>
  <c r="I1899" i="2"/>
  <c r="I1900" i="2"/>
  <c r="I1307" i="2"/>
  <c r="I995" i="2"/>
  <c r="I843" i="2"/>
  <c r="I763" i="2"/>
  <c r="I1733" i="2"/>
  <c r="I996" i="2"/>
  <c r="I1901" i="2"/>
  <c r="I1902" i="2"/>
  <c r="I920" i="2"/>
  <c r="I1265" i="2"/>
  <c r="I1194" i="2"/>
  <c r="I1522" i="2"/>
  <c r="I1903" i="2"/>
  <c r="I1308" i="2"/>
  <c r="I1473" i="2"/>
  <c r="I1523" i="2"/>
  <c r="I1680" i="2"/>
  <c r="I1904" i="2"/>
  <c r="I729" i="2"/>
  <c r="I1905" i="2"/>
  <c r="I1309" i="2"/>
  <c r="I1906" i="2"/>
  <c r="I1907" i="2"/>
  <c r="I1524" i="2"/>
  <c r="I1908" i="2"/>
  <c r="I1909" i="2"/>
  <c r="I997" i="2"/>
  <c r="I1910" i="2"/>
  <c r="I1911" i="2"/>
  <c r="I1734" i="2"/>
  <c r="I107" i="2"/>
  <c r="I1912" i="2"/>
  <c r="I863" i="2"/>
  <c r="I864" i="2"/>
  <c r="I844" i="2"/>
  <c r="I921" i="2"/>
  <c r="I1913" i="2"/>
  <c r="I1914" i="2"/>
  <c r="I1310" i="2"/>
  <c r="I1915" i="2"/>
  <c r="I396" i="2"/>
  <c r="I1916" i="2"/>
  <c r="I764" i="2"/>
  <c r="I108" i="2"/>
  <c r="I1681" i="2"/>
  <c r="I1917" i="2"/>
  <c r="I1918" i="2"/>
  <c r="I865" i="2"/>
  <c r="I1735" i="2"/>
  <c r="I1919" i="2"/>
  <c r="I1920" i="2"/>
  <c r="I109" i="2"/>
  <c r="I1195" i="2"/>
  <c r="I998" i="2"/>
  <c r="I1921" i="2"/>
  <c r="I542" i="2"/>
  <c r="I1922" i="2"/>
  <c r="I1736" i="2"/>
  <c r="I1923" i="2"/>
  <c r="I1924" i="2"/>
  <c r="I1925" i="2"/>
  <c r="I845" i="2"/>
  <c r="I1926" i="2"/>
  <c r="I1927" i="2"/>
  <c r="I1928" i="2"/>
  <c r="I922" i="2"/>
  <c r="I110" i="2"/>
  <c r="I866" i="2"/>
  <c r="I1929" i="2"/>
  <c r="I1682" i="2"/>
  <c r="I1930" i="2"/>
  <c r="I1931" i="2"/>
  <c r="I1932" i="2"/>
  <c r="I1933" i="2"/>
  <c r="I730" i="2"/>
  <c r="I111" i="2"/>
  <c r="I1934" i="2"/>
  <c r="I1439" i="2"/>
  <c r="I543" i="2"/>
  <c r="I112" i="2"/>
  <c r="I544" i="2"/>
  <c r="I1935" i="2"/>
  <c r="I1936" i="2"/>
  <c r="I113" i="2"/>
  <c r="I1937" i="2"/>
  <c r="I1938" i="2"/>
  <c r="I1474" i="2"/>
  <c r="I1939" i="2"/>
  <c r="I545" i="2"/>
  <c r="I1940" i="2"/>
  <c r="I1941" i="2"/>
  <c r="I1942" i="2"/>
  <c r="I397" i="2"/>
  <c r="I1943" i="2"/>
  <c r="I1944" i="2"/>
  <c r="I1945" i="2"/>
  <c r="I114" i="2"/>
  <c r="I1946" i="2"/>
  <c r="I1475" i="2"/>
  <c r="I546" i="2"/>
  <c r="I846" i="2"/>
  <c r="I1947" i="2"/>
  <c r="I398" i="2"/>
  <c r="I1948" i="2"/>
  <c r="I1266" i="2"/>
  <c r="I1949" i="2"/>
  <c r="I547" i="2"/>
  <c r="I548" i="2"/>
  <c r="I765" i="2"/>
  <c r="I1476" i="2"/>
  <c r="I999" i="2"/>
  <c r="I1525" i="2"/>
  <c r="I1950" i="2"/>
  <c r="I1311" i="2"/>
  <c r="I1951" i="2"/>
  <c r="I1952" i="2"/>
  <c r="I1000" i="2"/>
  <c r="I1953" i="2"/>
  <c r="I867" i="2"/>
  <c r="I1683" i="2"/>
  <c r="I1954" i="2"/>
  <c r="I1196" i="2"/>
  <c r="I923" i="2"/>
  <c r="I924" i="2"/>
  <c r="I549" i="2"/>
  <c r="I1955" i="2"/>
  <c r="I1684" i="2"/>
  <c r="I1956" i="2"/>
  <c r="I1526" i="2"/>
  <c r="I1197" i="2"/>
  <c r="I1001" i="2"/>
  <c r="I1957" i="2"/>
  <c r="I1958" i="2"/>
  <c r="I1959" i="2"/>
  <c r="I1737" i="2"/>
  <c r="I1002" i="2"/>
  <c r="I1003" i="2"/>
  <c r="I1960" i="2"/>
  <c r="I1004" i="2"/>
  <c r="I1961" i="2"/>
  <c r="I1416" i="2"/>
  <c r="I1738" i="2"/>
  <c r="I1962" i="2"/>
  <c r="I1963" i="2"/>
  <c r="I1312" i="2"/>
  <c r="I1964" i="2"/>
  <c r="I550" i="2"/>
  <c r="I1313" i="2"/>
  <c r="I1440" i="2"/>
  <c r="I1005" i="2"/>
  <c r="I410" i="2"/>
  <c r="I1527" i="2"/>
  <c r="I766" i="2"/>
  <c r="I767" i="2"/>
  <c r="I449" i="2"/>
  <c r="I1006" i="2"/>
  <c r="I1965" i="2"/>
  <c r="I1966" i="2"/>
  <c r="I115" i="2"/>
  <c r="I411" i="2"/>
  <c r="I412" i="2"/>
  <c r="I116" i="2"/>
  <c r="I1967" i="2"/>
  <c r="I1007" i="2"/>
  <c r="I1113" i="2"/>
  <c r="I1968" i="2"/>
  <c r="I1969" i="2"/>
  <c r="I868" i="2"/>
  <c r="I847" i="2"/>
  <c r="I1970" i="2"/>
  <c r="I551" i="2"/>
  <c r="I1971" i="2"/>
  <c r="I1972" i="2"/>
  <c r="I731" i="2"/>
  <c r="I399" i="2"/>
  <c r="I1008" i="2"/>
  <c r="I1477" i="2"/>
  <c r="I1441" i="2"/>
  <c r="I1685" i="2"/>
  <c r="I1973" i="2"/>
  <c r="I552" i="2"/>
  <c r="I1974" i="2"/>
  <c r="I450" i="2"/>
  <c r="I1975" i="2"/>
  <c r="I1976" i="2"/>
  <c r="I413" i="2"/>
  <c r="I1977" i="2"/>
  <c r="I1978" i="2"/>
  <c r="I553" i="2"/>
  <c r="I1528" i="2"/>
  <c r="I1529" i="2"/>
  <c r="I1979" i="2"/>
  <c r="I1980" i="2"/>
  <c r="I117" i="2"/>
  <c r="I1314" i="2"/>
  <c r="I1981" i="2"/>
  <c r="I1982" i="2"/>
  <c r="I1983" i="2"/>
  <c r="I1442" i="2"/>
  <c r="I1443" i="2"/>
  <c r="I1984" i="2"/>
  <c r="I1985" i="2"/>
  <c r="I1739" i="2"/>
  <c r="I1986" i="2"/>
  <c r="I451" i="2"/>
  <c r="I1987" i="2"/>
  <c r="I452" i="2"/>
  <c r="I1530" i="2"/>
  <c r="I453" i="2"/>
  <c r="I1988" i="2"/>
  <c r="I1444" i="2"/>
  <c r="I1989" i="2"/>
  <c r="I1990" i="2"/>
  <c r="I1991" i="2"/>
  <c r="I1992" i="2"/>
  <c r="I1478" i="2"/>
  <c r="I1009" i="2"/>
  <c r="I454" i="2"/>
  <c r="I1993" i="2"/>
  <c r="I1010" i="2"/>
  <c r="I768" i="2"/>
  <c r="I554" i="2"/>
  <c r="I1198" i="2"/>
  <c r="I455" i="2"/>
  <c r="I1994" i="2"/>
  <c r="I1995" i="2"/>
  <c r="I1199" i="2"/>
  <c r="I118" i="2"/>
  <c r="I1996" i="2"/>
  <c r="I1997" i="2"/>
  <c r="I1998" i="2"/>
  <c r="I925" i="2"/>
  <c r="I1531" i="2"/>
  <c r="I555" i="2"/>
  <c r="I556" i="2"/>
  <c r="I1267" i="2"/>
  <c r="I1315" i="2"/>
  <c r="I1999" i="2"/>
  <c r="I2000" i="2"/>
  <c r="I2001" i="2"/>
  <c r="I557" i="2"/>
  <c r="I2002" i="2"/>
  <c r="I1200" i="2"/>
  <c r="I2003" i="2"/>
  <c r="I1740" i="2"/>
  <c r="I2004" i="2"/>
  <c r="I2005" i="2"/>
  <c r="I1479" i="2"/>
  <c r="I2006" i="2"/>
  <c r="I2007" i="2"/>
  <c r="I1480" i="2"/>
  <c r="I869" i="2"/>
  <c r="I870" i="2"/>
  <c r="I2008" i="2"/>
  <c r="I1201" i="2"/>
  <c r="I1316" i="2"/>
  <c r="I2009" i="2"/>
  <c r="I558" i="2"/>
  <c r="I1532" i="2"/>
  <c r="I2010" i="2"/>
  <c r="I559" i="2"/>
  <c r="I769" i="2"/>
  <c r="I1114" i="2"/>
  <c r="I2011" i="2"/>
  <c r="I560" i="2"/>
  <c r="I1202" i="2"/>
  <c r="I1445" i="2"/>
  <c r="I2012" i="2"/>
  <c r="I456" i="2"/>
  <c r="I2013" i="2"/>
  <c r="I473" i="2"/>
  <c r="I1115" i="2"/>
  <c r="I561" i="2"/>
  <c r="I926" i="2"/>
  <c r="I2014" i="2"/>
  <c r="I2015" i="2"/>
  <c r="I770" i="2"/>
  <c r="I2016" i="2"/>
  <c r="I1011" i="2"/>
  <c r="I2017" i="2"/>
  <c r="I927" i="2"/>
  <c r="I1481" i="2"/>
  <c r="I2018" i="2"/>
  <c r="I2019" i="2"/>
  <c r="I2020" i="2"/>
  <c r="I2021" i="2"/>
  <c r="I1203" i="2"/>
  <c r="I1116" i="2"/>
  <c r="I474" i="2"/>
  <c r="I928" i="2"/>
  <c r="I929" i="2"/>
  <c r="I457" i="2"/>
  <c r="I1204" i="2"/>
  <c r="I2022" i="2"/>
  <c r="I2023" i="2"/>
  <c r="I2024" i="2"/>
  <c r="I386" i="2"/>
  <c r="I1686" i="2"/>
  <c r="I119" i="2"/>
  <c r="I120" i="2"/>
  <c r="I1012" i="2"/>
  <c r="I1446" i="2"/>
  <c r="I2025" i="2"/>
  <c r="I1741" i="2"/>
  <c r="I2026" i="2"/>
  <c r="I121" i="2"/>
  <c r="I2027" i="2"/>
  <c r="I400" i="2"/>
  <c r="I1013" i="2"/>
  <c r="I458" i="2"/>
  <c r="I1014" i="2"/>
  <c r="I1015" i="2"/>
  <c r="I1117" i="2"/>
  <c r="I1482" i="2"/>
  <c r="I1447" i="2"/>
  <c r="I1118" i="2"/>
  <c r="I930" i="2"/>
  <c r="I1205" i="2"/>
  <c r="I1119" i="2"/>
  <c r="I931" i="2"/>
  <c r="I932" i="2"/>
  <c r="I387" i="2"/>
  <c r="I1120" i="2"/>
  <c r="I122" i="2"/>
  <c r="I123" i="2"/>
  <c r="I2028" i="2"/>
  <c r="I871" i="2"/>
  <c r="I1016" i="2"/>
  <c r="I388" i="2"/>
  <c r="I1206" i="2"/>
  <c r="I933" i="2"/>
  <c r="I1017" i="2"/>
  <c r="I2029" i="2"/>
  <c r="I371" i="2"/>
  <c r="I372" i="2"/>
  <c r="I2030" i="2"/>
  <c r="I1448" i="2"/>
  <c r="I934" i="2"/>
  <c r="I935" i="2"/>
  <c r="I562" i="2"/>
  <c r="I563" i="2"/>
  <c r="I389" i="2"/>
  <c r="I1687" i="2"/>
  <c r="I2031" i="2"/>
  <c r="I936" i="2"/>
  <c r="I1317" i="2"/>
  <c r="I937" i="2"/>
  <c r="I1483" i="2"/>
  <c r="I1449" i="2"/>
  <c r="I2032" i="2"/>
  <c r="I1450" i="2"/>
  <c r="I564" i="2"/>
  <c r="I1018" i="2"/>
  <c r="I565" i="2"/>
  <c r="I566" i="2"/>
  <c r="I2033" i="2"/>
  <c r="I1207" i="2"/>
  <c r="I1019" i="2"/>
  <c r="I1742" i="2"/>
  <c r="I938" i="2"/>
  <c r="I2034" i="2"/>
  <c r="I1743" i="2"/>
  <c r="I1121" i="2"/>
  <c r="I1122" i="2"/>
  <c r="I567" i="2"/>
  <c r="I2035" i="2"/>
  <c r="I124" i="2"/>
  <c r="I2036" i="2"/>
  <c r="I1268" i="2"/>
  <c r="I125" i="2"/>
  <c r="I568" i="2"/>
  <c r="I126" i="2"/>
  <c r="I939" i="2"/>
  <c r="I940" i="2"/>
  <c r="I1688" i="2"/>
  <c r="I1123" i="2"/>
  <c r="I475" i="2"/>
  <c r="I2037" i="2"/>
  <c r="I1417" i="2"/>
  <c r="I941" i="2"/>
  <c r="I127" i="2"/>
  <c r="I1318" i="2"/>
  <c r="I1533" i="2"/>
  <c r="I2038" i="2"/>
  <c r="I128" i="2"/>
  <c r="I129" i="2"/>
  <c r="I569" i="2"/>
  <c r="I2039" i="2"/>
  <c r="I2040" i="2"/>
  <c r="I1124" i="2"/>
  <c r="I2041" i="2"/>
  <c r="I1744" i="2"/>
  <c r="I872" i="2"/>
  <c r="I873" i="2"/>
  <c r="I130" i="2"/>
  <c r="I131" i="2"/>
  <c r="I132" i="2"/>
  <c r="I133" i="2"/>
  <c r="I2042" i="2"/>
  <c r="I134" i="2"/>
  <c r="I1689" i="2"/>
  <c r="I135" i="2"/>
  <c r="I2043" i="2"/>
  <c r="I874" i="2"/>
  <c r="I942" i="2"/>
  <c r="I2044" i="2"/>
  <c r="I2045" i="2"/>
  <c r="I136" i="2"/>
  <c r="I2046" i="2"/>
  <c r="I137" i="2"/>
  <c r="I1208" i="2"/>
  <c r="I138" i="2"/>
  <c r="I476" i="2"/>
  <c r="I848" i="2"/>
  <c r="I2047" i="2"/>
  <c r="I2048" i="2"/>
  <c r="I2049" i="2"/>
  <c r="I401" i="2"/>
  <c r="I1745" i="2"/>
  <c r="I1020" i="2"/>
  <c r="I194" i="2"/>
  <c r="I2050" i="2"/>
  <c r="I1319" i="2"/>
  <c r="I2051" i="2"/>
  <c r="I2052" i="2"/>
  <c r="I2053" i="2"/>
  <c r="I2054" i="2"/>
  <c r="I2055" i="2"/>
  <c r="I195" i="2"/>
  <c r="I2056" i="2"/>
  <c r="I1534" i="2"/>
  <c r="I1484" i="2"/>
  <c r="I196" i="2"/>
  <c r="I2057" i="2"/>
  <c r="I1690" i="2"/>
  <c r="I2058" i="2"/>
  <c r="I2059" i="2"/>
  <c r="I2060" i="2"/>
  <c r="I1485" i="2"/>
  <c r="I2061" i="2"/>
  <c r="I197" i="2"/>
  <c r="I2062" i="2"/>
  <c r="I1320" i="2"/>
  <c r="I2063" i="2"/>
  <c r="I198" i="2"/>
  <c r="I2064" i="2"/>
  <c r="I2065" i="2"/>
  <c r="I2066" i="2"/>
  <c r="I199" i="2"/>
  <c r="I2067" i="2"/>
  <c r="I2068" i="2"/>
  <c r="I2069" i="2"/>
  <c r="I2070" i="2"/>
  <c r="I2071" i="2"/>
  <c r="I2072" i="2"/>
  <c r="I2073" i="2"/>
  <c r="I2074" i="2"/>
  <c r="I2075" i="2"/>
  <c r="I2076" i="2"/>
  <c r="I1535" i="2"/>
  <c r="I2077" i="2"/>
  <c r="I2078" i="2"/>
  <c r="I2079" i="2"/>
  <c r="I2080" i="2"/>
  <c r="I200" i="2"/>
  <c r="I2081" i="2"/>
  <c r="I1536" i="2"/>
  <c r="I1537" i="2"/>
  <c r="I1321" i="2"/>
  <c r="I1486" i="2"/>
  <c r="I1021" i="2"/>
  <c r="I1322" i="2"/>
  <c r="I2082" i="2"/>
  <c r="I2083" i="2"/>
  <c r="I1323" i="2"/>
  <c r="I2084" i="2"/>
  <c r="I1487" i="2"/>
  <c r="I2085" i="2"/>
  <c r="I2086" i="2"/>
  <c r="I1691" i="2"/>
  <c r="I2087" i="2"/>
  <c r="I2088" i="2"/>
  <c r="I2089" i="2"/>
  <c r="I2090" i="2"/>
  <c r="I1418" i="2"/>
  <c r="I2091" i="2"/>
  <c r="I2092" i="2"/>
  <c r="I2093" i="2"/>
  <c r="I2094" i="2"/>
  <c r="I2095" i="2"/>
  <c r="I2096" i="2"/>
  <c r="I2097" i="2"/>
  <c r="I2098" i="2"/>
  <c r="I2099" i="2"/>
  <c r="I1022" i="2"/>
  <c r="I2100" i="2"/>
  <c r="I1125" i="2"/>
  <c r="I2101" i="2"/>
  <c r="I2102" i="2"/>
  <c r="I2103" i="2"/>
  <c r="I1419" i="2"/>
  <c r="I1023" i="2"/>
  <c r="I2104" i="2"/>
  <c r="I201" i="2"/>
  <c r="I2105" i="2"/>
  <c r="I2106" i="2"/>
  <c r="I2107" i="2"/>
  <c r="I202" i="2"/>
  <c r="I1324" i="2"/>
  <c r="I2108" i="2"/>
  <c r="I2109" i="2"/>
  <c r="I1024" i="2"/>
  <c r="I2110" i="2"/>
  <c r="I203" i="2"/>
  <c r="I2111" i="2"/>
  <c r="I204" i="2"/>
  <c r="I205" i="2"/>
  <c r="I206" i="2"/>
  <c r="I2112" i="2"/>
  <c r="I2113" i="2"/>
  <c r="I1420" i="2"/>
  <c r="I1488" i="2"/>
  <c r="I2114" i="2"/>
  <c r="I1489" i="2"/>
  <c r="I2115" i="2"/>
  <c r="I2116" i="2"/>
  <c r="I207" i="2"/>
  <c r="I1692" i="2"/>
  <c r="I2117" i="2"/>
  <c r="I1209" i="2"/>
  <c r="I1538" i="2"/>
  <c r="I2118" i="2"/>
  <c r="I2119" i="2"/>
  <c r="I1634" i="2"/>
  <c r="I2120" i="2"/>
  <c r="I2121" i="2"/>
  <c r="I1325" i="2"/>
  <c r="I2122" i="2"/>
  <c r="I1326" i="2"/>
  <c r="I1635" i="2"/>
  <c r="I2123" i="2"/>
  <c r="I2124" i="2"/>
  <c r="I2125" i="2"/>
  <c r="I2126" i="2"/>
  <c r="I570" i="2"/>
  <c r="I2127" i="2"/>
  <c r="I2128" i="2"/>
  <c r="I2129" i="2"/>
  <c r="I571" i="2"/>
  <c r="I1451" i="2"/>
  <c r="I2130" i="2"/>
  <c r="I1539" i="2"/>
  <c r="I2131" i="2"/>
  <c r="I572" i="2"/>
  <c r="I1210" i="2"/>
  <c r="I2132" i="2"/>
  <c r="I1540" i="2"/>
  <c r="I2133" i="2"/>
  <c r="I2134" i="2"/>
  <c r="I208" i="2"/>
  <c r="I477" i="2"/>
  <c r="I1327" i="2"/>
  <c r="I2135" i="2"/>
  <c r="I2136" i="2"/>
  <c r="I1693" i="2"/>
  <c r="I2137" i="2"/>
  <c r="I1328" i="2"/>
  <c r="I2138" i="2"/>
  <c r="I2139" i="2"/>
  <c r="I2140" i="2"/>
  <c r="I1126" i="2"/>
  <c r="I2141" i="2"/>
  <c r="I2142" i="2"/>
  <c r="I2143" i="2"/>
  <c r="I2144" i="2"/>
  <c r="I573" i="2"/>
  <c r="I2145" i="2"/>
  <c r="I1025" i="2"/>
  <c r="I2146" i="2"/>
  <c r="I2147" i="2"/>
  <c r="I1211" i="2"/>
  <c r="I478" i="2"/>
  <c r="I2148" i="2"/>
  <c r="I1490" i="2"/>
  <c r="I479" i="2"/>
  <c r="I2149" i="2"/>
  <c r="I480" i="2"/>
  <c r="I2150" i="2"/>
  <c r="I2151" i="2"/>
  <c r="I2152" i="2"/>
  <c r="I1491" i="2"/>
  <c r="I574" i="2"/>
  <c r="I575" i="2"/>
  <c r="I2153" i="2"/>
  <c r="I2154" i="2"/>
  <c r="I2155" i="2"/>
  <c r="I2156" i="2"/>
  <c r="I1026" i="2"/>
  <c r="I209" i="2"/>
  <c r="I1212" i="2"/>
  <c r="I2157" i="2"/>
  <c r="I1213" i="2"/>
  <c r="I1027" i="2"/>
  <c r="I2158" i="2"/>
  <c r="I2159" i="2"/>
  <c r="I1421" i="2"/>
  <c r="I2160" i="2"/>
  <c r="I1329" i="2"/>
  <c r="I2161" i="2"/>
  <c r="I1636" i="2"/>
  <c r="I1028" i="2"/>
  <c r="I2162" i="2"/>
  <c r="I1541" i="2"/>
  <c r="I2163" i="2"/>
  <c r="I2164" i="2"/>
  <c r="I2165" i="2"/>
  <c r="I2166" i="2"/>
  <c r="I2167" i="2"/>
  <c r="I2168" i="2"/>
  <c r="I576" i="2"/>
  <c r="I577" i="2"/>
  <c r="I1542" i="2"/>
  <c r="I1029" i="2"/>
  <c r="I1637" i="2"/>
  <c r="I2169" i="2"/>
  <c r="I2170" i="2"/>
  <c r="I1330" i="2"/>
  <c r="I1694" i="2"/>
  <c r="I1422" i="2"/>
  <c r="I2171" i="2"/>
  <c r="I2172" i="2"/>
  <c r="I578" i="2"/>
  <c r="I1331" i="2"/>
  <c r="I481" i="2"/>
  <c r="I2173" i="2"/>
  <c r="I1214" i="2"/>
  <c r="I2174" i="2"/>
  <c r="I1543" i="2"/>
  <c r="I2175" i="2"/>
  <c r="I2176" i="2"/>
  <c r="I2177" i="2"/>
  <c r="I2178" i="2"/>
  <c r="I2179" i="2"/>
  <c r="I2180" i="2"/>
  <c r="I2181" i="2"/>
  <c r="I579" i="2"/>
  <c r="I2182" i="2"/>
  <c r="I2183" i="2"/>
  <c r="I210" i="2"/>
  <c r="I2184" i="2"/>
  <c r="I2185" i="2"/>
  <c r="I1030" i="2"/>
  <c r="I2186" i="2"/>
  <c r="I2187" i="2"/>
  <c r="I580" i="2"/>
  <c r="I581" i="2"/>
  <c r="I482" i="2"/>
  <c r="I582" i="2"/>
  <c r="I1031" i="2"/>
  <c r="I2188" i="2"/>
  <c r="I2189" i="2"/>
  <c r="I2190" i="2"/>
  <c r="I1638" i="2"/>
  <c r="I1639" i="2"/>
  <c r="I2191" i="2"/>
  <c r="I2192" i="2"/>
  <c r="I2193" i="2"/>
  <c r="I2194" i="2"/>
  <c r="I583" i="2"/>
  <c r="I1269" i="2"/>
  <c r="I1640" i="2"/>
  <c r="I584" i="2"/>
  <c r="I1332" i="2"/>
  <c r="I483" i="2"/>
  <c r="I2195" i="2"/>
  <c r="I2196" i="2"/>
  <c r="I1333" i="2"/>
  <c r="I585" i="2"/>
  <c r="I1544" i="2"/>
  <c r="I1032" i="2"/>
  <c r="I2197" i="2"/>
  <c r="I2198" i="2"/>
  <c r="I2199" i="2"/>
  <c r="I1423" i="2"/>
  <c r="I1641" i="2"/>
  <c r="I1215" i="2"/>
  <c r="I1334" i="2"/>
  <c r="I586" i="2"/>
  <c r="I2200" i="2"/>
  <c r="I587" i="2"/>
  <c r="I1424" i="2"/>
  <c r="I1545" i="2"/>
  <c r="I2201" i="2"/>
  <c r="I2202" i="2"/>
  <c r="I2203" i="2"/>
  <c r="I2204" i="2"/>
  <c r="I2205" i="2"/>
  <c r="I1033" i="2"/>
  <c r="I2206" i="2"/>
  <c r="I588" i="2"/>
  <c r="I402" i="2"/>
  <c r="I1546" i="2"/>
  <c r="I2207" i="2"/>
  <c r="I1547" i="2"/>
  <c r="I2208" i="2"/>
  <c r="I2209" i="2"/>
  <c r="I511" i="2"/>
  <c r="I512" i="2"/>
  <c r="I2210" i="2"/>
  <c r="I403" i="2"/>
  <c r="I2211" i="2"/>
  <c r="I1216" i="2"/>
  <c r="I1034" i="2"/>
  <c r="I1035" i="2"/>
  <c r="I2212" i="2"/>
  <c r="I2213" i="2"/>
  <c r="I2214" i="2"/>
  <c r="I1335" i="2"/>
  <c r="I1036" i="2"/>
  <c r="I2215" i="2"/>
  <c r="I2216" i="2"/>
  <c r="I2217" i="2"/>
  <c r="I1217" i="2"/>
  <c r="I2218" i="2"/>
  <c r="I2219" i="2"/>
  <c r="I484" i="2"/>
  <c r="I2220" i="2"/>
  <c r="I1642" i="2"/>
  <c r="I1643" i="2"/>
  <c r="I2221" i="2"/>
  <c r="I2222" i="2"/>
  <c r="I589" i="2"/>
  <c r="I590" i="2"/>
  <c r="I459" i="2"/>
  <c r="I2223" i="2"/>
  <c r="I591" i="2"/>
  <c r="I404" i="2"/>
  <c r="I211" i="2"/>
  <c r="I2224" i="2"/>
  <c r="I2225" i="2"/>
  <c r="I460" i="2"/>
  <c r="I2226" i="2"/>
  <c r="I1037" i="2"/>
  <c r="I1548" i="2"/>
  <c r="I592" i="2"/>
  <c r="I2227" i="2"/>
  <c r="I1218" i="2"/>
  <c r="I1549" i="2"/>
  <c r="I405" i="2"/>
  <c r="I1219" i="2"/>
  <c r="I1127" i="2"/>
  <c r="I406" i="2"/>
  <c r="I1644" i="2"/>
  <c r="I2228" i="2"/>
  <c r="I2229" i="2"/>
  <c r="I1038" i="2"/>
  <c r="I2230" i="2"/>
  <c r="I2231" i="2"/>
  <c r="I212" i="2"/>
  <c r="I1039" i="2"/>
  <c r="I1425" i="2"/>
  <c r="I213" i="2"/>
  <c r="I593" i="2"/>
  <c r="I1645" i="2"/>
  <c r="I2232" i="2"/>
  <c r="I1040" i="2"/>
  <c r="I1220" i="2"/>
  <c r="I2233" i="2"/>
  <c r="I1221" i="2"/>
  <c r="I594" i="2"/>
  <c r="I1041" i="2"/>
  <c r="I2234" i="2"/>
  <c r="I2235" i="2"/>
  <c r="I2236" i="2"/>
  <c r="I1128" i="2"/>
  <c r="I2237" i="2"/>
  <c r="I214" i="2"/>
  <c r="I1695" i="2"/>
  <c r="I2238" i="2"/>
  <c r="I2239" i="2"/>
  <c r="I215" i="2"/>
  <c r="I595" i="2"/>
  <c r="I1222" i="2"/>
  <c r="I2240" i="2"/>
  <c r="I216" i="2"/>
  <c r="I217" i="2"/>
  <c r="I1129" i="2"/>
  <c r="I2241" i="2"/>
  <c r="I1452" i="2"/>
  <c r="I1336" i="2"/>
  <c r="I2242" i="2"/>
  <c r="I1042" i="2"/>
  <c r="I2243" i="2"/>
  <c r="I2244" i="2"/>
  <c r="I218" i="2"/>
  <c r="I2245" i="2"/>
  <c r="I219" i="2"/>
  <c r="I2246" i="2"/>
  <c r="I1223" i="2"/>
  <c r="I2247" i="2"/>
  <c r="I596" i="2"/>
  <c r="I2248" i="2"/>
  <c r="I220" i="2"/>
  <c r="I221" i="2"/>
  <c r="I2249" i="2"/>
  <c r="I1426" i="2"/>
  <c r="I2250" i="2"/>
  <c r="I597" i="2"/>
  <c r="I222" i="2"/>
  <c r="I2251" i="2"/>
  <c r="I2252" i="2"/>
  <c r="I598" i="2"/>
  <c r="I2253" i="2"/>
  <c r="I1130" i="2"/>
  <c r="I2254" i="2"/>
  <c r="I2255" i="2"/>
  <c r="I223" i="2"/>
  <c r="I1224" i="2"/>
  <c r="I224" i="2"/>
  <c r="I225" i="2"/>
  <c r="I226" i="2"/>
  <c r="I227" i="2"/>
  <c r="I228" i="2"/>
  <c r="I229" i="2"/>
  <c r="I230" i="2"/>
  <c r="I231" i="2"/>
  <c r="I407" i="2"/>
  <c r="I232" i="2"/>
  <c r="I1043" i="2"/>
  <c r="I599" i="2"/>
  <c r="I1270" i="2"/>
  <c r="I233" i="2"/>
  <c r="I1044" i="2"/>
  <c r="I1045" i="2"/>
  <c r="I1046" i="2"/>
  <c r="I2256" i="2"/>
  <c r="I2257" i="2"/>
  <c r="I2258" i="2"/>
  <c r="I2259" i="2"/>
  <c r="I2260" i="2"/>
  <c r="I1550" i="2"/>
  <c r="I2261" i="2"/>
  <c r="I2262" i="2"/>
  <c r="I2263" i="2"/>
  <c r="I234" i="2"/>
  <c r="I1551" i="2"/>
  <c r="I2264" i="2"/>
  <c r="I2265" i="2"/>
  <c r="I2266" i="2"/>
  <c r="I2267" i="2"/>
  <c r="I2268" i="2"/>
  <c r="I2269" i="2"/>
  <c r="I2270" i="2"/>
  <c r="I2271" i="2"/>
  <c r="I2272" i="2"/>
  <c r="I1552" i="2"/>
  <c r="I2273" i="2"/>
  <c r="I2274" i="2"/>
  <c r="I2275" i="2"/>
  <c r="I1337" i="2"/>
  <c r="I2276" i="2"/>
  <c r="I235" i="2"/>
  <c r="I2277" i="2"/>
  <c r="I1553" i="2"/>
  <c r="I2278" i="2"/>
  <c r="I2279" i="2"/>
  <c r="I2280" i="2"/>
  <c r="I236" i="2"/>
  <c r="I2281" i="2"/>
  <c r="I2282" i="2"/>
  <c r="I2283" i="2"/>
  <c r="I2284" i="2"/>
  <c r="I2285" i="2"/>
  <c r="I2286" i="2"/>
  <c r="I2287" i="2"/>
  <c r="I2288" i="2"/>
  <c r="I2289" i="2"/>
  <c r="I2290" i="2"/>
  <c r="I1338" i="2"/>
  <c r="I18" i="2"/>
  <c r="I2291" i="2"/>
  <c r="I1554" i="2"/>
  <c r="I2292" i="2"/>
  <c r="I2293" i="2"/>
  <c r="I2294" i="2"/>
  <c r="I2295" i="2"/>
  <c r="I2296" i="2"/>
  <c r="I2297" i="2"/>
  <c r="I2298" i="2"/>
  <c r="I2299" i="2"/>
  <c r="I2300" i="2"/>
  <c r="I2301" i="2"/>
  <c r="I2302" i="2"/>
  <c r="I339" i="2"/>
  <c r="I1339" i="2"/>
  <c r="I2303" i="2"/>
  <c r="I2304" i="2"/>
  <c r="I2305" i="2"/>
  <c r="I237" i="2"/>
  <c r="I2306" i="2"/>
  <c r="I2307" i="2"/>
  <c r="I2308" i="2"/>
  <c r="I2309" i="2"/>
  <c r="I2310" i="2"/>
  <c r="I2311" i="2"/>
  <c r="I1340" i="2"/>
  <c r="I2312" i="2"/>
  <c r="I2313" i="2"/>
  <c r="I2314" i="2"/>
  <c r="I771" i="2"/>
  <c r="I1555" i="2"/>
  <c r="I238" i="2"/>
  <c r="I239" i="2"/>
  <c r="I2315" i="2"/>
  <c r="I2316" i="2"/>
  <c r="I2317" i="2"/>
  <c r="I2318" i="2"/>
  <c r="I2319" i="2"/>
  <c r="I2320" i="2"/>
  <c r="I2321" i="2"/>
  <c r="I2322" i="2"/>
  <c r="I772" i="2"/>
  <c r="I2323" i="2"/>
  <c r="I2324" i="2"/>
  <c r="I2325" i="2"/>
  <c r="I414" i="2"/>
  <c r="I2326" i="2"/>
  <c r="I1556" i="2"/>
  <c r="I2327" i="2"/>
  <c r="I2328" i="2"/>
  <c r="I600" i="2"/>
  <c r="I1557" i="2"/>
  <c r="I1558" i="2"/>
  <c r="I2329" i="2"/>
  <c r="I2330" i="2"/>
  <c r="I2331" i="2"/>
  <c r="I340" i="2"/>
  <c r="I341" i="2"/>
  <c r="I415" i="2"/>
  <c r="I2332" i="2"/>
  <c r="I1341" i="2"/>
  <c r="I2333" i="2"/>
  <c r="I2334" i="2"/>
  <c r="I2335" i="2"/>
  <c r="I2336" i="2"/>
  <c r="I485" i="2"/>
  <c r="I1342" i="2"/>
  <c r="I2337" i="2"/>
  <c r="I1343" i="2"/>
  <c r="I2338" i="2"/>
  <c r="I342" i="2"/>
  <c r="I416" i="2"/>
  <c r="I2339" i="2"/>
  <c r="I417" i="2"/>
  <c r="I343" i="2"/>
  <c r="I1559" i="2"/>
  <c r="I2340" i="2"/>
  <c r="I2341" i="2"/>
  <c r="I486" i="2"/>
  <c r="I601" i="2"/>
  <c r="I1344" i="2"/>
  <c r="I2342" i="2"/>
  <c r="I2343" i="2"/>
  <c r="I2344" i="2"/>
  <c r="I2345" i="2"/>
  <c r="I2346" i="2"/>
  <c r="I773" i="2"/>
  <c r="I19" i="2"/>
  <c r="I2347" i="2"/>
  <c r="I2348" i="2"/>
  <c r="I2349" i="2"/>
  <c r="I2350" i="2"/>
  <c r="I344" i="2"/>
  <c r="I2351" i="2"/>
  <c r="I2352" i="2"/>
  <c r="I1560" i="2"/>
  <c r="I2353" i="2"/>
  <c r="I2354" i="2"/>
  <c r="I774" i="2"/>
  <c r="I2355" i="2"/>
  <c r="I2356" i="2"/>
  <c r="I487" i="2"/>
  <c r="I2357" i="2"/>
  <c r="I1345" i="2"/>
  <c r="I2358" i="2"/>
  <c r="I2359" i="2"/>
  <c r="I2360" i="2"/>
  <c r="I20" i="2"/>
  <c r="I2361" i="2"/>
  <c r="I2362" i="2"/>
  <c r="I2363" i="2"/>
  <c r="I2364" i="2"/>
  <c r="I2365" i="2"/>
  <c r="I345" i="2"/>
  <c r="I775" i="2"/>
  <c r="I2366" i="2"/>
  <c r="I2367" i="2"/>
  <c r="I240" i="2"/>
  <c r="I602" i="2"/>
  <c r="I2368" i="2"/>
  <c r="I2369" i="2"/>
  <c r="I1346" i="2"/>
  <c r="I2370" i="2"/>
  <c r="I418" i="2"/>
  <c r="I2371" i="2"/>
  <c r="I2372" i="2"/>
  <c r="I2373" i="2"/>
  <c r="I2374" i="2"/>
  <c r="I2375" i="2"/>
  <c r="I2376" i="2"/>
  <c r="I2377" i="2"/>
  <c r="I2378" i="2"/>
  <c r="I2379" i="2"/>
  <c r="I241" i="2"/>
  <c r="I1561" i="2"/>
  <c r="I488" i="2"/>
  <c r="I2380" i="2"/>
  <c r="I2381" i="2"/>
  <c r="I2382" i="2"/>
  <c r="I603" i="2"/>
  <c r="I2383" i="2"/>
  <c r="I604" i="2"/>
  <c r="I2384" i="2"/>
  <c r="I1562" i="2"/>
  <c r="I2385" i="2"/>
  <c r="I1347" i="2"/>
  <c r="I21" i="2"/>
  <c r="I2386" i="2"/>
  <c r="I2387" i="2"/>
  <c r="I2388" i="2"/>
  <c r="I242" i="2"/>
  <c r="I419" i="2"/>
  <c r="I1563" i="2"/>
  <c r="I346" i="2"/>
  <c r="I2389" i="2"/>
  <c r="I2390" i="2"/>
  <c r="I2391" i="2"/>
  <c r="I2392" i="2"/>
  <c r="I2393" i="2"/>
  <c r="I2394" i="2"/>
  <c r="I2395" i="2"/>
  <c r="I2396" i="2"/>
  <c r="I2397" i="2"/>
  <c r="I243" i="2"/>
  <c r="I2398" i="2"/>
  <c r="I2399" i="2"/>
  <c r="I776" i="2"/>
  <c r="I1348" i="2"/>
  <c r="I2400" i="2"/>
  <c r="I2401" i="2"/>
  <c r="I2402" i="2"/>
  <c r="I605" i="2"/>
  <c r="I606" i="2"/>
  <c r="I2403" i="2"/>
  <c r="I2404" i="2"/>
  <c r="I2405" i="2"/>
  <c r="I2406" i="2"/>
  <c r="I1349" i="2"/>
  <c r="I607" i="2"/>
  <c r="I2407" i="2"/>
  <c r="I608" i="2"/>
  <c r="I244" i="2"/>
  <c r="I2408" i="2"/>
  <c r="I2409" i="2"/>
  <c r="I1564" i="2"/>
  <c r="I2410" i="2"/>
  <c r="I2411" i="2"/>
  <c r="I2412" i="2"/>
  <c r="I2413" i="2"/>
  <c r="I1565" i="2"/>
  <c r="I2414" i="2"/>
  <c r="I1350" i="2"/>
  <c r="I2415" i="2"/>
  <c r="I2416" i="2"/>
  <c r="I1566" i="2"/>
  <c r="I2417" i="2"/>
  <c r="I777" i="2"/>
  <c r="I2418" i="2"/>
  <c r="I2419" i="2"/>
  <c r="I1351" i="2"/>
  <c r="I609" i="2"/>
  <c r="I2420" i="2"/>
  <c r="I2421" i="2"/>
  <c r="I2422" i="2"/>
  <c r="I2423" i="2"/>
  <c r="I2424" i="2"/>
  <c r="I245" i="2"/>
  <c r="I610" i="2"/>
  <c r="I2425" i="2"/>
  <c r="I2426" i="2"/>
  <c r="I2427" i="2"/>
  <c r="I2428" i="2"/>
  <c r="I2429" i="2"/>
  <c r="I2430" i="2"/>
  <c r="I420" i="2"/>
  <c r="I611" i="2"/>
  <c r="I2431" i="2"/>
  <c r="I2432" i="2"/>
  <c r="I2433" i="2"/>
  <c r="I2434" i="2"/>
  <c r="I489" i="2"/>
  <c r="I778" i="2"/>
  <c r="I2435" i="2"/>
  <c r="I421" i="2"/>
  <c r="I1567" i="2"/>
  <c r="I246" i="2"/>
  <c r="I2436" i="2"/>
  <c r="I347" i="2"/>
  <c r="I2437" i="2"/>
  <c r="I612" i="2"/>
  <c r="I348" i="2"/>
  <c r="I2438" i="2"/>
  <c r="I2439" i="2"/>
  <c r="I2440" i="2"/>
  <c r="I247" i="2"/>
  <c r="I422" i="2"/>
  <c r="I1568" i="2"/>
  <c r="I613" i="2"/>
  <c r="I2441" i="2"/>
  <c r="I490" i="2"/>
  <c r="I1569" i="2"/>
  <c r="I2442" i="2"/>
  <c r="I2443" i="2"/>
  <c r="I2444" i="2"/>
  <c r="I2445" i="2"/>
  <c r="I2446" i="2"/>
  <c r="I2447" i="2"/>
  <c r="I614" i="2"/>
  <c r="I615" i="2"/>
  <c r="I1352" i="2"/>
  <c r="I2448" i="2"/>
  <c r="I1570" i="2"/>
  <c r="I2449" i="2"/>
  <c r="I2450" i="2"/>
  <c r="I1353" i="2"/>
  <c r="I616" i="2"/>
  <c r="I2451" i="2"/>
  <c r="I2452" i="2"/>
  <c r="I2453" i="2"/>
  <c r="I779" i="2"/>
  <c r="I1571" i="2"/>
  <c r="I2454" i="2"/>
  <c r="I2455" i="2"/>
  <c r="I2456" i="2"/>
  <c r="I2457" i="2"/>
  <c r="I1047" i="2"/>
  <c r="I2458" i="2"/>
  <c r="I2459" i="2"/>
  <c r="I1048" i="2"/>
  <c r="I248" i="2"/>
  <c r="I2460" i="2"/>
  <c r="I2461" i="2"/>
  <c r="I2462" i="2"/>
  <c r="I491" i="2"/>
  <c r="I2463" i="2"/>
  <c r="I492" i="2"/>
  <c r="I2464" i="2"/>
  <c r="I2465" i="2"/>
  <c r="I780" i="2"/>
  <c r="I781" i="2"/>
  <c r="I2466" i="2"/>
  <c r="I2467" i="2"/>
  <c r="I249" i="2"/>
  <c r="I1049" i="2"/>
  <c r="I2468" i="2"/>
  <c r="I2469" i="2"/>
  <c r="I2470" i="2"/>
  <c r="I617" i="2"/>
  <c r="I1572" i="2"/>
  <c r="I2471" i="2"/>
  <c r="I2472" i="2"/>
  <c r="I1354" i="2"/>
  <c r="I618" i="2"/>
  <c r="I2473" i="2"/>
  <c r="I619" i="2"/>
  <c r="I1573" i="2"/>
  <c r="I2474" i="2"/>
  <c r="I2475" i="2"/>
  <c r="I250" i="2"/>
  <c r="I2476" i="2"/>
  <c r="I2477" i="2"/>
  <c r="I782" i="2"/>
  <c r="I620" i="2"/>
  <c r="I2478" i="2"/>
  <c r="I1355" i="2"/>
  <c r="I2479" i="2"/>
  <c r="I2480" i="2"/>
  <c r="I621" i="2"/>
  <c r="I2481" i="2"/>
  <c r="I2482" i="2"/>
  <c r="I2483" i="2"/>
  <c r="I2484" i="2"/>
  <c r="I2485" i="2"/>
  <c r="I251" i="2"/>
  <c r="I1574" i="2"/>
  <c r="I2486" i="2"/>
  <c r="I622" i="2"/>
  <c r="I623" i="2"/>
  <c r="I2487" i="2"/>
  <c r="I2488" i="2"/>
  <c r="I1356" i="2"/>
  <c r="I1575" i="2"/>
  <c r="I252" i="2"/>
  <c r="I2489" i="2"/>
  <c r="I2490" i="2"/>
  <c r="I2491" i="2"/>
  <c r="I624" i="2"/>
  <c r="I2492" i="2"/>
  <c r="I783" i="2"/>
  <c r="I2493" i="2"/>
  <c r="I784" i="2"/>
  <c r="I423" i="2"/>
  <c r="I2494" i="2"/>
  <c r="I2495" i="2"/>
  <c r="I1357" i="2"/>
  <c r="I2496" i="2"/>
  <c r="I253" i="2"/>
  <c r="I2497" i="2"/>
  <c r="I785" i="2"/>
  <c r="I2498" i="2"/>
  <c r="I2499" i="2"/>
  <c r="I2500" i="2"/>
  <c r="I2501" i="2"/>
  <c r="I2502" i="2"/>
  <c r="I2503" i="2"/>
  <c r="I2504" i="2"/>
  <c r="I625" i="2"/>
  <c r="I2505" i="2"/>
  <c r="I786" i="2"/>
  <c r="I787" i="2"/>
  <c r="I2506" i="2"/>
  <c r="I2507" i="2"/>
  <c r="I788" i="2"/>
  <c r="I2508" i="2"/>
  <c r="I2509" i="2"/>
  <c r="I1050" i="2"/>
  <c r="I2510" i="2"/>
  <c r="I2511" i="2"/>
  <c r="I2512" i="2"/>
  <c r="I2513" i="2"/>
  <c r="I1576" i="2"/>
  <c r="I2514" i="2"/>
  <c r="I2515" i="2"/>
  <c r="I2516" i="2"/>
  <c r="I1577" i="2"/>
  <c r="I2517" i="2"/>
  <c r="I2518" i="2"/>
  <c r="I2519" i="2"/>
  <c r="I1578" i="2"/>
  <c r="I424" i="2"/>
  <c r="I2520" i="2"/>
  <c r="I2521" i="2"/>
  <c r="I2522" i="2"/>
  <c r="I2523" i="2"/>
  <c r="I789" i="2"/>
  <c r="I1358" i="2"/>
  <c r="I1359" i="2"/>
  <c r="I2524" i="2"/>
  <c r="I626" i="2"/>
  <c r="I2525" i="2"/>
  <c r="I2526" i="2"/>
  <c r="I1360" i="2"/>
  <c r="I2527" i="2"/>
  <c r="I2528" i="2"/>
  <c r="I1051" i="2"/>
  <c r="I1361" i="2"/>
  <c r="I790" i="2"/>
  <c r="I791" i="2"/>
  <c r="I2529" i="2"/>
  <c r="I2530" i="2"/>
  <c r="I1579" i="2"/>
  <c r="I2531" i="2"/>
  <c r="I1580" i="2"/>
  <c r="I2532" i="2"/>
  <c r="I254" i="2"/>
  <c r="I255" i="2"/>
  <c r="I2533" i="2"/>
  <c r="I2534" i="2"/>
  <c r="I2535" i="2"/>
  <c r="I2536" i="2"/>
  <c r="I627" i="2"/>
  <c r="I1581" i="2"/>
  <c r="I792" i="2"/>
  <c r="I793" i="2"/>
  <c r="I2537" i="2"/>
  <c r="I2538" i="2"/>
  <c r="I2539" i="2"/>
  <c r="I2540" i="2"/>
  <c r="I1582" i="2"/>
  <c r="I2541" i="2"/>
  <c r="I2542" i="2"/>
  <c r="I256" i="2"/>
  <c r="I794" i="2"/>
  <c r="I493" i="2"/>
  <c r="I628" i="2"/>
  <c r="I2543" i="2"/>
  <c r="I1362" i="2"/>
  <c r="I795" i="2"/>
  <c r="I257" i="2"/>
  <c r="I2544" i="2"/>
  <c r="I796" i="2"/>
  <c r="I494" i="2"/>
  <c r="I797" i="2"/>
  <c r="I1363" i="2"/>
  <c r="I1583" i="2"/>
  <c r="I2545" i="2"/>
  <c r="I1584" i="2"/>
  <c r="I2546" i="2"/>
  <c r="I2547" i="2"/>
  <c r="I2548" i="2"/>
  <c r="I2549" i="2"/>
  <c r="I2550" i="2"/>
  <c r="I798" i="2"/>
  <c r="I2551" i="2"/>
  <c r="I2552" i="2"/>
  <c r="I2553" i="2"/>
  <c r="I2554" i="2"/>
  <c r="I1585" i="2"/>
  <c r="I2555" i="2"/>
  <c r="I799" i="2"/>
  <c r="I2556" i="2"/>
  <c r="I2557" i="2"/>
  <c r="I373" i="2"/>
  <c r="I2558" i="2"/>
  <c r="I800" i="2"/>
  <c r="I629" i="2"/>
  <c r="I2559" i="2"/>
  <c r="I2560" i="2"/>
  <c r="I801" i="2"/>
  <c r="I1364" i="2"/>
  <c r="I258" i="2"/>
  <c r="I2561" i="2"/>
  <c r="I2562" i="2"/>
  <c r="I1586" i="2"/>
  <c r="I2563" i="2"/>
  <c r="I2564" i="2"/>
  <c r="I630" i="2"/>
  <c r="I259" i="2"/>
  <c r="I260" i="2"/>
  <c r="I2565" i="2"/>
  <c r="I631" i="2"/>
  <c r="I2566" i="2"/>
  <c r="I261" i="2"/>
  <c r="I2567" i="2"/>
  <c r="I2568" i="2"/>
  <c r="I1052" i="2"/>
  <c r="I262" i="2"/>
  <c r="I2569" i="2"/>
  <c r="I263" i="2"/>
  <c r="I264" i="2"/>
  <c r="I2570" i="2"/>
  <c r="I265" i="2"/>
  <c r="I266" i="2"/>
  <c r="I632" i="2"/>
  <c r="I633" i="2"/>
  <c r="I2571" i="2"/>
  <c r="I802" i="2"/>
  <c r="I267" i="2"/>
  <c r="I2572" i="2"/>
  <c r="I2573" i="2"/>
  <c r="I2574" i="2"/>
  <c r="I1587" i="2"/>
  <c r="I803" i="2"/>
  <c r="I268" i="2"/>
  <c r="I2575" i="2"/>
  <c r="I269" i="2"/>
  <c r="I2576" i="2"/>
  <c r="I270" i="2"/>
  <c r="I2577" i="2"/>
  <c r="I2578" i="2"/>
  <c r="I2579" i="2"/>
  <c r="I271" i="2"/>
  <c r="I1365" i="2"/>
  <c r="I425" i="2"/>
  <c r="I2580" i="2"/>
  <c r="I804" i="2"/>
  <c r="I805" i="2"/>
  <c r="I272" i="2"/>
  <c r="I2581" i="2"/>
  <c r="I273" i="2"/>
  <c r="I2582" i="2"/>
  <c r="I1366" i="2"/>
  <c r="I2583" i="2"/>
  <c r="I2584" i="2"/>
  <c r="I2585" i="2"/>
  <c r="I2586" i="2"/>
  <c r="I2587" i="2"/>
  <c r="I634" i="2"/>
  <c r="I2588" i="2"/>
  <c r="I2589" i="2"/>
  <c r="I806" i="2"/>
  <c r="I807" i="2"/>
  <c r="I2590" i="2"/>
  <c r="I1588" i="2"/>
  <c r="I374" i="2"/>
  <c r="I2591" i="2"/>
  <c r="I2592" i="2"/>
  <c r="I2593" i="2"/>
  <c r="I2594" i="2"/>
  <c r="I2595" i="2"/>
  <c r="I1589" i="2"/>
  <c r="I2596" i="2"/>
  <c r="I2597" i="2"/>
  <c r="I2598" i="2"/>
  <c r="I808" i="2"/>
  <c r="I635" i="2"/>
  <c r="I2599" i="2"/>
  <c r="I2600" i="2"/>
  <c r="I2601" i="2"/>
  <c r="I2602" i="2"/>
  <c r="I2603" i="2"/>
  <c r="I2604" i="2"/>
  <c r="I2605" i="2"/>
  <c r="I2606" i="2"/>
  <c r="I2607" i="2"/>
  <c r="I1746" i="2"/>
  <c r="I1492" i="2"/>
  <c r="I274" i="2"/>
  <c r="I1646" i="2"/>
  <c r="I2608" i="2"/>
  <c r="I2609" i="2"/>
  <c r="I2610" i="2"/>
  <c r="I2611" i="2"/>
  <c r="I2612" i="2"/>
  <c r="I1131" i="2"/>
  <c r="I1225" i="2"/>
  <c r="I275" i="2"/>
  <c r="I943" i="2"/>
  <c r="I2613" i="2"/>
  <c r="I1367" i="2"/>
  <c r="I1053" i="2"/>
  <c r="I1747" i="2"/>
  <c r="I1368" i="2"/>
  <c r="I2614" i="2"/>
  <c r="I944" i="2"/>
  <c r="I2615" i="2"/>
  <c r="I2616" i="2"/>
  <c r="I1132" i="2"/>
  <c r="I1590" i="2"/>
  <c r="I2617" i="2"/>
  <c r="I2618" i="2"/>
  <c r="I1748" i="2"/>
  <c r="I2619" i="2"/>
  <c r="I1493" i="2"/>
  <c r="I2620" i="2"/>
  <c r="I276" i="2"/>
  <c r="I2621" i="2"/>
  <c r="I1226" i="2"/>
  <c r="I1453" i="2"/>
  <c r="I945" i="2"/>
  <c r="I1494" i="2"/>
  <c r="I1369" i="2"/>
  <c r="I2622" i="2"/>
  <c r="I277" i="2"/>
  <c r="I2623" i="2"/>
  <c r="I1271" i="2"/>
  <c r="I1272" i="2"/>
  <c r="I2624" i="2"/>
  <c r="I1647" i="2"/>
  <c r="I1370" i="2"/>
  <c r="I2625" i="2"/>
  <c r="I946" i="2"/>
  <c r="I2626" i="2"/>
  <c r="I875" i="2"/>
  <c r="I1648" i="2"/>
  <c r="I2627" i="2"/>
  <c r="I1591" i="2"/>
  <c r="I278" i="2"/>
  <c r="I279" i="2"/>
  <c r="I2628" i="2"/>
  <c r="I2629" i="2"/>
  <c r="I876" i="2"/>
  <c r="I2630" i="2"/>
  <c r="I2631" i="2"/>
  <c r="I2632" i="2"/>
  <c r="I2633" i="2"/>
  <c r="I1227" i="2"/>
  <c r="I2634" i="2"/>
  <c r="I1454" i="2"/>
  <c r="I2635" i="2"/>
  <c r="I1696" i="2"/>
  <c r="I1495" i="2"/>
  <c r="I2636" i="2"/>
  <c r="I1749" i="2"/>
  <c r="I280" i="2"/>
  <c r="I2637" i="2"/>
  <c r="I1371" i="2"/>
  <c r="I1054" i="2"/>
  <c r="I1372" i="2"/>
  <c r="I1592" i="2"/>
  <c r="I1228" i="2"/>
  <c r="I1133" i="2"/>
  <c r="I2638" i="2"/>
  <c r="I1750" i="2"/>
  <c r="I947" i="2"/>
  <c r="I1373" i="2"/>
  <c r="I2639" i="2"/>
  <c r="I1055" i="2"/>
  <c r="I1374" i="2"/>
  <c r="I2640" i="2"/>
  <c r="I2641" i="2"/>
  <c r="I281" i="2"/>
  <c r="I2642" i="2"/>
  <c r="I636" i="2"/>
  <c r="I2643" i="2"/>
  <c r="I2644" i="2"/>
  <c r="I1496" i="2"/>
  <c r="I282" i="2"/>
  <c r="I283" i="2"/>
  <c r="I948" i="2"/>
  <c r="I949" i="2"/>
  <c r="I2645" i="2"/>
  <c r="I950" i="2"/>
  <c r="I2646" i="2"/>
  <c r="I1056" i="2"/>
  <c r="I877" i="2"/>
  <c r="I1593" i="2"/>
  <c r="I637" i="2"/>
  <c r="I1057" i="2"/>
  <c r="I2647" i="2"/>
  <c r="I2648" i="2"/>
  <c r="I1649" i="2"/>
  <c r="I878" i="2"/>
  <c r="I2649" i="2"/>
  <c r="I2650" i="2"/>
  <c r="I2651" i="2"/>
  <c r="I2652" i="2"/>
  <c r="I2653" i="2"/>
  <c r="I2654" i="2"/>
  <c r="I1273" i="2"/>
  <c r="I2655" i="2"/>
  <c r="I2656" i="2"/>
  <c r="I1375" i="2"/>
  <c r="I2657" i="2"/>
  <c r="I1134" i="2"/>
  <c r="I1751" i="2"/>
  <c r="I1497" i="2"/>
  <c r="I1058" i="2"/>
  <c r="I1455" i="2"/>
  <c r="I2658" i="2"/>
  <c r="I2659" i="2"/>
  <c r="I2660" i="2"/>
  <c r="I495" i="2"/>
  <c r="I496" i="2"/>
  <c r="I638" i="2"/>
  <c r="I2661" i="2"/>
  <c r="I951" i="2"/>
  <c r="I1650" i="2"/>
  <c r="I1229" i="2"/>
  <c r="I952" i="2"/>
  <c r="I639" i="2"/>
  <c r="I1498" i="2"/>
  <c r="I953" i="2"/>
  <c r="I2662" i="2"/>
  <c r="I1230" i="2"/>
  <c r="I2663" i="2"/>
  <c r="I2664" i="2"/>
  <c r="I1376" i="2"/>
  <c r="I1651" i="2"/>
  <c r="I2665" i="2"/>
  <c r="I809" i="2"/>
  <c r="I1594" i="2"/>
  <c r="I2666" i="2"/>
  <c r="I1752" i="2"/>
  <c r="I640" i="2"/>
  <c r="I1231" i="2"/>
  <c r="I1135" i="2"/>
  <c r="I1377" i="2"/>
  <c r="I497" i="2"/>
  <c r="I1059" i="2"/>
  <c r="I1378" i="2"/>
  <c r="I2667" i="2"/>
  <c r="I1697" i="2"/>
  <c r="I498" i="2"/>
  <c r="I1753" i="2"/>
  <c r="I284" i="2"/>
  <c r="I2668" i="2"/>
  <c r="I2669" i="2"/>
  <c r="I849" i="2"/>
  <c r="I2670" i="2"/>
  <c r="I2671" i="2"/>
  <c r="I1499" i="2"/>
  <c r="I2672" i="2"/>
  <c r="I1232" i="2"/>
  <c r="I285" i="2"/>
  <c r="I879" i="2"/>
  <c r="I850" i="2"/>
  <c r="I1595" i="2"/>
  <c r="I1136" i="2"/>
  <c r="I2673" i="2"/>
  <c r="I1379" i="2"/>
  <c r="I1060" i="2"/>
  <c r="I1233" i="2"/>
  <c r="I1234" i="2"/>
  <c r="I499" i="2"/>
  <c r="I954" i="2"/>
  <c r="I500" i="2"/>
  <c r="I2674" i="2"/>
  <c r="I2675" i="2"/>
  <c r="I2676" i="2"/>
  <c r="I641" i="2"/>
  <c r="I286" i="2"/>
  <c r="I851" i="2"/>
  <c r="I2677" i="2"/>
  <c r="I2678" i="2"/>
  <c r="I287" i="2"/>
  <c r="I955" i="2"/>
  <c r="I642" i="2"/>
  <c r="I2679" i="2"/>
  <c r="I1061" i="2"/>
  <c r="I2680" i="2"/>
  <c r="I1456" i="2"/>
  <c r="I643" i="2"/>
  <c r="I1380" i="2"/>
  <c r="I1457" i="2"/>
  <c r="I2681" i="2"/>
  <c r="I1274" i="2"/>
  <c r="I1235" i="2"/>
  <c r="I1236" i="2"/>
  <c r="I644" i="2"/>
  <c r="I1381" i="2"/>
  <c r="I288" i="2"/>
  <c r="I956" i="2"/>
  <c r="I2682" i="2"/>
  <c r="I1137" i="2"/>
  <c r="I2683" i="2"/>
  <c r="I2684" i="2"/>
  <c r="I852" i="2"/>
  <c r="I645" i="2"/>
  <c r="I1382" i="2"/>
  <c r="I957" i="2"/>
  <c r="I2685" i="2"/>
  <c r="I2686" i="2"/>
  <c r="I2687" i="2"/>
  <c r="I1062" i="2"/>
  <c r="I958" i="2"/>
  <c r="I2688" i="2"/>
  <c r="I1500" i="2"/>
  <c r="I289" i="2"/>
  <c r="I1652" i="2"/>
  <c r="I426" i="2"/>
  <c r="I1754" i="2"/>
  <c r="I646" i="2"/>
  <c r="I513" i="2"/>
  <c r="I2689" i="2"/>
  <c r="I647" i="2"/>
  <c r="I1237" i="2"/>
  <c r="I2690" i="2"/>
  <c r="I1383" i="2"/>
  <c r="I648" i="2"/>
  <c r="I2691" i="2"/>
  <c r="I1596" i="2"/>
  <c r="I1063" i="2"/>
  <c r="I2692" i="2"/>
  <c r="I1064" i="2"/>
  <c r="I1755" i="2"/>
  <c r="I1138" i="2"/>
  <c r="I959" i="2"/>
  <c r="I724" i="2"/>
  <c r="I649" i="2"/>
  <c r="I501" i="2"/>
  <c r="I1698" i="2"/>
  <c r="I502" i="2"/>
  <c r="I1653" i="2"/>
  <c r="I2693" i="2"/>
  <c r="I810" i="2"/>
  <c r="I1384" i="2"/>
  <c r="I2694" i="2"/>
  <c r="I1597" i="2"/>
  <c r="I2695" i="2"/>
  <c r="I1385" i="2"/>
  <c r="I2696" i="2"/>
  <c r="I2697" i="2"/>
  <c r="I1458" i="2"/>
  <c r="I2698" i="2"/>
  <c r="I1275" i="2"/>
  <c r="I1756" i="2"/>
  <c r="I2699" i="2"/>
  <c r="I650" i="2"/>
  <c r="I427" i="2"/>
  <c r="I2700" i="2"/>
  <c r="I428" i="2"/>
  <c r="I960" i="2"/>
  <c r="I2701" i="2"/>
  <c r="I651" i="2"/>
  <c r="I1598" i="2"/>
  <c r="I1276" i="2"/>
  <c r="I725" i="2"/>
  <c r="I652" i="2"/>
  <c r="I2702" i="2"/>
  <c r="I961" i="2"/>
  <c r="I962" i="2"/>
  <c r="I653" i="2"/>
  <c r="I290" i="2"/>
  <c r="I1386" i="2"/>
  <c r="I1757" i="2"/>
  <c r="I429" i="2"/>
  <c r="I811" i="2"/>
  <c r="I654" i="2"/>
  <c r="I963" i="2"/>
  <c r="I2703" i="2"/>
  <c r="I291" i="2"/>
  <c r="I1501" i="2"/>
  <c r="I853" i="2"/>
  <c r="I1758" i="2"/>
  <c r="I292" i="2"/>
  <c r="I2704" i="2"/>
  <c r="I2705" i="2"/>
  <c r="I1065" i="2"/>
  <c r="I655" i="2"/>
  <c r="I1654" i="2"/>
  <c r="I656" i="2"/>
  <c r="I1238" i="2"/>
  <c r="I854" i="2"/>
  <c r="I1387" i="2"/>
  <c r="I1388" i="2"/>
  <c r="I293" i="2"/>
  <c r="I2706" i="2"/>
  <c r="I2707" i="2"/>
  <c r="I2708" i="2"/>
  <c r="I2709" i="2"/>
  <c r="I1599" i="2"/>
  <c r="I2710" i="2"/>
  <c r="I1389" i="2"/>
  <c r="I1066" i="2"/>
  <c r="I2711" i="2"/>
  <c r="I2712" i="2"/>
  <c r="I1139" i="2"/>
  <c r="I964" i="2"/>
  <c r="I657" i="2"/>
  <c r="I658" i="2"/>
  <c r="I2713" i="2"/>
  <c r="I1239" i="2"/>
  <c r="I1699" i="2"/>
  <c r="I1600" i="2"/>
  <c r="I1601" i="2"/>
  <c r="I1427" i="2"/>
  <c r="I2714" i="2"/>
  <c r="I2715" i="2"/>
  <c r="I2716" i="2"/>
  <c r="I1655" i="2"/>
  <c r="I1067" i="2"/>
  <c r="I812" i="2"/>
  <c r="I1277" i="2"/>
  <c r="I294" i="2"/>
  <c r="I2717" i="2"/>
  <c r="I2718" i="2"/>
  <c r="I813" i="2"/>
  <c r="I295" i="2"/>
  <c r="I430" i="2"/>
  <c r="I1459" i="2"/>
  <c r="I2719" i="2"/>
  <c r="I814" i="2"/>
  <c r="I514" i="2"/>
  <c r="I659" i="2"/>
  <c r="I1278" i="2"/>
  <c r="I2720" i="2"/>
  <c r="I726" i="2"/>
  <c r="I2721" i="2"/>
  <c r="I1068" i="2"/>
  <c r="I1390" i="2"/>
  <c r="I2722" i="2"/>
  <c r="I1656" i="2"/>
  <c r="I2723" i="2"/>
  <c r="I660" i="2"/>
  <c r="I2724" i="2"/>
  <c r="I2725" i="2"/>
  <c r="I296" i="2"/>
  <c r="I2726" i="2"/>
  <c r="I661" i="2"/>
  <c r="I2727" i="2"/>
  <c r="I2728" i="2"/>
  <c r="I2729" i="2"/>
  <c r="I1391" i="2"/>
  <c r="I297" i="2"/>
  <c r="I2730" i="2"/>
  <c r="I298" i="2"/>
  <c r="I1392" i="2"/>
  <c r="I855" i="2"/>
  <c r="I662" i="2"/>
  <c r="I1657" i="2"/>
  <c r="I856" i="2"/>
  <c r="I857" i="2"/>
  <c r="I1240" i="2"/>
  <c r="I663" i="2"/>
  <c r="I2731" i="2"/>
  <c r="I1069" i="2"/>
  <c r="I727" i="2"/>
  <c r="I815" i="2"/>
  <c r="I1279" i="2"/>
  <c r="I664" i="2"/>
  <c r="I1280" i="2"/>
  <c r="I816" i="2"/>
  <c r="I665" i="2"/>
  <c r="I1070" i="2"/>
  <c r="I1241" i="2"/>
  <c r="I817" i="2"/>
  <c r="I666" i="2"/>
  <c r="I375" i="2"/>
  <c r="I1281" i="2"/>
  <c r="I299" i="2"/>
  <c r="I300" i="2"/>
  <c r="I2732" i="2"/>
  <c r="I2733" i="2"/>
  <c r="I965" i="2"/>
  <c r="I301" i="2"/>
  <c r="I376" i="2"/>
  <c r="I1071" i="2"/>
  <c r="I2734" i="2"/>
  <c r="I2735" i="2"/>
  <c r="I818" i="2"/>
  <c r="I1428" i="2"/>
  <c r="I1282" i="2"/>
  <c r="I302" i="2"/>
  <c r="I431" i="2"/>
  <c r="I1072" i="2"/>
  <c r="I1242" i="2"/>
  <c r="I858" i="2"/>
  <c r="I303" i="2"/>
  <c r="I1393" i="2"/>
  <c r="I667" i="2"/>
  <c r="I2736" i="2"/>
  <c r="I304" i="2"/>
  <c r="I1394" i="2"/>
  <c r="I2737" i="2"/>
  <c r="I1395" i="2"/>
  <c r="I2738" i="2"/>
  <c r="I668" i="2"/>
  <c r="I819" i="2"/>
  <c r="I966" i="2"/>
  <c r="I1502" i="2"/>
  <c r="I1243" i="2"/>
  <c r="I1503" i="2"/>
  <c r="I305" i="2"/>
  <c r="I669" i="2"/>
  <c r="I306" i="2"/>
  <c r="I307" i="2"/>
  <c r="I1140" i="2"/>
  <c r="I1759" i="2"/>
  <c r="I308" i="2"/>
  <c r="I309" i="2"/>
  <c r="I820" i="2"/>
  <c r="I310" i="2"/>
  <c r="I2739" i="2"/>
  <c r="I311" i="2"/>
  <c r="I312" i="2"/>
  <c r="I313" i="2"/>
  <c r="I1396" i="2"/>
  <c r="I1397" i="2"/>
  <c r="I2740" i="2"/>
  <c r="I880" i="2"/>
  <c r="I2741" i="2"/>
  <c r="I2742" i="2"/>
  <c r="I1244" i="2"/>
  <c r="I1398" i="2"/>
  <c r="I314" i="2"/>
  <c r="I2743" i="2"/>
  <c r="I2744" i="2"/>
  <c r="I2745" i="2"/>
  <c r="I1700" i="2"/>
  <c r="I1399" i="2"/>
  <c r="I2746" i="2"/>
  <c r="I315" i="2"/>
  <c r="I2747" i="2"/>
  <c r="I2748" i="2"/>
  <c r="I2749" i="2"/>
  <c r="I2750" i="2"/>
  <c r="I316" i="2"/>
  <c r="I1701" i="2"/>
  <c r="I2751" i="2"/>
  <c r="I2752" i="2"/>
  <c r="I1400" i="2"/>
  <c r="I2753" i="2"/>
  <c r="I2754" i="2"/>
  <c r="I2755" i="2"/>
  <c r="I2756" i="2"/>
  <c r="I2757" i="2"/>
  <c r="I2758" i="2"/>
  <c r="I2759" i="2"/>
  <c r="I2760" i="2"/>
  <c r="I317" i="2"/>
  <c r="I821" i="2"/>
  <c r="I1401" i="2"/>
  <c r="I881" i="2"/>
  <c r="I318" i="2"/>
  <c r="I319" i="2"/>
  <c r="I1702" i="2"/>
  <c r="I2761" i="2"/>
  <c r="I2762" i="2"/>
  <c r="I2763" i="2"/>
  <c r="I2764" i="2"/>
  <c r="I967" i="2"/>
  <c r="I2765" i="2"/>
  <c r="I1402" i="2"/>
  <c r="I2766" i="2"/>
  <c r="I1703" i="2"/>
  <c r="I1460" i="2"/>
  <c r="I2767" i="2"/>
  <c r="I822" i="2"/>
  <c r="I1245" i="2"/>
  <c r="I2768" i="2"/>
  <c r="I2769" i="2"/>
  <c r="I2770" i="2"/>
  <c r="I2771" i="2"/>
  <c r="I2772" i="2"/>
  <c r="I2773" i="2"/>
  <c r="I1602" i="2"/>
  <c r="I2774" i="2"/>
  <c r="I2775" i="2"/>
  <c r="I1603" i="2"/>
  <c r="I882" i="2"/>
  <c r="I2776" i="2"/>
  <c r="I2777" i="2"/>
  <c r="I2778" i="2"/>
  <c r="I823" i="2"/>
  <c r="I2779" i="2"/>
  <c r="I2780" i="2"/>
  <c r="I320" i="2"/>
  <c r="I321" i="2"/>
  <c r="I883" i="2"/>
  <c r="I2781" i="2"/>
  <c r="I968" i="2"/>
  <c r="I1604" i="2"/>
  <c r="I670" i="2"/>
  <c r="I884" i="2"/>
  <c r="I2782" i="2"/>
  <c r="I1403" i="2"/>
  <c r="I2783" i="2"/>
  <c r="I885" i="2"/>
  <c r="I2784" i="2"/>
  <c r="I2785" i="2"/>
  <c r="I2786" i="2"/>
  <c r="I22" i="2"/>
  <c r="I322" i="2"/>
  <c r="I2787" i="2"/>
  <c r="I1246" i="2"/>
  <c r="I2788" i="2"/>
  <c r="I2789" i="2"/>
  <c r="I2790" i="2"/>
  <c r="I2791" i="2"/>
  <c r="I1404" i="2"/>
  <c r="I349" i="2"/>
  <c r="I2792" i="2"/>
  <c r="I2793" i="2"/>
  <c r="I432" i="2"/>
  <c r="I2794" i="2"/>
  <c r="I2795" i="2"/>
  <c r="I2796" i="2"/>
  <c r="I1605" i="2"/>
  <c r="I2797" i="2"/>
  <c r="I2798" i="2"/>
  <c r="I1405" i="2"/>
  <c r="I1704" i="2"/>
  <c r="I1461" i="2"/>
  <c r="I2799" i="2"/>
  <c r="I2800" i="2"/>
  <c r="I2801" i="2"/>
  <c r="I2802" i="2"/>
  <c r="I1705" i="2"/>
  <c r="I2803" i="2"/>
  <c r="I1706" i="2"/>
  <c r="I671" i="2"/>
  <c r="I2804" i="2"/>
  <c r="I886" i="2"/>
  <c r="I824" i="2"/>
  <c r="I2805" i="2"/>
  <c r="I1707" i="2"/>
  <c r="I2806" i="2"/>
  <c r="I2807" i="2"/>
  <c r="I2808" i="2"/>
  <c r="I323" i="2"/>
  <c r="I2809" i="2"/>
  <c r="I1247" i="2"/>
  <c r="I433" i="2"/>
  <c r="I2810" i="2"/>
  <c r="I324" i="2"/>
  <c r="I2811" i="2"/>
  <c r="I1708" i="2"/>
  <c r="I2812" i="2"/>
  <c r="I1606" i="2"/>
  <c r="I350" i="2"/>
  <c r="I2813" i="2"/>
  <c r="I2814" i="2"/>
  <c r="I2815" i="2"/>
  <c r="I1462" i="2"/>
  <c r="I887" i="2"/>
  <c r="I377" i="2"/>
  <c r="I1463" i="2"/>
  <c r="I672" i="2"/>
  <c r="I1607" i="2"/>
  <c r="I325" i="2"/>
  <c r="I2816" i="2"/>
  <c r="I2817" i="2"/>
  <c r="I2818" i="2"/>
  <c r="I2819" i="2"/>
  <c r="I2820" i="2"/>
  <c r="I326" i="2"/>
  <c r="I2821" i="2"/>
  <c r="I673" i="2"/>
  <c r="I2822" i="2"/>
  <c r="I2823" i="2"/>
  <c r="I351" i="2"/>
  <c r="I2824" i="2"/>
  <c r="I2825" i="2"/>
  <c r="I2826" i="2"/>
  <c r="I2827" i="2"/>
  <c r="I434" i="2"/>
  <c r="I2828" i="2"/>
  <c r="I2829" i="2"/>
  <c r="I390" i="2"/>
  <c r="I2830" i="2"/>
  <c r="I2831" i="2"/>
  <c r="I1608" i="2"/>
  <c r="I1073" i="2"/>
  <c r="I327" i="2"/>
  <c r="I674" i="2"/>
  <c r="I2832" i="2"/>
  <c r="I435" i="2"/>
  <c r="I352" i="2"/>
  <c r="I2833" i="2"/>
  <c r="I23" i="2"/>
  <c r="I1406" i="2"/>
  <c r="I888" i="2"/>
  <c r="I675" i="2"/>
  <c r="I1407" i="2"/>
  <c r="I1609" i="2"/>
  <c r="I1709" i="2"/>
  <c r="I436" i="2"/>
  <c r="I1464" i="2"/>
  <c r="I24" i="2"/>
  <c r="I676" i="2"/>
  <c r="I2834" i="2"/>
  <c r="I2835" i="2"/>
  <c r="I328" i="2"/>
  <c r="I2836" i="2"/>
  <c r="I2837" i="2"/>
  <c r="I2838" i="2"/>
  <c r="I677" i="2"/>
  <c r="I1074" i="2"/>
  <c r="I1710" i="2"/>
  <c r="I2839" i="2"/>
  <c r="I353" i="2"/>
  <c r="I1724" i="2"/>
  <c r="I437" i="2"/>
  <c r="I678" i="2"/>
  <c r="I2840" i="2"/>
  <c r="I2841" i="2"/>
  <c r="I354" i="2"/>
  <c r="I2842" i="2"/>
  <c r="I2843" i="2"/>
  <c r="I2844" i="2"/>
  <c r="I1075" i="2"/>
  <c r="I1711" i="2"/>
  <c r="I679" i="2"/>
  <c r="I378" i="2"/>
  <c r="I355" i="2"/>
  <c r="I969" i="2"/>
  <c r="I2845" i="2"/>
  <c r="I1610" i="2"/>
  <c r="I438" i="2"/>
  <c r="I2846" i="2"/>
  <c r="I2847" i="2"/>
  <c r="I2848" i="2"/>
  <c r="I2849" i="2"/>
  <c r="I680" i="2"/>
  <c r="I2850" i="2"/>
  <c r="I1248" i="2"/>
  <c r="I329" i="2"/>
  <c r="I2851" i="2"/>
  <c r="I2852" i="2"/>
  <c r="I2853" i="2"/>
  <c r="I461" i="2"/>
  <c r="I2854" i="2"/>
  <c r="I1408" i="2"/>
  <c r="I1076" i="2"/>
  <c r="I2855" i="2"/>
  <c r="I2856" i="2"/>
  <c r="I2857" i="2"/>
  <c r="I1409" i="2"/>
  <c r="I2858" i="2"/>
  <c r="I2859" i="2"/>
  <c r="I1077" i="2"/>
  <c r="I2860" i="2"/>
  <c r="I1078" i="2"/>
  <c r="I2861" i="2"/>
  <c r="I1249" i="2"/>
  <c r="I2862" i="2"/>
  <c r="I889" i="2"/>
  <c r="I2863" i="2"/>
  <c r="I2864" i="2"/>
  <c r="I681" i="2"/>
  <c r="I2865" i="2"/>
  <c r="I2866" i="2"/>
  <c r="I1465" i="2"/>
  <c r="I890" i="2"/>
  <c r="I970" i="2"/>
  <c r="I1079" i="2"/>
  <c r="I330" i="2"/>
  <c r="I2867" i="2"/>
  <c r="I439" i="2"/>
  <c r="I2868" i="2"/>
  <c r="I682" i="2"/>
  <c r="I683" i="2"/>
  <c r="I1466" i="2"/>
  <c r="I440" i="2"/>
  <c r="I2869" i="2"/>
  <c r="I684" i="2"/>
  <c r="I379" i="2"/>
  <c r="I25" i="2"/>
  <c r="I685" i="2"/>
  <c r="I2870" i="2"/>
  <c r="I331" i="2"/>
  <c r="I332" i="2"/>
  <c r="I686" i="2"/>
  <c r="I1080" i="2"/>
  <c r="I356" i="2"/>
  <c r="I1712" i="2"/>
  <c r="I687" i="2"/>
  <c r="I1081" i="2"/>
  <c r="I2871" i="2"/>
  <c r="I2872" i="2"/>
  <c r="I391" i="2"/>
  <c r="I2873" i="2"/>
  <c r="I1611" i="2"/>
  <c r="I1713" i="2"/>
  <c r="I2874" i="2"/>
  <c r="I2875" i="2"/>
  <c r="I1714" i="2"/>
  <c r="I1612" i="2"/>
  <c r="I462" i="2"/>
  <c r="I2876" i="2"/>
  <c r="I688" i="2"/>
  <c r="I1082" i="2"/>
  <c r="I392" i="2"/>
  <c r="I1613" i="2"/>
  <c r="I2877" i="2"/>
  <c r="I689" i="2"/>
  <c r="I1083" i="2"/>
  <c r="I1084" i="2"/>
  <c r="I2878" i="2"/>
  <c r="I2879" i="2"/>
  <c r="I503" i="2"/>
  <c r="I2880" i="2"/>
  <c r="I2881" i="2"/>
  <c r="I1715" i="2"/>
  <c r="I463" i="2"/>
  <c r="I1085" i="2"/>
  <c r="I1086" i="2"/>
  <c r="I504" i="2"/>
  <c r="I1614" i="2"/>
  <c r="I2882" i="2"/>
  <c r="I971" i="2"/>
  <c r="I1615" i="2"/>
  <c r="I2883" i="2"/>
  <c r="I2884" i="2"/>
  <c r="I690" i="2"/>
  <c r="I1087" i="2"/>
  <c r="I825" i="2"/>
  <c r="I691" i="2"/>
  <c r="I1250" i="2"/>
  <c r="I692" i="2"/>
  <c r="I2885" i="2"/>
  <c r="I2886" i="2"/>
  <c r="I2887" i="2"/>
  <c r="I891" i="2"/>
  <c r="I1616" i="2"/>
  <c r="I1617" i="2"/>
  <c r="I972" i="2"/>
  <c r="I333" i="2"/>
  <c r="I1251" i="2"/>
  <c r="I505" i="2"/>
  <c r="I693" i="2"/>
  <c r="I2888" i="2"/>
  <c r="I2889" i="2"/>
  <c r="I2890" i="2"/>
  <c r="I892" i="2"/>
  <c r="I506" i="2"/>
  <c r="I2891" i="2"/>
  <c r="I464" i="2"/>
  <c r="I2892" i="2"/>
  <c r="I2893" i="2"/>
  <c r="I2894" i="2"/>
  <c r="I2895" i="2"/>
  <c r="I2896" i="2"/>
  <c r="I1252" i="2"/>
  <c r="I357" i="2"/>
  <c r="I358" i="2"/>
  <c r="I2897" i="2"/>
  <c r="I2898" i="2"/>
  <c r="I1253" i="2"/>
  <c r="I1410" i="2"/>
  <c r="I1467" i="2"/>
  <c r="I393" i="2"/>
  <c r="I2899" i="2"/>
  <c r="I2900" i="2"/>
  <c r="I1254" i="2"/>
  <c r="I2901" i="2"/>
  <c r="I1716" i="2"/>
  <c r="I826" i="2"/>
  <c r="I2902" i="2"/>
  <c r="I2903" i="2"/>
  <c r="I1618" i="2"/>
  <c r="I1088" i="2"/>
  <c r="I507" i="2"/>
  <c r="I1717" i="2"/>
  <c r="I1411" i="2"/>
  <c r="I1619" i="2"/>
  <c r="I1255" i="2"/>
  <c r="I1256" i="2"/>
  <c r="I2904" i="2"/>
  <c r="I2905" i="2"/>
  <c r="I1089" i="2"/>
  <c r="I2906" i="2"/>
  <c r="I973" i="2"/>
  <c r="I1718" i="2"/>
  <c r="I1090" i="2"/>
  <c r="I1719" i="2"/>
  <c r="I1091" i="2"/>
  <c r="I1429" i="2"/>
  <c r="I2907" i="2"/>
  <c r="I2908" i="2"/>
  <c r="I893" i="2"/>
  <c r="I2909" i="2"/>
  <c r="I974" i="2"/>
  <c r="I2910" i="2"/>
  <c r="I1092" i="2"/>
  <c r="I2911" i="2"/>
  <c r="I975" i="2"/>
  <c r="I2912" i="2"/>
  <c r="I1093" i="2"/>
  <c r="I2913" i="2"/>
  <c r="I2914" i="2"/>
  <c r="I1620" i="2"/>
  <c r="I2915" i="2"/>
  <c r="I2916" i="2"/>
  <c r="I2917" i="2"/>
  <c r="I827" i="2"/>
  <c r="I1094" i="2"/>
  <c r="I2918" i="2"/>
  <c r="I2919" i="2"/>
  <c r="I1095" i="2"/>
  <c r="I408" i="2"/>
  <c r="I1412" i="2"/>
  <c r="I1257" i="2"/>
  <c r="I334" i="2"/>
  <c r="I2920" i="2"/>
  <c r="I1096" i="2"/>
  <c r="I828" i="2"/>
  <c r="I1413" i="2"/>
  <c r="I1258" i="2"/>
  <c r="I2921" i="2"/>
  <c r="I1621" i="2"/>
  <c r="I1141" i="2"/>
  <c r="I2922" i="2"/>
  <c r="I1622" i="2"/>
  <c r="I2923" i="2"/>
  <c r="I508" i="2"/>
  <c r="I829" i="2"/>
  <c r="I1720" i="2"/>
  <c r="I1097" i="2"/>
  <c r="I509" i="2"/>
  <c r="I1658" i="2"/>
  <c r="I2924" i="2"/>
  <c r="I1098" i="2"/>
  <c r="I2925" i="2"/>
  <c r="I976" i="2"/>
  <c r="I1142" i="2"/>
  <c r="I1623" i="2"/>
  <c r="I1283" i="2"/>
  <c r="I2926" i="2"/>
  <c r="I335" i="2"/>
  <c r="I830" i="2"/>
  <c r="I2927" i="2"/>
  <c r="I2928" i="2"/>
  <c r="I2929" i="2"/>
  <c r="I1099" i="2"/>
  <c r="I2930" i="2"/>
  <c r="I336" i="2"/>
  <c r="I510" i="2"/>
  <c r="I1100" i="2"/>
  <c r="I2931" i="2"/>
  <c r="I2932" i="2"/>
  <c r="I337" i="2"/>
  <c r="I2933" i="2"/>
  <c r="I2934" i="2"/>
  <c r="I831" i="2"/>
  <c r="I1259" i="2"/>
  <c r="I1101" i="2"/>
  <c r="I1624" i="2"/>
  <c r="I338" i="2"/>
  <c r="I1659" i="2"/>
  <c r="I1721" i="2"/>
  <c r="I2935" i="2"/>
  <c r="I1625" i="2"/>
  <c r="I832" i="2"/>
  <c r="I2936" i="2"/>
  <c r="I2937" i="2"/>
  <c r="I833" i="2"/>
  <c r="I834" i="2"/>
  <c r="I2938" i="2"/>
  <c r="I1626" i="2"/>
  <c r="I2939" i="2"/>
  <c r="I2940" i="2"/>
  <c r="I835" i="2"/>
  <c r="I1102" i="2"/>
  <c r="I2941" i="2"/>
  <c r="I1414" i="2"/>
  <c r="I836" i="2"/>
  <c r="I2942" i="2"/>
  <c r="I2943" i="2"/>
  <c r="I1660" i="2"/>
  <c r="I1661" i="2"/>
  <c r="I837" i="2"/>
  <c r="I838" i="2"/>
  <c r="I2944" i="2"/>
  <c r="I2945" i="2"/>
  <c r="I2946" i="2"/>
  <c r="I1627" i="2"/>
  <c r="I2947" i="2"/>
  <c r="I1628" i="2"/>
  <c r="I2948" i="2"/>
  <c r="I2949" i="2"/>
  <c r="I2950" i="2"/>
  <c r="I977" i="2"/>
  <c r="I2951" i="2"/>
  <c r="I1260" i="2"/>
  <c r="I839" i="2"/>
  <c r="I2952" i="2"/>
  <c r="I1261" i="2"/>
  <c r="I2953" i="2"/>
  <c r="I694" i="2"/>
  <c r="I840" i="2"/>
  <c r="I2954" i="2"/>
  <c r="I695" i="2"/>
  <c r="I978" i="2"/>
  <c r="I1662" i="2"/>
  <c r="I1663" i="2"/>
  <c r="I2955" i="2"/>
  <c r="I841" i="2"/>
  <c r="I1143" i="2"/>
  <c r="I1144" i="2"/>
  <c r="I380" i="2"/>
  <c r="I1629" i="2"/>
  <c r="I2956" i="2"/>
  <c r="I696" i="2"/>
  <c r="I2957" i="2"/>
  <c r="I697" i="2"/>
  <c r="I2958" i="2"/>
  <c r="I1722" i="2"/>
  <c r="I894" i="2"/>
  <c r="I1415" i="2"/>
  <c r="I2959" i="2"/>
  <c r="I139" i="2"/>
  <c r="I2960" i="2"/>
  <c r="I140" i="2"/>
  <c r="I2961" i="2"/>
  <c r="I141" i="2"/>
  <c r="I142" i="2"/>
  <c r="I1723" i="2"/>
  <c r="I143" i="2"/>
  <c r="I144" i="2"/>
  <c r="I698" i="2"/>
  <c r="I2962" i="2"/>
  <c r="I145" i="2"/>
  <c r="I146" i="2"/>
  <c r="I2963" i="2"/>
  <c r="I1145" i="2"/>
  <c r="I147" i="2"/>
  <c r="I842" i="2"/>
  <c r="I148" i="2"/>
  <c r="I1284" i="2"/>
  <c r="I2964" i="2"/>
  <c r="I149" i="2"/>
  <c r="I1103" i="2"/>
  <c r="I1430" i="2"/>
  <c r="I409" i="2"/>
  <c r="I1146" i="2"/>
  <c r="I1104" i="2"/>
  <c r="I150" i="2"/>
  <c r="I2965" i="2"/>
  <c r="I1725" i="2"/>
  <c r="I699" i="2"/>
  <c r="I2966" i="2"/>
  <c r="I1262" i="2"/>
  <c r="I151" i="2"/>
  <c r="I2967" i="2"/>
  <c r="I152" i="2"/>
  <c r="I2968" i="2"/>
  <c r="I153" i="2"/>
  <c r="I2969" i="2"/>
  <c r="I2970" i="2"/>
  <c r="I2971" i="2"/>
  <c r="I2972" i="2"/>
  <c r="I2973" i="2"/>
  <c r="I2974" i="2"/>
  <c r="I700" i="2"/>
  <c r="I2975" i="2"/>
  <c r="I381" i="2"/>
  <c r="I701" i="2"/>
  <c r="I2976" i="2"/>
  <c r="I2977" i="2"/>
  <c r="I2978" i="2"/>
  <c r="I2979" i="2"/>
  <c r="I1664" i="2"/>
  <c r="I2980" i="2"/>
  <c r="I2981" i="2"/>
  <c r="I2982" i="2"/>
  <c r="I2983" i="2"/>
  <c r="I1665" i="2"/>
  <c r="A1770" i="2"/>
  <c r="B1770" i="2"/>
  <c r="A32" i="2"/>
  <c r="B32" i="2"/>
  <c r="A733" i="2"/>
  <c r="B733" i="2"/>
  <c r="A1771" i="2"/>
  <c r="B1771" i="2"/>
  <c r="A1772" i="2"/>
  <c r="B1772" i="2"/>
  <c r="A160" i="2"/>
  <c r="B160" i="2"/>
  <c r="A1773" i="2"/>
  <c r="B1773" i="2"/>
  <c r="A1774" i="2"/>
  <c r="B1774" i="2"/>
  <c r="A979" i="2"/>
  <c r="B979" i="2"/>
  <c r="A1775" i="2"/>
  <c r="B1775" i="2"/>
  <c r="A1776" i="2"/>
  <c r="B1776" i="2"/>
  <c r="A1777" i="2"/>
  <c r="B1777" i="2"/>
  <c r="A1778" i="2"/>
  <c r="B1778" i="2"/>
  <c r="A980" i="2"/>
  <c r="B980" i="2"/>
  <c r="A1779" i="2"/>
  <c r="B1779" i="2"/>
  <c r="A1285" i="2"/>
  <c r="B1285" i="2"/>
  <c r="A33" i="2"/>
  <c r="B33" i="2"/>
  <c r="A1780" i="2"/>
  <c r="B1780" i="2"/>
  <c r="A734" i="2"/>
  <c r="B734" i="2"/>
  <c r="A1505" i="2"/>
  <c r="B1505" i="2"/>
  <c r="A1106" i="2"/>
  <c r="B1106" i="2"/>
  <c r="A899" i="2"/>
  <c r="B899" i="2"/>
  <c r="A34" i="2"/>
  <c r="B34" i="2"/>
  <c r="A35" i="2"/>
  <c r="B35" i="2"/>
  <c r="A981" i="2"/>
  <c r="B981" i="2"/>
  <c r="A1781" i="2"/>
  <c r="B1781" i="2"/>
  <c r="A161" i="2"/>
  <c r="B161" i="2"/>
  <c r="A704" i="2"/>
  <c r="B704" i="2"/>
  <c r="A1432" i="2"/>
  <c r="B1432" i="2"/>
  <c r="A1506" i="2"/>
  <c r="B1506" i="2"/>
  <c r="A36" i="2"/>
  <c r="B36" i="2"/>
  <c r="A1148" i="2"/>
  <c r="B1148" i="2"/>
  <c r="A1782" i="2"/>
  <c r="B1782" i="2"/>
  <c r="A162" i="2"/>
  <c r="B162" i="2"/>
  <c r="A735" i="2"/>
  <c r="B735" i="2"/>
  <c r="A1666" i="2"/>
  <c r="B1666" i="2"/>
  <c r="A1783" i="2"/>
  <c r="B1783" i="2"/>
  <c r="A1433" i="2"/>
  <c r="B1433" i="2"/>
  <c r="A1784" i="2"/>
  <c r="B1784" i="2"/>
  <c r="A1785" i="2"/>
  <c r="B1785" i="2"/>
  <c r="A859" i="2"/>
  <c r="B859" i="2"/>
  <c r="A982" i="2"/>
  <c r="B982" i="2"/>
  <c r="A900" i="2"/>
  <c r="B900" i="2"/>
  <c r="A163" i="2"/>
  <c r="B163" i="2"/>
  <c r="A1786" i="2"/>
  <c r="B1786" i="2"/>
  <c r="A1507" i="2"/>
  <c r="B1507" i="2"/>
  <c r="A1787" i="2"/>
  <c r="B1787" i="2"/>
  <c r="A1667" i="2"/>
  <c r="B1667" i="2"/>
  <c r="A901" i="2"/>
  <c r="B901" i="2"/>
  <c r="A1788" i="2"/>
  <c r="B1788" i="2"/>
  <c r="A515" i="2"/>
  <c r="B515" i="2"/>
  <c r="A1789" i="2"/>
  <c r="B1789" i="2"/>
  <c r="A1790" i="2"/>
  <c r="B1790" i="2"/>
  <c r="A1469" i="2"/>
  <c r="B1469" i="2"/>
  <c r="A1791" i="2"/>
  <c r="B1791" i="2"/>
  <c r="A1149" i="2"/>
  <c r="B1149" i="2"/>
  <c r="A1792" i="2"/>
  <c r="B1792" i="2"/>
  <c r="A465" i="2"/>
  <c r="B465" i="2"/>
  <c r="A1793" i="2"/>
  <c r="B1793" i="2"/>
  <c r="A736" i="2"/>
  <c r="B736" i="2"/>
  <c r="A1150" i="2"/>
  <c r="B1150" i="2"/>
  <c r="A1794" i="2"/>
  <c r="B1794" i="2"/>
  <c r="A705" i="2"/>
  <c r="B705" i="2"/>
  <c r="A1795" i="2"/>
  <c r="B1795" i="2"/>
  <c r="A706" i="2"/>
  <c r="B706" i="2"/>
  <c r="A983" i="2"/>
  <c r="B983" i="2"/>
  <c r="A1151" i="2"/>
  <c r="B1151" i="2"/>
  <c r="A164" i="2"/>
  <c r="B164" i="2"/>
  <c r="A1152" i="2"/>
  <c r="B1152" i="2"/>
  <c r="A1153" i="2"/>
  <c r="B1153" i="2"/>
  <c r="A902" i="2"/>
  <c r="B902" i="2"/>
  <c r="A1796" i="2"/>
  <c r="B1796" i="2"/>
  <c r="A1797" i="2"/>
  <c r="B1797" i="2"/>
  <c r="A165" i="2"/>
  <c r="B165" i="2"/>
  <c r="A707" i="2"/>
  <c r="B707" i="2"/>
  <c r="A37" i="2"/>
  <c r="B37" i="2"/>
  <c r="A1798" i="2"/>
  <c r="B1798" i="2"/>
  <c r="A38" i="2"/>
  <c r="B38" i="2"/>
  <c r="A1799" i="2"/>
  <c r="B1799" i="2"/>
  <c r="A1154" i="2"/>
  <c r="B1154" i="2"/>
  <c r="A1434" i="2"/>
  <c r="B1434" i="2"/>
  <c r="A39" i="2"/>
  <c r="B39" i="2"/>
  <c r="A708" i="2"/>
  <c r="B708" i="2"/>
  <c r="A1508" i="2"/>
  <c r="B1508" i="2"/>
  <c r="A1668" i="2"/>
  <c r="B1668" i="2"/>
  <c r="A466" i="2"/>
  <c r="B466" i="2"/>
  <c r="A737" i="2"/>
  <c r="B737" i="2"/>
  <c r="A40" i="2"/>
  <c r="B40" i="2"/>
  <c r="A1800" i="2"/>
  <c r="B1800" i="2"/>
  <c r="A1801" i="2"/>
  <c r="B1801" i="2"/>
  <c r="A41" i="2"/>
  <c r="B41" i="2"/>
  <c r="A42" i="2"/>
  <c r="B42" i="2"/>
  <c r="A43" i="2"/>
  <c r="B43" i="2"/>
  <c r="A516" i="2"/>
  <c r="B516" i="2"/>
  <c r="A517" i="2"/>
  <c r="B517" i="2"/>
  <c r="A1435" i="2"/>
  <c r="B1435" i="2"/>
  <c r="A738" i="2"/>
  <c r="B738" i="2"/>
  <c r="A441" i="2"/>
  <c r="B441" i="2"/>
  <c r="A166" i="2"/>
  <c r="B166" i="2"/>
  <c r="A739" i="2"/>
  <c r="B739" i="2"/>
  <c r="A1802" i="2"/>
  <c r="B1802" i="2"/>
  <c r="A1286" i="2"/>
  <c r="B1286" i="2"/>
  <c r="A1803" i="2"/>
  <c r="B1803" i="2"/>
  <c r="A1155" i="2"/>
  <c r="B1155" i="2"/>
  <c r="A467" i="2"/>
  <c r="B467" i="2"/>
  <c r="A1726" i="2"/>
  <c r="B1726" i="2"/>
  <c r="A1470" i="2"/>
  <c r="B1470" i="2"/>
  <c r="A1156" i="2"/>
  <c r="B1156" i="2"/>
  <c r="A1804" i="2"/>
  <c r="B1804" i="2"/>
  <c r="A1805" i="2"/>
  <c r="B1805" i="2"/>
  <c r="A167" i="2"/>
  <c r="B167" i="2"/>
  <c r="A740" i="2"/>
  <c r="B740" i="2"/>
  <c r="A1157" i="2"/>
  <c r="B1157" i="2"/>
  <c r="A168" i="2"/>
  <c r="B168" i="2"/>
  <c r="A442" i="2"/>
  <c r="B442" i="2"/>
  <c r="A1158" i="2"/>
  <c r="B1158" i="2"/>
  <c r="A1509" i="2"/>
  <c r="B1509" i="2"/>
  <c r="A984" i="2"/>
  <c r="B984" i="2"/>
  <c r="A1107" i="2"/>
  <c r="B1107" i="2"/>
  <c r="A741" i="2"/>
  <c r="B741" i="2"/>
  <c r="A44" i="2"/>
  <c r="B44" i="2"/>
  <c r="A1806" i="2"/>
  <c r="B1806" i="2"/>
  <c r="A1807" i="2"/>
  <c r="B1807" i="2"/>
  <c r="A169" i="2"/>
  <c r="B169" i="2"/>
  <c r="A709" i="2"/>
  <c r="B709" i="2"/>
  <c r="A518" i="2"/>
  <c r="B518" i="2"/>
  <c r="A1159" i="2"/>
  <c r="B1159" i="2"/>
  <c r="A1808" i="2"/>
  <c r="B1808" i="2"/>
  <c r="A45" i="2"/>
  <c r="B45" i="2"/>
  <c r="A519" i="2"/>
  <c r="B519" i="2"/>
  <c r="A710" i="2"/>
  <c r="B710" i="2"/>
  <c r="A46" i="2"/>
  <c r="B46" i="2"/>
  <c r="A1160" i="2"/>
  <c r="B1160" i="2"/>
  <c r="A1669" i="2"/>
  <c r="B1669" i="2"/>
  <c r="A1809" i="2"/>
  <c r="B1809" i="2"/>
  <c r="A1161" i="2"/>
  <c r="B1161" i="2"/>
  <c r="A742" i="2"/>
  <c r="B742" i="2"/>
  <c r="A711" i="2"/>
  <c r="B711" i="2"/>
  <c r="A1810" i="2"/>
  <c r="B1810" i="2"/>
  <c r="A1811" i="2"/>
  <c r="B1811" i="2"/>
  <c r="A1812" i="2"/>
  <c r="B1812" i="2"/>
  <c r="A903" i="2"/>
  <c r="B903" i="2"/>
  <c r="A1813" i="2"/>
  <c r="B1813" i="2"/>
  <c r="A1162" i="2"/>
  <c r="B1162" i="2"/>
  <c r="A1814" i="2"/>
  <c r="B1814" i="2"/>
  <c r="A47" i="2"/>
  <c r="B47" i="2"/>
  <c r="A520" i="2"/>
  <c r="B520" i="2"/>
  <c r="A1670" i="2"/>
  <c r="B1670" i="2"/>
  <c r="A1815" i="2"/>
  <c r="B1815" i="2"/>
  <c r="A743" i="2"/>
  <c r="B743" i="2"/>
  <c r="A712" i="2"/>
  <c r="B712" i="2"/>
  <c r="A468" i="2"/>
  <c r="B468" i="2"/>
  <c r="A443" i="2"/>
  <c r="B443" i="2"/>
  <c r="A1163" i="2"/>
  <c r="B1163" i="2"/>
  <c r="A444" i="2"/>
  <c r="B444" i="2"/>
  <c r="A1164" i="2"/>
  <c r="B1164" i="2"/>
  <c r="A170" i="2"/>
  <c r="B170" i="2"/>
  <c r="A48" i="2"/>
  <c r="B48" i="2"/>
  <c r="A394" i="2"/>
  <c r="B394" i="2"/>
  <c r="A49" i="2"/>
  <c r="B49" i="2"/>
  <c r="A744" i="2"/>
  <c r="B744" i="2"/>
  <c r="A445" i="2"/>
  <c r="B445" i="2"/>
  <c r="A171" i="2"/>
  <c r="B171" i="2"/>
  <c r="A1165" i="2"/>
  <c r="B1165" i="2"/>
  <c r="A713" i="2"/>
  <c r="B713" i="2"/>
  <c r="A50" i="2"/>
  <c r="B50" i="2"/>
  <c r="A1166" i="2"/>
  <c r="B1166" i="2"/>
  <c r="A904" i="2"/>
  <c r="B904" i="2"/>
  <c r="A7" i="2"/>
  <c r="B7" i="2"/>
  <c r="A1816" i="2"/>
  <c r="B1816" i="2"/>
  <c r="A521" i="2"/>
  <c r="B521" i="2"/>
  <c r="A446" i="2"/>
  <c r="B446" i="2"/>
  <c r="A1817" i="2"/>
  <c r="B1817" i="2"/>
  <c r="A1471" i="2"/>
  <c r="B1471" i="2"/>
  <c r="A522" i="2"/>
  <c r="B522" i="2"/>
  <c r="A16" i="2"/>
  <c r="B16" i="2"/>
  <c r="A1167" i="2"/>
  <c r="B1167" i="2"/>
  <c r="A1168" i="2"/>
  <c r="B1168" i="2"/>
  <c r="A985" i="2"/>
  <c r="B985" i="2"/>
  <c r="A51" i="2"/>
  <c r="B51" i="2"/>
  <c r="A1436" i="2"/>
  <c r="B1436" i="2"/>
  <c r="A17" i="2"/>
  <c r="B17" i="2"/>
  <c r="A172" i="2"/>
  <c r="B172" i="2"/>
  <c r="A1169" i="2"/>
  <c r="B1169" i="2"/>
  <c r="A52" i="2"/>
  <c r="B52" i="2"/>
  <c r="A29" i="2"/>
  <c r="B29" i="2"/>
  <c r="A53" i="2"/>
  <c r="B53" i="2"/>
  <c r="A986" i="2"/>
  <c r="B986" i="2"/>
  <c r="A523" i="2"/>
  <c r="B523" i="2"/>
  <c r="A361" i="2"/>
  <c r="B361" i="2"/>
  <c r="A714" i="2"/>
  <c r="B714" i="2"/>
  <c r="A1510" i="2"/>
  <c r="B1510" i="2"/>
  <c r="A447" i="2"/>
  <c r="B447" i="2"/>
  <c r="A987" i="2"/>
  <c r="B987" i="2"/>
  <c r="A1511" i="2"/>
  <c r="B1511" i="2"/>
  <c r="A54" i="2"/>
  <c r="B54" i="2"/>
  <c r="A1287" i="2"/>
  <c r="B1287" i="2"/>
  <c r="A1818" i="2"/>
  <c r="B1818" i="2"/>
  <c r="A715" i="2"/>
  <c r="B715" i="2"/>
  <c r="A1170" i="2"/>
  <c r="B1170" i="2"/>
  <c r="A55" i="2"/>
  <c r="B55" i="2"/>
  <c r="A173" i="2"/>
  <c r="B173" i="2"/>
  <c r="A524" i="2"/>
  <c r="B524" i="2"/>
  <c r="A56" i="2"/>
  <c r="B56" i="2"/>
  <c r="A525" i="2"/>
  <c r="B525" i="2"/>
  <c r="A1819" i="2"/>
  <c r="B1819" i="2"/>
  <c r="A448" i="2"/>
  <c r="B448" i="2"/>
  <c r="A1171" i="2"/>
  <c r="B1171" i="2"/>
  <c r="A1820" i="2"/>
  <c r="B1820" i="2"/>
  <c r="A1172" i="2"/>
  <c r="B1172" i="2"/>
  <c r="A1671" i="2"/>
  <c r="B1671" i="2"/>
  <c r="A57" i="2"/>
  <c r="B57" i="2"/>
  <c r="A1821" i="2"/>
  <c r="B1821" i="2"/>
  <c r="A362" i="2"/>
  <c r="B362" i="2"/>
  <c r="A745" i="2"/>
  <c r="B745" i="2"/>
  <c r="A1822" i="2"/>
  <c r="B1822" i="2"/>
  <c r="A58" i="2"/>
  <c r="B58" i="2"/>
  <c r="A746" i="2"/>
  <c r="B746" i="2"/>
  <c r="A1512" i="2"/>
  <c r="B1512" i="2"/>
  <c r="A1823" i="2"/>
  <c r="B1823" i="2"/>
  <c r="A526" i="2"/>
  <c r="B526" i="2"/>
  <c r="A905" i="2"/>
  <c r="B905" i="2"/>
  <c r="A1288" i="2"/>
  <c r="B1288" i="2"/>
  <c r="A59" i="2"/>
  <c r="B59" i="2"/>
  <c r="A60" i="2"/>
  <c r="B60" i="2"/>
  <c r="A527" i="2"/>
  <c r="B527" i="2"/>
  <c r="A1630" i="2"/>
  <c r="B1630" i="2"/>
  <c r="A363" i="2"/>
  <c r="B363" i="2"/>
  <c r="A1173" i="2"/>
  <c r="B1173" i="2"/>
  <c r="A1174" i="2"/>
  <c r="B1174" i="2"/>
  <c r="A1289" i="2"/>
  <c r="B1289" i="2"/>
  <c r="A528" i="2"/>
  <c r="B528" i="2"/>
  <c r="A1824" i="2"/>
  <c r="B1824" i="2"/>
  <c r="A747" i="2"/>
  <c r="B747" i="2"/>
  <c r="A174" i="2"/>
  <c r="B174" i="2"/>
  <c r="A8" i="2"/>
  <c r="B8" i="2"/>
  <c r="A1825" i="2"/>
  <c r="B1825" i="2"/>
  <c r="A1826" i="2"/>
  <c r="B1826" i="2"/>
  <c r="A1827" i="2"/>
  <c r="B1827" i="2"/>
  <c r="A988" i="2"/>
  <c r="B988" i="2"/>
  <c r="A906" i="2"/>
  <c r="B906" i="2"/>
  <c r="A1828" i="2"/>
  <c r="B1828" i="2"/>
  <c r="A529" i="2"/>
  <c r="B529" i="2"/>
  <c r="A530" i="2"/>
  <c r="B530" i="2"/>
  <c r="A1175" i="2"/>
  <c r="B1175" i="2"/>
  <c r="A907" i="2"/>
  <c r="B907" i="2"/>
  <c r="A716" i="2"/>
  <c r="B716" i="2"/>
  <c r="A748" i="2"/>
  <c r="B748" i="2"/>
  <c r="A61" i="2"/>
  <c r="B61" i="2"/>
  <c r="A531" i="2"/>
  <c r="B531" i="2"/>
  <c r="A1829" i="2"/>
  <c r="B1829" i="2"/>
  <c r="A1176" i="2"/>
  <c r="B1176" i="2"/>
  <c r="A1830" i="2"/>
  <c r="B1830" i="2"/>
  <c r="A895" i="2"/>
  <c r="B895" i="2"/>
  <c r="A1831" i="2"/>
  <c r="B1831" i="2"/>
  <c r="A62" i="2"/>
  <c r="B62" i="2"/>
  <c r="A1832" i="2"/>
  <c r="B1832" i="2"/>
  <c r="A702" i="2"/>
  <c r="B702" i="2"/>
  <c r="A1833" i="2"/>
  <c r="B1833" i="2"/>
  <c r="A1177" i="2"/>
  <c r="B1177" i="2"/>
  <c r="A532" i="2"/>
  <c r="B532" i="2"/>
  <c r="A1178" i="2"/>
  <c r="B1178" i="2"/>
  <c r="A63" i="2"/>
  <c r="B63" i="2"/>
  <c r="A15" i="2"/>
  <c r="B15" i="2"/>
  <c r="A749" i="2"/>
  <c r="B749" i="2"/>
  <c r="A533" i="2"/>
  <c r="B533" i="2"/>
  <c r="A1290" i="2"/>
  <c r="B1290" i="2"/>
  <c r="A64" i="2"/>
  <c r="B64" i="2"/>
  <c r="A750" i="2"/>
  <c r="B750" i="2"/>
  <c r="A26" i="2"/>
  <c r="B26" i="2"/>
  <c r="A65" i="2"/>
  <c r="B65" i="2"/>
  <c r="A4" i="2"/>
  <c r="B4" i="2"/>
  <c r="A9" i="2"/>
  <c r="B9" i="2"/>
  <c r="A1672" i="2"/>
  <c r="B1672" i="2"/>
  <c r="A989" i="2"/>
  <c r="B989" i="2"/>
  <c r="A1179" i="2"/>
  <c r="B1179" i="2"/>
  <c r="A751" i="2"/>
  <c r="B751" i="2"/>
  <c r="A66" i="2"/>
  <c r="B66" i="2"/>
  <c r="A752" i="2"/>
  <c r="B752" i="2"/>
  <c r="A382" i="2"/>
  <c r="B382" i="2"/>
  <c r="A1513" i="2"/>
  <c r="B1513" i="2"/>
  <c r="A1834" i="2"/>
  <c r="B1834" i="2"/>
  <c r="A1727" i="2"/>
  <c r="B1727" i="2"/>
  <c r="A1291" i="2"/>
  <c r="B1291" i="2"/>
  <c r="A175" i="2"/>
  <c r="B175" i="2"/>
  <c r="A990" i="2"/>
  <c r="B990" i="2"/>
  <c r="A67" i="2"/>
  <c r="B67" i="2"/>
  <c r="A176" i="2"/>
  <c r="B176" i="2"/>
  <c r="A1673" i="2"/>
  <c r="B1673" i="2"/>
  <c r="A177" i="2"/>
  <c r="B177" i="2"/>
  <c r="A68" i="2"/>
  <c r="B68" i="2"/>
  <c r="A69" i="2"/>
  <c r="B69" i="2"/>
  <c r="A70" i="2"/>
  <c r="B70" i="2"/>
  <c r="A717" i="2"/>
  <c r="B717" i="2"/>
  <c r="A1835" i="2"/>
  <c r="B1835" i="2"/>
  <c r="A10" i="2"/>
  <c r="B10" i="2"/>
  <c r="A1836" i="2"/>
  <c r="B1836" i="2"/>
  <c r="A30" i="2"/>
  <c r="B30" i="2"/>
  <c r="A71" i="2"/>
  <c r="B71" i="2"/>
  <c r="A1837" i="2"/>
  <c r="B1837" i="2"/>
  <c r="A1180" i="2"/>
  <c r="B1180" i="2"/>
  <c r="A1631" i="2"/>
  <c r="B1631" i="2"/>
  <c r="A72" i="2"/>
  <c r="B72" i="2"/>
  <c r="A73" i="2"/>
  <c r="B73" i="2"/>
  <c r="A364" i="2"/>
  <c r="B364" i="2"/>
  <c r="A1838" i="2"/>
  <c r="B1838" i="2"/>
  <c r="A718" i="2"/>
  <c r="B718" i="2"/>
  <c r="A1514" i="2"/>
  <c r="B1514" i="2"/>
  <c r="A896" i="2"/>
  <c r="B896" i="2"/>
  <c r="A753" i="2"/>
  <c r="B753" i="2"/>
  <c r="A469" i="2"/>
  <c r="B469" i="2"/>
  <c r="A74" i="2"/>
  <c r="B74" i="2"/>
  <c r="A1515" i="2"/>
  <c r="B1515" i="2"/>
  <c r="A1632" i="2"/>
  <c r="B1632" i="2"/>
  <c r="A5" i="2"/>
  <c r="B5" i="2"/>
  <c r="A754" i="2"/>
  <c r="B754" i="2"/>
  <c r="A75" i="2"/>
  <c r="B75" i="2"/>
  <c r="A534" i="2"/>
  <c r="B534" i="2"/>
  <c r="A991" i="2"/>
  <c r="B991" i="2"/>
  <c r="A1516" i="2"/>
  <c r="B1516" i="2"/>
  <c r="A755" i="2"/>
  <c r="B755" i="2"/>
  <c r="A535" i="2"/>
  <c r="B535" i="2"/>
  <c r="A76" i="2"/>
  <c r="B76" i="2"/>
  <c r="A1839" i="2"/>
  <c r="B1839" i="2"/>
  <c r="A536" i="2"/>
  <c r="B536" i="2"/>
  <c r="A1840" i="2"/>
  <c r="B1840" i="2"/>
  <c r="A537" i="2"/>
  <c r="B537" i="2"/>
  <c r="A908" i="2"/>
  <c r="B908" i="2"/>
  <c r="A1292" i="2"/>
  <c r="B1292" i="2"/>
  <c r="A359" i="2"/>
  <c r="B359" i="2"/>
  <c r="A1841" i="2"/>
  <c r="B1841" i="2"/>
  <c r="A11" i="2"/>
  <c r="B11" i="2"/>
  <c r="A178" i="2"/>
  <c r="B178" i="2"/>
  <c r="A1293" i="2"/>
  <c r="B1293" i="2"/>
  <c r="A703" i="2"/>
  <c r="B703" i="2"/>
  <c r="A909" i="2"/>
  <c r="B909" i="2"/>
  <c r="A992" i="2"/>
  <c r="B992" i="2"/>
  <c r="A383" i="2"/>
  <c r="B383" i="2"/>
  <c r="A77" i="2"/>
  <c r="B77" i="2"/>
  <c r="A897" i="2"/>
  <c r="B897" i="2"/>
  <c r="A179" i="2"/>
  <c r="B179" i="2"/>
  <c r="A1294" i="2"/>
  <c r="B1294" i="2"/>
  <c r="A13" i="2"/>
  <c r="B13" i="2"/>
  <c r="A78" i="2"/>
  <c r="B78" i="2"/>
  <c r="A79" i="2"/>
  <c r="B79" i="2"/>
  <c r="A1181" i="2"/>
  <c r="B1181" i="2"/>
  <c r="A1182" i="2"/>
  <c r="B1182" i="2"/>
  <c r="A1295" i="2"/>
  <c r="B1295" i="2"/>
  <c r="A756" i="2"/>
  <c r="B756" i="2"/>
  <c r="A1674" i="2"/>
  <c r="B1674" i="2"/>
  <c r="A1842" i="2"/>
  <c r="B1842" i="2"/>
  <c r="A384" i="2"/>
  <c r="B384" i="2"/>
  <c r="A1296" i="2"/>
  <c r="B1296" i="2"/>
  <c r="A180" i="2"/>
  <c r="B180" i="2"/>
  <c r="A1297" i="2"/>
  <c r="B1297" i="2"/>
  <c r="A12" i="2"/>
  <c r="B12" i="2"/>
  <c r="A719" i="2"/>
  <c r="B719" i="2"/>
  <c r="A910" i="2"/>
  <c r="B910" i="2"/>
  <c r="A1843" i="2"/>
  <c r="B1843" i="2"/>
  <c r="A911" i="2"/>
  <c r="B911" i="2"/>
  <c r="A80" i="2"/>
  <c r="B80" i="2"/>
  <c r="A1108" i="2"/>
  <c r="B1108" i="2"/>
  <c r="A1633" i="2"/>
  <c r="B1633" i="2"/>
  <c r="A912" i="2"/>
  <c r="B912" i="2"/>
  <c r="A81" i="2"/>
  <c r="B81" i="2"/>
  <c r="A385" i="2"/>
  <c r="B385" i="2"/>
  <c r="A14" i="2"/>
  <c r="B14" i="2"/>
  <c r="A1844" i="2"/>
  <c r="B1844" i="2"/>
  <c r="A1183" i="2"/>
  <c r="B1183" i="2"/>
  <c r="A360" i="2"/>
  <c r="B360" i="2"/>
  <c r="A898" i="2"/>
  <c r="B898" i="2"/>
  <c r="A1845" i="2"/>
  <c r="B1845" i="2"/>
  <c r="A27" i="2"/>
  <c r="B27" i="2"/>
  <c r="A82" i="2"/>
  <c r="B82" i="2"/>
  <c r="A1298" i="2"/>
  <c r="B1298" i="2"/>
  <c r="A83" i="2"/>
  <c r="B83" i="2"/>
  <c r="A1846" i="2"/>
  <c r="B1846" i="2"/>
  <c r="A1847" i="2"/>
  <c r="B1847" i="2"/>
  <c r="A757" i="2"/>
  <c r="B757" i="2"/>
  <c r="A758" i="2"/>
  <c r="B758" i="2"/>
  <c r="A84" i="2"/>
  <c r="B84" i="2"/>
  <c r="A85" i="2"/>
  <c r="B85" i="2"/>
  <c r="A470" i="2"/>
  <c r="B470" i="2"/>
  <c r="A471" i="2"/>
  <c r="B471" i="2"/>
  <c r="A86" i="2"/>
  <c r="B86" i="2"/>
  <c r="A365" i="2"/>
  <c r="B365" i="2"/>
  <c r="A181" i="2"/>
  <c r="B181" i="2"/>
  <c r="A1517" i="2"/>
  <c r="B1517" i="2"/>
  <c r="A87" i="2"/>
  <c r="B87" i="2"/>
  <c r="A1299" i="2"/>
  <c r="B1299" i="2"/>
  <c r="A1300" i="2"/>
  <c r="B1300" i="2"/>
  <c r="A759" i="2"/>
  <c r="B759" i="2"/>
  <c r="A1728" i="2"/>
  <c r="B1728" i="2"/>
  <c r="A1184" i="2"/>
  <c r="B1184" i="2"/>
  <c r="A1848" i="2"/>
  <c r="B1848" i="2"/>
  <c r="A913" i="2"/>
  <c r="B913" i="2"/>
  <c r="A1185" i="2"/>
  <c r="B1185" i="2"/>
  <c r="A28" i="2"/>
  <c r="B28" i="2"/>
  <c r="A1109" i="2"/>
  <c r="B1109" i="2"/>
  <c r="A1849" i="2"/>
  <c r="B1849" i="2"/>
  <c r="A366" i="2"/>
  <c r="B366" i="2"/>
  <c r="A1850" i="2"/>
  <c r="B1850" i="2"/>
  <c r="A1301" i="2"/>
  <c r="B1301" i="2"/>
  <c r="A182" i="2"/>
  <c r="B182" i="2"/>
  <c r="A183" i="2"/>
  <c r="B183" i="2"/>
  <c r="A184" i="2"/>
  <c r="B184" i="2"/>
  <c r="A760" i="2"/>
  <c r="B760" i="2"/>
  <c r="A369" i="2"/>
  <c r="B369" i="2"/>
  <c r="A1729" i="2"/>
  <c r="B1729" i="2"/>
  <c r="A1186" i="2"/>
  <c r="B1186" i="2"/>
  <c r="A472" i="2"/>
  <c r="B472" i="2"/>
  <c r="A1187" i="2"/>
  <c r="B1187" i="2"/>
  <c r="A1188" i="2"/>
  <c r="B1188" i="2"/>
  <c r="A720" i="2"/>
  <c r="B720" i="2"/>
  <c r="A1110" i="2"/>
  <c r="B1110" i="2"/>
  <c r="A1518" i="2"/>
  <c r="B1518" i="2"/>
  <c r="A1189" i="2"/>
  <c r="B1189" i="2"/>
  <c r="A1851" i="2"/>
  <c r="B1851" i="2"/>
  <c r="A88" i="2"/>
  <c r="B88" i="2"/>
  <c r="A721" i="2"/>
  <c r="B721" i="2"/>
  <c r="A1519" i="2"/>
  <c r="B1519" i="2"/>
  <c r="A538" i="2"/>
  <c r="B538" i="2"/>
  <c r="A367" i="2"/>
  <c r="B367" i="2"/>
  <c r="A539" i="2"/>
  <c r="B539" i="2"/>
  <c r="A368" i="2"/>
  <c r="B368" i="2"/>
  <c r="A722" i="2"/>
  <c r="B722" i="2"/>
  <c r="A1852" i="2"/>
  <c r="B1852" i="2"/>
  <c r="A914" i="2"/>
  <c r="B914" i="2"/>
  <c r="A185" i="2"/>
  <c r="B185" i="2"/>
  <c r="A1302" i="2"/>
  <c r="B1302" i="2"/>
  <c r="A1853" i="2"/>
  <c r="B1853" i="2"/>
  <c r="A1854" i="2"/>
  <c r="B1854" i="2"/>
  <c r="A1303" i="2"/>
  <c r="B1303" i="2"/>
  <c r="A723" i="2"/>
  <c r="B723" i="2"/>
  <c r="A370" i="2"/>
  <c r="B370" i="2"/>
  <c r="A89" i="2"/>
  <c r="B89" i="2"/>
  <c r="A186" i="2"/>
  <c r="B186" i="2"/>
  <c r="A761" i="2"/>
  <c r="B761" i="2"/>
  <c r="A6" i="2"/>
  <c r="B6" i="2"/>
  <c r="A1190" i="2"/>
  <c r="B1190" i="2"/>
  <c r="A1111" i="2"/>
  <c r="B1111" i="2"/>
  <c r="A1855" i="2"/>
  <c r="B1855" i="2"/>
  <c r="A1437" i="2"/>
  <c r="B1437" i="2"/>
  <c r="A187" i="2"/>
  <c r="B187" i="2"/>
  <c r="A993" i="2"/>
  <c r="B993" i="2"/>
  <c r="A188" i="2"/>
  <c r="B188" i="2"/>
  <c r="A540" i="2"/>
  <c r="B540" i="2"/>
  <c r="A90" i="2"/>
  <c r="B90" i="2"/>
  <c r="A91" i="2"/>
  <c r="B91" i="2"/>
  <c r="A915" i="2"/>
  <c r="B915" i="2"/>
  <c r="A1856" i="2"/>
  <c r="B1856" i="2"/>
  <c r="A1191" i="2"/>
  <c r="B1191" i="2"/>
  <c r="A92" i="2"/>
  <c r="B92" i="2"/>
  <c r="A1192" i="2"/>
  <c r="B1192" i="2"/>
  <c r="A1112" i="2"/>
  <c r="B1112" i="2"/>
  <c r="A189" i="2"/>
  <c r="B189" i="2"/>
  <c r="A190" i="2"/>
  <c r="B190" i="2"/>
  <c r="A191" i="2"/>
  <c r="B191" i="2"/>
  <c r="A192" i="2"/>
  <c r="B192" i="2"/>
  <c r="A1304" i="2"/>
  <c r="B1304" i="2"/>
  <c r="A193" i="2"/>
  <c r="B193" i="2"/>
  <c r="A93" i="2"/>
  <c r="B93" i="2"/>
  <c r="A1857" i="2"/>
  <c r="B1857" i="2"/>
  <c r="A94" i="2"/>
  <c r="B94" i="2"/>
  <c r="A1858" i="2"/>
  <c r="B1858" i="2"/>
  <c r="A1859" i="2"/>
  <c r="B1859" i="2"/>
  <c r="A1305" i="2"/>
  <c r="B1305" i="2"/>
  <c r="A916" i="2"/>
  <c r="B916" i="2"/>
  <c r="A95" i="2"/>
  <c r="B95" i="2"/>
  <c r="A1860" i="2"/>
  <c r="B1860" i="2"/>
  <c r="A917" i="2"/>
  <c r="B917" i="2"/>
  <c r="A1438" i="2"/>
  <c r="B1438" i="2"/>
  <c r="A1861" i="2"/>
  <c r="B1861" i="2"/>
  <c r="A994" i="2"/>
  <c r="B994" i="2"/>
  <c r="A762" i="2"/>
  <c r="B762" i="2"/>
  <c r="A96" i="2"/>
  <c r="B96" i="2"/>
  <c r="A1675" i="2"/>
  <c r="B1675" i="2"/>
  <c r="A395" i="2"/>
  <c r="B395" i="2"/>
  <c r="A97" i="2"/>
  <c r="B97" i="2"/>
  <c r="A541" i="2"/>
  <c r="B541" i="2"/>
  <c r="A1862" i="2"/>
  <c r="B1862" i="2"/>
  <c r="A98" i="2"/>
  <c r="B98" i="2"/>
  <c r="A860" i="2"/>
  <c r="B860" i="2"/>
  <c r="A918" i="2"/>
  <c r="B918" i="2"/>
  <c r="A99" i="2"/>
  <c r="B99" i="2"/>
  <c r="A1863" i="2"/>
  <c r="B1863" i="2"/>
  <c r="A1676" i="2"/>
  <c r="B1676" i="2"/>
  <c r="A1263" i="2"/>
  <c r="B1263" i="2"/>
  <c r="A1864" i="2"/>
  <c r="B1864" i="2"/>
  <c r="A1865" i="2"/>
  <c r="B1865" i="2"/>
  <c r="A1866" i="2"/>
  <c r="B1866" i="2"/>
  <c r="A1867" i="2"/>
  <c r="B1867" i="2"/>
  <c r="A1868" i="2"/>
  <c r="B1868" i="2"/>
  <c r="A100" i="2"/>
  <c r="B100" i="2"/>
  <c r="A101" i="2"/>
  <c r="B101" i="2"/>
  <c r="A1869" i="2"/>
  <c r="B1869" i="2"/>
  <c r="A1870" i="2"/>
  <c r="B1870" i="2"/>
  <c r="A1871" i="2"/>
  <c r="B1871" i="2"/>
  <c r="A1872" i="2"/>
  <c r="B1872" i="2"/>
  <c r="A1472" i="2"/>
  <c r="B1472" i="2"/>
  <c r="A1520" i="2"/>
  <c r="B1520" i="2"/>
  <c r="A1521" i="2"/>
  <c r="B1521" i="2"/>
  <c r="A1873" i="2"/>
  <c r="B1873" i="2"/>
  <c r="A1677" i="2"/>
  <c r="B1677" i="2"/>
  <c r="A1874" i="2"/>
  <c r="B1874" i="2"/>
  <c r="A1730" i="2"/>
  <c r="B1730" i="2"/>
  <c r="A1731" i="2"/>
  <c r="B1731" i="2"/>
  <c r="A102" i="2"/>
  <c r="B102" i="2"/>
  <c r="A1264" i="2"/>
  <c r="B1264" i="2"/>
  <c r="A1875" i="2"/>
  <c r="B1875" i="2"/>
  <c r="A103" i="2"/>
  <c r="B103" i="2"/>
  <c r="A1306" i="2"/>
  <c r="B1306" i="2"/>
  <c r="A1732" i="2"/>
  <c r="B1732" i="2"/>
  <c r="A104" i="2"/>
  <c r="B104" i="2"/>
  <c r="A728" i="2"/>
  <c r="B728" i="2"/>
  <c r="A1876" i="2"/>
  <c r="B1876" i="2"/>
  <c r="A1678" i="2"/>
  <c r="B1678" i="2"/>
  <c r="A1877" i="2"/>
  <c r="B1877" i="2"/>
  <c r="A1878" i="2"/>
  <c r="B1878" i="2"/>
  <c r="A105" i="2"/>
  <c r="B105" i="2"/>
  <c r="A1879" i="2"/>
  <c r="B1879" i="2"/>
  <c r="A1880" i="2"/>
  <c r="B1880" i="2"/>
  <c r="A1881" i="2"/>
  <c r="B1881" i="2"/>
  <c r="A1882" i="2"/>
  <c r="B1882" i="2"/>
  <c r="A1883" i="2"/>
  <c r="B1883" i="2"/>
  <c r="A1884" i="2"/>
  <c r="B1884" i="2"/>
  <c r="A1193" i="2"/>
  <c r="B1193" i="2"/>
  <c r="A861" i="2"/>
  <c r="B861" i="2"/>
  <c r="A1885" i="2"/>
  <c r="B1885" i="2"/>
  <c r="A1886" i="2"/>
  <c r="B1886" i="2"/>
  <c r="A1887" i="2"/>
  <c r="B1887" i="2"/>
  <c r="A862" i="2"/>
  <c r="B862" i="2"/>
  <c r="A1888" i="2"/>
  <c r="B1888" i="2"/>
  <c r="A919" i="2"/>
  <c r="B919" i="2"/>
  <c r="A1889" i="2"/>
  <c r="B1889" i="2"/>
  <c r="A106" i="2"/>
  <c r="B106" i="2"/>
  <c r="A1890" i="2"/>
  <c r="B1890" i="2"/>
  <c r="A1891" i="2"/>
  <c r="B1891" i="2"/>
  <c r="A1892" i="2"/>
  <c r="B1892" i="2"/>
  <c r="A1893" i="2"/>
  <c r="B1893" i="2"/>
  <c r="A1894" i="2"/>
  <c r="B1894" i="2"/>
  <c r="A1895" i="2"/>
  <c r="B1895" i="2"/>
  <c r="A1679" i="2"/>
  <c r="B1679" i="2"/>
  <c r="A1896" i="2"/>
  <c r="B1896" i="2"/>
  <c r="A1897" i="2"/>
  <c r="B1897" i="2"/>
  <c r="A1898" i="2"/>
  <c r="B1898" i="2"/>
  <c r="A1899" i="2"/>
  <c r="B1899" i="2"/>
  <c r="A1900" i="2"/>
  <c r="B1900" i="2"/>
  <c r="A1307" i="2"/>
  <c r="B1307" i="2"/>
  <c r="A995" i="2"/>
  <c r="B995" i="2"/>
  <c r="A843" i="2"/>
  <c r="B843" i="2"/>
  <c r="A763" i="2"/>
  <c r="B763" i="2"/>
  <c r="A1733" i="2"/>
  <c r="B1733" i="2"/>
  <c r="A996" i="2"/>
  <c r="B996" i="2"/>
  <c r="A1901" i="2"/>
  <c r="B1901" i="2"/>
  <c r="A1902" i="2"/>
  <c r="B1902" i="2"/>
  <c r="A920" i="2"/>
  <c r="B920" i="2"/>
  <c r="A1265" i="2"/>
  <c r="B1265" i="2"/>
  <c r="A1194" i="2"/>
  <c r="B1194" i="2"/>
  <c r="A1522" i="2"/>
  <c r="B1522" i="2"/>
  <c r="A1903" i="2"/>
  <c r="B1903" i="2"/>
  <c r="A1308" i="2"/>
  <c r="B1308" i="2"/>
  <c r="A1473" i="2"/>
  <c r="B1473" i="2"/>
  <c r="A1523" i="2"/>
  <c r="B1523" i="2"/>
  <c r="A1680" i="2"/>
  <c r="B1680" i="2"/>
  <c r="A1904" i="2"/>
  <c r="B1904" i="2"/>
  <c r="A729" i="2"/>
  <c r="B729" i="2"/>
  <c r="A1905" i="2"/>
  <c r="B1905" i="2"/>
  <c r="A1309" i="2"/>
  <c r="B1309" i="2"/>
  <c r="A1906" i="2"/>
  <c r="B1906" i="2"/>
  <c r="A1907" i="2"/>
  <c r="B1907" i="2"/>
  <c r="A1524" i="2"/>
  <c r="B1524" i="2"/>
  <c r="A1908" i="2"/>
  <c r="B1908" i="2"/>
  <c r="A1909" i="2"/>
  <c r="B1909" i="2"/>
  <c r="A997" i="2"/>
  <c r="B997" i="2"/>
  <c r="A1910" i="2"/>
  <c r="B1910" i="2"/>
  <c r="A1911" i="2"/>
  <c r="B1911" i="2"/>
  <c r="A1734" i="2"/>
  <c r="B1734" i="2"/>
  <c r="A107" i="2"/>
  <c r="B107" i="2"/>
  <c r="A1912" i="2"/>
  <c r="B1912" i="2"/>
  <c r="A863" i="2"/>
  <c r="B863" i="2"/>
  <c r="A864" i="2"/>
  <c r="B864" i="2"/>
  <c r="A844" i="2"/>
  <c r="B844" i="2"/>
  <c r="A921" i="2"/>
  <c r="B921" i="2"/>
  <c r="A1913" i="2"/>
  <c r="B1913" i="2"/>
  <c r="A1914" i="2"/>
  <c r="B1914" i="2"/>
  <c r="A1310" i="2"/>
  <c r="B1310" i="2"/>
  <c r="A1915" i="2"/>
  <c r="B1915" i="2"/>
  <c r="A396" i="2"/>
  <c r="B396" i="2"/>
  <c r="A1916" i="2"/>
  <c r="B1916" i="2"/>
  <c r="A764" i="2"/>
  <c r="B764" i="2"/>
  <c r="A108" i="2"/>
  <c r="B108" i="2"/>
  <c r="A1681" i="2"/>
  <c r="B1681" i="2"/>
  <c r="A1917" i="2"/>
  <c r="B1917" i="2"/>
  <c r="A1918" i="2"/>
  <c r="B1918" i="2"/>
  <c r="A865" i="2"/>
  <c r="B865" i="2"/>
  <c r="A1735" i="2"/>
  <c r="B1735" i="2"/>
  <c r="A1919" i="2"/>
  <c r="B1919" i="2"/>
  <c r="A1920" i="2"/>
  <c r="B1920" i="2"/>
  <c r="A109" i="2"/>
  <c r="B109" i="2"/>
  <c r="A1195" i="2"/>
  <c r="B1195" i="2"/>
  <c r="A998" i="2"/>
  <c r="B998" i="2"/>
  <c r="A1921" i="2"/>
  <c r="B1921" i="2"/>
  <c r="A542" i="2"/>
  <c r="B542" i="2"/>
  <c r="A1922" i="2"/>
  <c r="B1922" i="2"/>
  <c r="A1736" i="2"/>
  <c r="B1736" i="2"/>
  <c r="A1923" i="2"/>
  <c r="B1923" i="2"/>
  <c r="A1924" i="2"/>
  <c r="B1924" i="2"/>
  <c r="A1925" i="2"/>
  <c r="B1925" i="2"/>
  <c r="A845" i="2"/>
  <c r="B845" i="2"/>
  <c r="A1926" i="2"/>
  <c r="B1926" i="2"/>
  <c r="A1927" i="2"/>
  <c r="B1927" i="2"/>
  <c r="A1928" i="2"/>
  <c r="B1928" i="2"/>
  <c r="A922" i="2"/>
  <c r="B922" i="2"/>
  <c r="A110" i="2"/>
  <c r="B110" i="2"/>
  <c r="A866" i="2"/>
  <c r="B866" i="2"/>
  <c r="A1929" i="2"/>
  <c r="B1929" i="2"/>
  <c r="A1682" i="2"/>
  <c r="B1682" i="2"/>
  <c r="A1930" i="2"/>
  <c r="B1930" i="2"/>
  <c r="A1931" i="2"/>
  <c r="B1931" i="2"/>
  <c r="A1932" i="2"/>
  <c r="B1932" i="2"/>
  <c r="A1933" i="2"/>
  <c r="B1933" i="2"/>
  <c r="A730" i="2"/>
  <c r="B730" i="2"/>
  <c r="A111" i="2"/>
  <c r="B111" i="2"/>
  <c r="A1934" i="2"/>
  <c r="B1934" i="2"/>
  <c r="A1439" i="2"/>
  <c r="B1439" i="2"/>
  <c r="A543" i="2"/>
  <c r="B543" i="2"/>
  <c r="A112" i="2"/>
  <c r="B112" i="2"/>
  <c r="A544" i="2"/>
  <c r="B544" i="2"/>
  <c r="A1935" i="2"/>
  <c r="B1935" i="2"/>
  <c r="A1936" i="2"/>
  <c r="B1936" i="2"/>
  <c r="A113" i="2"/>
  <c r="B113" i="2"/>
  <c r="A1937" i="2"/>
  <c r="B1937" i="2"/>
  <c r="A1938" i="2"/>
  <c r="B1938" i="2"/>
  <c r="A1474" i="2"/>
  <c r="B1474" i="2"/>
  <c r="A1939" i="2"/>
  <c r="B1939" i="2"/>
  <c r="A545" i="2"/>
  <c r="B545" i="2"/>
  <c r="A1940" i="2"/>
  <c r="B1940" i="2"/>
  <c r="A1941" i="2"/>
  <c r="B1941" i="2"/>
  <c r="A1942" i="2"/>
  <c r="B1942" i="2"/>
  <c r="A397" i="2"/>
  <c r="B397" i="2"/>
  <c r="A1943" i="2"/>
  <c r="B1943" i="2"/>
  <c r="A1944" i="2"/>
  <c r="B1944" i="2"/>
  <c r="A1945" i="2"/>
  <c r="B1945" i="2"/>
  <c r="A114" i="2"/>
  <c r="B114" i="2"/>
  <c r="A1946" i="2"/>
  <c r="B1946" i="2"/>
  <c r="A1475" i="2"/>
  <c r="B1475" i="2"/>
  <c r="A546" i="2"/>
  <c r="B546" i="2"/>
  <c r="A846" i="2"/>
  <c r="B846" i="2"/>
  <c r="A1947" i="2"/>
  <c r="B1947" i="2"/>
  <c r="A398" i="2"/>
  <c r="B398" i="2"/>
  <c r="A1948" i="2"/>
  <c r="B1948" i="2"/>
  <c r="A1266" i="2"/>
  <c r="B1266" i="2"/>
  <c r="A1949" i="2"/>
  <c r="B1949" i="2"/>
  <c r="A547" i="2"/>
  <c r="B547" i="2"/>
  <c r="A548" i="2"/>
  <c r="B548" i="2"/>
  <c r="A765" i="2"/>
  <c r="B765" i="2"/>
  <c r="A1476" i="2"/>
  <c r="B1476" i="2"/>
  <c r="A999" i="2"/>
  <c r="B999" i="2"/>
  <c r="A1525" i="2"/>
  <c r="B1525" i="2"/>
  <c r="A1950" i="2"/>
  <c r="B1950" i="2"/>
  <c r="A1311" i="2"/>
  <c r="B1311" i="2"/>
  <c r="A1951" i="2"/>
  <c r="B1951" i="2"/>
  <c r="A1952" i="2"/>
  <c r="B1952" i="2"/>
  <c r="A1000" i="2"/>
  <c r="B1000" i="2"/>
  <c r="A1953" i="2"/>
  <c r="B1953" i="2"/>
  <c r="A867" i="2"/>
  <c r="B867" i="2"/>
  <c r="A1683" i="2"/>
  <c r="B1683" i="2"/>
  <c r="A1954" i="2"/>
  <c r="B1954" i="2"/>
  <c r="A1196" i="2"/>
  <c r="B1196" i="2"/>
  <c r="A923" i="2"/>
  <c r="B923" i="2"/>
  <c r="A924" i="2"/>
  <c r="B924" i="2"/>
  <c r="A549" i="2"/>
  <c r="B549" i="2"/>
  <c r="A1955" i="2"/>
  <c r="B1955" i="2"/>
  <c r="A1684" i="2"/>
  <c r="B1684" i="2"/>
  <c r="A1956" i="2"/>
  <c r="B1956" i="2"/>
  <c r="A1526" i="2"/>
  <c r="B1526" i="2"/>
  <c r="A1197" i="2"/>
  <c r="B1197" i="2"/>
  <c r="A1001" i="2"/>
  <c r="B1001" i="2"/>
  <c r="A1957" i="2"/>
  <c r="B1957" i="2"/>
  <c r="A1958" i="2"/>
  <c r="B1958" i="2"/>
  <c r="A1959" i="2"/>
  <c r="B1959" i="2"/>
  <c r="A1737" i="2"/>
  <c r="B1737" i="2"/>
  <c r="A1002" i="2"/>
  <c r="B1002" i="2"/>
  <c r="A1003" i="2"/>
  <c r="B1003" i="2"/>
  <c r="A1960" i="2"/>
  <c r="B1960" i="2"/>
  <c r="A1004" i="2"/>
  <c r="B1004" i="2"/>
  <c r="A1961" i="2"/>
  <c r="B1961" i="2"/>
  <c r="A1416" i="2"/>
  <c r="B1416" i="2"/>
  <c r="A1738" i="2"/>
  <c r="B1738" i="2"/>
  <c r="A1962" i="2"/>
  <c r="B1962" i="2"/>
  <c r="A1963" i="2"/>
  <c r="B1963" i="2"/>
  <c r="A1312" i="2"/>
  <c r="B1312" i="2"/>
  <c r="A1964" i="2"/>
  <c r="B1964" i="2"/>
  <c r="A550" i="2"/>
  <c r="B550" i="2"/>
  <c r="A1313" i="2"/>
  <c r="B1313" i="2"/>
  <c r="A1440" i="2"/>
  <c r="B1440" i="2"/>
  <c r="A1005" i="2"/>
  <c r="B1005" i="2"/>
  <c r="A410" i="2"/>
  <c r="B410" i="2"/>
  <c r="A1527" i="2"/>
  <c r="B1527" i="2"/>
  <c r="A766" i="2"/>
  <c r="B766" i="2"/>
  <c r="A767" i="2"/>
  <c r="B767" i="2"/>
  <c r="A449" i="2"/>
  <c r="B449" i="2"/>
  <c r="A1006" i="2"/>
  <c r="B1006" i="2"/>
  <c r="A1965" i="2"/>
  <c r="B1965" i="2"/>
  <c r="A1966" i="2"/>
  <c r="B1966" i="2"/>
  <c r="A115" i="2"/>
  <c r="B115" i="2"/>
  <c r="A411" i="2"/>
  <c r="B411" i="2"/>
  <c r="A412" i="2"/>
  <c r="B412" i="2"/>
  <c r="A116" i="2"/>
  <c r="B116" i="2"/>
  <c r="A1967" i="2"/>
  <c r="B1967" i="2"/>
  <c r="A1007" i="2"/>
  <c r="B1007" i="2"/>
  <c r="A1113" i="2"/>
  <c r="B1113" i="2"/>
  <c r="A1968" i="2"/>
  <c r="B1968" i="2"/>
  <c r="A1969" i="2"/>
  <c r="B1969" i="2"/>
  <c r="A868" i="2"/>
  <c r="B868" i="2"/>
  <c r="A847" i="2"/>
  <c r="B847" i="2"/>
  <c r="A1970" i="2"/>
  <c r="B1970" i="2"/>
  <c r="A551" i="2"/>
  <c r="B551" i="2"/>
  <c r="A1971" i="2"/>
  <c r="B1971" i="2"/>
  <c r="A1972" i="2"/>
  <c r="B1972" i="2"/>
  <c r="A731" i="2"/>
  <c r="B731" i="2"/>
  <c r="A399" i="2"/>
  <c r="B399" i="2"/>
  <c r="A1008" i="2"/>
  <c r="B1008" i="2"/>
  <c r="A1477" i="2"/>
  <c r="B1477" i="2"/>
  <c r="A1441" i="2"/>
  <c r="B1441" i="2"/>
  <c r="A1685" i="2"/>
  <c r="B1685" i="2"/>
  <c r="A1973" i="2"/>
  <c r="B1973" i="2"/>
  <c r="A552" i="2"/>
  <c r="B552" i="2"/>
  <c r="A1974" i="2"/>
  <c r="B1974" i="2"/>
  <c r="A450" i="2"/>
  <c r="B450" i="2"/>
  <c r="A1975" i="2"/>
  <c r="B1975" i="2"/>
  <c r="A1976" i="2"/>
  <c r="B1976" i="2"/>
  <c r="A413" i="2"/>
  <c r="B413" i="2"/>
  <c r="A1977" i="2"/>
  <c r="B1977" i="2"/>
  <c r="A1978" i="2"/>
  <c r="B1978" i="2"/>
  <c r="A553" i="2"/>
  <c r="B553" i="2"/>
  <c r="A1528" i="2"/>
  <c r="B1528" i="2"/>
  <c r="A1529" i="2"/>
  <c r="B1529" i="2"/>
  <c r="A1979" i="2"/>
  <c r="B1979" i="2"/>
  <c r="A1980" i="2"/>
  <c r="B1980" i="2"/>
  <c r="A117" i="2"/>
  <c r="B117" i="2"/>
  <c r="A1314" i="2"/>
  <c r="B1314" i="2"/>
  <c r="A1981" i="2"/>
  <c r="B1981" i="2"/>
  <c r="A1982" i="2"/>
  <c r="B1982" i="2"/>
  <c r="A1983" i="2"/>
  <c r="B1983" i="2"/>
  <c r="A1442" i="2"/>
  <c r="B1442" i="2"/>
  <c r="A1443" i="2"/>
  <c r="B1443" i="2"/>
  <c r="A1984" i="2"/>
  <c r="B1984" i="2"/>
  <c r="A1985" i="2"/>
  <c r="B1985" i="2"/>
  <c r="A1739" i="2"/>
  <c r="B1739" i="2"/>
  <c r="A1986" i="2"/>
  <c r="B1986" i="2"/>
  <c r="A451" i="2"/>
  <c r="B451" i="2"/>
  <c r="A1987" i="2"/>
  <c r="B1987" i="2"/>
  <c r="A452" i="2"/>
  <c r="B452" i="2"/>
  <c r="A1530" i="2"/>
  <c r="B1530" i="2"/>
  <c r="A453" i="2"/>
  <c r="B453" i="2"/>
  <c r="A1988" i="2"/>
  <c r="B1988" i="2"/>
  <c r="A1444" i="2"/>
  <c r="B1444" i="2"/>
  <c r="A1989" i="2"/>
  <c r="B1989" i="2"/>
  <c r="A1990" i="2"/>
  <c r="B1990" i="2"/>
  <c r="A1991" i="2"/>
  <c r="B1991" i="2"/>
  <c r="A1992" i="2"/>
  <c r="B1992" i="2"/>
  <c r="A1478" i="2"/>
  <c r="B1478" i="2"/>
  <c r="A1009" i="2"/>
  <c r="B1009" i="2"/>
  <c r="A454" i="2"/>
  <c r="B454" i="2"/>
  <c r="A1993" i="2"/>
  <c r="B1993" i="2"/>
  <c r="A1010" i="2"/>
  <c r="B1010" i="2"/>
  <c r="A768" i="2"/>
  <c r="B768" i="2"/>
  <c r="A554" i="2"/>
  <c r="B554" i="2"/>
  <c r="A1198" i="2"/>
  <c r="B1198" i="2"/>
  <c r="A455" i="2"/>
  <c r="B455" i="2"/>
  <c r="A1994" i="2"/>
  <c r="B1994" i="2"/>
  <c r="A1995" i="2"/>
  <c r="B1995" i="2"/>
  <c r="A1199" i="2"/>
  <c r="B1199" i="2"/>
  <c r="A118" i="2"/>
  <c r="B118" i="2"/>
  <c r="A1996" i="2"/>
  <c r="B1996" i="2"/>
  <c r="A1997" i="2"/>
  <c r="B1997" i="2"/>
  <c r="A1998" i="2"/>
  <c r="B1998" i="2"/>
  <c r="A925" i="2"/>
  <c r="B925" i="2"/>
  <c r="A1531" i="2"/>
  <c r="B1531" i="2"/>
  <c r="A555" i="2"/>
  <c r="B555" i="2"/>
  <c r="A556" i="2"/>
  <c r="B556" i="2"/>
  <c r="A1267" i="2"/>
  <c r="B1267" i="2"/>
  <c r="A1315" i="2"/>
  <c r="B1315" i="2"/>
  <c r="A1999" i="2"/>
  <c r="B1999" i="2"/>
  <c r="A2000" i="2"/>
  <c r="B2000" i="2"/>
  <c r="A2001" i="2"/>
  <c r="B2001" i="2"/>
  <c r="A557" i="2"/>
  <c r="B557" i="2"/>
  <c r="A2002" i="2"/>
  <c r="B2002" i="2"/>
  <c r="A1200" i="2"/>
  <c r="B1200" i="2"/>
  <c r="A2003" i="2"/>
  <c r="B2003" i="2"/>
  <c r="A1740" i="2"/>
  <c r="B1740" i="2"/>
  <c r="A2004" i="2"/>
  <c r="B2004" i="2"/>
  <c r="A2005" i="2"/>
  <c r="B2005" i="2"/>
  <c r="A1479" i="2"/>
  <c r="B1479" i="2"/>
  <c r="A2006" i="2"/>
  <c r="B2006" i="2"/>
  <c r="A2007" i="2"/>
  <c r="B2007" i="2"/>
  <c r="A1480" i="2"/>
  <c r="B1480" i="2"/>
  <c r="A869" i="2"/>
  <c r="B869" i="2"/>
  <c r="A870" i="2"/>
  <c r="B870" i="2"/>
  <c r="A2008" i="2"/>
  <c r="B2008" i="2"/>
  <c r="A1201" i="2"/>
  <c r="B1201" i="2"/>
  <c r="A1316" i="2"/>
  <c r="B1316" i="2"/>
  <c r="A2009" i="2"/>
  <c r="B2009" i="2"/>
  <c r="A558" i="2"/>
  <c r="B558" i="2"/>
  <c r="A1532" i="2"/>
  <c r="B1532" i="2"/>
  <c r="A2010" i="2"/>
  <c r="B2010" i="2"/>
  <c r="A559" i="2"/>
  <c r="B559" i="2"/>
  <c r="A769" i="2"/>
  <c r="B769" i="2"/>
  <c r="A1114" i="2"/>
  <c r="B1114" i="2"/>
  <c r="A2011" i="2"/>
  <c r="B2011" i="2"/>
  <c r="A560" i="2"/>
  <c r="B560" i="2"/>
  <c r="A1202" i="2"/>
  <c r="B1202" i="2"/>
  <c r="A1445" i="2"/>
  <c r="B1445" i="2"/>
  <c r="A2012" i="2"/>
  <c r="B2012" i="2"/>
  <c r="A456" i="2"/>
  <c r="B456" i="2"/>
  <c r="A2013" i="2"/>
  <c r="B2013" i="2"/>
  <c r="A473" i="2"/>
  <c r="B473" i="2"/>
  <c r="A1115" i="2"/>
  <c r="B1115" i="2"/>
  <c r="A561" i="2"/>
  <c r="B561" i="2"/>
  <c r="A926" i="2"/>
  <c r="B926" i="2"/>
  <c r="A2014" i="2"/>
  <c r="B2014" i="2"/>
  <c r="A2015" i="2"/>
  <c r="B2015" i="2"/>
  <c r="A770" i="2"/>
  <c r="B770" i="2"/>
  <c r="A2016" i="2"/>
  <c r="B2016" i="2"/>
  <c r="A1011" i="2"/>
  <c r="B1011" i="2"/>
  <c r="A2017" i="2"/>
  <c r="B2017" i="2"/>
  <c r="A927" i="2"/>
  <c r="B927" i="2"/>
  <c r="A1481" i="2"/>
  <c r="B1481" i="2"/>
  <c r="A2018" i="2"/>
  <c r="B2018" i="2"/>
  <c r="A2019" i="2"/>
  <c r="B2019" i="2"/>
  <c r="A2020" i="2"/>
  <c r="B2020" i="2"/>
  <c r="A2021" i="2"/>
  <c r="B2021" i="2"/>
  <c r="A1203" i="2"/>
  <c r="B1203" i="2"/>
  <c r="A1116" i="2"/>
  <c r="B1116" i="2"/>
  <c r="A474" i="2"/>
  <c r="B474" i="2"/>
  <c r="A928" i="2"/>
  <c r="B928" i="2"/>
  <c r="A929" i="2"/>
  <c r="B929" i="2"/>
  <c r="A457" i="2"/>
  <c r="B457" i="2"/>
  <c r="A1204" i="2"/>
  <c r="B1204" i="2"/>
  <c r="A2022" i="2"/>
  <c r="B2022" i="2"/>
  <c r="A2023" i="2"/>
  <c r="B2023" i="2"/>
  <c r="A2024" i="2"/>
  <c r="B2024" i="2"/>
  <c r="A386" i="2"/>
  <c r="B386" i="2"/>
  <c r="A1686" i="2"/>
  <c r="B1686" i="2"/>
  <c r="A119" i="2"/>
  <c r="B119" i="2"/>
  <c r="A120" i="2"/>
  <c r="B120" i="2"/>
  <c r="A1012" i="2"/>
  <c r="B1012" i="2"/>
  <c r="A1446" i="2"/>
  <c r="B1446" i="2"/>
  <c r="A2025" i="2"/>
  <c r="B2025" i="2"/>
  <c r="A1741" i="2"/>
  <c r="B1741" i="2"/>
  <c r="A2026" i="2"/>
  <c r="B2026" i="2"/>
  <c r="A121" i="2"/>
  <c r="B121" i="2"/>
  <c r="A2027" i="2"/>
  <c r="B2027" i="2"/>
  <c r="A400" i="2"/>
  <c r="B400" i="2"/>
  <c r="A1013" i="2"/>
  <c r="B1013" i="2"/>
  <c r="A458" i="2"/>
  <c r="B458" i="2"/>
  <c r="A1014" i="2"/>
  <c r="B1014" i="2"/>
  <c r="A1015" i="2"/>
  <c r="B1015" i="2"/>
  <c r="A1117" i="2"/>
  <c r="B1117" i="2"/>
  <c r="A1482" i="2"/>
  <c r="B1482" i="2"/>
  <c r="A1447" i="2"/>
  <c r="B1447" i="2"/>
  <c r="A1118" i="2"/>
  <c r="B1118" i="2"/>
  <c r="A930" i="2"/>
  <c r="B930" i="2"/>
  <c r="A1205" i="2"/>
  <c r="B1205" i="2"/>
  <c r="A1119" i="2"/>
  <c r="B1119" i="2"/>
  <c r="A931" i="2"/>
  <c r="B931" i="2"/>
  <c r="A932" i="2"/>
  <c r="B932" i="2"/>
  <c r="A387" i="2"/>
  <c r="B387" i="2"/>
  <c r="A1120" i="2"/>
  <c r="B1120" i="2"/>
  <c r="A122" i="2"/>
  <c r="B122" i="2"/>
  <c r="A123" i="2"/>
  <c r="B123" i="2"/>
  <c r="A2028" i="2"/>
  <c r="B2028" i="2"/>
  <c r="A871" i="2"/>
  <c r="B871" i="2"/>
  <c r="A1016" i="2"/>
  <c r="B1016" i="2"/>
  <c r="A388" i="2"/>
  <c r="B388" i="2"/>
  <c r="A1206" i="2"/>
  <c r="B1206" i="2"/>
  <c r="A933" i="2"/>
  <c r="B933" i="2"/>
  <c r="A1017" i="2"/>
  <c r="B1017" i="2"/>
  <c r="A2029" i="2"/>
  <c r="B2029" i="2"/>
  <c r="A371" i="2"/>
  <c r="B371" i="2"/>
  <c r="A372" i="2"/>
  <c r="B372" i="2"/>
  <c r="A2030" i="2"/>
  <c r="B2030" i="2"/>
  <c r="A1448" i="2"/>
  <c r="B1448" i="2"/>
  <c r="A934" i="2"/>
  <c r="B934" i="2"/>
  <c r="A935" i="2"/>
  <c r="B935" i="2"/>
  <c r="A562" i="2"/>
  <c r="B562" i="2"/>
  <c r="A563" i="2"/>
  <c r="B563" i="2"/>
  <c r="A389" i="2"/>
  <c r="B389" i="2"/>
  <c r="A1687" i="2"/>
  <c r="B1687" i="2"/>
  <c r="A2031" i="2"/>
  <c r="B2031" i="2"/>
  <c r="A936" i="2"/>
  <c r="B936" i="2"/>
  <c r="A1317" i="2"/>
  <c r="B1317" i="2"/>
  <c r="A937" i="2"/>
  <c r="B937" i="2"/>
  <c r="A1483" i="2"/>
  <c r="B1483" i="2"/>
  <c r="A1449" i="2"/>
  <c r="B1449" i="2"/>
  <c r="A2032" i="2"/>
  <c r="B2032" i="2"/>
  <c r="A1450" i="2"/>
  <c r="B1450" i="2"/>
  <c r="A564" i="2"/>
  <c r="B564" i="2"/>
  <c r="A1018" i="2"/>
  <c r="B1018" i="2"/>
  <c r="A565" i="2"/>
  <c r="B565" i="2"/>
  <c r="A566" i="2"/>
  <c r="B566" i="2"/>
  <c r="A2033" i="2"/>
  <c r="B2033" i="2"/>
  <c r="A1207" i="2"/>
  <c r="B1207" i="2"/>
  <c r="A1019" i="2"/>
  <c r="B1019" i="2"/>
  <c r="A1742" i="2"/>
  <c r="B1742" i="2"/>
  <c r="A938" i="2"/>
  <c r="B938" i="2"/>
  <c r="A2034" i="2"/>
  <c r="B2034" i="2"/>
  <c r="A1743" i="2"/>
  <c r="B1743" i="2"/>
  <c r="A1121" i="2"/>
  <c r="B1121" i="2"/>
  <c r="A1122" i="2"/>
  <c r="B1122" i="2"/>
  <c r="A567" i="2"/>
  <c r="B567" i="2"/>
  <c r="A2035" i="2"/>
  <c r="B2035" i="2"/>
  <c r="A124" i="2"/>
  <c r="B124" i="2"/>
  <c r="A2036" i="2"/>
  <c r="B2036" i="2"/>
  <c r="A1268" i="2"/>
  <c r="B1268" i="2"/>
  <c r="A125" i="2"/>
  <c r="B125" i="2"/>
  <c r="A568" i="2"/>
  <c r="B568" i="2"/>
  <c r="A126" i="2"/>
  <c r="B126" i="2"/>
  <c r="A939" i="2"/>
  <c r="B939" i="2"/>
  <c r="A940" i="2"/>
  <c r="B940" i="2"/>
  <c r="A1688" i="2"/>
  <c r="B1688" i="2"/>
  <c r="A1123" i="2"/>
  <c r="B1123" i="2"/>
  <c r="A475" i="2"/>
  <c r="B475" i="2"/>
  <c r="A2037" i="2"/>
  <c r="B2037" i="2"/>
  <c r="A1417" i="2"/>
  <c r="B1417" i="2"/>
  <c r="A941" i="2"/>
  <c r="B941" i="2"/>
  <c r="A127" i="2"/>
  <c r="B127" i="2"/>
  <c r="A1318" i="2"/>
  <c r="B1318" i="2"/>
  <c r="A1533" i="2"/>
  <c r="B1533" i="2"/>
  <c r="A2038" i="2"/>
  <c r="B2038" i="2"/>
  <c r="A128" i="2"/>
  <c r="B128" i="2"/>
  <c r="A129" i="2"/>
  <c r="B129" i="2"/>
  <c r="A569" i="2"/>
  <c r="B569" i="2"/>
  <c r="A2039" i="2"/>
  <c r="B2039" i="2"/>
  <c r="A2040" i="2"/>
  <c r="B2040" i="2"/>
  <c r="A1124" i="2"/>
  <c r="B1124" i="2"/>
  <c r="A2041" i="2"/>
  <c r="B2041" i="2"/>
  <c r="A1744" i="2"/>
  <c r="B1744" i="2"/>
  <c r="A872" i="2"/>
  <c r="B872" i="2"/>
  <c r="A873" i="2"/>
  <c r="B873" i="2"/>
  <c r="A130" i="2"/>
  <c r="B130" i="2"/>
  <c r="A131" i="2"/>
  <c r="B131" i="2"/>
  <c r="A132" i="2"/>
  <c r="B132" i="2"/>
  <c r="A133" i="2"/>
  <c r="B133" i="2"/>
  <c r="A2042" i="2"/>
  <c r="B2042" i="2"/>
  <c r="A134" i="2"/>
  <c r="B134" i="2"/>
  <c r="A1689" i="2"/>
  <c r="B1689" i="2"/>
  <c r="A135" i="2"/>
  <c r="B135" i="2"/>
  <c r="A2043" i="2"/>
  <c r="B2043" i="2"/>
  <c r="A874" i="2"/>
  <c r="B874" i="2"/>
  <c r="A942" i="2"/>
  <c r="B942" i="2"/>
  <c r="A2044" i="2"/>
  <c r="B2044" i="2"/>
  <c r="A2045" i="2"/>
  <c r="B2045" i="2"/>
  <c r="A136" i="2"/>
  <c r="B136" i="2"/>
  <c r="A2046" i="2"/>
  <c r="B2046" i="2"/>
  <c r="A137" i="2"/>
  <c r="B137" i="2"/>
  <c r="A1208" i="2"/>
  <c r="B1208" i="2"/>
  <c r="A138" i="2"/>
  <c r="B138" i="2"/>
  <c r="A476" i="2"/>
  <c r="B476" i="2"/>
  <c r="A848" i="2"/>
  <c r="B848" i="2"/>
  <c r="A2047" i="2"/>
  <c r="B2047" i="2"/>
  <c r="A2048" i="2"/>
  <c r="B2048" i="2"/>
  <c r="A2049" i="2"/>
  <c r="B2049" i="2"/>
  <c r="A401" i="2"/>
  <c r="B401" i="2"/>
  <c r="A1745" i="2"/>
  <c r="B1745" i="2"/>
  <c r="A1020" i="2"/>
  <c r="B1020" i="2"/>
  <c r="A194" i="2"/>
  <c r="B194" i="2"/>
  <c r="A2050" i="2"/>
  <c r="B2050" i="2"/>
  <c r="A1319" i="2"/>
  <c r="B1319" i="2"/>
  <c r="A2051" i="2"/>
  <c r="B2051" i="2"/>
  <c r="A2052" i="2"/>
  <c r="B2052" i="2"/>
  <c r="A2053" i="2"/>
  <c r="B2053" i="2"/>
  <c r="A2054" i="2"/>
  <c r="B2054" i="2"/>
  <c r="A2055" i="2"/>
  <c r="B2055" i="2"/>
  <c r="A195" i="2"/>
  <c r="B195" i="2"/>
  <c r="A2056" i="2"/>
  <c r="B2056" i="2"/>
  <c r="A1534" i="2"/>
  <c r="B1534" i="2"/>
  <c r="A1484" i="2"/>
  <c r="B1484" i="2"/>
  <c r="A196" i="2"/>
  <c r="B196" i="2"/>
  <c r="A2057" i="2"/>
  <c r="B2057" i="2"/>
  <c r="A1690" i="2"/>
  <c r="B1690" i="2"/>
  <c r="A2058" i="2"/>
  <c r="B2058" i="2"/>
  <c r="A2059" i="2"/>
  <c r="B2059" i="2"/>
  <c r="A2060" i="2"/>
  <c r="B2060" i="2"/>
  <c r="A1485" i="2"/>
  <c r="B1485" i="2"/>
  <c r="A2061" i="2"/>
  <c r="B2061" i="2"/>
  <c r="A197" i="2"/>
  <c r="B197" i="2"/>
  <c r="A2062" i="2"/>
  <c r="B2062" i="2"/>
  <c r="A1320" i="2"/>
  <c r="B1320" i="2"/>
  <c r="A2063" i="2"/>
  <c r="B2063" i="2"/>
  <c r="A198" i="2"/>
  <c r="B198" i="2"/>
  <c r="A2064" i="2"/>
  <c r="B2064" i="2"/>
  <c r="A2065" i="2"/>
  <c r="B2065" i="2"/>
  <c r="A2066" i="2"/>
  <c r="B2066" i="2"/>
  <c r="A199" i="2"/>
  <c r="B199" i="2"/>
  <c r="A2067" i="2"/>
  <c r="B2067" i="2"/>
  <c r="A2068" i="2"/>
  <c r="B2068" i="2"/>
  <c r="A2069" i="2"/>
  <c r="B2069" i="2"/>
  <c r="A2070" i="2"/>
  <c r="B2070" i="2"/>
  <c r="A2071" i="2"/>
  <c r="B2071" i="2"/>
  <c r="A2072" i="2"/>
  <c r="B2072" i="2"/>
  <c r="A2073" i="2"/>
  <c r="B2073" i="2"/>
  <c r="A2074" i="2"/>
  <c r="B2074" i="2"/>
  <c r="A2075" i="2"/>
  <c r="B2075" i="2"/>
  <c r="A2076" i="2"/>
  <c r="B2076" i="2"/>
  <c r="A1535" i="2"/>
  <c r="B1535" i="2"/>
  <c r="A2077" i="2"/>
  <c r="B2077" i="2"/>
  <c r="A2078" i="2"/>
  <c r="B2078" i="2"/>
  <c r="A2079" i="2"/>
  <c r="B2079" i="2"/>
  <c r="A2080" i="2"/>
  <c r="B2080" i="2"/>
  <c r="A200" i="2"/>
  <c r="B200" i="2"/>
  <c r="A2081" i="2"/>
  <c r="B2081" i="2"/>
  <c r="A1536" i="2"/>
  <c r="B1536" i="2"/>
  <c r="A1537" i="2"/>
  <c r="B1537" i="2"/>
  <c r="A1321" i="2"/>
  <c r="B1321" i="2"/>
  <c r="A1486" i="2"/>
  <c r="B1486" i="2"/>
  <c r="A1021" i="2"/>
  <c r="B1021" i="2"/>
  <c r="A1322" i="2"/>
  <c r="B1322" i="2"/>
  <c r="A2082" i="2"/>
  <c r="B2082" i="2"/>
  <c r="A2083" i="2"/>
  <c r="B2083" i="2"/>
  <c r="A1323" i="2"/>
  <c r="B1323" i="2"/>
  <c r="A2084" i="2"/>
  <c r="B2084" i="2"/>
  <c r="A1487" i="2"/>
  <c r="B1487" i="2"/>
  <c r="A2085" i="2"/>
  <c r="B2085" i="2"/>
  <c r="A2086" i="2"/>
  <c r="B2086" i="2"/>
  <c r="A1691" i="2"/>
  <c r="B1691" i="2"/>
  <c r="A2087" i="2"/>
  <c r="B2087" i="2"/>
  <c r="A2088" i="2"/>
  <c r="B2088" i="2"/>
  <c r="A2089" i="2"/>
  <c r="B2089" i="2"/>
  <c r="A2090" i="2"/>
  <c r="B2090" i="2"/>
  <c r="A1418" i="2"/>
  <c r="B1418" i="2"/>
  <c r="A2091" i="2"/>
  <c r="B2091" i="2"/>
  <c r="A2092" i="2"/>
  <c r="B2092" i="2"/>
  <c r="A2093" i="2"/>
  <c r="B2093" i="2"/>
  <c r="A2094" i="2"/>
  <c r="B2094" i="2"/>
  <c r="A2095" i="2"/>
  <c r="B2095" i="2"/>
  <c r="A2096" i="2"/>
  <c r="B2096" i="2"/>
  <c r="A2097" i="2"/>
  <c r="B2097" i="2"/>
  <c r="A2098" i="2"/>
  <c r="B2098" i="2"/>
  <c r="A2099" i="2"/>
  <c r="B2099" i="2"/>
  <c r="A1022" i="2"/>
  <c r="B1022" i="2"/>
  <c r="A2100" i="2"/>
  <c r="B2100" i="2"/>
  <c r="A1125" i="2"/>
  <c r="B1125" i="2"/>
  <c r="A2101" i="2"/>
  <c r="B2101" i="2"/>
  <c r="A2102" i="2"/>
  <c r="B2102" i="2"/>
  <c r="A2103" i="2"/>
  <c r="B2103" i="2"/>
  <c r="A1419" i="2"/>
  <c r="B1419" i="2"/>
  <c r="A1023" i="2"/>
  <c r="B1023" i="2"/>
  <c r="A2104" i="2"/>
  <c r="B2104" i="2"/>
  <c r="A201" i="2"/>
  <c r="B201" i="2"/>
  <c r="A2105" i="2"/>
  <c r="B2105" i="2"/>
  <c r="A2106" i="2"/>
  <c r="B2106" i="2"/>
  <c r="A2107" i="2"/>
  <c r="B2107" i="2"/>
  <c r="A202" i="2"/>
  <c r="B202" i="2"/>
  <c r="A1324" i="2"/>
  <c r="B1324" i="2"/>
  <c r="A2108" i="2"/>
  <c r="B2108" i="2"/>
  <c r="A2109" i="2"/>
  <c r="B2109" i="2"/>
  <c r="A1024" i="2"/>
  <c r="B1024" i="2"/>
  <c r="A2110" i="2"/>
  <c r="B2110" i="2"/>
  <c r="A203" i="2"/>
  <c r="B203" i="2"/>
  <c r="A2111" i="2"/>
  <c r="B2111" i="2"/>
  <c r="A204" i="2"/>
  <c r="B204" i="2"/>
  <c r="A205" i="2"/>
  <c r="B205" i="2"/>
  <c r="A206" i="2"/>
  <c r="B206" i="2"/>
  <c r="A2112" i="2"/>
  <c r="B2112" i="2"/>
  <c r="A2113" i="2"/>
  <c r="B2113" i="2"/>
  <c r="A1420" i="2"/>
  <c r="B1420" i="2"/>
  <c r="A1488" i="2"/>
  <c r="B1488" i="2"/>
  <c r="A2114" i="2"/>
  <c r="B2114" i="2"/>
  <c r="A1489" i="2"/>
  <c r="B1489" i="2"/>
  <c r="A2115" i="2"/>
  <c r="B2115" i="2"/>
  <c r="A2116" i="2"/>
  <c r="B2116" i="2"/>
  <c r="A207" i="2"/>
  <c r="B207" i="2"/>
  <c r="A1692" i="2"/>
  <c r="B1692" i="2"/>
  <c r="A2117" i="2"/>
  <c r="B2117" i="2"/>
  <c r="A1209" i="2"/>
  <c r="B1209" i="2"/>
  <c r="A1538" i="2"/>
  <c r="B1538" i="2"/>
  <c r="A2118" i="2"/>
  <c r="B2118" i="2"/>
  <c r="A2119" i="2"/>
  <c r="B2119" i="2"/>
  <c r="A1634" i="2"/>
  <c r="B1634" i="2"/>
  <c r="A2120" i="2"/>
  <c r="B2120" i="2"/>
  <c r="A2121" i="2"/>
  <c r="B2121" i="2"/>
  <c r="A1325" i="2"/>
  <c r="B1325" i="2"/>
  <c r="A2122" i="2"/>
  <c r="B2122" i="2"/>
  <c r="A1326" i="2"/>
  <c r="B1326" i="2"/>
  <c r="A1635" i="2"/>
  <c r="B1635" i="2"/>
  <c r="A2123" i="2"/>
  <c r="B2123" i="2"/>
  <c r="A2124" i="2"/>
  <c r="B2124" i="2"/>
  <c r="A2125" i="2"/>
  <c r="B2125" i="2"/>
  <c r="A2126" i="2"/>
  <c r="B2126" i="2"/>
  <c r="A570" i="2"/>
  <c r="B570" i="2"/>
  <c r="A2127" i="2"/>
  <c r="B2127" i="2"/>
  <c r="A2128" i="2"/>
  <c r="B2128" i="2"/>
  <c r="A2129" i="2"/>
  <c r="B2129" i="2"/>
  <c r="A571" i="2"/>
  <c r="B571" i="2"/>
  <c r="A1451" i="2"/>
  <c r="B1451" i="2"/>
  <c r="A2130" i="2"/>
  <c r="B2130" i="2"/>
  <c r="A1539" i="2"/>
  <c r="B1539" i="2"/>
  <c r="A2131" i="2"/>
  <c r="B2131" i="2"/>
  <c r="A572" i="2"/>
  <c r="B572" i="2"/>
  <c r="A1210" i="2"/>
  <c r="B1210" i="2"/>
  <c r="A2132" i="2"/>
  <c r="B2132" i="2"/>
  <c r="A1540" i="2"/>
  <c r="B1540" i="2"/>
  <c r="A2133" i="2"/>
  <c r="B2133" i="2"/>
  <c r="A2134" i="2"/>
  <c r="B2134" i="2"/>
  <c r="A208" i="2"/>
  <c r="B208" i="2"/>
  <c r="A477" i="2"/>
  <c r="B477" i="2"/>
  <c r="A1327" i="2"/>
  <c r="B1327" i="2"/>
  <c r="A2135" i="2"/>
  <c r="B2135" i="2"/>
  <c r="A2136" i="2"/>
  <c r="B2136" i="2"/>
  <c r="A1693" i="2"/>
  <c r="B1693" i="2"/>
  <c r="A2137" i="2"/>
  <c r="B2137" i="2"/>
  <c r="A1328" i="2"/>
  <c r="B1328" i="2"/>
  <c r="A2138" i="2"/>
  <c r="B2138" i="2"/>
  <c r="A2139" i="2"/>
  <c r="B2139" i="2"/>
  <c r="A2140" i="2"/>
  <c r="B2140" i="2"/>
  <c r="A1126" i="2"/>
  <c r="B1126" i="2"/>
  <c r="A2141" i="2"/>
  <c r="B2141" i="2"/>
  <c r="A2142" i="2"/>
  <c r="B2142" i="2"/>
  <c r="A2143" i="2"/>
  <c r="B2143" i="2"/>
  <c r="A2144" i="2"/>
  <c r="B2144" i="2"/>
  <c r="A573" i="2"/>
  <c r="B573" i="2"/>
  <c r="A2145" i="2"/>
  <c r="B2145" i="2"/>
  <c r="A1025" i="2"/>
  <c r="B1025" i="2"/>
  <c r="A2146" i="2"/>
  <c r="B2146" i="2"/>
  <c r="A2147" i="2"/>
  <c r="B2147" i="2"/>
  <c r="A1211" i="2"/>
  <c r="B1211" i="2"/>
  <c r="A478" i="2"/>
  <c r="B478" i="2"/>
  <c r="A2148" i="2"/>
  <c r="B2148" i="2"/>
  <c r="A1490" i="2"/>
  <c r="B1490" i="2"/>
  <c r="A479" i="2"/>
  <c r="B479" i="2"/>
  <c r="A2149" i="2"/>
  <c r="B2149" i="2"/>
  <c r="A480" i="2"/>
  <c r="B480" i="2"/>
  <c r="A2150" i="2"/>
  <c r="B2150" i="2"/>
  <c r="A2151" i="2"/>
  <c r="B2151" i="2"/>
  <c r="A2152" i="2"/>
  <c r="B2152" i="2"/>
  <c r="A1491" i="2"/>
  <c r="B1491" i="2"/>
  <c r="A574" i="2"/>
  <c r="B574" i="2"/>
  <c r="A575" i="2"/>
  <c r="B575" i="2"/>
  <c r="A2153" i="2"/>
  <c r="B2153" i="2"/>
  <c r="A2154" i="2"/>
  <c r="B2154" i="2"/>
  <c r="A2155" i="2"/>
  <c r="B2155" i="2"/>
  <c r="A2156" i="2"/>
  <c r="B2156" i="2"/>
  <c r="A1026" i="2"/>
  <c r="B1026" i="2"/>
  <c r="A209" i="2"/>
  <c r="B209" i="2"/>
  <c r="A1212" i="2"/>
  <c r="B1212" i="2"/>
  <c r="A2157" i="2"/>
  <c r="B2157" i="2"/>
  <c r="A1213" i="2"/>
  <c r="B1213" i="2"/>
  <c r="A1027" i="2"/>
  <c r="B1027" i="2"/>
  <c r="A2158" i="2"/>
  <c r="B2158" i="2"/>
  <c r="A2159" i="2"/>
  <c r="B2159" i="2"/>
  <c r="A1421" i="2"/>
  <c r="B1421" i="2"/>
  <c r="A2160" i="2"/>
  <c r="B2160" i="2"/>
  <c r="A1329" i="2"/>
  <c r="B1329" i="2"/>
  <c r="A2161" i="2"/>
  <c r="B2161" i="2"/>
  <c r="A1636" i="2"/>
  <c r="B1636" i="2"/>
  <c r="A1028" i="2"/>
  <c r="B1028" i="2"/>
  <c r="A2162" i="2"/>
  <c r="B2162" i="2"/>
  <c r="A1541" i="2"/>
  <c r="B1541" i="2"/>
  <c r="A2163" i="2"/>
  <c r="B2163" i="2"/>
  <c r="A2164" i="2"/>
  <c r="B2164" i="2"/>
  <c r="A2165" i="2"/>
  <c r="B2165" i="2"/>
  <c r="A2166" i="2"/>
  <c r="B2166" i="2"/>
  <c r="A2167" i="2"/>
  <c r="B2167" i="2"/>
  <c r="A2168" i="2"/>
  <c r="B2168" i="2"/>
  <c r="A576" i="2"/>
  <c r="B576" i="2"/>
  <c r="A577" i="2"/>
  <c r="B577" i="2"/>
  <c r="A1542" i="2"/>
  <c r="B1542" i="2"/>
  <c r="A1029" i="2"/>
  <c r="B1029" i="2"/>
  <c r="A1637" i="2"/>
  <c r="B1637" i="2"/>
  <c r="A2169" i="2"/>
  <c r="B2169" i="2"/>
  <c r="A2170" i="2"/>
  <c r="B2170" i="2"/>
  <c r="A1330" i="2"/>
  <c r="B1330" i="2"/>
  <c r="A1694" i="2"/>
  <c r="B1694" i="2"/>
  <c r="A1422" i="2"/>
  <c r="B1422" i="2"/>
  <c r="A2171" i="2"/>
  <c r="B2171" i="2"/>
  <c r="A2172" i="2"/>
  <c r="B2172" i="2"/>
  <c r="A578" i="2"/>
  <c r="B578" i="2"/>
  <c r="A1331" i="2"/>
  <c r="B1331" i="2"/>
  <c r="A481" i="2"/>
  <c r="B481" i="2"/>
  <c r="A2173" i="2"/>
  <c r="B2173" i="2"/>
  <c r="A1214" i="2"/>
  <c r="B1214" i="2"/>
  <c r="A2174" i="2"/>
  <c r="B2174" i="2"/>
  <c r="A1543" i="2"/>
  <c r="B1543" i="2"/>
  <c r="A2175" i="2"/>
  <c r="B2175" i="2"/>
  <c r="A2176" i="2"/>
  <c r="B2176" i="2"/>
  <c r="A2177" i="2"/>
  <c r="B2177" i="2"/>
  <c r="A2178" i="2"/>
  <c r="B2178" i="2"/>
  <c r="A2179" i="2"/>
  <c r="B2179" i="2"/>
  <c r="A2180" i="2"/>
  <c r="B2180" i="2"/>
  <c r="A2181" i="2"/>
  <c r="B2181" i="2"/>
  <c r="A579" i="2"/>
  <c r="B579" i="2"/>
  <c r="A2182" i="2"/>
  <c r="B2182" i="2"/>
  <c r="A2183" i="2"/>
  <c r="B2183" i="2"/>
  <c r="A210" i="2"/>
  <c r="B210" i="2"/>
  <c r="A2184" i="2"/>
  <c r="B2184" i="2"/>
  <c r="A2185" i="2"/>
  <c r="B2185" i="2"/>
  <c r="A1030" i="2"/>
  <c r="B1030" i="2"/>
  <c r="A2186" i="2"/>
  <c r="B2186" i="2"/>
  <c r="A2187" i="2"/>
  <c r="B2187" i="2"/>
  <c r="A580" i="2"/>
  <c r="B580" i="2"/>
  <c r="A581" i="2"/>
  <c r="B581" i="2"/>
  <c r="A482" i="2"/>
  <c r="B482" i="2"/>
  <c r="A582" i="2"/>
  <c r="B582" i="2"/>
  <c r="A1031" i="2"/>
  <c r="B1031" i="2"/>
  <c r="A2188" i="2"/>
  <c r="B2188" i="2"/>
  <c r="A2189" i="2"/>
  <c r="B2189" i="2"/>
  <c r="A2190" i="2"/>
  <c r="B2190" i="2"/>
  <c r="A1638" i="2"/>
  <c r="B1638" i="2"/>
  <c r="A1639" i="2"/>
  <c r="B1639" i="2"/>
  <c r="A2191" i="2"/>
  <c r="B2191" i="2"/>
  <c r="A2192" i="2"/>
  <c r="B2192" i="2"/>
  <c r="A2193" i="2"/>
  <c r="B2193" i="2"/>
  <c r="A2194" i="2"/>
  <c r="B2194" i="2"/>
  <c r="A583" i="2"/>
  <c r="B583" i="2"/>
  <c r="A1269" i="2"/>
  <c r="B1269" i="2"/>
  <c r="A1640" i="2"/>
  <c r="B1640" i="2"/>
  <c r="A584" i="2"/>
  <c r="B584" i="2"/>
  <c r="A1332" i="2"/>
  <c r="B1332" i="2"/>
  <c r="A483" i="2"/>
  <c r="B483" i="2"/>
  <c r="A2195" i="2"/>
  <c r="B2195" i="2"/>
  <c r="A2196" i="2"/>
  <c r="B2196" i="2"/>
  <c r="A1333" i="2"/>
  <c r="B1333" i="2"/>
  <c r="A585" i="2"/>
  <c r="B585" i="2"/>
  <c r="A1544" i="2"/>
  <c r="B1544" i="2"/>
  <c r="A1032" i="2"/>
  <c r="B1032" i="2"/>
  <c r="A2197" i="2"/>
  <c r="B2197" i="2"/>
  <c r="A2198" i="2"/>
  <c r="B2198" i="2"/>
  <c r="A2199" i="2"/>
  <c r="B2199" i="2"/>
  <c r="A1423" i="2"/>
  <c r="B1423" i="2"/>
  <c r="A1641" i="2"/>
  <c r="B1641" i="2"/>
  <c r="A1215" i="2"/>
  <c r="B1215" i="2"/>
  <c r="A1334" i="2"/>
  <c r="B1334" i="2"/>
  <c r="A586" i="2"/>
  <c r="B586" i="2"/>
  <c r="A2200" i="2"/>
  <c r="B2200" i="2"/>
  <c r="A587" i="2"/>
  <c r="B587" i="2"/>
  <c r="A1424" i="2"/>
  <c r="B1424" i="2"/>
  <c r="A1545" i="2"/>
  <c r="B1545" i="2"/>
  <c r="A2201" i="2"/>
  <c r="B2201" i="2"/>
  <c r="A2202" i="2"/>
  <c r="B2202" i="2"/>
  <c r="A2203" i="2"/>
  <c r="B2203" i="2"/>
  <c r="A2204" i="2"/>
  <c r="B2204" i="2"/>
  <c r="A2205" i="2"/>
  <c r="B2205" i="2"/>
  <c r="A1033" i="2"/>
  <c r="B1033" i="2"/>
  <c r="A2206" i="2"/>
  <c r="B2206" i="2"/>
  <c r="A588" i="2"/>
  <c r="B588" i="2"/>
  <c r="A402" i="2"/>
  <c r="B402" i="2"/>
  <c r="A1546" i="2"/>
  <c r="B1546" i="2"/>
  <c r="A2207" i="2"/>
  <c r="B2207" i="2"/>
  <c r="A1547" i="2"/>
  <c r="B1547" i="2"/>
  <c r="A2208" i="2"/>
  <c r="B2208" i="2"/>
  <c r="A2209" i="2"/>
  <c r="B2209" i="2"/>
  <c r="A511" i="2"/>
  <c r="B511" i="2"/>
  <c r="A512" i="2"/>
  <c r="B512" i="2"/>
  <c r="A2210" i="2"/>
  <c r="B2210" i="2"/>
  <c r="A403" i="2"/>
  <c r="B403" i="2"/>
  <c r="A2211" i="2"/>
  <c r="B2211" i="2"/>
  <c r="A1216" i="2"/>
  <c r="B1216" i="2"/>
  <c r="A1034" i="2"/>
  <c r="B1034" i="2"/>
  <c r="A1035" i="2"/>
  <c r="B1035" i="2"/>
  <c r="A2212" i="2"/>
  <c r="B2212" i="2"/>
  <c r="A2213" i="2"/>
  <c r="B2213" i="2"/>
  <c r="A2214" i="2"/>
  <c r="B2214" i="2"/>
  <c r="A1335" i="2"/>
  <c r="B1335" i="2"/>
  <c r="A1036" i="2"/>
  <c r="B1036" i="2"/>
  <c r="A2215" i="2"/>
  <c r="B2215" i="2"/>
  <c r="A2216" i="2"/>
  <c r="B2216" i="2"/>
  <c r="A2217" i="2"/>
  <c r="B2217" i="2"/>
  <c r="A1217" i="2"/>
  <c r="B1217" i="2"/>
  <c r="A2218" i="2"/>
  <c r="B2218" i="2"/>
  <c r="A2219" i="2"/>
  <c r="B2219" i="2"/>
  <c r="A484" i="2"/>
  <c r="B484" i="2"/>
  <c r="A2220" i="2"/>
  <c r="B2220" i="2"/>
  <c r="A1642" i="2"/>
  <c r="B1642" i="2"/>
  <c r="A1643" i="2"/>
  <c r="B1643" i="2"/>
  <c r="A2221" i="2"/>
  <c r="B2221" i="2"/>
  <c r="A2222" i="2"/>
  <c r="B2222" i="2"/>
  <c r="A589" i="2"/>
  <c r="B589" i="2"/>
  <c r="A590" i="2"/>
  <c r="B590" i="2"/>
  <c r="A459" i="2"/>
  <c r="B459" i="2"/>
  <c r="A2223" i="2"/>
  <c r="B2223" i="2"/>
  <c r="A591" i="2"/>
  <c r="B591" i="2"/>
  <c r="A404" i="2"/>
  <c r="B404" i="2"/>
  <c r="A211" i="2"/>
  <c r="B211" i="2"/>
  <c r="A2224" i="2"/>
  <c r="B2224" i="2"/>
  <c r="A2225" i="2"/>
  <c r="B2225" i="2"/>
  <c r="A460" i="2"/>
  <c r="B460" i="2"/>
  <c r="A2226" i="2"/>
  <c r="B2226" i="2"/>
  <c r="A1037" i="2"/>
  <c r="B1037" i="2"/>
  <c r="A1548" i="2"/>
  <c r="B1548" i="2"/>
  <c r="A592" i="2"/>
  <c r="B592" i="2"/>
  <c r="A2227" i="2"/>
  <c r="B2227" i="2"/>
  <c r="A1218" i="2"/>
  <c r="B1218" i="2"/>
  <c r="A1549" i="2"/>
  <c r="B1549" i="2"/>
  <c r="A405" i="2"/>
  <c r="B405" i="2"/>
  <c r="A1219" i="2"/>
  <c r="B1219" i="2"/>
  <c r="A1127" i="2"/>
  <c r="B1127" i="2"/>
  <c r="A406" i="2"/>
  <c r="B406" i="2"/>
  <c r="A1644" i="2"/>
  <c r="B1644" i="2"/>
  <c r="A2228" i="2"/>
  <c r="B2228" i="2"/>
  <c r="A2229" i="2"/>
  <c r="B2229" i="2"/>
  <c r="A1038" i="2"/>
  <c r="B1038" i="2"/>
  <c r="A2230" i="2"/>
  <c r="B2230" i="2"/>
  <c r="A2231" i="2"/>
  <c r="B2231" i="2"/>
  <c r="A212" i="2"/>
  <c r="B212" i="2"/>
  <c r="A1039" i="2"/>
  <c r="B1039" i="2"/>
  <c r="A1425" i="2"/>
  <c r="B1425" i="2"/>
  <c r="A213" i="2"/>
  <c r="B213" i="2"/>
  <c r="A593" i="2"/>
  <c r="B593" i="2"/>
  <c r="A1645" i="2"/>
  <c r="B1645" i="2"/>
  <c r="A2232" i="2"/>
  <c r="B2232" i="2"/>
  <c r="A1040" i="2"/>
  <c r="B1040" i="2"/>
  <c r="A1220" i="2"/>
  <c r="B1220" i="2"/>
  <c r="A2233" i="2"/>
  <c r="B2233" i="2"/>
  <c r="A1221" i="2"/>
  <c r="B1221" i="2"/>
  <c r="A594" i="2"/>
  <c r="B594" i="2"/>
  <c r="A1041" i="2"/>
  <c r="B1041" i="2"/>
  <c r="A2234" i="2"/>
  <c r="B2234" i="2"/>
  <c r="A2235" i="2"/>
  <c r="B2235" i="2"/>
  <c r="A2236" i="2"/>
  <c r="B2236" i="2"/>
  <c r="A1128" i="2"/>
  <c r="B1128" i="2"/>
  <c r="A2237" i="2"/>
  <c r="B2237" i="2"/>
  <c r="A214" i="2"/>
  <c r="B214" i="2"/>
  <c r="A1695" i="2"/>
  <c r="B1695" i="2"/>
  <c r="A2238" i="2"/>
  <c r="B2238" i="2"/>
  <c r="A2239" i="2"/>
  <c r="B2239" i="2"/>
  <c r="A215" i="2"/>
  <c r="B215" i="2"/>
  <c r="A595" i="2"/>
  <c r="B595" i="2"/>
  <c r="A1222" i="2"/>
  <c r="B1222" i="2"/>
  <c r="A2240" i="2"/>
  <c r="B2240" i="2"/>
  <c r="A216" i="2"/>
  <c r="B216" i="2"/>
  <c r="A217" i="2"/>
  <c r="B217" i="2"/>
  <c r="A1129" i="2"/>
  <c r="B1129" i="2"/>
  <c r="A2241" i="2"/>
  <c r="B2241" i="2"/>
  <c r="A1452" i="2"/>
  <c r="B1452" i="2"/>
  <c r="A1336" i="2"/>
  <c r="B1336" i="2"/>
  <c r="A2242" i="2"/>
  <c r="B2242" i="2"/>
  <c r="A1042" i="2"/>
  <c r="B1042" i="2"/>
  <c r="A2243" i="2"/>
  <c r="B2243" i="2"/>
  <c r="A2244" i="2"/>
  <c r="B2244" i="2"/>
  <c r="A218" i="2"/>
  <c r="B218" i="2"/>
  <c r="A2245" i="2"/>
  <c r="B2245" i="2"/>
  <c r="A219" i="2"/>
  <c r="B219" i="2"/>
  <c r="A2246" i="2"/>
  <c r="B2246" i="2"/>
  <c r="A1223" i="2"/>
  <c r="B1223" i="2"/>
  <c r="A2247" i="2"/>
  <c r="B2247" i="2"/>
  <c r="A596" i="2"/>
  <c r="B596" i="2"/>
  <c r="A2248" i="2"/>
  <c r="B2248" i="2"/>
  <c r="A220" i="2"/>
  <c r="B220" i="2"/>
  <c r="A221" i="2"/>
  <c r="B221" i="2"/>
  <c r="A2249" i="2"/>
  <c r="B2249" i="2"/>
  <c r="A1426" i="2"/>
  <c r="B1426" i="2"/>
  <c r="A2250" i="2"/>
  <c r="B2250" i="2"/>
  <c r="A597" i="2"/>
  <c r="B597" i="2"/>
  <c r="A222" i="2"/>
  <c r="B222" i="2"/>
  <c r="A2251" i="2"/>
  <c r="B2251" i="2"/>
  <c r="A2252" i="2"/>
  <c r="B2252" i="2"/>
  <c r="A598" i="2"/>
  <c r="B598" i="2"/>
  <c r="A2253" i="2"/>
  <c r="B2253" i="2"/>
  <c r="A1130" i="2"/>
  <c r="B1130" i="2"/>
  <c r="A2254" i="2"/>
  <c r="B2254" i="2"/>
  <c r="A2255" i="2"/>
  <c r="B2255" i="2"/>
  <c r="A223" i="2"/>
  <c r="B223" i="2"/>
  <c r="A1224" i="2"/>
  <c r="B1224" i="2"/>
  <c r="A224" i="2"/>
  <c r="B224" i="2"/>
  <c r="A225" i="2"/>
  <c r="B225" i="2"/>
  <c r="A226" i="2"/>
  <c r="B226" i="2"/>
  <c r="A227" i="2"/>
  <c r="B227" i="2"/>
  <c r="A228" i="2"/>
  <c r="B228" i="2"/>
  <c r="A229" i="2"/>
  <c r="B229" i="2"/>
  <c r="A230" i="2"/>
  <c r="B230" i="2"/>
  <c r="A231" i="2"/>
  <c r="B231" i="2"/>
  <c r="A407" i="2"/>
  <c r="B407" i="2"/>
  <c r="A232" i="2"/>
  <c r="B232" i="2"/>
  <c r="A1043" i="2"/>
  <c r="B1043" i="2"/>
  <c r="A599" i="2"/>
  <c r="B599" i="2"/>
  <c r="A1270" i="2"/>
  <c r="B1270" i="2"/>
  <c r="A233" i="2"/>
  <c r="B233" i="2"/>
  <c r="A1044" i="2"/>
  <c r="B1044" i="2"/>
  <c r="A1045" i="2"/>
  <c r="B1045" i="2"/>
  <c r="A1046" i="2"/>
  <c r="B1046" i="2"/>
  <c r="A2256" i="2"/>
  <c r="B2256" i="2"/>
  <c r="A2257" i="2"/>
  <c r="B2257" i="2"/>
  <c r="A2258" i="2"/>
  <c r="B2258" i="2"/>
  <c r="A2259" i="2"/>
  <c r="B2259" i="2"/>
  <c r="A2260" i="2"/>
  <c r="B2260" i="2"/>
  <c r="A1550" i="2"/>
  <c r="B1550" i="2"/>
  <c r="A2261" i="2"/>
  <c r="B2261" i="2"/>
  <c r="A2262" i="2"/>
  <c r="B2262" i="2"/>
  <c r="A2263" i="2"/>
  <c r="B2263" i="2"/>
  <c r="A234" i="2"/>
  <c r="B234" i="2"/>
  <c r="A1551" i="2"/>
  <c r="B1551" i="2"/>
  <c r="A2264" i="2"/>
  <c r="B2264" i="2"/>
  <c r="A2265" i="2"/>
  <c r="B2265" i="2"/>
  <c r="A2266" i="2"/>
  <c r="B2266" i="2"/>
  <c r="A2267" i="2"/>
  <c r="B2267" i="2"/>
  <c r="A2268" i="2"/>
  <c r="B2268" i="2"/>
  <c r="A2269" i="2"/>
  <c r="B2269" i="2"/>
  <c r="A2270" i="2"/>
  <c r="B2270" i="2"/>
  <c r="A2271" i="2"/>
  <c r="B2271" i="2"/>
  <c r="A2272" i="2"/>
  <c r="B2272" i="2"/>
  <c r="A1552" i="2"/>
  <c r="B1552" i="2"/>
  <c r="A2273" i="2"/>
  <c r="B2273" i="2"/>
  <c r="A2274" i="2"/>
  <c r="B2274" i="2"/>
  <c r="A2275" i="2"/>
  <c r="B2275" i="2"/>
  <c r="A1337" i="2"/>
  <c r="B1337" i="2"/>
  <c r="A2276" i="2"/>
  <c r="B2276" i="2"/>
  <c r="A235" i="2"/>
  <c r="B235" i="2"/>
  <c r="A2277" i="2"/>
  <c r="B2277" i="2"/>
  <c r="A1553" i="2"/>
  <c r="B1553" i="2"/>
  <c r="A2278" i="2"/>
  <c r="B2278" i="2"/>
  <c r="A2279" i="2"/>
  <c r="B2279" i="2"/>
  <c r="A2280" i="2"/>
  <c r="B2280" i="2"/>
  <c r="A236" i="2"/>
  <c r="B236" i="2"/>
  <c r="A2281" i="2"/>
  <c r="B2281" i="2"/>
  <c r="A2282" i="2"/>
  <c r="B2282" i="2"/>
  <c r="A2283" i="2"/>
  <c r="B2283" i="2"/>
  <c r="A2284" i="2"/>
  <c r="B2284" i="2"/>
  <c r="A2285" i="2"/>
  <c r="B2285" i="2"/>
  <c r="A2286" i="2"/>
  <c r="B2286" i="2"/>
  <c r="A2287" i="2"/>
  <c r="B2287" i="2"/>
  <c r="A2288" i="2"/>
  <c r="B2288" i="2"/>
  <c r="A2289" i="2"/>
  <c r="B2289" i="2"/>
  <c r="A2290" i="2"/>
  <c r="B2290" i="2"/>
  <c r="A1338" i="2"/>
  <c r="B1338" i="2"/>
  <c r="A18" i="2"/>
  <c r="B18" i="2"/>
  <c r="A2291" i="2"/>
  <c r="B2291" i="2"/>
  <c r="A1554" i="2"/>
  <c r="B1554" i="2"/>
  <c r="A2292" i="2"/>
  <c r="B2292" i="2"/>
  <c r="A2293" i="2"/>
  <c r="B2293" i="2"/>
  <c r="A2294" i="2"/>
  <c r="B2294" i="2"/>
  <c r="A2295" i="2"/>
  <c r="B2295" i="2"/>
  <c r="A2296" i="2"/>
  <c r="B2296" i="2"/>
  <c r="A2297" i="2"/>
  <c r="B2297" i="2"/>
  <c r="A2298" i="2"/>
  <c r="B2298" i="2"/>
  <c r="A2299" i="2"/>
  <c r="B2299" i="2"/>
  <c r="A2300" i="2"/>
  <c r="B2300" i="2"/>
  <c r="A2301" i="2"/>
  <c r="B2301" i="2"/>
  <c r="A2302" i="2"/>
  <c r="B2302" i="2"/>
  <c r="A339" i="2"/>
  <c r="B339" i="2"/>
  <c r="A1339" i="2"/>
  <c r="B1339" i="2"/>
  <c r="A2303" i="2"/>
  <c r="B2303" i="2"/>
  <c r="A2304" i="2"/>
  <c r="B2304" i="2"/>
  <c r="A2305" i="2"/>
  <c r="B2305" i="2"/>
  <c r="A237" i="2"/>
  <c r="B237" i="2"/>
  <c r="A2306" i="2"/>
  <c r="B2306" i="2"/>
  <c r="A2307" i="2"/>
  <c r="B2307" i="2"/>
  <c r="A2308" i="2"/>
  <c r="B2308" i="2"/>
  <c r="A2309" i="2"/>
  <c r="B2309" i="2"/>
  <c r="A2310" i="2"/>
  <c r="B2310" i="2"/>
  <c r="A2311" i="2"/>
  <c r="B2311" i="2"/>
  <c r="A1340" i="2"/>
  <c r="B1340" i="2"/>
  <c r="A2312" i="2"/>
  <c r="B2312" i="2"/>
  <c r="A2313" i="2"/>
  <c r="B2313" i="2"/>
  <c r="A2314" i="2"/>
  <c r="B2314" i="2"/>
  <c r="A771" i="2"/>
  <c r="B771" i="2"/>
  <c r="A1555" i="2"/>
  <c r="B1555" i="2"/>
  <c r="A238" i="2"/>
  <c r="B238" i="2"/>
  <c r="A239" i="2"/>
  <c r="B239" i="2"/>
  <c r="A2315" i="2"/>
  <c r="B2315" i="2"/>
  <c r="A2316" i="2"/>
  <c r="B2316" i="2"/>
  <c r="A2317" i="2"/>
  <c r="B2317" i="2"/>
  <c r="A2318" i="2"/>
  <c r="B2318" i="2"/>
  <c r="A2319" i="2"/>
  <c r="B2319" i="2"/>
  <c r="A2320" i="2"/>
  <c r="B2320" i="2"/>
  <c r="A2321" i="2"/>
  <c r="B2321" i="2"/>
  <c r="A2322" i="2"/>
  <c r="B2322" i="2"/>
  <c r="A772" i="2"/>
  <c r="B772" i="2"/>
  <c r="A2323" i="2"/>
  <c r="B2323" i="2"/>
  <c r="A2324" i="2"/>
  <c r="B2324" i="2"/>
  <c r="A2325" i="2"/>
  <c r="B2325" i="2"/>
  <c r="A414" i="2"/>
  <c r="B414" i="2"/>
  <c r="A2326" i="2"/>
  <c r="B2326" i="2"/>
  <c r="A1556" i="2"/>
  <c r="B1556" i="2"/>
  <c r="A2327" i="2"/>
  <c r="B2327" i="2"/>
  <c r="A2328" i="2"/>
  <c r="B2328" i="2"/>
  <c r="A600" i="2"/>
  <c r="B600" i="2"/>
  <c r="A1557" i="2"/>
  <c r="B1557" i="2"/>
  <c r="A1558" i="2"/>
  <c r="B1558" i="2"/>
  <c r="A2329" i="2"/>
  <c r="B2329" i="2"/>
  <c r="A2330" i="2"/>
  <c r="B2330" i="2"/>
  <c r="A2331" i="2"/>
  <c r="B2331" i="2"/>
  <c r="A340" i="2"/>
  <c r="B340" i="2"/>
  <c r="A341" i="2"/>
  <c r="B341" i="2"/>
  <c r="A415" i="2"/>
  <c r="B415" i="2"/>
  <c r="A2332" i="2"/>
  <c r="B2332" i="2"/>
  <c r="A1341" i="2"/>
  <c r="B1341" i="2"/>
  <c r="A2333" i="2"/>
  <c r="B2333" i="2"/>
  <c r="A2334" i="2"/>
  <c r="B2334" i="2"/>
  <c r="A2335" i="2"/>
  <c r="B2335" i="2"/>
  <c r="A2336" i="2"/>
  <c r="B2336" i="2"/>
  <c r="A485" i="2"/>
  <c r="B485" i="2"/>
  <c r="A1342" i="2"/>
  <c r="B1342" i="2"/>
  <c r="A2337" i="2"/>
  <c r="B2337" i="2"/>
  <c r="A1343" i="2"/>
  <c r="B1343" i="2"/>
  <c r="A2338" i="2"/>
  <c r="B2338" i="2"/>
  <c r="A342" i="2"/>
  <c r="B342" i="2"/>
  <c r="A416" i="2"/>
  <c r="B416" i="2"/>
  <c r="A2339" i="2"/>
  <c r="B2339" i="2"/>
  <c r="A417" i="2"/>
  <c r="B417" i="2"/>
  <c r="A343" i="2"/>
  <c r="B343" i="2"/>
  <c r="A1559" i="2"/>
  <c r="B1559" i="2"/>
  <c r="A2340" i="2"/>
  <c r="B2340" i="2"/>
  <c r="A2341" i="2"/>
  <c r="B2341" i="2"/>
  <c r="A486" i="2"/>
  <c r="B486" i="2"/>
  <c r="A601" i="2"/>
  <c r="B601" i="2"/>
  <c r="A1344" i="2"/>
  <c r="B1344" i="2"/>
  <c r="A2342" i="2"/>
  <c r="B2342" i="2"/>
  <c r="A2343" i="2"/>
  <c r="B2343" i="2"/>
  <c r="A2344" i="2"/>
  <c r="B2344" i="2"/>
  <c r="A2345" i="2"/>
  <c r="B2345" i="2"/>
  <c r="A2346" i="2"/>
  <c r="B2346" i="2"/>
  <c r="A773" i="2"/>
  <c r="B773" i="2"/>
  <c r="A19" i="2"/>
  <c r="B19" i="2"/>
  <c r="A2347" i="2"/>
  <c r="B2347" i="2"/>
  <c r="A2348" i="2"/>
  <c r="B2348" i="2"/>
  <c r="A2349" i="2"/>
  <c r="B2349" i="2"/>
  <c r="A2350" i="2"/>
  <c r="B2350" i="2"/>
  <c r="A344" i="2"/>
  <c r="B344" i="2"/>
  <c r="A2351" i="2"/>
  <c r="B2351" i="2"/>
  <c r="A2352" i="2"/>
  <c r="B2352" i="2"/>
  <c r="A1560" i="2"/>
  <c r="B1560" i="2"/>
  <c r="A2353" i="2"/>
  <c r="B2353" i="2"/>
  <c r="A2354" i="2"/>
  <c r="B2354" i="2"/>
  <c r="A774" i="2"/>
  <c r="B774" i="2"/>
  <c r="A2355" i="2"/>
  <c r="B2355" i="2"/>
  <c r="A2356" i="2"/>
  <c r="B2356" i="2"/>
  <c r="A487" i="2"/>
  <c r="B487" i="2"/>
  <c r="A2357" i="2"/>
  <c r="B2357" i="2"/>
  <c r="A1345" i="2"/>
  <c r="B1345" i="2"/>
  <c r="A2358" i="2"/>
  <c r="B2358" i="2"/>
  <c r="A2359" i="2"/>
  <c r="B2359" i="2"/>
  <c r="A2360" i="2"/>
  <c r="B2360" i="2"/>
  <c r="A20" i="2"/>
  <c r="B20" i="2"/>
  <c r="A2361" i="2"/>
  <c r="B2361" i="2"/>
  <c r="A2362" i="2"/>
  <c r="B2362" i="2"/>
  <c r="A2363" i="2"/>
  <c r="B2363" i="2"/>
  <c r="A2364" i="2"/>
  <c r="B2364" i="2"/>
  <c r="A2365" i="2"/>
  <c r="B2365" i="2"/>
  <c r="A345" i="2"/>
  <c r="B345" i="2"/>
  <c r="A775" i="2"/>
  <c r="B775" i="2"/>
  <c r="A2366" i="2"/>
  <c r="B2366" i="2"/>
  <c r="A2367" i="2"/>
  <c r="B2367" i="2"/>
  <c r="A240" i="2"/>
  <c r="B240" i="2"/>
  <c r="A602" i="2"/>
  <c r="B602" i="2"/>
  <c r="A2368" i="2"/>
  <c r="B2368" i="2"/>
  <c r="A2369" i="2"/>
  <c r="B2369" i="2"/>
  <c r="A1346" i="2"/>
  <c r="B1346" i="2"/>
  <c r="A2370" i="2"/>
  <c r="B2370" i="2"/>
  <c r="A418" i="2"/>
  <c r="B418" i="2"/>
  <c r="A2371" i="2"/>
  <c r="B2371" i="2"/>
  <c r="A2372" i="2"/>
  <c r="B2372" i="2"/>
  <c r="A2373" i="2"/>
  <c r="B2373" i="2"/>
  <c r="A2374" i="2"/>
  <c r="B2374" i="2"/>
  <c r="A2375" i="2"/>
  <c r="B2375" i="2"/>
  <c r="A2376" i="2"/>
  <c r="B2376" i="2"/>
  <c r="A2377" i="2"/>
  <c r="B2377" i="2"/>
  <c r="A2378" i="2"/>
  <c r="B2378" i="2"/>
  <c r="A2379" i="2"/>
  <c r="B2379" i="2"/>
  <c r="A241" i="2"/>
  <c r="B241" i="2"/>
  <c r="A1561" i="2"/>
  <c r="B1561" i="2"/>
  <c r="A488" i="2"/>
  <c r="B488" i="2"/>
  <c r="A2380" i="2"/>
  <c r="B2380" i="2"/>
  <c r="A2381" i="2"/>
  <c r="B2381" i="2"/>
  <c r="A2382" i="2"/>
  <c r="B2382" i="2"/>
  <c r="A603" i="2"/>
  <c r="B603" i="2"/>
  <c r="A2383" i="2"/>
  <c r="B2383" i="2"/>
  <c r="A604" i="2"/>
  <c r="B604" i="2"/>
  <c r="A2384" i="2"/>
  <c r="B2384" i="2"/>
  <c r="A1562" i="2"/>
  <c r="B1562" i="2"/>
  <c r="A2385" i="2"/>
  <c r="B2385" i="2"/>
  <c r="A1347" i="2"/>
  <c r="B1347" i="2"/>
  <c r="A21" i="2"/>
  <c r="B21" i="2"/>
  <c r="A2386" i="2"/>
  <c r="B2386" i="2"/>
  <c r="A2387" i="2"/>
  <c r="B2387" i="2"/>
  <c r="A2388" i="2"/>
  <c r="B2388" i="2"/>
  <c r="A242" i="2"/>
  <c r="B242" i="2"/>
  <c r="A419" i="2"/>
  <c r="B419" i="2"/>
  <c r="A1563" i="2"/>
  <c r="B1563" i="2"/>
  <c r="A346" i="2"/>
  <c r="B346" i="2"/>
  <c r="A2389" i="2"/>
  <c r="B2389" i="2"/>
  <c r="A2390" i="2"/>
  <c r="B2390" i="2"/>
  <c r="A2391" i="2"/>
  <c r="B2391" i="2"/>
  <c r="A2392" i="2"/>
  <c r="B2392" i="2"/>
  <c r="A2393" i="2"/>
  <c r="B2393" i="2"/>
  <c r="A2394" i="2"/>
  <c r="B2394" i="2"/>
  <c r="A2395" i="2"/>
  <c r="B2395" i="2"/>
  <c r="A2396" i="2"/>
  <c r="B2396" i="2"/>
  <c r="A2397" i="2"/>
  <c r="B2397" i="2"/>
  <c r="A243" i="2"/>
  <c r="B243" i="2"/>
  <c r="A2398" i="2"/>
  <c r="B2398" i="2"/>
  <c r="A2399" i="2"/>
  <c r="B2399" i="2"/>
  <c r="A776" i="2"/>
  <c r="B776" i="2"/>
  <c r="A1348" i="2"/>
  <c r="B1348" i="2"/>
  <c r="A2400" i="2"/>
  <c r="B2400" i="2"/>
  <c r="A2401" i="2"/>
  <c r="B2401" i="2"/>
  <c r="A2402" i="2"/>
  <c r="B2402" i="2"/>
  <c r="A605" i="2"/>
  <c r="B605" i="2"/>
  <c r="A606" i="2"/>
  <c r="B606" i="2"/>
  <c r="A2403" i="2"/>
  <c r="B2403" i="2"/>
  <c r="A2404" i="2"/>
  <c r="B2404" i="2"/>
  <c r="A2405" i="2"/>
  <c r="B2405" i="2"/>
  <c r="A2406" i="2"/>
  <c r="B2406" i="2"/>
  <c r="A1349" i="2"/>
  <c r="B1349" i="2"/>
  <c r="A607" i="2"/>
  <c r="B607" i="2"/>
  <c r="A2407" i="2"/>
  <c r="B2407" i="2"/>
  <c r="A608" i="2"/>
  <c r="B608" i="2"/>
  <c r="A244" i="2"/>
  <c r="B244" i="2"/>
  <c r="A2408" i="2"/>
  <c r="B2408" i="2"/>
  <c r="A2409" i="2"/>
  <c r="B2409" i="2"/>
  <c r="A1564" i="2"/>
  <c r="B1564" i="2"/>
  <c r="A2410" i="2"/>
  <c r="B2410" i="2"/>
  <c r="A2411" i="2"/>
  <c r="B2411" i="2"/>
  <c r="A2412" i="2"/>
  <c r="B2412" i="2"/>
  <c r="A2413" i="2"/>
  <c r="B2413" i="2"/>
  <c r="A1565" i="2"/>
  <c r="B1565" i="2"/>
  <c r="A2414" i="2"/>
  <c r="B2414" i="2"/>
  <c r="A1350" i="2"/>
  <c r="B1350" i="2"/>
  <c r="A2415" i="2"/>
  <c r="B2415" i="2"/>
  <c r="A2416" i="2"/>
  <c r="B2416" i="2"/>
  <c r="A1566" i="2"/>
  <c r="B1566" i="2"/>
  <c r="A2417" i="2"/>
  <c r="B2417" i="2"/>
  <c r="A777" i="2"/>
  <c r="B777" i="2"/>
  <c r="A2418" i="2"/>
  <c r="B2418" i="2"/>
  <c r="A2419" i="2"/>
  <c r="B2419" i="2"/>
  <c r="A1351" i="2"/>
  <c r="B1351" i="2"/>
  <c r="A609" i="2"/>
  <c r="B609" i="2"/>
  <c r="A2420" i="2"/>
  <c r="B2420" i="2"/>
  <c r="A2421" i="2"/>
  <c r="B2421" i="2"/>
  <c r="A2422" i="2"/>
  <c r="B2422" i="2"/>
  <c r="A2423" i="2"/>
  <c r="B2423" i="2"/>
  <c r="A2424" i="2"/>
  <c r="B2424" i="2"/>
  <c r="A245" i="2"/>
  <c r="B245" i="2"/>
  <c r="A610" i="2"/>
  <c r="B610" i="2"/>
  <c r="A2425" i="2"/>
  <c r="B2425" i="2"/>
  <c r="A2426" i="2"/>
  <c r="B2426" i="2"/>
  <c r="A2427" i="2"/>
  <c r="B2427" i="2"/>
  <c r="A2428" i="2"/>
  <c r="B2428" i="2"/>
  <c r="A2429" i="2"/>
  <c r="B2429" i="2"/>
  <c r="A2430" i="2"/>
  <c r="B2430" i="2"/>
  <c r="A420" i="2"/>
  <c r="B420" i="2"/>
  <c r="A611" i="2"/>
  <c r="B611" i="2"/>
  <c r="A2431" i="2"/>
  <c r="B2431" i="2"/>
  <c r="A2432" i="2"/>
  <c r="B2432" i="2"/>
  <c r="A2433" i="2"/>
  <c r="B2433" i="2"/>
  <c r="A2434" i="2"/>
  <c r="B2434" i="2"/>
  <c r="A489" i="2"/>
  <c r="B489" i="2"/>
  <c r="A778" i="2"/>
  <c r="B778" i="2"/>
  <c r="A2435" i="2"/>
  <c r="B2435" i="2"/>
  <c r="A421" i="2"/>
  <c r="B421" i="2"/>
  <c r="A1567" i="2"/>
  <c r="B1567" i="2"/>
  <c r="A246" i="2"/>
  <c r="B246" i="2"/>
  <c r="A2436" i="2"/>
  <c r="B2436" i="2"/>
  <c r="A347" i="2"/>
  <c r="B347" i="2"/>
  <c r="A2437" i="2"/>
  <c r="B2437" i="2"/>
  <c r="A612" i="2"/>
  <c r="B612" i="2"/>
  <c r="A348" i="2"/>
  <c r="B348" i="2"/>
  <c r="A2438" i="2"/>
  <c r="B2438" i="2"/>
  <c r="A2439" i="2"/>
  <c r="B2439" i="2"/>
  <c r="A2440" i="2"/>
  <c r="B2440" i="2"/>
  <c r="A247" i="2"/>
  <c r="B247" i="2"/>
  <c r="A422" i="2"/>
  <c r="B422" i="2"/>
  <c r="A1568" i="2"/>
  <c r="B1568" i="2"/>
  <c r="A613" i="2"/>
  <c r="B613" i="2"/>
  <c r="A2441" i="2"/>
  <c r="B2441" i="2"/>
  <c r="A490" i="2"/>
  <c r="B490" i="2"/>
  <c r="A1569" i="2"/>
  <c r="B1569" i="2"/>
  <c r="A2442" i="2"/>
  <c r="B2442" i="2"/>
  <c r="A2443" i="2"/>
  <c r="B2443" i="2"/>
  <c r="A2444" i="2"/>
  <c r="B2444" i="2"/>
  <c r="A2445" i="2"/>
  <c r="B2445" i="2"/>
  <c r="A2446" i="2"/>
  <c r="B2446" i="2"/>
  <c r="A2447" i="2"/>
  <c r="B2447" i="2"/>
  <c r="A614" i="2"/>
  <c r="B614" i="2"/>
  <c r="A615" i="2"/>
  <c r="B615" i="2"/>
  <c r="A1352" i="2"/>
  <c r="B1352" i="2"/>
  <c r="A2448" i="2"/>
  <c r="B2448" i="2"/>
  <c r="A1570" i="2"/>
  <c r="B1570" i="2"/>
  <c r="A2449" i="2"/>
  <c r="B2449" i="2"/>
  <c r="A2450" i="2"/>
  <c r="B2450" i="2"/>
  <c r="A1353" i="2"/>
  <c r="B1353" i="2"/>
  <c r="A616" i="2"/>
  <c r="B616" i="2"/>
  <c r="A2451" i="2"/>
  <c r="B2451" i="2"/>
  <c r="A2452" i="2"/>
  <c r="B2452" i="2"/>
  <c r="A2453" i="2"/>
  <c r="B2453" i="2"/>
  <c r="A779" i="2"/>
  <c r="B779" i="2"/>
  <c r="A1571" i="2"/>
  <c r="B1571" i="2"/>
  <c r="A2454" i="2"/>
  <c r="B2454" i="2"/>
  <c r="A2455" i="2"/>
  <c r="B2455" i="2"/>
  <c r="A2456" i="2"/>
  <c r="B2456" i="2"/>
  <c r="A2457" i="2"/>
  <c r="B2457" i="2"/>
  <c r="A1047" i="2"/>
  <c r="B1047" i="2"/>
  <c r="A2458" i="2"/>
  <c r="B2458" i="2"/>
  <c r="A2459" i="2"/>
  <c r="B2459" i="2"/>
  <c r="A1048" i="2"/>
  <c r="B1048" i="2"/>
  <c r="A248" i="2"/>
  <c r="B248" i="2"/>
  <c r="A2460" i="2"/>
  <c r="B2460" i="2"/>
  <c r="A2461" i="2"/>
  <c r="B2461" i="2"/>
  <c r="A2462" i="2"/>
  <c r="B2462" i="2"/>
  <c r="A491" i="2"/>
  <c r="B491" i="2"/>
  <c r="A2463" i="2"/>
  <c r="B2463" i="2"/>
  <c r="A492" i="2"/>
  <c r="B492" i="2"/>
  <c r="A2464" i="2"/>
  <c r="B2464" i="2"/>
  <c r="A2465" i="2"/>
  <c r="B2465" i="2"/>
  <c r="A780" i="2"/>
  <c r="B780" i="2"/>
  <c r="A781" i="2"/>
  <c r="B781" i="2"/>
  <c r="A2466" i="2"/>
  <c r="B2466" i="2"/>
  <c r="A2467" i="2"/>
  <c r="B2467" i="2"/>
  <c r="A249" i="2"/>
  <c r="B249" i="2"/>
  <c r="A1049" i="2"/>
  <c r="B1049" i="2"/>
  <c r="A2468" i="2"/>
  <c r="B2468" i="2"/>
  <c r="A2469" i="2"/>
  <c r="B2469" i="2"/>
  <c r="A2470" i="2"/>
  <c r="B2470" i="2"/>
  <c r="A617" i="2"/>
  <c r="B617" i="2"/>
  <c r="A1572" i="2"/>
  <c r="B1572" i="2"/>
  <c r="A2471" i="2"/>
  <c r="B2471" i="2"/>
  <c r="A2472" i="2"/>
  <c r="B2472" i="2"/>
  <c r="A1354" i="2"/>
  <c r="B1354" i="2"/>
  <c r="A618" i="2"/>
  <c r="B618" i="2"/>
  <c r="A2473" i="2"/>
  <c r="B2473" i="2"/>
  <c r="A619" i="2"/>
  <c r="B619" i="2"/>
  <c r="A1573" i="2"/>
  <c r="B1573" i="2"/>
  <c r="A2474" i="2"/>
  <c r="B2474" i="2"/>
  <c r="A2475" i="2"/>
  <c r="B2475" i="2"/>
  <c r="A250" i="2"/>
  <c r="B250" i="2"/>
  <c r="A2476" i="2"/>
  <c r="B2476" i="2"/>
  <c r="A2477" i="2"/>
  <c r="B2477" i="2"/>
  <c r="A782" i="2"/>
  <c r="B782" i="2"/>
  <c r="A620" i="2"/>
  <c r="B620" i="2"/>
  <c r="A2478" i="2"/>
  <c r="B2478" i="2"/>
  <c r="A1355" i="2"/>
  <c r="B1355" i="2"/>
  <c r="A2479" i="2"/>
  <c r="B2479" i="2"/>
  <c r="A2480" i="2"/>
  <c r="B2480" i="2"/>
  <c r="A621" i="2"/>
  <c r="B621" i="2"/>
  <c r="A2481" i="2"/>
  <c r="B2481" i="2"/>
  <c r="A2482" i="2"/>
  <c r="B2482" i="2"/>
  <c r="A2483" i="2"/>
  <c r="B2483" i="2"/>
  <c r="A2484" i="2"/>
  <c r="B2484" i="2"/>
  <c r="A2485" i="2"/>
  <c r="B2485" i="2"/>
  <c r="A251" i="2"/>
  <c r="B251" i="2"/>
  <c r="A1574" i="2"/>
  <c r="B1574" i="2"/>
  <c r="A2486" i="2"/>
  <c r="B2486" i="2"/>
  <c r="A622" i="2"/>
  <c r="B622" i="2"/>
  <c r="A623" i="2"/>
  <c r="B623" i="2"/>
  <c r="A2487" i="2"/>
  <c r="B2487" i="2"/>
  <c r="A2488" i="2"/>
  <c r="B2488" i="2"/>
  <c r="A1356" i="2"/>
  <c r="B1356" i="2"/>
  <c r="A1575" i="2"/>
  <c r="B1575" i="2"/>
  <c r="A252" i="2"/>
  <c r="B252" i="2"/>
  <c r="A2489" i="2"/>
  <c r="B2489" i="2"/>
  <c r="A2490" i="2"/>
  <c r="B2490" i="2"/>
  <c r="A2491" i="2"/>
  <c r="B2491" i="2"/>
  <c r="A624" i="2"/>
  <c r="B624" i="2"/>
  <c r="A2492" i="2"/>
  <c r="B2492" i="2"/>
  <c r="A783" i="2"/>
  <c r="B783" i="2"/>
  <c r="A2493" i="2"/>
  <c r="B2493" i="2"/>
  <c r="A784" i="2"/>
  <c r="B784" i="2"/>
  <c r="A423" i="2"/>
  <c r="B423" i="2"/>
  <c r="A2494" i="2"/>
  <c r="B2494" i="2"/>
  <c r="A2495" i="2"/>
  <c r="B2495" i="2"/>
  <c r="A1357" i="2"/>
  <c r="B1357" i="2"/>
  <c r="A2496" i="2"/>
  <c r="B2496" i="2"/>
  <c r="A253" i="2"/>
  <c r="B253" i="2"/>
  <c r="A2497" i="2"/>
  <c r="B2497" i="2"/>
  <c r="A785" i="2"/>
  <c r="B785" i="2"/>
  <c r="A2498" i="2"/>
  <c r="B2498" i="2"/>
  <c r="A2499" i="2"/>
  <c r="B2499" i="2"/>
  <c r="A2500" i="2"/>
  <c r="B2500" i="2"/>
  <c r="A2501" i="2"/>
  <c r="B2501" i="2"/>
  <c r="A2502" i="2"/>
  <c r="B2502" i="2"/>
  <c r="A2503" i="2"/>
  <c r="B2503" i="2"/>
  <c r="A2504" i="2"/>
  <c r="B2504" i="2"/>
  <c r="A625" i="2"/>
  <c r="B625" i="2"/>
  <c r="A2505" i="2"/>
  <c r="B2505" i="2"/>
  <c r="A786" i="2"/>
  <c r="B786" i="2"/>
  <c r="A787" i="2"/>
  <c r="B787" i="2"/>
  <c r="A2506" i="2"/>
  <c r="B2506" i="2"/>
  <c r="A2507" i="2"/>
  <c r="B2507" i="2"/>
  <c r="A788" i="2"/>
  <c r="B788" i="2"/>
  <c r="A2508" i="2"/>
  <c r="B2508" i="2"/>
  <c r="A2509" i="2"/>
  <c r="B2509" i="2"/>
  <c r="A1050" i="2"/>
  <c r="B1050" i="2"/>
  <c r="A2510" i="2"/>
  <c r="B2510" i="2"/>
  <c r="A2511" i="2"/>
  <c r="B2511" i="2"/>
  <c r="A2512" i="2"/>
  <c r="B2512" i="2"/>
  <c r="A2513" i="2"/>
  <c r="B2513" i="2"/>
  <c r="A1576" i="2"/>
  <c r="B1576" i="2"/>
  <c r="A2514" i="2"/>
  <c r="B2514" i="2"/>
  <c r="A2515" i="2"/>
  <c r="B2515" i="2"/>
  <c r="A2516" i="2"/>
  <c r="B2516" i="2"/>
  <c r="A1577" i="2"/>
  <c r="B1577" i="2"/>
  <c r="A2517" i="2"/>
  <c r="B2517" i="2"/>
  <c r="A2518" i="2"/>
  <c r="B2518" i="2"/>
  <c r="A2519" i="2"/>
  <c r="B2519" i="2"/>
  <c r="A1578" i="2"/>
  <c r="B1578" i="2"/>
  <c r="A424" i="2"/>
  <c r="B424" i="2"/>
  <c r="A2520" i="2"/>
  <c r="B2520" i="2"/>
  <c r="A2521" i="2"/>
  <c r="B2521" i="2"/>
  <c r="A2522" i="2"/>
  <c r="B2522" i="2"/>
  <c r="A2523" i="2"/>
  <c r="B2523" i="2"/>
  <c r="A789" i="2"/>
  <c r="B789" i="2"/>
  <c r="A1358" i="2"/>
  <c r="B1358" i="2"/>
  <c r="A1359" i="2"/>
  <c r="B1359" i="2"/>
  <c r="A2524" i="2"/>
  <c r="B2524" i="2"/>
  <c r="A626" i="2"/>
  <c r="B626" i="2"/>
  <c r="A2525" i="2"/>
  <c r="B2525" i="2"/>
  <c r="A2526" i="2"/>
  <c r="B2526" i="2"/>
  <c r="A1360" i="2"/>
  <c r="B1360" i="2"/>
  <c r="A2527" i="2"/>
  <c r="B2527" i="2"/>
  <c r="A2528" i="2"/>
  <c r="B2528" i="2"/>
  <c r="A1051" i="2"/>
  <c r="B1051" i="2"/>
  <c r="A1361" i="2"/>
  <c r="B1361" i="2"/>
  <c r="A790" i="2"/>
  <c r="B790" i="2"/>
  <c r="A791" i="2"/>
  <c r="B791" i="2"/>
  <c r="A2529" i="2"/>
  <c r="B2529" i="2"/>
  <c r="A2530" i="2"/>
  <c r="B2530" i="2"/>
  <c r="A1579" i="2"/>
  <c r="B1579" i="2"/>
  <c r="A2531" i="2"/>
  <c r="B2531" i="2"/>
  <c r="A1580" i="2"/>
  <c r="B1580" i="2"/>
  <c r="A2532" i="2"/>
  <c r="B2532" i="2"/>
  <c r="A254" i="2"/>
  <c r="B254" i="2"/>
  <c r="A255" i="2"/>
  <c r="B255" i="2"/>
  <c r="A2533" i="2"/>
  <c r="B2533" i="2"/>
  <c r="A2534" i="2"/>
  <c r="B2534" i="2"/>
  <c r="A2535" i="2"/>
  <c r="B2535" i="2"/>
  <c r="A2536" i="2"/>
  <c r="B2536" i="2"/>
  <c r="A627" i="2"/>
  <c r="B627" i="2"/>
  <c r="A1581" i="2"/>
  <c r="B1581" i="2"/>
  <c r="A792" i="2"/>
  <c r="B792" i="2"/>
  <c r="A793" i="2"/>
  <c r="B793" i="2"/>
  <c r="A2537" i="2"/>
  <c r="B2537" i="2"/>
  <c r="A2538" i="2"/>
  <c r="B2538" i="2"/>
  <c r="A2539" i="2"/>
  <c r="B2539" i="2"/>
  <c r="A2540" i="2"/>
  <c r="B2540" i="2"/>
  <c r="A1582" i="2"/>
  <c r="B1582" i="2"/>
  <c r="A2541" i="2"/>
  <c r="B2541" i="2"/>
  <c r="A2542" i="2"/>
  <c r="B2542" i="2"/>
  <c r="A256" i="2"/>
  <c r="B256" i="2"/>
  <c r="A794" i="2"/>
  <c r="B794" i="2"/>
  <c r="A493" i="2"/>
  <c r="B493" i="2"/>
  <c r="A628" i="2"/>
  <c r="B628" i="2"/>
  <c r="A2543" i="2"/>
  <c r="B2543" i="2"/>
  <c r="A1362" i="2"/>
  <c r="B1362" i="2"/>
  <c r="A795" i="2"/>
  <c r="B795" i="2"/>
  <c r="A257" i="2"/>
  <c r="B257" i="2"/>
  <c r="A2544" i="2"/>
  <c r="B2544" i="2"/>
  <c r="A796" i="2"/>
  <c r="B796" i="2"/>
  <c r="A494" i="2"/>
  <c r="B494" i="2"/>
  <c r="A797" i="2"/>
  <c r="B797" i="2"/>
  <c r="A1363" i="2"/>
  <c r="B1363" i="2"/>
  <c r="A1583" i="2"/>
  <c r="B1583" i="2"/>
  <c r="A2545" i="2"/>
  <c r="B2545" i="2"/>
  <c r="A1584" i="2"/>
  <c r="B1584" i="2"/>
  <c r="A2546" i="2"/>
  <c r="B2546" i="2"/>
  <c r="A2547" i="2"/>
  <c r="B2547" i="2"/>
  <c r="A2548" i="2"/>
  <c r="B2548" i="2"/>
  <c r="A2549" i="2"/>
  <c r="B2549" i="2"/>
  <c r="A2550" i="2"/>
  <c r="B2550" i="2"/>
  <c r="A798" i="2"/>
  <c r="B798" i="2"/>
  <c r="A2551" i="2"/>
  <c r="B2551" i="2"/>
  <c r="A2552" i="2"/>
  <c r="B2552" i="2"/>
  <c r="A2553" i="2"/>
  <c r="B2553" i="2"/>
  <c r="A2554" i="2"/>
  <c r="B2554" i="2"/>
  <c r="A1585" i="2"/>
  <c r="B1585" i="2"/>
  <c r="A2555" i="2"/>
  <c r="B2555" i="2"/>
  <c r="A799" i="2"/>
  <c r="B799" i="2"/>
  <c r="A2556" i="2"/>
  <c r="B2556" i="2"/>
  <c r="A2557" i="2"/>
  <c r="B2557" i="2"/>
  <c r="A373" i="2"/>
  <c r="B373" i="2"/>
  <c r="A2558" i="2"/>
  <c r="B2558" i="2"/>
  <c r="A800" i="2"/>
  <c r="B800" i="2"/>
  <c r="A629" i="2"/>
  <c r="B629" i="2"/>
  <c r="A2559" i="2"/>
  <c r="B2559" i="2"/>
  <c r="A2560" i="2"/>
  <c r="B2560" i="2"/>
  <c r="A801" i="2"/>
  <c r="B801" i="2"/>
  <c r="A1364" i="2"/>
  <c r="B1364" i="2"/>
  <c r="A258" i="2"/>
  <c r="B258" i="2"/>
  <c r="A2561" i="2"/>
  <c r="B2561" i="2"/>
  <c r="A2562" i="2"/>
  <c r="B2562" i="2"/>
  <c r="A1586" i="2"/>
  <c r="B1586" i="2"/>
  <c r="A2563" i="2"/>
  <c r="B2563" i="2"/>
  <c r="A2564" i="2"/>
  <c r="B2564" i="2"/>
  <c r="A630" i="2"/>
  <c r="B630" i="2"/>
  <c r="A259" i="2"/>
  <c r="B259" i="2"/>
  <c r="A260" i="2"/>
  <c r="B260" i="2"/>
  <c r="A2565" i="2"/>
  <c r="B2565" i="2"/>
  <c r="A631" i="2"/>
  <c r="B631" i="2"/>
  <c r="A2566" i="2"/>
  <c r="B2566" i="2"/>
  <c r="A261" i="2"/>
  <c r="B261" i="2"/>
  <c r="A2567" i="2"/>
  <c r="B2567" i="2"/>
  <c r="A2568" i="2"/>
  <c r="B2568" i="2"/>
  <c r="A1052" i="2"/>
  <c r="B1052" i="2"/>
  <c r="A262" i="2"/>
  <c r="B262" i="2"/>
  <c r="A2569" i="2"/>
  <c r="B2569" i="2"/>
  <c r="A263" i="2"/>
  <c r="B263" i="2"/>
  <c r="A264" i="2"/>
  <c r="B264" i="2"/>
  <c r="A2570" i="2"/>
  <c r="B2570" i="2"/>
  <c r="A265" i="2"/>
  <c r="B265" i="2"/>
  <c r="A266" i="2"/>
  <c r="B266" i="2"/>
  <c r="A632" i="2"/>
  <c r="B632" i="2"/>
  <c r="A633" i="2"/>
  <c r="B633" i="2"/>
  <c r="A2571" i="2"/>
  <c r="B2571" i="2"/>
  <c r="A802" i="2"/>
  <c r="B802" i="2"/>
  <c r="A267" i="2"/>
  <c r="B267" i="2"/>
  <c r="A2572" i="2"/>
  <c r="B2572" i="2"/>
  <c r="A2573" i="2"/>
  <c r="B2573" i="2"/>
  <c r="A2574" i="2"/>
  <c r="B2574" i="2"/>
  <c r="A1587" i="2"/>
  <c r="B1587" i="2"/>
  <c r="A803" i="2"/>
  <c r="B803" i="2"/>
  <c r="A268" i="2"/>
  <c r="B268" i="2"/>
  <c r="A2575" i="2"/>
  <c r="B2575" i="2"/>
  <c r="A269" i="2"/>
  <c r="B269" i="2"/>
  <c r="A2576" i="2"/>
  <c r="B2576" i="2"/>
  <c r="A270" i="2"/>
  <c r="B270" i="2"/>
  <c r="A2577" i="2"/>
  <c r="B2577" i="2"/>
  <c r="A2578" i="2"/>
  <c r="B2578" i="2"/>
  <c r="A2579" i="2"/>
  <c r="B2579" i="2"/>
  <c r="A271" i="2"/>
  <c r="B271" i="2"/>
  <c r="A1365" i="2"/>
  <c r="B1365" i="2"/>
  <c r="A425" i="2"/>
  <c r="B425" i="2"/>
  <c r="A2580" i="2"/>
  <c r="B2580" i="2"/>
  <c r="A804" i="2"/>
  <c r="B804" i="2"/>
  <c r="A805" i="2"/>
  <c r="B805" i="2"/>
  <c r="A272" i="2"/>
  <c r="B272" i="2"/>
  <c r="A2581" i="2"/>
  <c r="B2581" i="2"/>
  <c r="A273" i="2"/>
  <c r="B273" i="2"/>
  <c r="A2582" i="2"/>
  <c r="B2582" i="2"/>
  <c r="A1366" i="2"/>
  <c r="B1366" i="2"/>
  <c r="A2583" i="2"/>
  <c r="B2583" i="2"/>
  <c r="A2584" i="2"/>
  <c r="B2584" i="2"/>
  <c r="A2585" i="2"/>
  <c r="B2585" i="2"/>
  <c r="A2586" i="2"/>
  <c r="B2586" i="2"/>
  <c r="A2587" i="2"/>
  <c r="B2587" i="2"/>
  <c r="A634" i="2"/>
  <c r="B634" i="2"/>
  <c r="A2588" i="2"/>
  <c r="B2588" i="2"/>
  <c r="A2589" i="2"/>
  <c r="B2589" i="2"/>
  <c r="A806" i="2"/>
  <c r="B806" i="2"/>
  <c r="A807" i="2"/>
  <c r="B807" i="2"/>
  <c r="A2590" i="2"/>
  <c r="B2590" i="2"/>
  <c r="A1588" i="2"/>
  <c r="B1588" i="2"/>
  <c r="A374" i="2"/>
  <c r="B374" i="2"/>
  <c r="A2591" i="2"/>
  <c r="B2591" i="2"/>
  <c r="A2592" i="2"/>
  <c r="B2592" i="2"/>
  <c r="A2593" i="2"/>
  <c r="B2593" i="2"/>
  <c r="A2594" i="2"/>
  <c r="B2594" i="2"/>
  <c r="A2595" i="2"/>
  <c r="B2595" i="2"/>
  <c r="A1589" i="2"/>
  <c r="B1589" i="2"/>
  <c r="A2596" i="2"/>
  <c r="B2596" i="2"/>
  <c r="A2597" i="2"/>
  <c r="B2597" i="2"/>
  <c r="A2598" i="2"/>
  <c r="B2598" i="2"/>
  <c r="A808" i="2"/>
  <c r="B808" i="2"/>
  <c r="A635" i="2"/>
  <c r="B635" i="2"/>
  <c r="A2599" i="2"/>
  <c r="B2599" i="2"/>
  <c r="A2600" i="2"/>
  <c r="B2600" i="2"/>
  <c r="A2601" i="2"/>
  <c r="B2601" i="2"/>
  <c r="A2602" i="2"/>
  <c r="B2602" i="2"/>
  <c r="A2603" i="2"/>
  <c r="B2603" i="2"/>
  <c r="A2604" i="2"/>
  <c r="B2604" i="2"/>
  <c r="A2605" i="2"/>
  <c r="B2605" i="2"/>
  <c r="A2606" i="2"/>
  <c r="B2606" i="2"/>
  <c r="A2607" i="2"/>
  <c r="B2607" i="2"/>
  <c r="A1746" i="2"/>
  <c r="B1746" i="2"/>
  <c r="A1492" i="2"/>
  <c r="B1492" i="2"/>
  <c r="A274" i="2"/>
  <c r="B274" i="2"/>
  <c r="A1646" i="2"/>
  <c r="B1646" i="2"/>
  <c r="A2608" i="2"/>
  <c r="B2608" i="2"/>
  <c r="A2609" i="2"/>
  <c r="B2609" i="2"/>
  <c r="A2610" i="2"/>
  <c r="B2610" i="2"/>
  <c r="A2611" i="2"/>
  <c r="B2611" i="2"/>
  <c r="A2612" i="2"/>
  <c r="B2612" i="2"/>
  <c r="A1131" i="2"/>
  <c r="B1131" i="2"/>
  <c r="A1225" i="2"/>
  <c r="B1225" i="2"/>
  <c r="A275" i="2"/>
  <c r="B275" i="2"/>
  <c r="A943" i="2"/>
  <c r="B943" i="2"/>
  <c r="A2613" i="2"/>
  <c r="B2613" i="2"/>
  <c r="A1367" i="2"/>
  <c r="B1367" i="2"/>
  <c r="A1053" i="2"/>
  <c r="B1053" i="2"/>
  <c r="A1747" i="2"/>
  <c r="B1747" i="2"/>
  <c r="A1368" i="2"/>
  <c r="B1368" i="2"/>
  <c r="A2614" i="2"/>
  <c r="B2614" i="2"/>
  <c r="A944" i="2"/>
  <c r="B944" i="2"/>
  <c r="A2615" i="2"/>
  <c r="B2615" i="2"/>
  <c r="A2616" i="2"/>
  <c r="B2616" i="2"/>
  <c r="A1132" i="2"/>
  <c r="B1132" i="2"/>
  <c r="A1590" i="2"/>
  <c r="B1590" i="2"/>
  <c r="A2617" i="2"/>
  <c r="B2617" i="2"/>
  <c r="A2618" i="2"/>
  <c r="B2618" i="2"/>
  <c r="A1748" i="2"/>
  <c r="B1748" i="2"/>
  <c r="A2619" i="2"/>
  <c r="B2619" i="2"/>
  <c r="A1493" i="2"/>
  <c r="B1493" i="2"/>
  <c r="A2620" i="2"/>
  <c r="B2620" i="2"/>
  <c r="A276" i="2"/>
  <c r="B276" i="2"/>
  <c r="A2621" i="2"/>
  <c r="B2621" i="2"/>
  <c r="A1226" i="2"/>
  <c r="B1226" i="2"/>
  <c r="A1453" i="2"/>
  <c r="B1453" i="2"/>
  <c r="A945" i="2"/>
  <c r="B945" i="2"/>
  <c r="A1494" i="2"/>
  <c r="B1494" i="2"/>
  <c r="A1369" i="2"/>
  <c r="B1369" i="2"/>
  <c r="A2622" i="2"/>
  <c r="B2622" i="2"/>
  <c r="A277" i="2"/>
  <c r="B277" i="2"/>
  <c r="A2623" i="2"/>
  <c r="B2623" i="2"/>
  <c r="A1271" i="2"/>
  <c r="B1271" i="2"/>
  <c r="A1272" i="2"/>
  <c r="B1272" i="2"/>
  <c r="A2624" i="2"/>
  <c r="B2624" i="2"/>
  <c r="A1647" i="2"/>
  <c r="B1647" i="2"/>
  <c r="A1370" i="2"/>
  <c r="B1370" i="2"/>
  <c r="A2625" i="2"/>
  <c r="B2625" i="2"/>
  <c r="A946" i="2"/>
  <c r="B946" i="2"/>
  <c r="A2626" i="2"/>
  <c r="B2626" i="2"/>
  <c r="A875" i="2"/>
  <c r="B875" i="2"/>
  <c r="A1648" i="2"/>
  <c r="B1648" i="2"/>
  <c r="A2627" i="2"/>
  <c r="B2627" i="2"/>
  <c r="A1591" i="2"/>
  <c r="B1591" i="2"/>
  <c r="A278" i="2"/>
  <c r="B278" i="2"/>
  <c r="A279" i="2"/>
  <c r="B279" i="2"/>
  <c r="A2628" i="2"/>
  <c r="B2628" i="2"/>
  <c r="A2629" i="2"/>
  <c r="B2629" i="2"/>
  <c r="A876" i="2"/>
  <c r="B876" i="2"/>
  <c r="A2630" i="2"/>
  <c r="B2630" i="2"/>
  <c r="A2631" i="2"/>
  <c r="B2631" i="2"/>
  <c r="A2632" i="2"/>
  <c r="B2632" i="2"/>
  <c r="A2633" i="2"/>
  <c r="B2633" i="2"/>
  <c r="A1227" i="2"/>
  <c r="B1227" i="2"/>
  <c r="A2634" i="2"/>
  <c r="B2634" i="2"/>
  <c r="A1454" i="2"/>
  <c r="B1454" i="2"/>
  <c r="A2635" i="2"/>
  <c r="B2635" i="2"/>
  <c r="A1696" i="2"/>
  <c r="B1696" i="2"/>
  <c r="A1495" i="2"/>
  <c r="B1495" i="2"/>
  <c r="A2636" i="2"/>
  <c r="B2636" i="2"/>
  <c r="A1749" i="2"/>
  <c r="B1749" i="2"/>
  <c r="A280" i="2"/>
  <c r="B280" i="2"/>
  <c r="A2637" i="2"/>
  <c r="B2637" i="2"/>
  <c r="A1371" i="2"/>
  <c r="B1371" i="2"/>
  <c r="A1054" i="2"/>
  <c r="B1054" i="2"/>
  <c r="A1372" i="2"/>
  <c r="B1372" i="2"/>
  <c r="A1592" i="2"/>
  <c r="B1592" i="2"/>
  <c r="A1228" i="2"/>
  <c r="B1228" i="2"/>
  <c r="A1133" i="2"/>
  <c r="B1133" i="2"/>
  <c r="A2638" i="2"/>
  <c r="B2638" i="2"/>
  <c r="A1750" i="2"/>
  <c r="B1750" i="2"/>
  <c r="A947" i="2"/>
  <c r="B947" i="2"/>
  <c r="A1373" i="2"/>
  <c r="B1373" i="2"/>
  <c r="A2639" i="2"/>
  <c r="B2639" i="2"/>
  <c r="A1055" i="2"/>
  <c r="B1055" i="2"/>
  <c r="A1374" i="2"/>
  <c r="B1374" i="2"/>
  <c r="A2640" i="2"/>
  <c r="B2640" i="2"/>
  <c r="A2641" i="2"/>
  <c r="B2641" i="2"/>
  <c r="A281" i="2"/>
  <c r="B281" i="2"/>
  <c r="A2642" i="2"/>
  <c r="B2642" i="2"/>
  <c r="A636" i="2"/>
  <c r="B636" i="2"/>
  <c r="A2643" i="2"/>
  <c r="B2643" i="2"/>
  <c r="A2644" i="2"/>
  <c r="B2644" i="2"/>
  <c r="A1496" i="2"/>
  <c r="B1496" i="2"/>
  <c r="A282" i="2"/>
  <c r="B282" i="2"/>
  <c r="A283" i="2"/>
  <c r="B283" i="2"/>
  <c r="A948" i="2"/>
  <c r="B948" i="2"/>
  <c r="A949" i="2"/>
  <c r="B949" i="2"/>
  <c r="A2645" i="2"/>
  <c r="B2645" i="2"/>
  <c r="A950" i="2"/>
  <c r="B950" i="2"/>
  <c r="A2646" i="2"/>
  <c r="B2646" i="2"/>
  <c r="A1056" i="2"/>
  <c r="B1056" i="2"/>
  <c r="A877" i="2"/>
  <c r="B877" i="2"/>
  <c r="A1593" i="2"/>
  <c r="B1593" i="2"/>
  <c r="A637" i="2"/>
  <c r="B637" i="2"/>
  <c r="A1057" i="2"/>
  <c r="B1057" i="2"/>
  <c r="A2647" i="2"/>
  <c r="B2647" i="2"/>
  <c r="A2648" i="2"/>
  <c r="B2648" i="2"/>
  <c r="A1649" i="2"/>
  <c r="B1649" i="2"/>
  <c r="A878" i="2"/>
  <c r="B878" i="2"/>
  <c r="A2649" i="2"/>
  <c r="B2649" i="2"/>
  <c r="A2650" i="2"/>
  <c r="B2650" i="2"/>
  <c r="A2651" i="2"/>
  <c r="B2651" i="2"/>
  <c r="A2652" i="2"/>
  <c r="B2652" i="2"/>
  <c r="A2653" i="2"/>
  <c r="B2653" i="2"/>
  <c r="A2654" i="2"/>
  <c r="B2654" i="2"/>
  <c r="A1273" i="2"/>
  <c r="B1273" i="2"/>
  <c r="A2655" i="2"/>
  <c r="B2655" i="2"/>
  <c r="A2656" i="2"/>
  <c r="B2656" i="2"/>
  <c r="A1375" i="2"/>
  <c r="B1375" i="2"/>
  <c r="A2657" i="2"/>
  <c r="B2657" i="2"/>
  <c r="A1134" i="2"/>
  <c r="B1134" i="2"/>
  <c r="A1751" i="2"/>
  <c r="B1751" i="2"/>
  <c r="A1497" i="2"/>
  <c r="B1497" i="2"/>
  <c r="A1058" i="2"/>
  <c r="B1058" i="2"/>
  <c r="A1455" i="2"/>
  <c r="B1455" i="2"/>
  <c r="A2658" i="2"/>
  <c r="B2658" i="2"/>
  <c r="A2659" i="2"/>
  <c r="B2659" i="2"/>
  <c r="A2660" i="2"/>
  <c r="B2660" i="2"/>
  <c r="A495" i="2"/>
  <c r="B495" i="2"/>
  <c r="A496" i="2"/>
  <c r="B496" i="2"/>
  <c r="A638" i="2"/>
  <c r="B638" i="2"/>
  <c r="A2661" i="2"/>
  <c r="B2661" i="2"/>
  <c r="A951" i="2"/>
  <c r="B951" i="2"/>
  <c r="A1650" i="2"/>
  <c r="B1650" i="2"/>
  <c r="A1229" i="2"/>
  <c r="B1229" i="2"/>
  <c r="A952" i="2"/>
  <c r="B952" i="2"/>
  <c r="A639" i="2"/>
  <c r="B639" i="2"/>
  <c r="A1498" i="2"/>
  <c r="B1498" i="2"/>
  <c r="A953" i="2"/>
  <c r="B953" i="2"/>
  <c r="A2662" i="2"/>
  <c r="B2662" i="2"/>
  <c r="A1230" i="2"/>
  <c r="B1230" i="2"/>
  <c r="A2663" i="2"/>
  <c r="B2663" i="2"/>
  <c r="A2664" i="2"/>
  <c r="B2664" i="2"/>
  <c r="A1376" i="2"/>
  <c r="B1376" i="2"/>
  <c r="A1651" i="2"/>
  <c r="B1651" i="2"/>
  <c r="A2665" i="2"/>
  <c r="B2665" i="2"/>
  <c r="A809" i="2"/>
  <c r="B809" i="2"/>
  <c r="A1594" i="2"/>
  <c r="B1594" i="2"/>
  <c r="A2666" i="2"/>
  <c r="B2666" i="2"/>
  <c r="A1752" i="2"/>
  <c r="B1752" i="2"/>
  <c r="A640" i="2"/>
  <c r="B640" i="2"/>
  <c r="A1231" i="2"/>
  <c r="B1231" i="2"/>
  <c r="A1135" i="2"/>
  <c r="B1135" i="2"/>
  <c r="A1377" i="2"/>
  <c r="B1377" i="2"/>
  <c r="A497" i="2"/>
  <c r="B497" i="2"/>
  <c r="A1059" i="2"/>
  <c r="B1059" i="2"/>
  <c r="A1378" i="2"/>
  <c r="B1378" i="2"/>
  <c r="A2667" i="2"/>
  <c r="B2667" i="2"/>
  <c r="A1697" i="2"/>
  <c r="B1697" i="2"/>
  <c r="A498" i="2"/>
  <c r="B498" i="2"/>
  <c r="A1753" i="2"/>
  <c r="B1753" i="2"/>
  <c r="A284" i="2"/>
  <c r="B284" i="2"/>
  <c r="A2668" i="2"/>
  <c r="B2668" i="2"/>
  <c r="A2669" i="2"/>
  <c r="B2669" i="2"/>
  <c r="A849" i="2"/>
  <c r="B849" i="2"/>
  <c r="A2670" i="2"/>
  <c r="B2670" i="2"/>
  <c r="A2671" i="2"/>
  <c r="B2671" i="2"/>
  <c r="A1499" i="2"/>
  <c r="B1499" i="2"/>
  <c r="A2672" i="2"/>
  <c r="B2672" i="2"/>
  <c r="A1232" i="2"/>
  <c r="B1232" i="2"/>
  <c r="A285" i="2"/>
  <c r="B285" i="2"/>
  <c r="A879" i="2"/>
  <c r="B879" i="2"/>
  <c r="A850" i="2"/>
  <c r="B850" i="2"/>
  <c r="A1595" i="2"/>
  <c r="B1595" i="2"/>
  <c r="A1136" i="2"/>
  <c r="B1136" i="2"/>
  <c r="A2673" i="2"/>
  <c r="B2673" i="2"/>
  <c r="A1379" i="2"/>
  <c r="B1379" i="2"/>
  <c r="A1060" i="2"/>
  <c r="B1060" i="2"/>
  <c r="A1233" i="2"/>
  <c r="B1233" i="2"/>
  <c r="A1234" i="2"/>
  <c r="B1234" i="2"/>
  <c r="A499" i="2"/>
  <c r="B499" i="2"/>
  <c r="A954" i="2"/>
  <c r="B954" i="2"/>
  <c r="A500" i="2"/>
  <c r="B500" i="2"/>
  <c r="A2674" i="2"/>
  <c r="B2674" i="2"/>
  <c r="A2675" i="2"/>
  <c r="B2675" i="2"/>
  <c r="A2676" i="2"/>
  <c r="B2676" i="2"/>
  <c r="A641" i="2"/>
  <c r="B641" i="2"/>
  <c r="A286" i="2"/>
  <c r="B286" i="2"/>
  <c r="A851" i="2"/>
  <c r="B851" i="2"/>
  <c r="A2677" i="2"/>
  <c r="B2677" i="2"/>
  <c r="A2678" i="2"/>
  <c r="B2678" i="2"/>
  <c r="A287" i="2"/>
  <c r="B287" i="2"/>
  <c r="A955" i="2"/>
  <c r="B955" i="2"/>
  <c r="A642" i="2"/>
  <c r="B642" i="2"/>
  <c r="A2679" i="2"/>
  <c r="B2679" i="2"/>
  <c r="A1061" i="2"/>
  <c r="B1061" i="2"/>
  <c r="A2680" i="2"/>
  <c r="B2680" i="2"/>
  <c r="A1456" i="2"/>
  <c r="B1456" i="2"/>
  <c r="A643" i="2"/>
  <c r="B643" i="2"/>
  <c r="A1380" i="2"/>
  <c r="B1380" i="2"/>
  <c r="A1457" i="2"/>
  <c r="B1457" i="2"/>
  <c r="A2681" i="2"/>
  <c r="B2681" i="2"/>
  <c r="A1274" i="2"/>
  <c r="B1274" i="2"/>
  <c r="A1235" i="2"/>
  <c r="B1235" i="2"/>
  <c r="A1236" i="2"/>
  <c r="B1236" i="2"/>
  <c r="A644" i="2"/>
  <c r="B644" i="2"/>
  <c r="A1381" i="2"/>
  <c r="B1381" i="2"/>
  <c r="A288" i="2"/>
  <c r="B288" i="2"/>
  <c r="A956" i="2"/>
  <c r="B956" i="2"/>
  <c r="A2682" i="2"/>
  <c r="B2682" i="2"/>
  <c r="A1137" i="2"/>
  <c r="B1137" i="2"/>
  <c r="A2683" i="2"/>
  <c r="B2683" i="2"/>
  <c r="A2684" i="2"/>
  <c r="B2684" i="2"/>
  <c r="A852" i="2"/>
  <c r="B852" i="2"/>
  <c r="A645" i="2"/>
  <c r="B645" i="2"/>
  <c r="A1382" i="2"/>
  <c r="B1382" i="2"/>
  <c r="A957" i="2"/>
  <c r="B957" i="2"/>
  <c r="A2685" i="2"/>
  <c r="B2685" i="2"/>
  <c r="A2686" i="2"/>
  <c r="B2686" i="2"/>
  <c r="A2687" i="2"/>
  <c r="B2687" i="2"/>
  <c r="A1062" i="2"/>
  <c r="B1062" i="2"/>
  <c r="A958" i="2"/>
  <c r="B958" i="2"/>
  <c r="A2688" i="2"/>
  <c r="B2688" i="2"/>
  <c r="A1500" i="2"/>
  <c r="B1500" i="2"/>
  <c r="A289" i="2"/>
  <c r="B289" i="2"/>
  <c r="A1652" i="2"/>
  <c r="B1652" i="2"/>
  <c r="A426" i="2"/>
  <c r="B426" i="2"/>
  <c r="A1754" i="2"/>
  <c r="B1754" i="2"/>
  <c r="A646" i="2"/>
  <c r="B646" i="2"/>
  <c r="A513" i="2"/>
  <c r="B513" i="2"/>
  <c r="A2689" i="2"/>
  <c r="B2689" i="2"/>
  <c r="A647" i="2"/>
  <c r="B647" i="2"/>
  <c r="A1237" i="2"/>
  <c r="B1237" i="2"/>
  <c r="A2690" i="2"/>
  <c r="B2690" i="2"/>
  <c r="A1383" i="2"/>
  <c r="B1383" i="2"/>
  <c r="A648" i="2"/>
  <c r="B648" i="2"/>
  <c r="A2691" i="2"/>
  <c r="B2691" i="2"/>
  <c r="A1596" i="2"/>
  <c r="B1596" i="2"/>
  <c r="A1063" i="2"/>
  <c r="B1063" i="2"/>
  <c r="A2692" i="2"/>
  <c r="B2692" i="2"/>
  <c r="A1064" i="2"/>
  <c r="B1064" i="2"/>
  <c r="A1755" i="2"/>
  <c r="B1755" i="2"/>
  <c r="A1138" i="2"/>
  <c r="B1138" i="2"/>
  <c r="A959" i="2"/>
  <c r="B959" i="2"/>
  <c r="A724" i="2"/>
  <c r="B724" i="2"/>
  <c r="A649" i="2"/>
  <c r="B649" i="2"/>
  <c r="A501" i="2"/>
  <c r="B501" i="2"/>
  <c r="A1698" i="2"/>
  <c r="B1698" i="2"/>
  <c r="A502" i="2"/>
  <c r="B502" i="2"/>
  <c r="A1653" i="2"/>
  <c r="B1653" i="2"/>
  <c r="A2693" i="2"/>
  <c r="B2693" i="2"/>
  <c r="A810" i="2"/>
  <c r="B810" i="2"/>
  <c r="A1384" i="2"/>
  <c r="B1384" i="2"/>
  <c r="A2694" i="2"/>
  <c r="B2694" i="2"/>
  <c r="A1597" i="2"/>
  <c r="B1597" i="2"/>
  <c r="A2695" i="2"/>
  <c r="B2695" i="2"/>
  <c r="A1385" i="2"/>
  <c r="B1385" i="2"/>
  <c r="A2696" i="2"/>
  <c r="B2696" i="2"/>
  <c r="A2697" i="2"/>
  <c r="B2697" i="2"/>
  <c r="A1458" i="2"/>
  <c r="B1458" i="2"/>
  <c r="A2698" i="2"/>
  <c r="B2698" i="2"/>
  <c r="A1275" i="2"/>
  <c r="B1275" i="2"/>
  <c r="A1756" i="2"/>
  <c r="B1756" i="2"/>
  <c r="A2699" i="2"/>
  <c r="B2699" i="2"/>
  <c r="A650" i="2"/>
  <c r="B650" i="2"/>
  <c r="A427" i="2"/>
  <c r="B427" i="2"/>
  <c r="A2700" i="2"/>
  <c r="B2700" i="2"/>
  <c r="A428" i="2"/>
  <c r="B428" i="2"/>
  <c r="A960" i="2"/>
  <c r="B960" i="2"/>
  <c r="A2701" i="2"/>
  <c r="B2701" i="2"/>
  <c r="A651" i="2"/>
  <c r="B651" i="2"/>
  <c r="A1598" i="2"/>
  <c r="B1598" i="2"/>
  <c r="A1276" i="2"/>
  <c r="B1276" i="2"/>
  <c r="A725" i="2"/>
  <c r="B725" i="2"/>
  <c r="A652" i="2"/>
  <c r="B652" i="2"/>
  <c r="A2702" i="2"/>
  <c r="B2702" i="2"/>
  <c r="A961" i="2"/>
  <c r="B961" i="2"/>
  <c r="A962" i="2"/>
  <c r="B962" i="2"/>
  <c r="A653" i="2"/>
  <c r="B653" i="2"/>
  <c r="A290" i="2"/>
  <c r="B290" i="2"/>
  <c r="A1386" i="2"/>
  <c r="B1386" i="2"/>
  <c r="A1757" i="2"/>
  <c r="B1757" i="2"/>
  <c r="A429" i="2"/>
  <c r="B429" i="2"/>
  <c r="A811" i="2"/>
  <c r="B811" i="2"/>
  <c r="A654" i="2"/>
  <c r="B654" i="2"/>
  <c r="A963" i="2"/>
  <c r="B963" i="2"/>
  <c r="A2703" i="2"/>
  <c r="B2703" i="2"/>
  <c r="A291" i="2"/>
  <c r="B291" i="2"/>
  <c r="A1501" i="2"/>
  <c r="B1501" i="2"/>
  <c r="A853" i="2"/>
  <c r="B853" i="2"/>
  <c r="A1758" i="2"/>
  <c r="B1758" i="2"/>
  <c r="A292" i="2"/>
  <c r="B292" i="2"/>
  <c r="A2704" i="2"/>
  <c r="B2704" i="2"/>
  <c r="A2705" i="2"/>
  <c r="B2705" i="2"/>
  <c r="A1065" i="2"/>
  <c r="B1065" i="2"/>
  <c r="A655" i="2"/>
  <c r="B655" i="2"/>
  <c r="A1654" i="2"/>
  <c r="B1654" i="2"/>
  <c r="A656" i="2"/>
  <c r="B656" i="2"/>
  <c r="A1238" i="2"/>
  <c r="B1238" i="2"/>
  <c r="A854" i="2"/>
  <c r="B854" i="2"/>
  <c r="A1387" i="2"/>
  <c r="B1387" i="2"/>
  <c r="A1388" i="2"/>
  <c r="B1388" i="2"/>
  <c r="A293" i="2"/>
  <c r="B293" i="2"/>
  <c r="A2706" i="2"/>
  <c r="B2706" i="2"/>
  <c r="A2707" i="2"/>
  <c r="B2707" i="2"/>
  <c r="A2708" i="2"/>
  <c r="B2708" i="2"/>
  <c r="A2709" i="2"/>
  <c r="B2709" i="2"/>
  <c r="A1599" i="2"/>
  <c r="B1599" i="2"/>
  <c r="A2710" i="2"/>
  <c r="B2710" i="2"/>
  <c r="A1389" i="2"/>
  <c r="B1389" i="2"/>
  <c r="A1066" i="2"/>
  <c r="B1066" i="2"/>
  <c r="A2711" i="2"/>
  <c r="B2711" i="2"/>
  <c r="A2712" i="2"/>
  <c r="B2712" i="2"/>
  <c r="A1139" i="2"/>
  <c r="B1139" i="2"/>
  <c r="A964" i="2"/>
  <c r="B964" i="2"/>
  <c r="A657" i="2"/>
  <c r="B657" i="2"/>
  <c r="A658" i="2"/>
  <c r="B658" i="2"/>
  <c r="A2713" i="2"/>
  <c r="B2713" i="2"/>
  <c r="A1239" i="2"/>
  <c r="B1239" i="2"/>
  <c r="A1699" i="2"/>
  <c r="B1699" i="2"/>
  <c r="A1600" i="2"/>
  <c r="B1600" i="2"/>
  <c r="A1601" i="2"/>
  <c r="B1601" i="2"/>
  <c r="A1427" i="2"/>
  <c r="B1427" i="2"/>
  <c r="A2714" i="2"/>
  <c r="B2714" i="2"/>
  <c r="A2715" i="2"/>
  <c r="B2715" i="2"/>
  <c r="A2716" i="2"/>
  <c r="B2716" i="2"/>
  <c r="A1655" i="2"/>
  <c r="B1655" i="2"/>
  <c r="A1067" i="2"/>
  <c r="B1067" i="2"/>
  <c r="A812" i="2"/>
  <c r="B812" i="2"/>
  <c r="A1277" i="2"/>
  <c r="B1277" i="2"/>
  <c r="A294" i="2"/>
  <c r="B294" i="2"/>
  <c r="A2717" i="2"/>
  <c r="B2717" i="2"/>
  <c r="A2718" i="2"/>
  <c r="B2718" i="2"/>
  <c r="A813" i="2"/>
  <c r="B813" i="2"/>
  <c r="A295" i="2"/>
  <c r="B295" i="2"/>
  <c r="A430" i="2"/>
  <c r="B430" i="2"/>
  <c r="A1459" i="2"/>
  <c r="B1459" i="2"/>
  <c r="A2719" i="2"/>
  <c r="B2719" i="2"/>
  <c r="A814" i="2"/>
  <c r="B814" i="2"/>
  <c r="A514" i="2"/>
  <c r="B514" i="2"/>
  <c r="A659" i="2"/>
  <c r="B659" i="2"/>
  <c r="A1278" i="2"/>
  <c r="B1278" i="2"/>
  <c r="A2720" i="2"/>
  <c r="B2720" i="2"/>
  <c r="A726" i="2"/>
  <c r="B726" i="2"/>
  <c r="A2721" i="2"/>
  <c r="B2721" i="2"/>
  <c r="A1068" i="2"/>
  <c r="B1068" i="2"/>
  <c r="A1390" i="2"/>
  <c r="B1390" i="2"/>
  <c r="A2722" i="2"/>
  <c r="B2722" i="2"/>
  <c r="A1656" i="2"/>
  <c r="B1656" i="2"/>
  <c r="A2723" i="2"/>
  <c r="B2723" i="2"/>
  <c r="A660" i="2"/>
  <c r="B660" i="2"/>
  <c r="A2724" i="2"/>
  <c r="B2724" i="2"/>
  <c r="A2725" i="2"/>
  <c r="B2725" i="2"/>
  <c r="A296" i="2"/>
  <c r="B296" i="2"/>
  <c r="A2726" i="2"/>
  <c r="B2726" i="2"/>
  <c r="A661" i="2"/>
  <c r="B661" i="2"/>
  <c r="A2727" i="2"/>
  <c r="B2727" i="2"/>
  <c r="A2728" i="2"/>
  <c r="B2728" i="2"/>
  <c r="A2729" i="2"/>
  <c r="B2729" i="2"/>
  <c r="A1391" i="2"/>
  <c r="B1391" i="2"/>
  <c r="A297" i="2"/>
  <c r="B297" i="2"/>
  <c r="A2730" i="2"/>
  <c r="B2730" i="2"/>
  <c r="A298" i="2"/>
  <c r="B298" i="2"/>
  <c r="A1392" i="2"/>
  <c r="B1392" i="2"/>
  <c r="A855" i="2"/>
  <c r="B855" i="2"/>
  <c r="A662" i="2"/>
  <c r="B662" i="2"/>
  <c r="A1657" i="2"/>
  <c r="B1657" i="2"/>
  <c r="A856" i="2"/>
  <c r="B856" i="2"/>
  <c r="A857" i="2"/>
  <c r="B857" i="2"/>
  <c r="A1240" i="2"/>
  <c r="B1240" i="2"/>
  <c r="A663" i="2"/>
  <c r="B663" i="2"/>
  <c r="A2731" i="2"/>
  <c r="B2731" i="2"/>
  <c r="A1069" i="2"/>
  <c r="B1069" i="2"/>
  <c r="A727" i="2"/>
  <c r="B727" i="2"/>
  <c r="A815" i="2"/>
  <c r="B815" i="2"/>
  <c r="A1279" i="2"/>
  <c r="B1279" i="2"/>
  <c r="A664" i="2"/>
  <c r="B664" i="2"/>
  <c r="A1280" i="2"/>
  <c r="B1280" i="2"/>
  <c r="A816" i="2"/>
  <c r="B816" i="2"/>
  <c r="A665" i="2"/>
  <c r="B665" i="2"/>
  <c r="A1070" i="2"/>
  <c r="B1070" i="2"/>
  <c r="A1241" i="2"/>
  <c r="B1241" i="2"/>
  <c r="A817" i="2"/>
  <c r="B817" i="2"/>
  <c r="A666" i="2"/>
  <c r="B666" i="2"/>
  <c r="A375" i="2"/>
  <c r="B375" i="2"/>
  <c r="A1281" i="2"/>
  <c r="B1281" i="2"/>
  <c r="A299" i="2"/>
  <c r="B299" i="2"/>
  <c r="A300" i="2"/>
  <c r="B300" i="2"/>
  <c r="A2732" i="2"/>
  <c r="B2732" i="2"/>
  <c r="A2733" i="2"/>
  <c r="B2733" i="2"/>
  <c r="A965" i="2"/>
  <c r="B965" i="2"/>
  <c r="A301" i="2"/>
  <c r="B301" i="2"/>
  <c r="A376" i="2"/>
  <c r="B376" i="2"/>
  <c r="A1071" i="2"/>
  <c r="B1071" i="2"/>
  <c r="A2734" i="2"/>
  <c r="B2734" i="2"/>
  <c r="A2735" i="2"/>
  <c r="B2735" i="2"/>
  <c r="A818" i="2"/>
  <c r="B818" i="2"/>
  <c r="A1428" i="2"/>
  <c r="B1428" i="2"/>
  <c r="A1282" i="2"/>
  <c r="B1282" i="2"/>
  <c r="A302" i="2"/>
  <c r="B302" i="2"/>
  <c r="A431" i="2"/>
  <c r="B431" i="2"/>
  <c r="A1072" i="2"/>
  <c r="B1072" i="2"/>
  <c r="A1242" i="2"/>
  <c r="B1242" i="2"/>
  <c r="A858" i="2"/>
  <c r="B858" i="2"/>
  <c r="A303" i="2"/>
  <c r="B303" i="2"/>
  <c r="A1393" i="2"/>
  <c r="B1393" i="2"/>
  <c r="A667" i="2"/>
  <c r="B667" i="2"/>
  <c r="A2736" i="2"/>
  <c r="B2736" i="2"/>
  <c r="A304" i="2"/>
  <c r="B304" i="2"/>
  <c r="A1394" i="2"/>
  <c r="B1394" i="2"/>
  <c r="A2737" i="2"/>
  <c r="B2737" i="2"/>
  <c r="A1395" i="2"/>
  <c r="B1395" i="2"/>
  <c r="A2738" i="2"/>
  <c r="B2738" i="2"/>
  <c r="A668" i="2"/>
  <c r="B668" i="2"/>
  <c r="A819" i="2"/>
  <c r="B819" i="2"/>
  <c r="A966" i="2"/>
  <c r="B966" i="2"/>
  <c r="A1502" i="2"/>
  <c r="B1502" i="2"/>
  <c r="A1243" i="2"/>
  <c r="B1243" i="2"/>
  <c r="A1503" i="2"/>
  <c r="B1503" i="2"/>
  <c r="A305" i="2"/>
  <c r="B305" i="2"/>
  <c r="A669" i="2"/>
  <c r="B669" i="2"/>
  <c r="A306" i="2"/>
  <c r="B306" i="2"/>
  <c r="A307" i="2"/>
  <c r="B307" i="2"/>
  <c r="A1140" i="2"/>
  <c r="B1140" i="2"/>
  <c r="A1759" i="2"/>
  <c r="B1759" i="2"/>
  <c r="A308" i="2"/>
  <c r="B308" i="2"/>
  <c r="A309" i="2"/>
  <c r="B309" i="2"/>
  <c r="A820" i="2"/>
  <c r="B820" i="2"/>
  <c r="A310" i="2"/>
  <c r="B310" i="2"/>
  <c r="A2739" i="2"/>
  <c r="B2739" i="2"/>
  <c r="A311" i="2"/>
  <c r="B311" i="2"/>
  <c r="A312" i="2"/>
  <c r="B312" i="2"/>
  <c r="A313" i="2"/>
  <c r="B313" i="2"/>
  <c r="A1396" i="2"/>
  <c r="B1396" i="2"/>
  <c r="A1397" i="2"/>
  <c r="B1397" i="2"/>
  <c r="A2740" i="2"/>
  <c r="B2740" i="2"/>
  <c r="A880" i="2"/>
  <c r="B880" i="2"/>
  <c r="A2741" i="2"/>
  <c r="B2741" i="2"/>
  <c r="A2742" i="2"/>
  <c r="B2742" i="2"/>
  <c r="A1244" i="2"/>
  <c r="B1244" i="2"/>
  <c r="A1398" i="2"/>
  <c r="B1398" i="2"/>
  <c r="A314" i="2"/>
  <c r="B314" i="2"/>
  <c r="A2743" i="2"/>
  <c r="B2743" i="2"/>
  <c r="A2744" i="2"/>
  <c r="B2744" i="2"/>
  <c r="A2745" i="2"/>
  <c r="B2745" i="2"/>
  <c r="A1700" i="2"/>
  <c r="B1700" i="2"/>
  <c r="A1399" i="2"/>
  <c r="B1399" i="2"/>
  <c r="A2746" i="2"/>
  <c r="B2746" i="2"/>
  <c r="A315" i="2"/>
  <c r="B315" i="2"/>
  <c r="A2747" i="2"/>
  <c r="B2747" i="2"/>
  <c r="A2748" i="2"/>
  <c r="B2748" i="2"/>
  <c r="A2749" i="2"/>
  <c r="B2749" i="2"/>
  <c r="A2750" i="2"/>
  <c r="B2750" i="2"/>
  <c r="A316" i="2"/>
  <c r="B316" i="2"/>
  <c r="A1701" i="2"/>
  <c r="B1701" i="2"/>
  <c r="A2751" i="2"/>
  <c r="B2751" i="2"/>
  <c r="A2752" i="2"/>
  <c r="B2752" i="2"/>
  <c r="A1400" i="2"/>
  <c r="B1400" i="2"/>
  <c r="A2753" i="2"/>
  <c r="B2753" i="2"/>
  <c r="A2754" i="2"/>
  <c r="B2754" i="2"/>
  <c r="A2755" i="2"/>
  <c r="B2755" i="2"/>
  <c r="A2756" i="2"/>
  <c r="B2756" i="2"/>
  <c r="A2757" i="2"/>
  <c r="B2757" i="2"/>
  <c r="A2758" i="2"/>
  <c r="B2758" i="2"/>
  <c r="A2759" i="2"/>
  <c r="B2759" i="2"/>
  <c r="A2760" i="2"/>
  <c r="B2760" i="2"/>
  <c r="A317" i="2"/>
  <c r="B317" i="2"/>
  <c r="A821" i="2"/>
  <c r="B821" i="2"/>
  <c r="A1401" i="2"/>
  <c r="B1401" i="2"/>
  <c r="A881" i="2"/>
  <c r="B881" i="2"/>
  <c r="A318" i="2"/>
  <c r="B318" i="2"/>
  <c r="A319" i="2"/>
  <c r="B319" i="2"/>
  <c r="A1702" i="2"/>
  <c r="B1702" i="2"/>
  <c r="A2761" i="2"/>
  <c r="B2761" i="2"/>
  <c r="A2762" i="2"/>
  <c r="B2762" i="2"/>
  <c r="A2763" i="2"/>
  <c r="B2763" i="2"/>
  <c r="A2764" i="2"/>
  <c r="B2764" i="2"/>
  <c r="A967" i="2"/>
  <c r="B967" i="2"/>
  <c r="A2765" i="2"/>
  <c r="B2765" i="2"/>
  <c r="A1402" i="2"/>
  <c r="B1402" i="2"/>
  <c r="A2766" i="2"/>
  <c r="B2766" i="2"/>
  <c r="A1703" i="2"/>
  <c r="B1703" i="2"/>
  <c r="A1460" i="2"/>
  <c r="B1460" i="2"/>
  <c r="A2767" i="2"/>
  <c r="B2767" i="2"/>
  <c r="A822" i="2"/>
  <c r="B822" i="2"/>
  <c r="A1245" i="2"/>
  <c r="B1245" i="2"/>
  <c r="A2768" i="2"/>
  <c r="B2768" i="2"/>
  <c r="A2769" i="2"/>
  <c r="B2769" i="2"/>
  <c r="A2770" i="2"/>
  <c r="B2770" i="2"/>
  <c r="A2771" i="2"/>
  <c r="B2771" i="2"/>
  <c r="A2772" i="2"/>
  <c r="B2772" i="2"/>
  <c r="A2773" i="2"/>
  <c r="B2773" i="2"/>
  <c r="A1602" i="2"/>
  <c r="B1602" i="2"/>
  <c r="A2774" i="2"/>
  <c r="B2774" i="2"/>
  <c r="A2775" i="2"/>
  <c r="B2775" i="2"/>
  <c r="A1603" i="2"/>
  <c r="B1603" i="2"/>
  <c r="A882" i="2"/>
  <c r="B882" i="2"/>
  <c r="A2776" i="2"/>
  <c r="B2776" i="2"/>
  <c r="A2777" i="2"/>
  <c r="B2777" i="2"/>
  <c r="A2778" i="2"/>
  <c r="B2778" i="2"/>
  <c r="A823" i="2"/>
  <c r="B823" i="2"/>
  <c r="A2779" i="2"/>
  <c r="B2779" i="2"/>
  <c r="A2780" i="2"/>
  <c r="B2780" i="2"/>
  <c r="A320" i="2"/>
  <c r="B320" i="2"/>
  <c r="A321" i="2"/>
  <c r="B321" i="2"/>
  <c r="A883" i="2"/>
  <c r="B883" i="2"/>
  <c r="A2781" i="2"/>
  <c r="B2781" i="2"/>
  <c r="A968" i="2"/>
  <c r="B968" i="2"/>
  <c r="A1604" i="2"/>
  <c r="B1604" i="2"/>
  <c r="A670" i="2"/>
  <c r="B670" i="2"/>
  <c r="A884" i="2"/>
  <c r="B884" i="2"/>
  <c r="A2782" i="2"/>
  <c r="B2782" i="2"/>
  <c r="A1403" i="2"/>
  <c r="B1403" i="2"/>
  <c r="A2783" i="2"/>
  <c r="B2783" i="2"/>
  <c r="A885" i="2"/>
  <c r="B885" i="2"/>
  <c r="A2784" i="2"/>
  <c r="B2784" i="2"/>
  <c r="A2785" i="2"/>
  <c r="B2785" i="2"/>
  <c r="A2786" i="2"/>
  <c r="B2786" i="2"/>
  <c r="A22" i="2"/>
  <c r="B22" i="2"/>
  <c r="A322" i="2"/>
  <c r="B322" i="2"/>
  <c r="A2787" i="2"/>
  <c r="B2787" i="2"/>
  <c r="A1246" i="2"/>
  <c r="B1246" i="2"/>
  <c r="A2788" i="2"/>
  <c r="B2788" i="2"/>
  <c r="A2789" i="2"/>
  <c r="B2789" i="2"/>
  <c r="A2790" i="2"/>
  <c r="B2790" i="2"/>
  <c r="A2791" i="2"/>
  <c r="B2791" i="2"/>
  <c r="A1404" i="2"/>
  <c r="B1404" i="2"/>
  <c r="A349" i="2"/>
  <c r="B349" i="2"/>
  <c r="A2792" i="2"/>
  <c r="B2792" i="2"/>
  <c r="A2793" i="2"/>
  <c r="B2793" i="2"/>
  <c r="A432" i="2"/>
  <c r="B432" i="2"/>
  <c r="A2794" i="2"/>
  <c r="B2794" i="2"/>
  <c r="A2795" i="2"/>
  <c r="B2795" i="2"/>
  <c r="A2796" i="2"/>
  <c r="B2796" i="2"/>
  <c r="A1605" i="2"/>
  <c r="B1605" i="2"/>
  <c r="A2797" i="2"/>
  <c r="B2797" i="2"/>
  <c r="A2798" i="2"/>
  <c r="B2798" i="2"/>
  <c r="A1405" i="2"/>
  <c r="B1405" i="2"/>
  <c r="A1704" i="2"/>
  <c r="B1704" i="2"/>
  <c r="A1461" i="2"/>
  <c r="B1461" i="2"/>
  <c r="A2799" i="2"/>
  <c r="B2799" i="2"/>
  <c r="A2800" i="2"/>
  <c r="B2800" i="2"/>
  <c r="A2801" i="2"/>
  <c r="B2801" i="2"/>
  <c r="A2802" i="2"/>
  <c r="B2802" i="2"/>
  <c r="A1705" i="2"/>
  <c r="B1705" i="2"/>
  <c r="A2803" i="2"/>
  <c r="B2803" i="2"/>
  <c r="A1706" i="2"/>
  <c r="B1706" i="2"/>
  <c r="A671" i="2"/>
  <c r="B671" i="2"/>
  <c r="A2804" i="2"/>
  <c r="B2804" i="2"/>
  <c r="A886" i="2"/>
  <c r="B886" i="2"/>
  <c r="A824" i="2"/>
  <c r="B824" i="2"/>
  <c r="A2805" i="2"/>
  <c r="B2805" i="2"/>
  <c r="A1707" i="2"/>
  <c r="B1707" i="2"/>
  <c r="A2806" i="2"/>
  <c r="B2806" i="2"/>
  <c r="A2807" i="2"/>
  <c r="B2807" i="2"/>
  <c r="A2808" i="2"/>
  <c r="B2808" i="2"/>
  <c r="A323" i="2"/>
  <c r="B323" i="2"/>
  <c r="A2809" i="2"/>
  <c r="B2809" i="2"/>
  <c r="A1247" i="2"/>
  <c r="B1247" i="2"/>
  <c r="A433" i="2"/>
  <c r="B433" i="2"/>
  <c r="A2810" i="2"/>
  <c r="B2810" i="2"/>
  <c r="A324" i="2"/>
  <c r="B324" i="2"/>
  <c r="A2811" i="2"/>
  <c r="B2811" i="2"/>
  <c r="A1708" i="2"/>
  <c r="B1708" i="2"/>
  <c r="A2812" i="2"/>
  <c r="B2812" i="2"/>
  <c r="A1606" i="2"/>
  <c r="B1606" i="2"/>
  <c r="A350" i="2"/>
  <c r="B350" i="2"/>
  <c r="A2813" i="2"/>
  <c r="B2813" i="2"/>
  <c r="A2814" i="2"/>
  <c r="B2814" i="2"/>
  <c r="A2815" i="2"/>
  <c r="B2815" i="2"/>
  <c r="A1462" i="2"/>
  <c r="B1462" i="2"/>
  <c r="A887" i="2"/>
  <c r="B887" i="2"/>
  <c r="A377" i="2"/>
  <c r="B377" i="2"/>
  <c r="A1463" i="2"/>
  <c r="B1463" i="2"/>
  <c r="A672" i="2"/>
  <c r="B672" i="2"/>
  <c r="A1607" i="2"/>
  <c r="B1607" i="2"/>
  <c r="A325" i="2"/>
  <c r="B325" i="2"/>
  <c r="A2816" i="2"/>
  <c r="B2816" i="2"/>
  <c r="A2817" i="2"/>
  <c r="B2817" i="2"/>
  <c r="A2818" i="2"/>
  <c r="B2818" i="2"/>
  <c r="A2819" i="2"/>
  <c r="B2819" i="2"/>
  <c r="A2820" i="2"/>
  <c r="B2820" i="2"/>
  <c r="A326" i="2"/>
  <c r="B326" i="2"/>
  <c r="A2821" i="2"/>
  <c r="B2821" i="2"/>
  <c r="A673" i="2"/>
  <c r="B673" i="2"/>
  <c r="A2822" i="2"/>
  <c r="B2822" i="2"/>
  <c r="A2823" i="2"/>
  <c r="B2823" i="2"/>
  <c r="A351" i="2"/>
  <c r="B351" i="2"/>
  <c r="A2824" i="2"/>
  <c r="B2824" i="2"/>
  <c r="A2825" i="2"/>
  <c r="B2825" i="2"/>
  <c r="A2826" i="2"/>
  <c r="B2826" i="2"/>
  <c r="A2827" i="2"/>
  <c r="B2827" i="2"/>
  <c r="A434" i="2"/>
  <c r="B434" i="2"/>
  <c r="A2828" i="2"/>
  <c r="B2828" i="2"/>
  <c r="A2829" i="2"/>
  <c r="B2829" i="2"/>
  <c r="A390" i="2"/>
  <c r="B390" i="2"/>
  <c r="A2830" i="2"/>
  <c r="B2830" i="2"/>
  <c r="A2831" i="2"/>
  <c r="B2831" i="2"/>
  <c r="A1608" i="2"/>
  <c r="B1608" i="2"/>
  <c r="A1073" i="2"/>
  <c r="B1073" i="2"/>
  <c r="A327" i="2"/>
  <c r="B327" i="2"/>
  <c r="A674" i="2"/>
  <c r="B674" i="2"/>
  <c r="A2832" i="2"/>
  <c r="B2832" i="2"/>
  <c r="A435" i="2"/>
  <c r="B435" i="2"/>
  <c r="A352" i="2"/>
  <c r="B352" i="2"/>
  <c r="A2833" i="2"/>
  <c r="B2833" i="2"/>
  <c r="A23" i="2"/>
  <c r="B23" i="2"/>
  <c r="A1406" i="2"/>
  <c r="B1406" i="2"/>
  <c r="A888" i="2"/>
  <c r="B888" i="2"/>
  <c r="A675" i="2"/>
  <c r="B675" i="2"/>
  <c r="A1407" i="2"/>
  <c r="B1407" i="2"/>
  <c r="A1609" i="2"/>
  <c r="B1609" i="2"/>
  <c r="A1709" i="2"/>
  <c r="B1709" i="2"/>
  <c r="A436" i="2"/>
  <c r="B436" i="2"/>
  <c r="A1464" i="2"/>
  <c r="B1464" i="2"/>
  <c r="A24" i="2"/>
  <c r="B24" i="2"/>
  <c r="A676" i="2"/>
  <c r="B676" i="2"/>
  <c r="A2834" i="2"/>
  <c r="B2834" i="2"/>
  <c r="A2835" i="2"/>
  <c r="B2835" i="2"/>
  <c r="A328" i="2"/>
  <c r="B328" i="2"/>
  <c r="A2836" i="2"/>
  <c r="B2836" i="2"/>
  <c r="A2837" i="2"/>
  <c r="B2837" i="2"/>
  <c r="A2838" i="2"/>
  <c r="B2838" i="2"/>
  <c r="A677" i="2"/>
  <c r="B677" i="2"/>
  <c r="A1074" i="2"/>
  <c r="B1074" i="2"/>
  <c r="A1710" i="2"/>
  <c r="B1710" i="2"/>
  <c r="A2839" i="2"/>
  <c r="B2839" i="2"/>
  <c r="A353" i="2"/>
  <c r="B353" i="2"/>
  <c r="A1724" i="2"/>
  <c r="B1724" i="2"/>
  <c r="A437" i="2"/>
  <c r="B437" i="2"/>
  <c r="A678" i="2"/>
  <c r="B678" i="2"/>
  <c r="A2840" i="2"/>
  <c r="B2840" i="2"/>
  <c r="A2841" i="2"/>
  <c r="B2841" i="2"/>
  <c r="A354" i="2"/>
  <c r="B354" i="2"/>
  <c r="A2842" i="2"/>
  <c r="B2842" i="2"/>
  <c r="A2843" i="2"/>
  <c r="B2843" i="2"/>
  <c r="A2844" i="2"/>
  <c r="B2844" i="2"/>
  <c r="A1075" i="2"/>
  <c r="B1075" i="2"/>
  <c r="A1711" i="2"/>
  <c r="B1711" i="2"/>
  <c r="A679" i="2"/>
  <c r="B679" i="2"/>
  <c r="A378" i="2"/>
  <c r="B378" i="2"/>
  <c r="A355" i="2"/>
  <c r="B355" i="2"/>
  <c r="A969" i="2"/>
  <c r="B969" i="2"/>
  <c r="A2845" i="2"/>
  <c r="B2845" i="2"/>
  <c r="A1610" i="2"/>
  <c r="B1610" i="2"/>
  <c r="A438" i="2"/>
  <c r="B438" i="2"/>
  <c r="A2846" i="2"/>
  <c r="B2846" i="2"/>
  <c r="A2847" i="2"/>
  <c r="B2847" i="2"/>
  <c r="A2848" i="2"/>
  <c r="B2848" i="2"/>
  <c r="A2849" i="2"/>
  <c r="B2849" i="2"/>
  <c r="A680" i="2"/>
  <c r="B680" i="2"/>
  <c r="A2850" i="2"/>
  <c r="B2850" i="2"/>
  <c r="A1248" i="2"/>
  <c r="B1248" i="2"/>
  <c r="A329" i="2"/>
  <c r="B329" i="2"/>
  <c r="A2851" i="2"/>
  <c r="B2851" i="2"/>
  <c r="A2852" i="2"/>
  <c r="B2852" i="2"/>
  <c r="A2853" i="2"/>
  <c r="B2853" i="2"/>
  <c r="A461" i="2"/>
  <c r="B461" i="2"/>
  <c r="A2854" i="2"/>
  <c r="B2854" i="2"/>
  <c r="A1408" i="2"/>
  <c r="B1408" i="2"/>
  <c r="A1076" i="2"/>
  <c r="B1076" i="2"/>
  <c r="A2855" i="2"/>
  <c r="B2855" i="2"/>
  <c r="A2856" i="2"/>
  <c r="B2856" i="2"/>
  <c r="A2857" i="2"/>
  <c r="B2857" i="2"/>
  <c r="A1409" i="2"/>
  <c r="B1409" i="2"/>
  <c r="A2858" i="2"/>
  <c r="B2858" i="2"/>
  <c r="A2859" i="2"/>
  <c r="B2859" i="2"/>
  <c r="A1077" i="2"/>
  <c r="B1077" i="2"/>
  <c r="A2860" i="2"/>
  <c r="B2860" i="2"/>
  <c r="A1078" i="2"/>
  <c r="B1078" i="2"/>
  <c r="A2861" i="2"/>
  <c r="B2861" i="2"/>
  <c r="A1249" i="2"/>
  <c r="B1249" i="2"/>
  <c r="A2862" i="2"/>
  <c r="B2862" i="2"/>
  <c r="A889" i="2"/>
  <c r="B889" i="2"/>
  <c r="A2863" i="2"/>
  <c r="B2863" i="2"/>
  <c r="A2864" i="2"/>
  <c r="B2864" i="2"/>
  <c r="A681" i="2"/>
  <c r="B681" i="2"/>
  <c r="A2865" i="2"/>
  <c r="B2865" i="2"/>
  <c r="A2866" i="2"/>
  <c r="B2866" i="2"/>
  <c r="A1465" i="2"/>
  <c r="B1465" i="2"/>
  <c r="A890" i="2"/>
  <c r="B890" i="2"/>
  <c r="A970" i="2"/>
  <c r="B970" i="2"/>
  <c r="A1079" i="2"/>
  <c r="B1079" i="2"/>
  <c r="A330" i="2"/>
  <c r="B330" i="2"/>
  <c r="A2867" i="2"/>
  <c r="B2867" i="2"/>
  <c r="A439" i="2"/>
  <c r="B439" i="2"/>
  <c r="A2868" i="2"/>
  <c r="B2868" i="2"/>
  <c r="A682" i="2"/>
  <c r="B682" i="2"/>
  <c r="A683" i="2"/>
  <c r="B683" i="2"/>
  <c r="A1466" i="2"/>
  <c r="B1466" i="2"/>
  <c r="A440" i="2"/>
  <c r="B440" i="2"/>
  <c r="A2869" i="2"/>
  <c r="B2869" i="2"/>
  <c r="A684" i="2"/>
  <c r="B684" i="2"/>
  <c r="A379" i="2"/>
  <c r="B379" i="2"/>
  <c r="A25" i="2"/>
  <c r="B25" i="2"/>
  <c r="A685" i="2"/>
  <c r="B685" i="2"/>
  <c r="A2870" i="2"/>
  <c r="B2870" i="2"/>
  <c r="A331" i="2"/>
  <c r="B331" i="2"/>
  <c r="A332" i="2"/>
  <c r="B332" i="2"/>
  <c r="A686" i="2"/>
  <c r="B686" i="2"/>
  <c r="A1080" i="2"/>
  <c r="B1080" i="2"/>
  <c r="A356" i="2"/>
  <c r="B356" i="2"/>
  <c r="A1712" i="2"/>
  <c r="B1712" i="2"/>
  <c r="A687" i="2"/>
  <c r="B687" i="2"/>
  <c r="A1081" i="2"/>
  <c r="B1081" i="2"/>
  <c r="A2871" i="2"/>
  <c r="B2871" i="2"/>
  <c r="A2872" i="2"/>
  <c r="B2872" i="2"/>
  <c r="A391" i="2"/>
  <c r="B391" i="2"/>
  <c r="A2873" i="2"/>
  <c r="B2873" i="2"/>
  <c r="A1611" i="2"/>
  <c r="B1611" i="2"/>
  <c r="A1713" i="2"/>
  <c r="B1713" i="2"/>
  <c r="A2874" i="2"/>
  <c r="B2874" i="2"/>
  <c r="A2875" i="2"/>
  <c r="B2875" i="2"/>
  <c r="A1714" i="2"/>
  <c r="B1714" i="2"/>
  <c r="A1612" i="2"/>
  <c r="B1612" i="2"/>
  <c r="A462" i="2"/>
  <c r="B462" i="2"/>
  <c r="A2876" i="2"/>
  <c r="B2876" i="2"/>
  <c r="A688" i="2"/>
  <c r="B688" i="2"/>
  <c r="A1082" i="2"/>
  <c r="B1082" i="2"/>
  <c r="A392" i="2"/>
  <c r="B392" i="2"/>
  <c r="A1613" i="2"/>
  <c r="B1613" i="2"/>
  <c r="A2877" i="2"/>
  <c r="B2877" i="2"/>
  <c r="A689" i="2"/>
  <c r="B689" i="2"/>
  <c r="A1083" i="2"/>
  <c r="B1083" i="2"/>
  <c r="A1084" i="2"/>
  <c r="B1084" i="2"/>
  <c r="A2878" i="2"/>
  <c r="B2878" i="2"/>
  <c r="A2879" i="2"/>
  <c r="B2879" i="2"/>
  <c r="A503" i="2"/>
  <c r="B503" i="2"/>
  <c r="A2880" i="2"/>
  <c r="B2880" i="2"/>
  <c r="A2881" i="2"/>
  <c r="B2881" i="2"/>
  <c r="A1715" i="2"/>
  <c r="B1715" i="2"/>
  <c r="A463" i="2"/>
  <c r="B463" i="2"/>
  <c r="A1085" i="2"/>
  <c r="B1085" i="2"/>
  <c r="A1086" i="2"/>
  <c r="B1086" i="2"/>
  <c r="A504" i="2"/>
  <c r="B504" i="2"/>
  <c r="A1614" i="2"/>
  <c r="B1614" i="2"/>
  <c r="A2882" i="2"/>
  <c r="B2882" i="2"/>
  <c r="A971" i="2"/>
  <c r="B971" i="2"/>
  <c r="A1615" i="2"/>
  <c r="B1615" i="2"/>
  <c r="A2883" i="2"/>
  <c r="B2883" i="2"/>
  <c r="A2884" i="2"/>
  <c r="B2884" i="2"/>
  <c r="A690" i="2"/>
  <c r="B690" i="2"/>
  <c r="A1087" i="2"/>
  <c r="B1087" i="2"/>
  <c r="A825" i="2"/>
  <c r="B825" i="2"/>
  <c r="A691" i="2"/>
  <c r="B691" i="2"/>
  <c r="A1250" i="2"/>
  <c r="B1250" i="2"/>
  <c r="A692" i="2"/>
  <c r="B692" i="2"/>
  <c r="A2885" i="2"/>
  <c r="B2885" i="2"/>
  <c r="A2886" i="2"/>
  <c r="B2886" i="2"/>
  <c r="A2887" i="2"/>
  <c r="B2887" i="2"/>
  <c r="A891" i="2"/>
  <c r="B891" i="2"/>
  <c r="A1616" i="2"/>
  <c r="B1616" i="2"/>
  <c r="A1617" i="2"/>
  <c r="B1617" i="2"/>
  <c r="A972" i="2"/>
  <c r="B972" i="2"/>
  <c r="A333" i="2"/>
  <c r="B333" i="2"/>
  <c r="A1251" i="2"/>
  <c r="B1251" i="2"/>
  <c r="A505" i="2"/>
  <c r="B505" i="2"/>
  <c r="A693" i="2"/>
  <c r="B693" i="2"/>
  <c r="A2888" i="2"/>
  <c r="B2888" i="2"/>
  <c r="A2889" i="2"/>
  <c r="B2889" i="2"/>
  <c r="A2890" i="2"/>
  <c r="B2890" i="2"/>
  <c r="A892" i="2"/>
  <c r="B892" i="2"/>
  <c r="A506" i="2"/>
  <c r="B506" i="2"/>
  <c r="A2891" i="2"/>
  <c r="B2891" i="2"/>
  <c r="A464" i="2"/>
  <c r="B464" i="2"/>
  <c r="A2892" i="2"/>
  <c r="B2892" i="2"/>
  <c r="A2893" i="2"/>
  <c r="B2893" i="2"/>
  <c r="A2894" i="2"/>
  <c r="B2894" i="2"/>
  <c r="A2895" i="2"/>
  <c r="B2895" i="2"/>
  <c r="A2896" i="2"/>
  <c r="B2896" i="2"/>
  <c r="A1252" i="2"/>
  <c r="B1252" i="2"/>
  <c r="A357" i="2"/>
  <c r="B357" i="2"/>
  <c r="A358" i="2"/>
  <c r="B358" i="2"/>
  <c r="A2897" i="2"/>
  <c r="B2897" i="2"/>
  <c r="A2898" i="2"/>
  <c r="B2898" i="2"/>
  <c r="A1253" i="2"/>
  <c r="B1253" i="2"/>
  <c r="A1410" i="2"/>
  <c r="B1410" i="2"/>
  <c r="A1467" i="2"/>
  <c r="B1467" i="2"/>
  <c r="A393" i="2"/>
  <c r="B393" i="2"/>
  <c r="A2899" i="2"/>
  <c r="B2899" i="2"/>
  <c r="A2900" i="2"/>
  <c r="B2900" i="2"/>
  <c r="A1254" i="2"/>
  <c r="B1254" i="2"/>
  <c r="A2901" i="2"/>
  <c r="B2901" i="2"/>
  <c r="A1716" i="2"/>
  <c r="B1716" i="2"/>
  <c r="A826" i="2"/>
  <c r="B826" i="2"/>
  <c r="A2902" i="2"/>
  <c r="B2902" i="2"/>
  <c r="A2903" i="2"/>
  <c r="B2903" i="2"/>
  <c r="A1618" i="2"/>
  <c r="B1618" i="2"/>
  <c r="A1088" i="2"/>
  <c r="B1088" i="2"/>
  <c r="A507" i="2"/>
  <c r="B507" i="2"/>
  <c r="A1717" i="2"/>
  <c r="B1717" i="2"/>
  <c r="A1411" i="2"/>
  <c r="B1411" i="2"/>
  <c r="A1619" i="2"/>
  <c r="B1619" i="2"/>
  <c r="A1255" i="2"/>
  <c r="B1255" i="2"/>
  <c r="A1256" i="2"/>
  <c r="B1256" i="2"/>
  <c r="A2904" i="2"/>
  <c r="B2904" i="2"/>
  <c r="A2905" i="2"/>
  <c r="B2905" i="2"/>
  <c r="A1089" i="2"/>
  <c r="B1089" i="2"/>
  <c r="A2906" i="2"/>
  <c r="B2906" i="2"/>
  <c r="A973" i="2"/>
  <c r="B973" i="2"/>
  <c r="A1718" i="2"/>
  <c r="B1718" i="2"/>
  <c r="A1090" i="2"/>
  <c r="B1090" i="2"/>
  <c r="A1719" i="2"/>
  <c r="B1719" i="2"/>
  <c r="A1091" i="2"/>
  <c r="B1091" i="2"/>
  <c r="A1429" i="2"/>
  <c r="B1429" i="2"/>
  <c r="A2907" i="2"/>
  <c r="B2907" i="2"/>
  <c r="A2908" i="2"/>
  <c r="B2908" i="2"/>
  <c r="A893" i="2"/>
  <c r="B893" i="2"/>
  <c r="A2909" i="2"/>
  <c r="B2909" i="2"/>
  <c r="A974" i="2"/>
  <c r="B974" i="2"/>
  <c r="A2910" i="2"/>
  <c r="B2910" i="2"/>
  <c r="A1092" i="2"/>
  <c r="B1092" i="2"/>
  <c r="A2911" i="2"/>
  <c r="B2911" i="2"/>
  <c r="A975" i="2"/>
  <c r="B975" i="2"/>
  <c r="A2912" i="2"/>
  <c r="B2912" i="2"/>
  <c r="A1093" i="2"/>
  <c r="B1093" i="2"/>
  <c r="A2913" i="2"/>
  <c r="B2913" i="2"/>
  <c r="A2914" i="2"/>
  <c r="B2914" i="2"/>
  <c r="A1620" i="2"/>
  <c r="B1620" i="2"/>
  <c r="A2915" i="2"/>
  <c r="B2915" i="2"/>
  <c r="A2916" i="2"/>
  <c r="B2916" i="2"/>
  <c r="A2917" i="2"/>
  <c r="B2917" i="2"/>
  <c r="A827" i="2"/>
  <c r="B827" i="2"/>
  <c r="A1094" i="2"/>
  <c r="B1094" i="2"/>
  <c r="A2918" i="2"/>
  <c r="B2918" i="2"/>
  <c r="A2919" i="2"/>
  <c r="B2919" i="2"/>
  <c r="A1095" i="2"/>
  <c r="B1095" i="2"/>
  <c r="A408" i="2"/>
  <c r="B408" i="2"/>
  <c r="A1412" i="2"/>
  <c r="B1412" i="2"/>
  <c r="A1257" i="2"/>
  <c r="B1257" i="2"/>
  <c r="A334" i="2"/>
  <c r="B334" i="2"/>
  <c r="A2920" i="2"/>
  <c r="B2920" i="2"/>
  <c r="A1096" i="2"/>
  <c r="B1096" i="2"/>
  <c r="A828" i="2"/>
  <c r="B828" i="2"/>
  <c r="A1413" i="2"/>
  <c r="B1413" i="2"/>
  <c r="A1258" i="2"/>
  <c r="B1258" i="2"/>
  <c r="A2921" i="2"/>
  <c r="B2921" i="2"/>
  <c r="A1621" i="2"/>
  <c r="B1621" i="2"/>
  <c r="A1141" i="2"/>
  <c r="B1141" i="2"/>
  <c r="A2922" i="2"/>
  <c r="B2922" i="2"/>
  <c r="A1622" i="2"/>
  <c r="B1622" i="2"/>
  <c r="A2923" i="2"/>
  <c r="B2923" i="2"/>
  <c r="A508" i="2"/>
  <c r="B508" i="2"/>
  <c r="A829" i="2"/>
  <c r="B829" i="2"/>
  <c r="A1720" i="2"/>
  <c r="B1720" i="2"/>
  <c r="A1097" i="2"/>
  <c r="B1097" i="2"/>
  <c r="A509" i="2"/>
  <c r="B509" i="2"/>
  <c r="A1658" i="2"/>
  <c r="B1658" i="2"/>
  <c r="A2924" i="2"/>
  <c r="B2924" i="2"/>
  <c r="A1098" i="2"/>
  <c r="B1098" i="2"/>
  <c r="A2925" i="2"/>
  <c r="B2925" i="2"/>
  <c r="A976" i="2"/>
  <c r="B976" i="2"/>
  <c r="A1142" i="2"/>
  <c r="B1142" i="2"/>
  <c r="A1623" i="2"/>
  <c r="B1623" i="2"/>
  <c r="A1283" i="2"/>
  <c r="B1283" i="2"/>
  <c r="A2926" i="2"/>
  <c r="B2926" i="2"/>
  <c r="A335" i="2"/>
  <c r="B335" i="2"/>
  <c r="A830" i="2"/>
  <c r="B830" i="2"/>
  <c r="A2927" i="2"/>
  <c r="B2927" i="2"/>
  <c r="A2928" i="2"/>
  <c r="B2928" i="2"/>
  <c r="A2929" i="2"/>
  <c r="B2929" i="2"/>
  <c r="A1099" i="2"/>
  <c r="B1099" i="2"/>
  <c r="A2930" i="2"/>
  <c r="B2930" i="2"/>
  <c r="A336" i="2"/>
  <c r="B336" i="2"/>
  <c r="A510" i="2"/>
  <c r="B510" i="2"/>
  <c r="A1100" i="2"/>
  <c r="B1100" i="2"/>
  <c r="A2931" i="2"/>
  <c r="B2931" i="2"/>
  <c r="A2932" i="2"/>
  <c r="B2932" i="2"/>
  <c r="A337" i="2"/>
  <c r="B337" i="2"/>
  <c r="A2933" i="2"/>
  <c r="B2933" i="2"/>
  <c r="A2934" i="2"/>
  <c r="B2934" i="2"/>
  <c r="A831" i="2"/>
  <c r="B831" i="2"/>
  <c r="A1259" i="2"/>
  <c r="B1259" i="2"/>
  <c r="A1101" i="2"/>
  <c r="B1101" i="2"/>
  <c r="A1624" i="2"/>
  <c r="B1624" i="2"/>
  <c r="A338" i="2"/>
  <c r="B338" i="2"/>
  <c r="A1659" i="2"/>
  <c r="B1659" i="2"/>
  <c r="A1721" i="2"/>
  <c r="B1721" i="2"/>
  <c r="A2935" i="2"/>
  <c r="B2935" i="2"/>
  <c r="A1625" i="2"/>
  <c r="B1625" i="2"/>
  <c r="A832" i="2"/>
  <c r="B832" i="2"/>
  <c r="A2936" i="2"/>
  <c r="B2936" i="2"/>
  <c r="A2937" i="2"/>
  <c r="B2937" i="2"/>
  <c r="A833" i="2"/>
  <c r="B833" i="2"/>
  <c r="A834" i="2"/>
  <c r="B834" i="2"/>
  <c r="A2938" i="2"/>
  <c r="B2938" i="2"/>
  <c r="A1626" i="2"/>
  <c r="B1626" i="2"/>
  <c r="A2939" i="2"/>
  <c r="B2939" i="2"/>
  <c r="A2940" i="2"/>
  <c r="B2940" i="2"/>
  <c r="A835" i="2"/>
  <c r="B835" i="2"/>
  <c r="A1102" i="2"/>
  <c r="B1102" i="2"/>
  <c r="A2941" i="2"/>
  <c r="B2941" i="2"/>
  <c r="A1414" i="2"/>
  <c r="B1414" i="2"/>
  <c r="A836" i="2"/>
  <c r="B836" i="2"/>
  <c r="A2942" i="2"/>
  <c r="B2942" i="2"/>
  <c r="A2943" i="2"/>
  <c r="B2943" i="2"/>
  <c r="A1660" i="2"/>
  <c r="B1660" i="2"/>
  <c r="A1661" i="2"/>
  <c r="B1661" i="2"/>
  <c r="A837" i="2"/>
  <c r="B837" i="2"/>
  <c r="A838" i="2"/>
  <c r="B838" i="2"/>
  <c r="A2944" i="2"/>
  <c r="B2944" i="2"/>
  <c r="A2945" i="2"/>
  <c r="B2945" i="2"/>
  <c r="A2946" i="2"/>
  <c r="B2946" i="2"/>
  <c r="A1627" i="2"/>
  <c r="B1627" i="2"/>
  <c r="A2947" i="2"/>
  <c r="B2947" i="2"/>
  <c r="A1628" i="2"/>
  <c r="B1628" i="2"/>
  <c r="A2948" i="2"/>
  <c r="B2948" i="2"/>
  <c r="A2949" i="2"/>
  <c r="B2949" i="2"/>
  <c r="A2950" i="2"/>
  <c r="B2950" i="2"/>
  <c r="A977" i="2"/>
  <c r="B977" i="2"/>
  <c r="A2951" i="2"/>
  <c r="B2951" i="2"/>
  <c r="A1260" i="2"/>
  <c r="B1260" i="2"/>
  <c r="A839" i="2"/>
  <c r="B839" i="2"/>
  <c r="A2952" i="2"/>
  <c r="B2952" i="2"/>
  <c r="A1261" i="2"/>
  <c r="B1261" i="2"/>
  <c r="A2953" i="2"/>
  <c r="B2953" i="2"/>
  <c r="A694" i="2"/>
  <c r="B694" i="2"/>
  <c r="A840" i="2"/>
  <c r="B840" i="2"/>
  <c r="A2954" i="2"/>
  <c r="B2954" i="2"/>
  <c r="A695" i="2"/>
  <c r="B695" i="2"/>
  <c r="A978" i="2"/>
  <c r="B978" i="2"/>
  <c r="A1662" i="2"/>
  <c r="B1662" i="2"/>
  <c r="A1663" i="2"/>
  <c r="B1663" i="2"/>
  <c r="A2955" i="2"/>
  <c r="B2955" i="2"/>
  <c r="A841" i="2"/>
  <c r="B841" i="2"/>
  <c r="A1143" i="2"/>
  <c r="B1143" i="2"/>
  <c r="A1144" i="2"/>
  <c r="B1144" i="2"/>
  <c r="A380" i="2"/>
  <c r="B380" i="2"/>
  <c r="A1629" i="2"/>
  <c r="B1629" i="2"/>
  <c r="A2956" i="2"/>
  <c r="B2956" i="2"/>
  <c r="A696" i="2"/>
  <c r="B696" i="2"/>
  <c r="A2957" i="2"/>
  <c r="B2957" i="2"/>
  <c r="A697" i="2"/>
  <c r="B697" i="2"/>
  <c r="A2958" i="2"/>
  <c r="B2958" i="2"/>
  <c r="A1722" i="2"/>
  <c r="B1722" i="2"/>
  <c r="A894" i="2"/>
  <c r="B894" i="2"/>
  <c r="A1415" i="2"/>
  <c r="B1415" i="2"/>
  <c r="A2959" i="2"/>
  <c r="B2959" i="2"/>
  <c r="A139" i="2"/>
  <c r="B139" i="2"/>
  <c r="A2960" i="2"/>
  <c r="B2960" i="2"/>
  <c r="A140" i="2"/>
  <c r="B140" i="2"/>
  <c r="A2961" i="2"/>
  <c r="B2961" i="2"/>
  <c r="A141" i="2"/>
  <c r="B141" i="2"/>
  <c r="A142" i="2"/>
  <c r="B142" i="2"/>
  <c r="A1723" i="2"/>
  <c r="B1723" i="2"/>
  <c r="A143" i="2"/>
  <c r="B143" i="2"/>
  <c r="A144" i="2"/>
  <c r="B144" i="2"/>
  <c r="A698" i="2"/>
  <c r="B698" i="2"/>
  <c r="A2962" i="2"/>
  <c r="B2962" i="2"/>
  <c r="A145" i="2"/>
  <c r="B145" i="2"/>
  <c r="A146" i="2"/>
  <c r="B146" i="2"/>
  <c r="A2963" i="2"/>
  <c r="B2963" i="2"/>
  <c r="A1145" i="2"/>
  <c r="B1145" i="2"/>
  <c r="A147" i="2"/>
  <c r="B147" i="2"/>
  <c r="A842" i="2"/>
  <c r="B842" i="2"/>
  <c r="A148" i="2"/>
  <c r="B148" i="2"/>
  <c r="A1284" i="2"/>
  <c r="B1284" i="2"/>
  <c r="A2964" i="2"/>
  <c r="B2964" i="2"/>
  <c r="A149" i="2"/>
  <c r="B149" i="2"/>
  <c r="A1103" i="2"/>
  <c r="B1103" i="2"/>
  <c r="A1430" i="2"/>
  <c r="B1430" i="2"/>
  <c r="A409" i="2"/>
  <c r="B409" i="2"/>
  <c r="A1146" i="2"/>
  <c r="B1146" i="2"/>
  <c r="A1104" i="2"/>
  <c r="B1104" i="2"/>
  <c r="A150" i="2"/>
  <c r="B150" i="2"/>
  <c r="A2965" i="2"/>
  <c r="B2965" i="2"/>
  <c r="A1725" i="2"/>
  <c r="B1725" i="2"/>
  <c r="A699" i="2"/>
  <c r="B699" i="2"/>
  <c r="A2966" i="2"/>
  <c r="B2966" i="2"/>
  <c r="A1262" i="2"/>
  <c r="B1262" i="2"/>
  <c r="A151" i="2"/>
  <c r="B151" i="2"/>
  <c r="A2967" i="2"/>
  <c r="B2967" i="2"/>
  <c r="A152" i="2"/>
  <c r="B152" i="2"/>
  <c r="A2968" i="2"/>
  <c r="B2968" i="2"/>
  <c r="A153" i="2"/>
  <c r="B153" i="2"/>
  <c r="A2969" i="2"/>
  <c r="B2969" i="2"/>
  <c r="A2970" i="2"/>
  <c r="B2970" i="2"/>
  <c r="A2971" i="2"/>
  <c r="B2971" i="2"/>
  <c r="A2972" i="2"/>
  <c r="B2972" i="2"/>
  <c r="A2973" i="2"/>
  <c r="B2973" i="2"/>
  <c r="A2974" i="2"/>
  <c r="B2974" i="2"/>
  <c r="A700" i="2"/>
  <c r="B700" i="2"/>
  <c r="A2975" i="2"/>
  <c r="B2975" i="2"/>
  <c r="A381" i="2"/>
  <c r="B381" i="2"/>
  <c r="A701" i="2"/>
  <c r="B701" i="2"/>
  <c r="A2976" i="2"/>
  <c r="B2976" i="2"/>
  <c r="A2977" i="2"/>
  <c r="B2977" i="2"/>
  <c r="A2978" i="2"/>
  <c r="B2978" i="2"/>
  <c r="A2979" i="2"/>
  <c r="B2979" i="2"/>
  <c r="A1664" i="2"/>
  <c r="B1664" i="2"/>
  <c r="A2980" i="2"/>
  <c r="B2980" i="2"/>
  <c r="A2981" i="2"/>
  <c r="B2981" i="2"/>
  <c r="A2982" i="2"/>
  <c r="B2982" i="2"/>
  <c r="A2983" i="2"/>
  <c r="B2983" i="2"/>
  <c r="A1665" i="2"/>
  <c r="B1665" i="2"/>
  <c r="C16" i="3"/>
  <c r="A16" i="3"/>
  <c r="C15" i="3"/>
  <c r="A15" i="3"/>
  <c r="C14" i="3"/>
  <c r="A14" i="3"/>
  <c r="C13" i="3"/>
  <c r="A13" i="3"/>
  <c r="C12" i="3"/>
  <c r="A12" i="3"/>
  <c r="C11" i="3"/>
  <c r="A11" i="3"/>
  <c r="C10" i="3"/>
  <c r="A10" i="3"/>
  <c r="C9" i="3"/>
  <c r="A9" i="3"/>
  <c r="C8" i="3"/>
  <c r="A8" i="3"/>
  <c r="C7" i="3"/>
  <c r="A7" i="3"/>
  <c r="C6" i="3"/>
  <c r="A6" i="3"/>
  <c r="C5" i="3"/>
  <c r="A5" i="3"/>
  <c r="C4" i="3"/>
  <c r="A4" i="3"/>
  <c r="C3" i="3"/>
  <c r="A3" i="3"/>
  <c r="L732" i="2"/>
  <c r="I732" i="2"/>
  <c r="D732" i="2"/>
  <c r="B732" i="2"/>
  <c r="A732" i="2"/>
  <c r="L1769" i="2"/>
  <c r="I1769" i="2"/>
  <c r="D1769" i="2"/>
  <c r="B1769" i="2"/>
  <c r="A1769" i="2"/>
  <c r="L159" i="2"/>
  <c r="I159" i="2"/>
  <c r="D159" i="2"/>
  <c r="B159" i="2"/>
  <c r="A159" i="2"/>
  <c r="L31" i="2"/>
  <c r="I31" i="2"/>
  <c r="D31" i="2"/>
  <c r="B31" i="2"/>
  <c r="A31" i="2"/>
  <c r="L1147" i="2"/>
  <c r="I1147" i="2"/>
  <c r="D1147" i="2"/>
  <c r="B1147" i="2"/>
  <c r="A1147" i="2"/>
  <c r="L158" i="2"/>
  <c r="N158" i="2" s="1"/>
  <c r="I158" i="2"/>
  <c r="D158" i="2"/>
  <c r="B158" i="2"/>
  <c r="A158" i="2"/>
  <c r="L1768" i="2"/>
  <c r="I1768" i="2"/>
  <c r="D1768" i="2"/>
  <c r="B1768" i="2"/>
  <c r="A1768" i="2"/>
  <c r="L157" i="2"/>
  <c r="N157" i="2" s="1"/>
  <c r="I157" i="2"/>
  <c r="D157" i="2"/>
  <c r="B157" i="2"/>
  <c r="A157" i="2"/>
  <c r="L1468" i="2"/>
  <c r="N1468" i="2" s="1"/>
  <c r="I1468" i="2"/>
  <c r="D1468" i="2"/>
  <c r="B1468" i="2"/>
  <c r="A1468" i="2"/>
  <c r="L1767" i="2"/>
  <c r="I1767" i="2"/>
  <c r="D1767" i="2"/>
  <c r="B1767" i="2"/>
  <c r="A1767" i="2"/>
  <c r="L1105" i="2"/>
  <c r="N1105" i="2" s="1"/>
  <c r="I1105" i="2"/>
  <c r="D1105" i="2"/>
  <c r="B1105" i="2"/>
  <c r="A1105" i="2"/>
  <c r="L1766" i="2"/>
  <c r="N1766" i="2" s="1"/>
  <c r="I1766" i="2"/>
  <c r="D1766" i="2"/>
  <c r="B1766" i="2"/>
  <c r="A1766" i="2"/>
  <c r="L1504" i="2"/>
  <c r="N1504" i="2" s="1"/>
  <c r="I1504" i="2"/>
  <c r="D1504" i="2"/>
  <c r="B1504" i="2"/>
  <c r="A1504" i="2"/>
  <c r="L1765" i="2"/>
  <c r="N1765" i="2" s="1"/>
  <c r="I1765" i="2"/>
  <c r="D1765" i="2"/>
  <c r="B1765" i="2"/>
  <c r="A1765" i="2"/>
  <c r="L1764" i="2"/>
  <c r="I1764" i="2"/>
  <c r="D1764" i="2"/>
  <c r="B1764" i="2"/>
  <c r="A1764" i="2"/>
  <c r="L1431" i="2"/>
  <c r="I1431" i="2"/>
  <c r="D1431" i="2"/>
  <c r="B1431" i="2"/>
  <c r="A1431" i="2"/>
  <c r="L1763" i="2"/>
  <c r="N1763" i="2" s="1"/>
  <c r="I1763" i="2"/>
  <c r="D1763" i="2"/>
  <c r="B1763" i="2"/>
  <c r="A1763" i="2"/>
  <c r="L156" i="2"/>
  <c r="I156" i="2"/>
  <c r="D156" i="2"/>
  <c r="B156" i="2"/>
  <c r="A156" i="2"/>
  <c r="L1762" i="2"/>
  <c r="N1762" i="2" s="1"/>
  <c r="I1762" i="2"/>
  <c r="D1762" i="2"/>
  <c r="B1762" i="2"/>
  <c r="A1762" i="2"/>
  <c r="L1761" i="2"/>
  <c r="I1761" i="2"/>
  <c r="D1761" i="2"/>
  <c r="B1761" i="2"/>
  <c r="A1761" i="2"/>
  <c r="L155" i="2"/>
  <c r="I155" i="2"/>
  <c r="D155" i="2"/>
  <c r="B155" i="2"/>
  <c r="A155" i="2"/>
  <c r="L1760" i="2"/>
  <c r="N1760" i="2" s="1"/>
  <c r="I1760" i="2"/>
  <c r="D1760" i="2"/>
  <c r="B1760" i="2"/>
  <c r="A1760" i="2"/>
  <c r="L154" i="2"/>
  <c r="N154" i="2" s="1"/>
  <c r="I154" i="2"/>
  <c r="D154" i="2"/>
  <c r="B154" i="2"/>
  <c r="A154" i="2"/>
  <c r="O2" i="2"/>
  <c r="K2" i="2"/>
  <c r="I2" i="2"/>
  <c r="H2" i="2"/>
  <c r="G2" i="2"/>
  <c r="E2" i="2"/>
  <c r="R6" i="2"/>
  <c r="R1" i="2"/>
  <c r="E1" i="2"/>
  <c r="M26" i="1"/>
  <c r="L26" i="1"/>
  <c r="O24" i="1"/>
  <c r="N24" i="1"/>
  <c r="M24" i="1" s="1"/>
  <c r="L24" i="1" s="1"/>
  <c r="O23" i="1"/>
  <c r="I23" i="1"/>
  <c r="N23" i="1" s="1"/>
  <c r="M23" i="1" s="1"/>
  <c r="L23" i="1" s="1"/>
  <c r="O22" i="1"/>
  <c r="O21" i="1"/>
  <c r="J21" i="1"/>
  <c r="K21" i="1" s="1"/>
  <c r="I21" i="1"/>
  <c r="N21" i="1" s="1"/>
  <c r="M21" i="1" s="1"/>
  <c r="L21" i="1" s="1"/>
  <c r="O20" i="1"/>
  <c r="N20" i="1"/>
  <c r="M20" i="1"/>
  <c r="L20" i="1" s="1"/>
  <c r="J20" i="1"/>
  <c r="J23" i="1" s="1"/>
  <c r="K23" i="1" s="1"/>
  <c r="O19" i="1"/>
  <c r="J19" i="1"/>
  <c r="K19" i="1" s="1"/>
  <c r="I19" i="1"/>
  <c r="N19" i="1" s="1"/>
  <c r="M19" i="1" s="1"/>
  <c r="L19" i="1" s="1"/>
  <c r="O18" i="1"/>
  <c r="O17" i="1"/>
  <c r="K17" i="1"/>
  <c r="I17" i="1"/>
  <c r="N17" i="1" s="1"/>
  <c r="M17" i="1" s="1"/>
  <c r="L17" i="1" s="1"/>
  <c r="O16" i="1"/>
  <c r="N16" i="1"/>
  <c r="M16" i="1" s="1"/>
  <c r="L16" i="1" s="1"/>
  <c r="J16" i="1"/>
  <c r="J17" i="1" s="1"/>
  <c r="O15" i="1"/>
  <c r="J15" i="1"/>
  <c r="K15" i="1" s="1"/>
  <c r="I15" i="1"/>
  <c r="N15" i="1" s="1"/>
  <c r="M15" i="1" s="1"/>
  <c r="L15" i="1" s="1"/>
  <c r="O14" i="1"/>
  <c r="N14" i="1"/>
  <c r="M14" i="1"/>
  <c r="L14" i="1" s="1"/>
  <c r="K14" i="1"/>
  <c r="J14" i="1"/>
  <c r="I14" i="1" s="1"/>
  <c r="O13" i="1"/>
  <c r="J13" i="1"/>
  <c r="K13" i="1" s="1"/>
  <c r="I13" i="1"/>
  <c r="N13" i="1" s="1"/>
  <c r="M13" i="1" s="1"/>
  <c r="L13" i="1" s="1"/>
  <c r="O12" i="1"/>
  <c r="N12" i="1"/>
  <c r="M12" i="1"/>
  <c r="L12" i="1" s="1"/>
  <c r="K12" i="1"/>
  <c r="J12" i="1"/>
  <c r="O11" i="1"/>
  <c r="J11" i="1"/>
  <c r="K11" i="1" s="1"/>
  <c r="I11" i="1"/>
  <c r="N11" i="1" s="1"/>
  <c r="M11" i="1" s="1"/>
  <c r="L11" i="1" s="1"/>
  <c r="O10" i="1"/>
  <c r="O9" i="1"/>
  <c r="J9" i="1"/>
  <c r="K9" i="1" s="1"/>
  <c r="I9" i="1"/>
  <c r="N9" i="1" s="1"/>
  <c r="M9" i="1" s="1"/>
  <c r="L9" i="1" s="1"/>
  <c r="O8" i="1"/>
  <c r="N8" i="1"/>
  <c r="M8" i="1"/>
  <c r="L8" i="1" s="1"/>
  <c r="J8" i="1"/>
  <c r="K8" i="1" s="1"/>
  <c r="O7" i="1"/>
  <c r="O6" i="1"/>
  <c r="O5" i="1"/>
  <c r="O4" i="1"/>
  <c r="N4" i="1"/>
  <c r="M4" i="1"/>
  <c r="L4" i="1" s="1"/>
  <c r="J4" i="1"/>
  <c r="J7" i="1" s="1"/>
  <c r="R2933" i="2" l="1"/>
  <c r="R1103" i="2"/>
  <c r="R1145" i="2"/>
  <c r="R143" i="2"/>
  <c r="R2960" i="2"/>
  <c r="R308" i="2"/>
  <c r="R1503" i="2"/>
  <c r="R2590" i="2"/>
  <c r="R262" i="2"/>
  <c r="R260" i="2"/>
  <c r="R1044" i="2"/>
  <c r="R1129" i="2"/>
  <c r="R2238" i="2"/>
  <c r="R2049" i="2"/>
  <c r="R2046" i="2"/>
  <c r="R939" i="2"/>
  <c r="R860" i="2"/>
  <c r="R1112" i="2"/>
  <c r="R90" i="2"/>
  <c r="R1855" i="2"/>
  <c r="R89" i="2"/>
  <c r="R2978" i="2"/>
  <c r="R2972" i="2"/>
  <c r="R2967" i="2"/>
  <c r="R2965" i="2"/>
  <c r="R1244" i="2"/>
  <c r="R1395" i="2"/>
  <c r="R858" i="2"/>
  <c r="R818" i="2"/>
  <c r="R804" i="2"/>
  <c r="R2577" i="2"/>
  <c r="R2574" i="2"/>
  <c r="R632" i="2"/>
  <c r="R223" i="2"/>
  <c r="R2251" i="2"/>
  <c r="R2248" i="2"/>
  <c r="R2244" i="2"/>
  <c r="R128" i="2"/>
  <c r="R1417" i="2"/>
  <c r="R762" i="2"/>
  <c r="R193" i="2"/>
  <c r="R2977" i="2"/>
  <c r="R2971" i="2"/>
  <c r="R151" i="2"/>
  <c r="R150" i="2"/>
  <c r="R2959" i="2"/>
  <c r="R2737" i="2"/>
  <c r="R2735" i="2"/>
  <c r="R2580" i="2"/>
  <c r="R2573" i="2"/>
  <c r="R266" i="2"/>
  <c r="R1270" i="2"/>
  <c r="R222" i="2"/>
  <c r="R2243" i="2"/>
  <c r="R1124" i="2"/>
  <c r="R2038" i="2"/>
  <c r="R2037" i="2"/>
  <c r="R568" i="2"/>
  <c r="R1862" i="2"/>
  <c r="R994" i="2"/>
  <c r="R1305" i="2"/>
  <c r="R2983" i="2"/>
  <c r="R2964" i="2"/>
  <c r="R142" i="2"/>
  <c r="R311" i="2"/>
  <c r="R1140" i="2"/>
  <c r="R1502" i="2"/>
  <c r="R1072" i="2"/>
  <c r="R2582" i="2"/>
  <c r="R801" i="2"/>
  <c r="R2254" i="2"/>
  <c r="R2240" i="2"/>
  <c r="R848" i="2"/>
  <c r="R192" i="2"/>
  <c r="R188" i="2"/>
  <c r="R1190" i="2"/>
  <c r="R2970" i="2"/>
  <c r="R1262" i="2"/>
  <c r="R1104" i="2"/>
  <c r="R145" i="2"/>
  <c r="R1415" i="2"/>
  <c r="R880" i="2"/>
  <c r="R1394" i="2"/>
  <c r="R2734" i="2"/>
  <c r="R425" i="2"/>
  <c r="R2572" i="2"/>
  <c r="R2564" i="2"/>
  <c r="R599" i="2"/>
  <c r="R228" i="2"/>
  <c r="R1223" i="2"/>
  <c r="R2237" i="2"/>
  <c r="R2040" i="2"/>
  <c r="R1533" i="2"/>
  <c r="R541" i="2"/>
  <c r="R1861" i="2"/>
  <c r="R1191" i="2"/>
  <c r="R1284" i="2"/>
  <c r="R141" i="2"/>
  <c r="R307" i="2"/>
  <c r="R966" i="2"/>
  <c r="R431" i="2"/>
  <c r="R2592" i="2"/>
  <c r="R2575" i="2"/>
  <c r="R261" i="2"/>
  <c r="R1222" i="2"/>
  <c r="R942" i="2"/>
  <c r="R1123" i="2"/>
  <c r="R1268" i="2"/>
  <c r="R1858" i="2"/>
  <c r="R191" i="2"/>
  <c r="R993" i="2"/>
  <c r="Q2958" i="2"/>
  <c r="Q2915" i="2"/>
  <c r="Q891" i="2"/>
  <c r="Q307" i="2"/>
  <c r="Q1502" i="2"/>
  <c r="Q303" i="2"/>
  <c r="R508" i="2"/>
  <c r="R1664" i="2"/>
  <c r="Q2976" i="2"/>
  <c r="Q699" i="2"/>
  <c r="Q2964" i="2"/>
  <c r="Q140" i="2"/>
  <c r="Q2941" i="2"/>
  <c r="Q309" i="2"/>
  <c r="Q300" i="2"/>
  <c r="Q2586" i="2"/>
  <c r="Q2562" i="2"/>
  <c r="Q1045" i="2"/>
  <c r="Q2251" i="2"/>
  <c r="Q2244" i="2"/>
  <c r="Q214" i="2"/>
  <c r="Q193" i="2"/>
  <c r="Q2980" i="2"/>
  <c r="Q1725" i="2"/>
  <c r="Q306" i="2"/>
  <c r="Q2585" i="2"/>
  <c r="Q1365" i="2"/>
  <c r="Q803" i="2"/>
  <c r="Q266" i="2"/>
  <c r="Q261" i="2"/>
  <c r="Q407" i="2"/>
  <c r="Q222" i="2"/>
  <c r="Q1223" i="2"/>
  <c r="Q2243" i="2"/>
  <c r="Q942" i="2"/>
  <c r="Q2039" i="2"/>
  <c r="Q1318" i="2"/>
  <c r="Q395" i="2"/>
  <c r="Q1438" i="2"/>
  <c r="Q1304" i="2"/>
  <c r="Q90" i="2"/>
  <c r="Q2957" i="2"/>
  <c r="Q1282" i="2"/>
  <c r="Q2598" i="2"/>
  <c r="Q268" i="2"/>
  <c r="Q2567" i="2"/>
  <c r="Q134" i="2"/>
  <c r="Q819" i="2"/>
  <c r="Q701" i="2"/>
  <c r="Q152" i="2"/>
  <c r="Q409" i="2"/>
  <c r="Q376" i="2"/>
  <c r="Q2978" i="2"/>
  <c r="Q2973" i="2"/>
  <c r="Q1146" i="2"/>
  <c r="Q2963" i="2"/>
  <c r="Q1722" i="2"/>
  <c r="Q2929" i="2"/>
  <c r="Q313" i="2"/>
  <c r="Q2593" i="2"/>
  <c r="Q425" i="2"/>
  <c r="Q632" i="2"/>
  <c r="Q259" i="2"/>
  <c r="Q1664" i="2"/>
  <c r="Q2971" i="2"/>
  <c r="Q139" i="2"/>
  <c r="Q311" i="2"/>
  <c r="Q669" i="2"/>
  <c r="Q1242" i="2"/>
  <c r="Q301" i="2"/>
  <c r="Q1281" i="2"/>
  <c r="Q2591" i="2"/>
  <c r="Q2589" i="2"/>
  <c r="Q271" i="2"/>
  <c r="Q270" i="2"/>
  <c r="Q258" i="2"/>
  <c r="Q137" i="2"/>
  <c r="Q874" i="2"/>
  <c r="Q1268" i="2"/>
  <c r="Q860" i="2"/>
  <c r="Q1858" i="2"/>
  <c r="Q2581" i="2"/>
  <c r="Q1723" i="2"/>
  <c r="Q304" i="2"/>
  <c r="Q1665" i="2"/>
  <c r="Q2975" i="2"/>
  <c r="Q151" i="2"/>
  <c r="Q2965" i="2"/>
  <c r="Q2962" i="2"/>
  <c r="Q2933" i="2"/>
  <c r="Q668" i="2"/>
  <c r="Q2736" i="2"/>
  <c r="Q2588" i="2"/>
  <c r="Q805" i="2"/>
  <c r="Q2571" i="2"/>
  <c r="Q230" i="2"/>
  <c r="Q224" i="2"/>
  <c r="Q219" i="2"/>
  <c r="Q132" i="2"/>
  <c r="Q129" i="2"/>
  <c r="Q96" i="2"/>
  <c r="Q145" i="2"/>
  <c r="Q842" i="2"/>
  <c r="Q1262" i="2"/>
  <c r="Q147" i="2"/>
  <c r="Q1415" i="2"/>
  <c r="Q1398" i="2"/>
  <c r="Q310" i="2"/>
  <c r="Q2738" i="2"/>
  <c r="Q431" i="2"/>
  <c r="Q2595" i="2"/>
  <c r="Q634" i="2"/>
  <c r="Q2574" i="2"/>
  <c r="Q633" i="2"/>
  <c r="Q264" i="2"/>
  <c r="Q1052" i="2"/>
  <c r="Q2565" i="2"/>
  <c r="Q801" i="2"/>
  <c r="Q598" i="2"/>
  <c r="Q2969" i="2"/>
  <c r="Q1744" i="2"/>
  <c r="Q2254" i="2"/>
  <c r="Q1745" i="2"/>
  <c r="Q806" i="2"/>
  <c r="Q141" i="2"/>
  <c r="Q1190" i="2"/>
  <c r="Q1092" i="2"/>
  <c r="Q2563" i="2"/>
  <c r="Q312" i="2"/>
  <c r="Q1044" i="2"/>
  <c r="Q940" i="2"/>
  <c r="Q136" i="2"/>
  <c r="Q269" i="2"/>
  <c r="Q2592" i="2"/>
  <c r="Q858" i="2"/>
  <c r="Q1503" i="2"/>
  <c r="Q880" i="2"/>
  <c r="Q2959" i="2"/>
  <c r="Q150" i="2"/>
  <c r="Q2967" i="2"/>
  <c r="Q2970" i="2"/>
  <c r="Q2238" i="2"/>
  <c r="Q1284" i="2"/>
  <c r="Q1336" i="2"/>
  <c r="Q2597" i="2"/>
  <c r="Q89" i="2"/>
  <c r="Q1191" i="2"/>
  <c r="Q1860" i="2"/>
  <c r="Q1020" i="2"/>
  <c r="Q2239" i="2"/>
  <c r="Q217" i="2"/>
  <c r="Q2245" i="2"/>
  <c r="Q2248" i="2"/>
  <c r="Q229" i="2"/>
  <c r="Q2564" i="2"/>
  <c r="Q2579" i="2"/>
  <c r="Q965" i="2"/>
  <c r="Q2734" i="2"/>
  <c r="Q698" i="2"/>
  <c r="Q1430" i="2"/>
  <c r="Q2968" i="2"/>
  <c r="Q143" i="2"/>
  <c r="Q2936" i="2"/>
  <c r="Q2742" i="2"/>
  <c r="Q2737" i="2"/>
  <c r="Q273" i="2"/>
  <c r="Q2572" i="2"/>
  <c r="Q2559" i="2"/>
  <c r="Q1222" i="2"/>
  <c r="Q873" i="2"/>
  <c r="Q2982" i="2"/>
  <c r="Q2974" i="2"/>
  <c r="Q153" i="2"/>
  <c r="Q2966" i="2"/>
  <c r="Q144" i="2"/>
  <c r="Q894" i="2"/>
  <c r="Q1396" i="2"/>
  <c r="Q820" i="2"/>
  <c r="Q1140" i="2"/>
  <c r="Q1243" i="2"/>
  <c r="Q1393" i="2"/>
  <c r="Q1071" i="2"/>
  <c r="Q2590" i="2"/>
  <c r="Q2587" i="2"/>
  <c r="Q2580" i="2"/>
  <c r="Q2568" i="2"/>
  <c r="Q1586" i="2"/>
  <c r="Q2560" i="2"/>
  <c r="Q228" i="2"/>
  <c r="Q223" i="2"/>
  <c r="Q2252" i="2"/>
  <c r="Q218" i="2"/>
  <c r="Q2240" i="2"/>
  <c r="Q1695" i="2"/>
  <c r="Q401" i="2"/>
  <c r="Q1689" i="2"/>
  <c r="Q130" i="2"/>
  <c r="Q2038" i="2"/>
  <c r="Q2037" i="2"/>
  <c r="Q126" i="2"/>
  <c r="Q124" i="2"/>
  <c r="Q541" i="2"/>
  <c r="Q994" i="2"/>
  <c r="Q916" i="2"/>
  <c r="Q93" i="2"/>
  <c r="Q189" i="2"/>
  <c r="Q915" i="2"/>
  <c r="Q187" i="2"/>
  <c r="Q761" i="2"/>
  <c r="Q2981" i="2"/>
  <c r="Q2247" i="2"/>
  <c r="Q2977" i="2"/>
  <c r="Q1104" i="2"/>
  <c r="Q149" i="2"/>
  <c r="Q1145" i="2"/>
  <c r="Q2961" i="2"/>
  <c r="Q1244" i="2"/>
  <c r="Q1395" i="2"/>
  <c r="Q302" i="2"/>
  <c r="Q2732" i="2"/>
  <c r="Q2594" i="2"/>
  <c r="Q2582" i="2"/>
  <c r="Q2575" i="2"/>
  <c r="Q2573" i="2"/>
  <c r="Q263" i="2"/>
  <c r="Q260" i="2"/>
  <c r="Q1043" i="2"/>
  <c r="Q700" i="2"/>
  <c r="Q1587" i="2"/>
  <c r="Q1364" i="2"/>
  <c r="Q2043" i="2"/>
  <c r="Q1857" i="2"/>
  <c r="Q1437" i="2"/>
  <c r="Q2049" i="2"/>
  <c r="Q1305" i="2"/>
  <c r="Q146" i="2"/>
  <c r="Q2569" i="2"/>
  <c r="Q2237" i="2"/>
  <c r="Q125" i="2"/>
  <c r="Q1859" i="2"/>
  <c r="R334" i="2"/>
  <c r="R2935" i="2"/>
  <c r="Q138" i="2"/>
  <c r="Q1861" i="2"/>
  <c r="Q2972" i="2"/>
  <c r="Q2960" i="2"/>
  <c r="Q1394" i="2"/>
  <c r="Q872" i="2"/>
  <c r="Q918" i="2"/>
  <c r="Q1855" i="2"/>
  <c r="R2937" i="2"/>
  <c r="R2589" i="2"/>
  <c r="R977" i="2"/>
  <c r="Q2249" i="2"/>
  <c r="Q2741" i="2"/>
  <c r="Q966" i="2"/>
  <c r="Q1428" i="2"/>
  <c r="Q299" i="2"/>
  <c r="Q2577" i="2"/>
  <c r="Q1123" i="2"/>
  <c r="Q1192" i="2"/>
  <c r="Q381" i="2"/>
  <c r="Q148" i="2"/>
  <c r="Q308" i="2"/>
  <c r="Q2596" i="2"/>
  <c r="Q272" i="2"/>
  <c r="Q802" i="2"/>
  <c r="Q265" i="2"/>
  <c r="Q2566" i="2"/>
  <c r="Q233" i="2"/>
  <c r="Q225" i="2"/>
  <c r="Q221" i="2"/>
  <c r="Q2246" i="2"/>
  <c r="Q1129" i="2"/>
  <c r="Q133" i="2"/>
  <c r="Q569" i="2"/>
  <c r="Q127" i="2"/>
  <c r="Q1688" i="2"/>
  <c r="Q1675" i="2"/>
  <c r="Q917" i="2"/>
  <c r="Q192" i="2"/>
  <c r="Q92" i="2"/>
  <c r="Q540" i="2"/>
  <c r="Q1111" i="2"/>
  <c r="Q975" i="2"/>
  <c r="Q1452" i="2"/>
  <c r="Q1112" i="2"/>
  <c r="Q2785" i="2"/>
  <c r="Q1397" i="2"/>
  <c r="Q2739" i="2"/>
  <c r="Q818" i="2"/>
  <c r="Q374" i="2"/>
  <c r="Q2583" i="2"/>
  <c r="Q1270" i="2"/>
  <c r="Q231" i="2"/>
  <c r="Q2253" i="2"/>
  <c r="Q1533" i="2"/>
  <c r="Q186" i="2"/>
  <c r="Q2979" i="2"/>
  <c r="Q142" i="2"/>
  <c r="Q1661" i="2"/>
  <c r="Q2740" i="2"/>
  <c r="Q305" i="2"/>
  <c r="Q1072" i="2"/>
  <c r="Q2735" i="2"/>
  <c r="Q262" i="2"/>
  <c r="Q2046" i="2"/>
  <c r="Q941" i="2"/>
  <c r="Q98" i="2"/>
  <c r="Q94" i="2"/>
  <c r="Q191" i="2"/>
  <c r="Q188" i="2"/>
  <c r="R978" i="2"/>
  <c r="R1146" i="2"/>
  <c r="Q568" i="2"/>
  <c r="Q1256" i="2"/>
  <c r="Q232" i="2"/>
  <c r="Q2040" i="2"/>
  <c r="Q91" i="2"/>
  <c r="Q2983" i="2"/>
  <c r="Q1103" i="2"/>
  <c r="Q1759" i="2"/>
  <c r="Q667" i="2"/>
  <c r="Q2733" i="2"/>
  <c r="Q1366" i="2"/>
  <c r="Q804" i="2"/>
  <c r="Q599" i="2"/>
  <c r="Q1426" i="2"/>
  <c r="Q848" i="2"/>
  <c r="Q135" i="2"/>
  <c r="Q131" i="2"/>
  <c r="Q1124" i="2"/>
  <c r="Q128" i="2"/>
  <c r="Q1417" i="2"/>
  <c r="Q939" i="2"/>
  <c r="Q1862" i="2"/>
  <c r="Q762" i="2"/>
  <c r="Q95" i="2"/>
  <c r="Q190" i="2"/>
  <c r="Q1856" i="2"/>
  <c r="Q993" i="2"/>
  <c r="Q6" i="2"/>
  <c r="Q2899" i="2"/>
  <c r="R1623" i="2"/>
  <c r="Q97" i="2"/>
  <c r="R2973" i="2"/>
  <c r="Q2907" i="2"/>
  <c r="R1097" i="2"/>
  <c r="R2787" i="2"/>
  <c r="P337" i="2"/>
  <c r="Q337" i="2"/>
  <c r="Q692" i="2"/>
  <c r="P692" i="2"/>
  <c r="P1714" i="2"/>
  <c r="Q1714" i="2"/>
  <c r="P2865" i="2"/>
  <c r="Q2865" i="2"/>
  <c r="P2859" i="2"/>
  <c r="Q2859" i="2"/>
  <c r="P969" i="2"/>
  <c r="Q969" i="2"/>
  <c r="P678" i="2"/>
  <c r="Q678" i="2"/>
  <c r="P390" i="2"/>
  <c r="Q390" i="2"/>
  <c r="Q2810" i="2"/>
  <c r="P2810" i="2"/>
  <c r="P2770" i="2"/>
  <c r="Q2770" i="2"/>
  <c r="Q2521" i="2"/>
  <c r="P2521" i="2"/>
  <c r="Q1239" i="2"/>
  <c r="Q2479" i="2"/>
  <c r="P2479" i="2"/>
  <c r="P245" i="2"/>
  <c r="Q245" i="2"/>
  <c r="Q292" i="2"/>
  <c r="P2313" i="2"/>
  <c r="Q2313" i="2"/>
  <c r="Q2639" i="2"/>
  <c r="P1337" i="2"/>
  <c r="Q1337" i="2"/>
  <c r="Q1367" i="2"/>
  <c r="P2949" i="2"/>
  <c r="Q2949" i="2"/>
  <c r="P1721" i="2"/>
  <c r="Q1721" i="2"/>
  <c r="P2797" i="2"/>
  <c r="Q2797" i="2"/>
  <c r="P2789" i="2"/>
  <c r="Q2789" i="2"/>
  <c r="P2778" i="2"/>
  <c r="Q2778" i="2"/>
  <c r="P2749" i="2"/>
  <c r="Q2749" i="2"/>
  <c r="P2557" i="2"/>
  <c r="Q2557" i="2"/>
  <c r="Q2730" i="2"/>
  <c r="P2505" i="2"/>
  <c r="Q2505" i="2"/>
  <c r="Q1273" i="2"/>
  <c r="P566" i="2"/>
  <c r="Q566" i="2"/>
  <c r="Q594" i="2"/>
  <c r="P1119" i="2"/>
  <c r="Q1119" i="2"/>
  <c r="Q1217" i="2"/>
  <c r="R1143" i="2"/>
  <c r="P2011" i="2"/>
  <c r="Q2011" i="2"/>
  <c r="P1993" i="2"/>
  <c r="Q1993" i="2"/>
  <c r="Q2204" i="2"/>
  <c r="P550" i="2"/>
  <c r="Q550" i="2"/>
  <c r="Q581" i="2"/>
  <c r="P861" i="2"/>
  <c r="Q861" i="2"/>
  <c r="Q2076" i="2"/>
  <c r="P721" i="2"/>
  <c r="Q721" i="2"/>
  <c r="R721" i="2"/>
  <c r="R2033" i="2"/>
  <c r="R808" i="2"/>
  <c r="R815" i="2"/>
  <c r="R2955" i="2"/>
  <c r="R471" i="2"/>
  <c r="Q471" i="2"/>
  <c r="P471" i="2"/>
  <c r="R458" i="2"/>
  <c r="R627" i="2"/>
  <c r="R661" i="2"/>
  <c r="R462" i="2"/>
  <c r="P2956" i="2"/>
  <c r="Q2956" i="2"/>
  <c r="P2943" i="2"/>
  <c r="Q2943" i="2"/>
  <c r="P1100" i="2"/>
  <c r="Q1100" i="2"/>
  <c r="P1623" i="2"/>
  <c r="Q1623" i="2"/>
  <c r="Q1717" i="2"/>
  <c r="P1717" i="2"/>
  <c r="P1713" i="2"/>
  <c r="Q1713" i="2"/>
  <c r="P332" i="2"/>
  <c r="Q332" i="2"/>
  <c r="P2857" i="2"/>
  <c r="Q2857" i="2"/>
  <c r="P2850" i="2"/>
  <c r="Q2850" i="2"/>
  <c r="P679" i="2"/>
  <c r="Q679" i="2"/>
  <c r="P1724" i="2"/>
  <c r="Q1724" i="2"/>
  <c r="P434" i="2"/>
  <c r="Q434" i="2"/>
  <c r="P2819" i="2"/>
  <c r="Q2819" i="2"/>
  <c r="P2809" i="2"/>
  <c r="Q2809" i="2"/>
  <c r="Q2803" i="2"/>
  <c r="P2803" i="2"/>
  <c r="P1245" i="2"/>
  <c r="Q1245" i="2"/>
  <c r="P2761" i="2"/>
  <c r="Q2761" i="2"/>
  <c r="P2546" i="2"/>
  <c r="Q2546" i="2"/>
  <c r="Q1070" i="2"/>
  <c r="P1578" i="2"/>
  <c r="Q1578" i="2"/>
  <c r="R1578" i="2"/>
  <c r="R1629" i="2"/>
  <c r="P2491" i="2"/>
  <c r="Q2491" i="2"/>
  <c r="Q963" i="2"/>
  <c r="P1354" i="2"/>
  <c r="Q1354" i="2"/>
  <c r="Q1389" i="2"/>
  <c r="P614" i="2"/>
  <c r="Q614" i="2"/>
  <c r="Q647" i="2"/>
  <c r="P2422" i="2"/>
  <c r="Q2422" i="2"/>
  <c r="Q959" i="2"/>
  <c r="P608" i="2"/>
  <c r="Q608" i="2"/>
  <c r="Q644" i="2"/>
  <c r="P2345" i="2"/>
  <c r="Q2345" i="2"/>
  <c r="Q1236" i="2"/>
  <c r="P2339" i="2"/>
  <c r="Q2339" i="2"/>
  <c r="Q952" i="2"/>
  <c r="P2318" i="2"/>
  <c r="Q2318" i="2"/>
  <c r="Q1593" i="2"/>
  <c r="Q2042" i="2"/>
  <c r="Q2226" i="2"/>
  <c r="R2945" i="2"/>
  <c r="P567" i="2"/>
  <c r="Q567" i="2"/>
  <c r="Q593" i="2"/>
  <c r="R700" i="2"/>
  <c r="P561" i="2"/>
  <c r="Q561" i="2"/>
  <c r="Q588" i="2"/>
  <c r="P1965" i="2"/>
  <c r="Q1965" i="2"/>
  <c r="Q2185" i="2"/>
  <c r="P1914" i="2"/>
  <c r="Q1914" i="2"/>
  <c r="Q2161" i="2"/>
  <c r="P184" i="2"/>
  <c r="R184" i="2"/>
  <c r="Q184" i="2"/>
  <c r="R130" i="2"/>
  <c r="R229" i="2"/>
  <c r="R305" i="2"/>
  <c r="R269" i="2"/>
  <c r="R153" i="2"/>
  <c r="P910" i="2"/>
  <c r="Q910" i="2"/>
  <c r="R910" i="2"/>
  <c r="R1987" i="2"/>
  <c r="R2543" i="2"/>
  <c r="R1069" i="2"/>
  <c r="R2887" i="2"/>
  <c r="P753" i="2"/>
  <c r="Q753" i="2"/>
  <c r="R753" i="2"/>
  <c r="R1985" i="2"/>
  <c r="R2205" i="2"/>
  <c r="R2410" i="2"/>
  <c r="R851" i="2"/>
  <c r="R2860" i="2"/>
  <c r="P1672" i="2"/>
  <c r="R1672" i="2"/>
  <c r="Q1672" i="2"/>
  <c r="R1525" i="2"/>
  <c r="R1538" i="2"/>
  <c r="R2385" i="2"/>
  <c r="R1750" i="2"/>
  <c r="R1613" i="2"/>
  <c r="P1826" i="2"/>
  <c r="Q1826" i="2"/>
  <c r="R1826" i="2"/>
  <c r="R1921" i="2"/>
  <c r="R2145" i="2"/>
  <c r="R2413" i="2"/>
  <c r="R2679" i="2"/>
  <c r="R2829" i="2"/>
  <c r="P710" i="2"/>
  <c r="R710" i="2"/>
  <c r="Q710" i="2"/>
  <c r="P2368" i="2"/>
  <c r="Q2368" i="2"/>
  <c r="Q2666" i="2"/>
  <c r="P1101" i="2"/>
  <c r="Q1101" i="2"/>
  <c r="R1101" i="2"/>
  <c r="P2920" i="2"/>
  <c r="Q2920" i="2"/>
  <c r="P2910" i="2"/>
  <c r="Q2910" i="2"/>
  <c r="P1617" i="2"/>
  <c r="Q1617" i="2"/>
  <c r="Q2884" i="2"/>
  <c r="P2884" i="2"/>
  <c r="P330" i="2"/>
  <c r="Q330" i="2"/>
  <c r="Q1249" i="2"/>
  <c r="P1249" i="2"/>
  <c r="Q2848" i="2"/>
  <c r="P2848" i="2"/>
  <c r="P436" i="2"/>
  <c r="Q436" i="2"/>
  <c r="P2781" i="2"/>
  <c r="Q2781" i="2"/>
  <c r="P2651" i="2"/>
  <c r="Q2651" i="2"/>
  <c r="R2651" i="2"/>
  <c r="P2627" i="2"/>
  <c r="R2627" i="2"/>
  <c r="Q2627" i="2"/>
  <c r="P2502" i="2"/>
  <c r="Q2502" i="2"/>
  <c r="R2502" i="2"/>
  <c r="R2927" i="2"/>
  <c r="P2494" i="2"/>
  <c r="Q2494" i="2"/>
  <c r="Q1066" i="2"/>
  <c r="P2484" i="2"/>
  <c r="Q2484" i="2"/>
  <c r="R2484" i="2"/>
  <c r="R2880" i="2"/>
  <c r="P2451" i="2"/>
  <c r="Q2451" i="2"/>
  <c r="Q2695" i="2"/>
  <c r="P2446" i="2"/>
  <c r="Q2446" i="2"/>
  <c r="Q1753" i="2"/>
  <c r="P247" i="2"/>
  <c r="Q247" i="2"/>
  <c r="Q288" i="2"/>
  <c r="P2429" i="2"/>
  <c r="Q2429" i="2"/>
  <c r="R2429" i="2"/>
  <c r="R1081" i="2"/>
  <c r="P2299" i="2"/>
  <c r="Q2299" i="2"/>
  <c r="Q2624" i="2"/>
  <c r="P2279" i="2"/>
  <c r="Q2279" i="2"/>
  <c r="Q2615" i="2"/>
  <c r="P2261" i="2"/>
  <c r="Q2261" i="2"/>
  <c r="Q2605" i="2"/>
  <c r="P934" i="2"/>
  <c r="Q934" i="2"/>
  <c r="Q1128" i="2"/>
  <c r="P1968" i="2"/>
  <c r="Q1968" i="2"/>
  <c r="Q2175" i="2"/>
  <c r="P1907" i="2"/>
  <c r="Q1907" i="2"/>
  <c r="Q2108" i="2"/>
  <c r="P1852" i="2"/>
  <c r="R1852" i="2"/>
  <c r="Q1852" i="2"/>
  <c r="R1743" i="2"/>
  <c r="R2241" i="2"/>
  <c r="R2593" i="2"/>
  <c r="R2733" i="2"/>
  <c r="R2979" i="2"/>
  <c r="P1727" i="2"/>
  <c r="Q1727" i="2"/>
  <c r="R1727" i="2"/>
  <c r="R1523" i="2"/>
  <c r="R1691" i="2"/>
  <c r="R1571" i="2"/>
  <c r="R1749" i="2"/>
  <c r="R1610" i="2"/>
  <c r="P57" i="2"/>
  <c r="Q57" i="2"/>
  <c r="R57" i="2"/>
  <c r="P1165" i="2"/>
  <c r="Q1165" i="2"/>
  <c r="R1165" i="2"/>
  <c r="R1006" i="2"/>
  <c r="R2139" i="2"/>
  <c r="R2505" i="2"/>
  <c r="R1273" i="2"/>
  <c r="R1092" i="2"/>
  <c r="P1143" i="2"/>
  <c r="Q1143" i="2"/>
  <c r="P2952" i="2"/>
  <c r="Q2952" i="2"/>
  <c r="P1414" i="2"/>
  <c r="Q1414" i="2"/>
  <c r="P2937" i="2"/>
  <c r="Q2937" i="2"/>
  <c r="P1099" i="2"/>
  <c r="Q1099" i="2"/>
  <c r="P974" i="2"/>
  <c r="Q974" i="2"/>
  <c r="Q2903" i="2"/>
  <c r="P2903" i="2"/>
  <c r="Q2891" i="2"/>
  <c r="P2891" i="2"/>
  <c r="P2883" i="2"/>
  <c r="Q2883" i="2"/>
  <c r="P2880" i="2"/>
  <c r="Q2880" i="2"/>
  <c r="P25" i="2"/>
  <c r="Q25" i="2"/>
  <c r="P1408" i="2"/>
  <c r="Q1408" i="2"/>
  <c r="P1074" i="2"/>
  <c r="Q1074" i="2"/>
  <c r="P327" i="2"/>
  <c r="Q327" i="2"/>
  <c r="P2806" i="2"/>
  <c r="Q2806" i="2"/>
  <c r="Q2800" i="2"/>
  <c r="P2800" i="2"/>
  <c r="P2793" i="2"/>
  <c r="Q2793" i="2"/>
  <c r="P883" i="2"/>
  <c r="Q883" i="2"/>
  <c r="P881" i="2"/>
  <c r="Q881" i="2"/>
  <c r="P1363" i="2"/>
  <c r="Q2731" i="2"/>
  <c r="Q1363" i="2"/>
  <c r="P2406" i="2"/>
  <c r="Q2406" i="2"/>
  <c r="Q1062" i="2"/>
  <c r="P2298" i="2"/>
  <c r="Q2298" i="2"/>
  <c r="Q876" i="2"/>
  <c r="P2278" i="2"/>
  <c r="Q2278" i="2"/>
  <c r="Q944" i="2"/>
  <c r="P1550" i="2"/>
  <c r="Q1550" i="2"/>
  <c r="Q1492" i="2"/>
  <c r="Q1449" i="2"/>
  <c r="P1449" i="2"/>
  <c r="Q1645" i="2"/>
  <c r="R1665" i="2"/>
  <c r="P929" i="2"/>
  <c r="Q929" i="2"/>
  <c r="P359" i="2"/>
  <c r="Q359" i="2"/>
  <c r="R359" i="2"/>
  <c r="R560" i="2"/>
  <c r="R589" i="2"/>
  <c r="R619" i="2"/>
  <c r="R652" i="2"/>
  <c r="R688" i="2"/>
  <c r="P26" i="2"/>
  <c r="Q26" i="2"/>
  <c r="R26" i="2"/>
  <c r="P522" i="2"/>
  <c r="Q522" i="2"/>
  <c r="R522" i="2"/>
  <c r="R545" i="2"/>
  <c r="R573" i="2"/>
  <c r="R600" i="2"/>
  <c r="R637" i="2"/>
  <c r="R677" i="2"/>
  <c r="P41" i="2"/>
  <c r="R41" i="2"/>
  <c r="Q41" i="2"/>
  <c r="R1891" i="2"/>
  <c r="R2089" i="2"/>
  <c r="R2331" i="2"/>
  <c r="R2630" i="2"/>
  <c r="R2849" i="2"/>
  <c r="Q630" i="2"/>
  <c r="Q663" i="2"/>
  <c r="P629" i="2"/>
  <c r="Q662" i="2"/>
  <c r="Q629" i="2"/>
  <c r="P2470" i="2"/>
  <c r="Q2470" i="2"/>
  <c r="Q810" i="2"/>
  <c r="P2444" i="2"/>
  <c r="Q2444" i="2"/>
  <c r="Q2712" i="2"/>
  <c r="P489" i="2"/>
  <c r="Q489" i="2"/>
  <c r="Q501" i="2"/>
  <c r="P1912" i="2"/>
  <c r="Q1912" i="2"/>
  <c r="Q2105" i="2"/>
  <c r="P1896" i="2"/>
  <c r="Q1896" i="2"/>
  <c r="R1896" i="2"/>
  <c r="P530" i="2"/>
  <c r="Q530" i="2"/>
  <c r="R530" i="2"/>
  <c r="R552" i="2"/>
  <c r="R575" i="2"/>
  <c r="R606" i="2"/>
  <c r="R639" i="2"/>
  <c r="R676" i="2"/>
  <c r="P2951" i="2"/>
  <c r="Q2951" i="2"/>
  <c r="P837" i="2"/>
  <c r="Q837" i="2"/>
  <c r="P835" i="2"/>
  <c r="Q835" i="2"/>
  <c r="P2927" i="2"/>
  <c r="Q2927" i="2"/>
  <c r="P2921" i="2"/>
  <c r="Q2921" i="2"/>
  <c r="P2904" i="2"/>
  <c r="Q2904" i="2"/>
  <c r="P358" i="2"/>
  <c r="Q358" i="2"/>
  <c r="P687" i="2"/>
  <c r="Q687" i="2"/>
  <c r="P2841" i="2"/>
  <c r="Q2841" i="2"/>
  <c r="P2822" i="2"/>
  <c r="Q2822" i="2"/>
  <c r="P2811" i="2"/>
  <c r="Q2811" i="2"/>
  <c r="P885" i="2"/>
  <c r="Q885" i="2"/>
  <c r="P2772" i="2"/>
  <c r="Q2772" i="2"/>
  <c r="P2765" i="2"/>
  <c r="Q2765" i="2"/>
  <c r="R837" i="2"/>
  <c r="P800" i="2"/>
  <c r="Q800" i="2"/>
  <c r="R800" i="2"/>
  <c r="R832" i="2"/>
  <c r="P777" i="2"/>
  <c r="Q777" i="2"/>
  <c r="R777" i="2"/>
  <c r="R825" i="2"/>
  <c r="P485" i="2"/>
  <c r="Q485" i="2"/>
  <c r="R485" i="2"/>
  <c r="R433" i="2"/>
  <c r="P1004" i="2"/>
  <c r="Q1004" i="2"/>
  <c r="Q1212" i="2"/>
  <c r="R1941" i="2"/>
  <c r="P1941" i="2"/>
  <c r="Q1941" i="2"/>
  <c r="Q2115" i="2"/>
  <c r="R2115" i="2"/>
  <c r="P101" i="2"/>
  <c r="Q101" i="2"/>
  <c r="Q196" i="2"/>
  <c r="Q635" i="2"/>
  <c r="Q666" i="2"/>
  <c r="Q631" i="2"/>
  <c r="Q665" i="2"/>
  <c r="P373" i="2"/>
  <c r="Q373" i="2"/>
  <c r="Q375" i="2"/>
  <c r="P1583" i="2"/>
  <c r="Q1583" i="2"/>
  <c r="Q1649" i="2"/>
  <c r="P627" i="2"/>
  <c r="Q627" i="2"/>
  <c r="Q661" i="2"/>
  <c r="P2524" i="2"/>
  <c r="Q2524" i="2"/>
  <c r="Q1275" i="2"/>
  <c r="P2508" i="2"/>
  <c r="Q2508" i="2"/>
  <c r="Q1458" i="2"/>
  <c r="P624" i="2"/>
  <c r="Q624" i="2"/>
  <c r="Q514" i="2"/>
  <c r="P621" i="2"/>
  <c r="Q621" i="2"/>
  <c r="Q651" i="2"/>
  <c r="P1572" i="2"/>
  <c r="Q1572" i="2"/>
  <c r="P2455" i="2"/>
  <c r="Q2455" i="2"/>
  <c r="R2455" i="2"/>
  <c r="P347" i="2"/>
  <c r="Q347" i="2"/>
  <c r="R347" i="2"/>
  <c r="R357" i="2"/>
  <c r="P1349" i="2"/>
  <c r="Q1349" i="2"/>
  <c r="Q1374" i="2"/>
  <c r="P2388" i="2"/>
  <c r="Q2388" i="2"/>
  <c r="Q1696" i="2"/>
  <c r="P2374" i="2"/>
  <c r="Q2374" i="2"/>
  <c r="Q2649" i="2"/>
  <c r="P2358" i="2"/>
  <c r="R2358" i="2"/>
  <c r="Q2358" i="2"/>
  <c r="R2858" i="2"/>
  <c r="P601" i="2"/>
  <c r="Q601" i="2"/>
  <c r="Q636" i="2"/>
  <c r="P2333" i="2"/>
  <c r="Q2333" i="2"/>
  <c r="Q951" i="2"/>
  <c r="P239" i="2"/>
  <c r="Q239" i="2"/>
  <c r="Q280" i="2"/>
  <c r="P2292" i="2"/>
  <c r="Q2292" i="2"/>
  <c r="Q2638" i="2"/>
  <c r="P2276" i="2"/>
  <c r="Q2276" i="2"/>
  <c r="Q2617" i="2"/>
  <c r="P2033" i="2"/>
  <c r="Q2033" i="2"/>
  <c r="P933" i="2"/>
  <c r="Q933" i="2"/>
  <c r="P456" i="2"/>
  <c r="Q456" i="2"/>
  <c r="P1531" i="2"/>
  <c r="Q1531" i="2"/>
  <c r="Q1694" i="2"/>
  <c r="P1966" i="2"/>
  <c r="Q1966" i="2"/>
  <c r="Q2179" i="2"/>
  <c r="P1197" i="2"/>
  <c r="Q1197" i="2"/>
  <c r="Q1328" i="2"/>
  <c r="P1475" i="2"/>
  <c r="Q1475" i="2"/>
  <c r="R1475" i="2"/>
  <c r="P866" i="2"/>
  <c r="Q866" i="2"/>
  <c r="Q1027" i="2"/>
  <c r="Q864" i="2"/>
  <c r="P864" i="2"/>
  <c r="Q2104" i="2"/>
  <c r="P1897" i="2"/>
  <c r="Q1897" i="2"/>
  <c r="Q2090" i="2"/>
  <c r="P1677" i="2"/>
  <c r="R1677" i="2"/>
  <c r="Q2068" i="2"/>
  <c r="R2068" i="2"/>
  <c r="Q1677" i="2"/>
  <c r="R1707" i="2"/>
  <c r="P1853" i="2"/>
  <c r="Q1853" i="2"/>
  <c r="R1853" i="2"/>
  <c r="R1742" i="2"/>
  <c r="R2242" i="2"/>
  <c r="R2732" i="2"/>
  <c r="R2588" i="2"/>
  <c r="P913" i="2"/>
  <c r="Q913" i="2"/>
  <c r="R913" i="2"/>
  <c r="R2011" i="2"/>
  <c r="R1070" i="2"/>
  <c r="R2546" i="2"/>
  <c r="R2900" i="2"/>
  <c r="R1843" i="2"/>
  <c r="P1843" i="2"/>
  <c r="Q1843" i="2"/>
  <c r="R2007" i="2"/>
  <c r="R2223" i="2"/>
  <c r="R2485" i="2"/>
  <c r="R2699" i="2"/>
  <c r="R2821" i="2"/>
  <c r="P535" i="2"/>
  <c r="Q535" i="2"/>
  <c r="R535" i="2"/>
  <c r="R558" i="2"/>
  <c r="R586" i="2"/>
  <c r="R626" i="2"/>
  <c r="R660" i="2"/>
  <c r="R680" i="2"/>
  <c r="P989" i="2"/>
  <c r="Q989" i="2"/>
  <c r="R989" i="2"/>
  <c r="R1974" i="2"/>
  <c r="R1034" i="2"/>
  <c r="R2406" i="2"/>
  <c r="R1062" i="2"/>
  <c r="R892" i="2"/>
  <c r="P525" i="2"/>
  <c r="Q525" i="2"/>
  <c r="R525" i="2"/>
  <c r="R553" i="2"/>
  <c r="R580" i="2"/>
  <c r="R608" i="2"/>
  <c r="R644" i="2"/>
  <c r="R684" i="2"/>
  <c r="P713" i="2"/>
  <c r="Q713" i="2"/>
  <c r="R713" i="2"/>
  <c r="P42" i="2"/>
  <c r="Q42" i="2"/>
  <c r="R42" i="2"/>
  <c r="R1870" i="2"/>
  <c r="R2064" i="2"/>
  <c r="R2452" i="2"/>
  <c r="R1271" i="2"/>
  <c r="R2832" i="2"/>
  <c r="P1433" i="2"/>
  <c r="Q1433" i="2"/>
  <c r="R1433" i="2"/>
  <c r="R1264" i="2"/>
  <c r="R1320" i="2"/>
  <c r="R1553" i="2"/>
  <c r="R2614" i="2"/>
  <c r="R1401" i="2"/>
  <c r="R1770" i="2"/>
  <c r="P1770" i="2"/>
  <c r="Q1770" i="2"/>
  <c r="R1679" i="2"/>
  <c r="R2084" i="2"/>
  <c r="R2307" i="2"/>
  <c r="R2641" i="2"/>
  <c r="R1706" i="2"/>
  <c r="P1629" i="2"/>
  <c r="Q1629" i="2"/>
  <c r="P694" i="2"/>
  <c r="Q694" i="2"/>
  <c r="P2938" i="2"/>
  <c r="Q2938" i="2"/>
  <c r="P1142" i="2"/>
  <c r="Q1142" i="2"/>
  <c r="P2923" i="2"/>
  <c r="Q2923" i="2"/>
  <c r="P1096" i="2"/>
  <c r="Q1096" i="2"/>
  <c r="P827" i="2"/>
  <c r="Q827" i="2"/>
  <c r="P2911" i="2"/>
  <c r="Q2911" i="2"/>
  <c r="R2911" i="2"/>
  <c r="P1718" i="2"/>
  <c r="Q1718" i="2"/>
  <c r="P507" i="2"/>
  <c r="Q507" i="2"/>
  <c r="P393" i="2"/>
  <c r="Q393" i="2"/>
  <c r="P2893" i="2"/>
  <c r="Q2893" i="2"/>
  <c r="P333" i="2"/>
  <c r="Q333" i="2"/>
  <c r="P1087" i="2"/>
  <c r="Q1087" i="2"/>
  <c r="P463" i="2"/>
  <c r="Q463" i="2"/>
  <c r="P1613" i="2"/>
  <c r="Q1613" i="2"/>
  <c r="P1611" i="2"/>
  <c r="Q1611" i="2"/>
  <c r="P331" i="2"/>
  <c r="Q331" i="2"/>
  <c r="P439" i="2"/>
  <c r="Q439" i="2"/>
  <c r="P889" i="2"/>
  <c r="Q889" i="2"/>
  <c r="P2856" i="2"/>
  <c r="Q2856" i="2"/>
  <c r="P680" i="2"/>
  <c r="Q680" i="2"/>
  <c r="P1711" i="2"/>
  <c r="Q1711" i="2"/>
  <c r="P353" i="2"/>
  <c r="Q353" i="2"/>
  <c r="P24" i="2"/>
  <c r="Q24" i="2"/>
  <c r="P435" i="2"/>
  <c r="Q435" i="2"/>
  <c r="P2827" i="2"/>
  <c r="Q2827" i="2"/>
  <c r="Q2818" i="2"/>
  <c r="P2818" i="2"/>
  <c r="Q2814" i="2"/>
  <c r="P2814" i="2"/>
  <c r="Q323" i="2"/>
  <c r="P323" i="2"/>
  <c r="P1705" i="2"/>
  <c r="Q1705" i="2"/>
  <c r="P2795" i="2"/>
  <c r="Q2795" i="2"/>
  <c r="P2787" i="2"/>
  <c r="Q2787" i="2"/>
  <c r="P1604" i="2"/>
  <c r="Q1604" i="2"/>
  <c r="Q882" i="2"/>
  <c r="P882" i="2"/>
  <c r="P822" i="2"/>
  <c r="Q822" i="2"/>
  <c r="P1702" i="2"/>
  <c r="Q1702" i="2"/>
  <c r="P2755" i="2"/>
  <c r="Q2755" i="2"/>
  <c r="P315" i="2"/>
  <c r="Q315" i="2"/>
  <c r="P2653" i="2"/>
  <c r="Q2653" i="2"/>
  <c r="Q2584" i="2"/>
  <c r="Q2729" i="2"/>
  <c r="P2555" i="2"/>
  <c r="Q2555" i="2"/>
  <c r="R2555" i="2"/>
  <c r="R2930" i="2"/>
  <c r="P1584" i="2"/>
  <c r="Q1584" i="2"/>
  <c r="R1584" i="2"/>
  <c r="R1627" i="2"/>
  <c r="P628" i="2"/>
  <c r="Q628" i="2"/>
  <c r="Q664" i="2"/>
  <c r="Q793" i="2"/>
  <c r="R793" i="2"/>
  <c r="P793" i="2"/>
  <c r="R841" i="2"/>
  <c r="P2531" i="2"/>
  <c r="Q2531" i="2"/>
  <c r="Q1274" i="2"/>
  <c r="P2525" i="2"/>
  <c r="Q2525" i="2"/>
  <c r="Q1068" i="2"/>
  <c r="P2519" i="2"/>
  <c r="Q2519" i="2"/>
  <c r="Q813" i="2"/>
  <c r="P2510" i="2"/>
  <c r="Q2510" i="2"/>
  <c r="R2510" i="2"/>
  <c r="R1093" i="2"/>
  <c r="P2504" i="2"/>
  <c r="Q2504" i="2"/>
  <c r="Q2719" i="2"/>
  <c r="P1357" i="2"/>
  <c r="Q1357" i="2"/>
  <c r="Q1277" i="2"/>
  <c r="P2490" i="2"/>
  <c r="Q2490" i="2"/>
  <c r="Q2713" i="2"/>
  <c r="P251" i="2"/>
  <c r="Q251" i="2"/>
  <c r="Q286" i="2"/>
  <c r="P782" i="2"/>
  <c r="Q782" i="2"/>
  <c r="R782" i="2"/>
  <c r="R1085" i="2"/>
  <c r="P2472" i="2"/>
  <c r="Q2472" i="2"/>
  <c r="Q1757" i="2"/>
  <c r="P2466" i="2"/>
  <c r="Q2466" i="2"/>
  <c r="Q2652" i="2"/>
  <c r="P2460" i="2"/>
  <c r="Q2460" i="2"/>
  <c r="Q811" i="2"/>
  <c r="P2453" i="2"/>
  <c r="Q2453" i="2"/>
  <c r="Q2631" i="2"/>
  <c r="P1568" i="2"/>
  <c r="Q1568" i="2"/>
  <c r="Q1600" i="2"/>
  <c r="Q1567" i="2"/>
  <c r="P1567" i="2"/>
  <c r="Q1597" i="2"/>
  <c r="P420" i="2"/>
  <c r="Q420" i="2"/>
  <c r="Q426" i="2"/>
  <c r="P2421" i="2"/>
  <c r="Q2421" i="2"/>
  <c r="R2421" i="2"/>
  <c r="R2814" i="2"/>
  <c r="P1350" i="2"/>
  <c r="Q1350" i="2"/>
  <c r="Q1382" i="2"/>
  <c r="Q2407" i="2"/>
  <c r="P2407" i="2"/>
  <c r="Q2677" i="2"/>
  <c r="P1348" i="2"/>
  <c r="Q1348" i="2"/>
  <c r="Q1381" i="2"/>
  <c r="P2390" i="2"/>
  <c r="Q2390" i="2"/>
  <c r="Q2697" i="2"/>
  <c r="P1562" i="2"/>
  <c r="Q1562" i="2"/>
  <c r="Q1499" i="2"/>
  <c r="Q2378" i="2"/>
  <c r="P2378" i="2"/>
  <c r="Q2668" i="2"/>
  <c r="P20" i="2"/>
  <c r="Q20" i="2"/>
  <c r="R20" i="2"/>
  <c r="R24" i="2"/>
  <c r="Q1560" i="2"/>
  <c r="P1560" i="2"/>
  <c r="Q2344" i="2"/>
  <c r="P2344" i="2"/>
  <c r="Q1232" i="2"/>
  <c r="P416" i="2"/>
  <c r="Q416" i="2"/>
  <c r="Q496" i="2"/>
  <c r="P2332" i="2"/>
  <c r="Q2332" i="2"/>
  <c r="Q2609" i="2"/>
  <c r="P1556" i="2"/>
  <c r="Q1556" i="2"/>
  <c r="Q1496" i="2"/>
  <c r="P2317" i="2"/>
  <c r="Q2317" i="2"/>
  <c r="Q2643" i="2"/>
  <c r="P2310" i="2"/>
  <c r="Q2310" i="2"/>
  <c r="Q2636" i="2"/>
  <c r="P2301" i="2"/>
  <c r="Q2301" i="2"/>
  <c r="Q1133" i="2"/>
  <c r="P18" i="2"/>
  <c r="Q18" i="2"/>
  <c r="R18" i="2"/>
  <c r="R22" i="2"/>
  <c r="P236" i="2"/>
  <c r="Q236" i="2"/>
  <c r="Q275" i="2"/>
  <c r="P1552" i="2"/>
  <c r="Q1552" i="2"/>
  <c r="Q1493" i="2"/>
  <c r="P2263" i="2"/>
  <c r="Q2263" i="2"/>
  <c r="Q1646" i="2"/>
  <c r="R139" i="2"/>
  <c r="P1122" i="2"/>
  <c r="Q1122" i="2"/>
  <c r="Q1224" i="2"/>
  <c r="P564" i="2"/>
  <c r="Q564" i="2"/>
  <c r="Q595" i="2"/>
  <c r="P562" i="2"/>
  <c r="Q562" i="2"/>
  <c r="Q596" i="2"/>
  <c r="P1016" i="2"/>
  <c r="Q1016" i="2"/>
  <c r="Q2228" i="2"/>
  <c r="P1741" i="2"/>
  <c r="Q1741" i="2"/>
  <c r="Q2182" i="2"/>
  <c r="P2022" i="2"/>
  <c r="Q2022" i="2"/>
  <c r="P559" i="2"/>
  <c r="Q559" i="2"/>
  <c r="Q590" i="2"/>
  <c r="Q2007" i="2"/>
  <c r="P2007" i="2"/>
  <c r="Q2223" i="2"/>
  <c r="Q1999" i="2"/>
  <c r="P1999" i="2"/>
  <c r="Q2196" i="2"/>
  <c r="P1478" i="2"/>
  <c r="Q1478" i="2"/>
  <c r="R1478" i="2"/>
  <c r="Q1986" i="2"/>
  <c r="P1986" i="2"/>
  <c r="Q2207" i="2"/>
  <c r="P1979" i="2"/>
  <c r="Q1979" i="2"/>
  <c r="R1979" i="2"/>
  <c r="Q2199" i="2"/>
  <c r="R2199" i="2"/>
  <c r="P1973" i="2"/>
  <c r="Q1973" i="2"/>
  <c r="Q2165" i="2"/>
  <c r="P868" i="2"/>
  <c r="Q868" i="2"/>
  <c r="Q1033" i="2"/>
  <c r="P1006" i="2"/>
  <c r="Q1006" i="2"/>
  <c r="Q2139" i="2"/>
  <c r="P1963" i="2"/>
  <c r="Q1963" i="2"/>
  <c r="Q2188" i="2"/>
  <c r="P1958" i="2"/>
  <c r="Q1958" i="2"/>
  <c r="R1958" i="2"/>
  <c r="Q2126" i="2"/>
  <c r="R2126" i="2"/>
  <c r="Q1954" i="2"/>
  <c r="P1954" i="2"/>
  <c r="Q2120" i="2"/>
  <c r="Q765" i="2"/>
  <c r="P765" i="2"/>
  <c r="Q114" i="2"/>
  <c r="P114" i="2"/>
  <c r="Q216" i="2"/>
  <c r="Q1937" i="2"/>
  <c r="R1937" i="2"/>
  <c r="P1937" i="2"/>
  <c r="R2653" i="2"/>
  <c r="P1932" i="2"/>
  <c r="Q1932" i="2"/>
  <c r="Q2124" i="2"/>
  <c r="Q1925" i="2"/>
  <c r="P1925" i="2"/>
  <c r="P1735" i="2"/>
  <c r="Q1735" i="2"/>
  <c r="Q1489" i="2"/>
  <c r="Q1913" i="2"/>
  <c r="P1913" i="2"/>
  <c r="Q2103" i="2"/>
  <c r="P1908" i="2"/>
  <c r="Q1908" i="2"/>
  <c r="Q2101" i="2"/>
  <c r="Q1903" i="2"/>
  <c r="P1903" i="2"/>
  <c r="Q2119" i="2"/>
  <c r="P1307" i="2"/>
  <c r="Q1307" i="2"/>
  <c r="Q1451" i="2"/>
  <c r="Q1890" i="2"/>
  <c r="P1890" i="2"/>
  <c r="Q2073" i="2"/>
  <c r="Q1732" i="2"/>
  <c r="P1732" i="2"/>
  <c r="Q1536" i="2"/>
  <c r="Q1520" i="2"/>
  <c r="P1520" i="2"/>
  <c r="Q1690" i="2"/>
  <c r="Q1864" i="2"/>
  <c r="P1864" i="2"/>
  <c r="Q2052" i="2"/>
  <c r="R92" i="2"/>
  <c r="R2036" i="2"/>
  <c r="R2197" i="2"/>
  <c r="R2741" i="2"/>
  <c r="R2566" i="2"/>
  <c r="R2946" i="2"/>
  <c r="Q185" i="2"/>
  <c r="R185" i="2"/>
  <c r="P185" i="2"/>
  <c r="R135" i="2"/>
  <c r="R224" i="2"/>
  <c r="R265" i="2"/>
  <c r="R313" i="2"/>
  <c r="R147" i="2"/>
  <c r="Q1189" i="2"/>
  <c r="R1189" i="2"/>
  <c r="P1189" i="2"/>
  <c r="R1016" i="2"/>
  <c r="R2228" i="2"/>
  <c r="R2509" i="2"/>
  <c r="R2714" i="2"/>
  <c r="R1094" i="2"/>
  <c r="P183" i="2"/>
  <c r="Q183" i="2"/>
  <c r="R183" i="2"/>
  <c r="R125" i="2"/>
  <c r="R214" i="2"/>
  <c r="R268" i="2"/>
  <c r="R301" i="2"/>
  <c r="Q1728" i="2"/>
  <c r="R1728" i="2"/>
  <c r="P1728" i="2"/>
  <c r="R1526" i="2"/>
  <c r="R1693" i="2"/>
  <c r="R1577" i="2"/>
  <c r="R1752" i="2"/>
  <c r="R1619" i="2"/>
  <c r="P84" i="2"/>
  <c r="Q84" i="2"/>
  <c r="R84" i="2"/>
  <c r="Q1183" i="2"/>
  <c r="R1183" i="2"/>
  <c r="P1183" i="2"/>
  <c r="R1017" i="2"/>
  <c r="R2231" i="2"/>
  <c r="R2497" i="2"/>
  <c r="R2708" i="2"/>
  <c r="R1089" i="2"/>
  <c r="P719" i="2"/>
  <c r="Q719" i="2"/>
  <c r="R719" i="2"/>
  <c r="R870" i="2"/>
  <c r="R1032" i="2"/>
  <c r="R2541" i="2"/>
  <c r="R962" i="2"/>
  <c r="R2895" i="2"/>
  <c r="Q79" i="2"/>
  <c r="R79" i="2"/>
  <c r="P79" i="2"/>
  <c r="P178" i="2"/>
  <c r="Q178" i="2"/>
  <c r="R178" i="2"/>
  <c r="R123" i="2"/>
  <c r="R213" i="2"/>
  <c r="R256" i="2"/>
  <c r="R298" i="2"/>
  <c r="R335" i="2"/>
  <c r="R755" i="2"/>
  <c r="P755" i="2"/>
  <c r="Q755" i="2"/>
  <c r="R770" i="2"/>
  <c r="R2519" i="2"/>
  <c r="R813" i="2"/>
  <c r="R2931" i="2"/>
  <c r="P896" i="2"/>
  <c r="Q896" i="2"/>
  <c r="R896" i="2"/>
  <c r="Q1836" i="2"/>
  <c r="R1836" i="2"/>
  <c r="P1836" i="2"/>
  <c r="R1966" i="2"/>
  <c r="R2179" i="2"/>
  <c r="R2523" i="2"/>
  <c r="R2675" i="2"/>
  <c r="R2886" i="2"/>
  <c r="P175" i="2"/>
  <c r="Q175" i="2"/>
  <c r="R175" i="2"/>
  <c r="R126" i="2"/>
  <c r="R233" i="2"/>
  <c r="R273" i="2"/>
  <c r="R299" i="2"/>
  <c r="R148" i="2"/>
  <c r="Q9" i="2"/>
  <c r="R9" i="2"/>
  <c r="P9" i="2"/>
  <c r="P532" i="2"/>
  <c r="Q532" i="2"/>
  <c r="R532" i="2"/>
  <c r="R473" i="2"/>
  <c r="R584" i="2"/>
  <c r="R611" i="2"/>
  <c r="R646" i="2"/>
  <c r="R505" i="2"/>
  <c r="Q61" i="2"/>
  <c r="R61" i="2"/>
  <c r="P61" i="2"/>
  <c r="R2004" i="2"/>
  <c r="R2213" i="2"/>
  <c r="R2377" i="2"/>
  <c r="R2660" i="2"/>
  <c r="R2910" i="2"/>
  <c r="P1825" i="2"/>
  <c r="Q1825" i="2"/>
  <c r="R1825" i="2"/>
  <c r="R1999" i="2"/>
  <c r="R2196" i="2"/>
  <c r="R2426" i="2"/>
  <c r="R2696" i="2"/>
  <c r="R2866" i="2"/>
  <c r="P527" i="2"/>
  <c r="Q527" i="2"/>
  <c r="R527" i="2"/>
  <c r="R555" i="2"/>
  <c r="R578" i="2"/>
  <c r="R607" i="2"/>
  <c r="R648" i="2"/>
  <c r="R685" i="2"/>
  <c r="P362" i="2"/>
  <c r="Q362" i="2"/>
  <c r="R362" i="2"/>
  <c r="R577" i="2"/>
  <c r="R548" i="2"/>
  <c r="R616" i="2"/>
  <c r="R654" i="2"/>
  <c r="R679" i="2"/>
  <c r="P173" i="2"/>
  <c r="Q173" i="2"/>
  <c r="R173" i="2"/>
  <c r="R114" i="2"/>
  <c r="R216" i="2"/>
  <c r="R248" i="2"/>
  <c r="R291" i="2"/>
  <c r="R320" i="2"/>
  <c r="P361" i="2"/>
  <c r="Q361" i="2"/>
  <c r="R361" i="2"/>
  <c r="R543" i="2"/>
  <c r="R574" i="2"/>
  <c r="R605" i="2"/>
  <c r="R645" i="2"/>
  <c r="R682" i="2"/>
  <c r="P1168" i="2"/>
  <c r="Q1168" i="2"/>
  <c r="R1168" i="2"/>
  <c r="R1117" i="2"/>
  <c r="R1219" i="2"/>
  <c r="R1360" i="2"/>
  <c r="R1391" i="2"/>
  <c r="R1141" i="2"/>
  <c r="P50" i="2"/>
  <c r="Q50" i="2"/>
  <c r="R50" i="2"/>
  <c r="R1992" i="2"/>
  <c r="R2158" i="2"/>
  <c r="R2379" i="2"/>
  <c r="R2674" i="2"/>
  <c r="R2839" i="2"/>
  <c r="P1163" i="2"/>
  <c r="Q1163" i="2"/>
  <c r="R1163" i="2"/>
  <c r="R1908" i="2"/>
  <c r="R2101" i="2"/>
  <c r="R2352" i="2"/>
  <c r="R1135" i="2"/>
  <c r="R1704" i="2"/>
  <c r="P903" i="2"/>
  <c r="Q903" i="2"/>
  <c r="R903" i="2"/>
  <c r="R845" i="2"/>
  <c r="R2382" i="2"/>
  <c r="R956" i="2"/>
  <c r="R883" i="2"/>
  <c r="P519" i="2"/>
  <c r="Q519" i="2"/>
  <c r="R519" i="2"/>
  <c r="P984" i="2"/>
  <c r="Q984" i="2"/>
  <c r="R984" i="2"/>
  <c r="R1915" i="2"/>
  <c r="R1026" i="2"/>
  <c r="R2323" i="2"/>
  <c r="R1057" i="2"/>
  <c r="R887" i="2"/>
  <c r="P1726" i="2"/>
  <c r="Q1726" i="2"/>
  <c r="R1726" i="2"/>
  <c r="R1520" i="2"/>
  <c r="R1690" i="2"/>
  <c r="R1564" i="2"/>
  <c r="R1747" i="2"/>
  <c r="R1604" i="2"/>
  <c r="R516" i="2"/>
  <c r="P516" i="2"/>
  <c r="Q516" i="2"/>
  <c r="P39" i="2"/>
  <c r="Q39" i="2"/>
  <c r="R39" i="2"/>
  <c r="R1918" i="2"/>
  <c r="R2080" i="2"/>
  <c r="R2420" i="2"/>
  <c r="R2622" i="2"/>
  <c r="R2899" i="2"/>
  <c r="P1153" i="2"/>
  <c r="Q1153" i="2"/>
  <c r="R1153" i="2"/>
  <c r="R1886" i="2"/>
  <c r="R2072" i="2"/>
  <c r="R2301" i="2"/>
  <c r="R1133" i="2"/>
  <c r="R1703" i="2"/>
  <c r="P465" i="2"/>
  <c r="Q465" i="2"/>
  <c r="R465" i="2"/>
  <c r="R1787" i="2"/>
  <c r="P1787" i="2"/>
  <c r="Q1787" i="2"/>
  <c r="R1928" i="2"/>
  <c r="R2088" i="2"/>
  <c r="R2297" i="2"/>
  <c r="R2634" i="2"/>
  <c r="R2762" i="2"/>
  <c r="P735" i="2"/>
  <c r="Q735" i="2"/>
  <c r="R735" i="2"/>
  <c r="R763" i="2"/>
  <c r="R2296" i="2"/>
  <c r="R875" i="2"/>
  <c r="R2820" i="2"/>
  <c r="P34" i="2"/>
  <c r="Q34" i="2"/>
  <c r="R34" i="2"/>
  <c r="R1894" i="2"/>
  <c r="R2079" i="2"/>
  <c r="R2279" i="2"/>
  <c r="R2615" i="2"/>
  <c r="R2782" i="2"/>
  <c r="Q977" i="2"/>
  <c r="Q2928" i="2"/>
  <c r="P1765" i="2"/>
  <c r="R1678" i="2"/>
  <c r="R2066" i="2"/>
  <c r="R2272" i="2"/>
  <c r="R2612" i="2"/>
  <c r="R1702" i="2"/>
  <c r="P2950" i="2"/>
  <c r="Q2950" i="2"/>
  <c r="P2917" i="2"/>
  <c r="Q2917" i="2"/>
  <c r="P688" i="2"/>
  <c r="Q688" i="2"/>
  <c r="P2846" i="2"/>
  <c r="Q2846" i="2"/>
  <c r="P1662" i="2"/>
  <c r="Q1662" i="2"/>
  <c r="P1413" i="2"/>
  <c r="Q1413" i="2"/>
  <c r="P1719" i="2"/>
  <c r="Q1719" i="2"/>
  <c r="P322" i="2"/>
  <c r="Q322" i="2"/>
  <c r="Q2710" i="2"/>
  <c r="P1571" i="2"/>
  <c r="Q1571" i="2"/>
  <c r="Q1749" i="2"/>
  <c r="P2436" i="2"/>
  <c r="Q2436" i="2"/>
  <c r="Q961" i="2"/>
  <c r="P2340" i="2"/>
  <c r="Q2340" i="2"/>
  <c r="Q1498" i="2"/>
  <c r="Q415" i="2"/>
  <c r="R415" i="2"/>
  <c r="P415" i="2"/>
  <c r="R377" i="2"/>
  <c r="P1554" i="2"/>
  <c r="Q1554" i="2"/>
  <c r="Q1495" i="2"/>
  <c r="P1996" i="2"/>
  <c r="Q1996" i="2"/>
  <c r="Q2171" i="2"/>
  <c r="Q1529" i="2"/>
  <c r="P1529" i="2"/>
  <c r="Q1640" i="2"/>
  <c r="P1926" i="2"/>
  <c r="Q1926" i="2"/>
  <c r="Q2097" i="2"/>
  <c r="P1848" i="2"/>
  <c r="Q1848" i="2"/>
  <c r="R1848" i="2"/>
  <c r="R2027" i="2"/>
  <c r="R2230" i="2"/>
  <c r="R2504" i="2"/>
  <c r="R2719" i="2"/>
  <c r="R2863" i="2"/>
  <c r="P1783" i="2"/>
  <c r="Q1783" i="2"/>
  <c r="R1783" i="2"/>
  <c r="R1919" i="2"/>
  <c r="R2100" i="2"/>
  <c r="R2273" i="2"/>
  <c r="R2620" i="2"/>
  <c r="R2772" i="2"/>
  <c r="R2947" i="2"/>
  <c r="R2862" i="2"/>
  <c r="P833" i="2"/>
  <c r="Q833" i="2"/>
  <c r="R833" i="2"/>
  <c r="P2747" i="2"/>
  <c r="Q2747" i="2"/>
  <c r="P2948" i="2"/>
  <c r="Q2948" i="2"/>
  <c r="P2942" i="2"/>
  <c r="Q2942" i="2"/>
  <c r="P336" i="2"/>
  <c r="Q336" i="2"/>
  <c r="P1720" i="2"/>
  <c r="Q1720" i="2"/>
  <c r="P828" i="2"/>
  <c r="Q828" i="2"/>
  <c r="P2916" i="2"/>
  <c r="Q2916" i="2"/>
  <c r="P1090" i="2"/>
  <c r="Q1090" i="2"/>
  <c r="P2902" i="2"/>
  <c r="Q2902" i="2"/>
  <c r="Q2894" i="2"/>
  <c r="P2894" i="2"/>
  <c r="P1616" i="2"/>
  <c r="Q1616" i="2"/>
  <c r="P1715" i="2"/>
  <c r="Q1715" i="2"/>
  <c r="P2875" i="2"/>
  <c r="Q2875" i="2"/>
  <c r="P2870" i="2"/>
  <c r="Q2870" i="2"/>
  <c r="P1079" i="2"/>
  <c r="Q1079" i="2"/>
  <c r="P2855" i="2"/>
  <c r="Q2855" i="2"/>
  <c r="P355" i="2"/>
  <c r="Q355" i="2"/>
  <c r="P888" i="2"/>
  <c r="Q888" i="2"/>
  <c r="P2826" i="2"/>
  <c r="Q2826" i="2"/>
  <c r="Q1462" i="2"/>
  <c r="P1462" i="2"/>
  <c r="Q2808" i="2"/>
  <c r="P2808" i="2"/>
  <c r="P1405" i="2"/>
  <c r="Q1405" i="2"/>
  <c r="P22" i="2"/>
  <c r="Q22" i="2"/>
  <c r="P2777" i="2"/>
  <c r="Q2777" i="2"/>
  <c r="P2767" i="2"/>
  <c r="Q2767" i="2"/>
  <c r="P2760" i="2"/>
  <c r="Q2760" i="2"/>
  <c r="P1399" i="2"/>
  <c r="Q1399" i="2"/>
  <c r="P2556" i="2"/>
  <c r="Q2556" i="2"/>
  <c r="Q1241" i="2"/>
  <c r="P795" i="2"/>
  <c r="Q795" i="2"/>
  <c r="R795" i="2"/>
  <c r="R835" i="2"/>
  <c r="Q255" i="2"/>
  <c r="P255" i="2"/>
  <c r="Q294" i="2"/>
  <c r="P2520" i="2"/>
  <c r="Q2520" i="2"/>
  <c r="Q1380" i="2"/>
  <c r="P252" i="2"/>
  <c r="Q252" i="2"/>
  <c r="Q289" i="2"/>
  <c r="P2478" i="2"/>
  <c r="Q2478" i="2"/>
  <c r="Q854" i="2"/>
  <c r="P249" i="2"/>
  <c r="Q249" i="2"/>
  <c r="Q287" i="2"/>
  <c r="P779" i="2"/>
  <c r="Q779" i="2"/>
  <c r="R779" i="2"/>
  <c r="R1718" i="2"/>
  <c r="P421" i="2"/>
  <c r="Q421" i="2"/>
  <c r="Q428" i="2"/>
  <c r="P609" i="2"/>
  <c r="Q609" i="2"/>
  <c r="Q513" i="2"/>
  <c r="P2402" i="2"/>
  <c r="Q2402" i="2"/>
  <c r="Q2673" i="2"/>
  <c r="P21" i="2"/>
  <c r="Q21" i="2"/>
  <c r="R21" i="2"/>
  <c r="R25" i="2"/>
  <c r="P2370" i="2"/>
  <c r="Q2370" i="2"/>
  <c r="Q1453" i="2"/>
  <c r="P2355" i="2"/>
  <c r="Q2355" i="2"/>
  <c r="Q2646" i="2"/>
  <c r="P1559" i="2"/>
  <c r="Q1559" i="2"/>
  <c r="R1559" i="2"/>
  <c r="R2830" i="2"/>
  <c r="P341" i="2"/>
  <c r="Q341" i="2"/>
  <c r="R341" i="2"/>
  <c r="R351" i="2"/>
  <c r="P1340" i="2"/>
  <c r="Q1340" i="2"/>
  <c r="Q1373" i="2"/>
  <c r="P2290" i="2"/>
  <c r="Q2290" i="2"/>
  <c r="Q2616" i="2"/>
  <c r="P2274" i="2"/>
  <c r="Q2274" i="2"/>
  <c r="Q2619" i="2"/>
  <c r="R695" i="2"/>
  <c r="P388" i="2"/>
  <c r="Q388" i="2"/>
  <c r="Q402" i="2"/>
  <c r="P2024" i="2"/>
  <c r="Q2024" i="2"/>
  <c r="Q2218" i="2"/>
  <c r="P118" i="2"/>
  <c r="Q118" i="2"/>
  <c r="Q210" i="2"/>
  <c r="P1528" i="2"/>
  <c r="Q1528" i="2"/>
  <c r="Q1639" i="2"/>
  <c r="P924" i="2"/>
  <c r="Q924" i="2"/>
  <c r="Q1029" i="2"/>
  <c r="R1084" i="2"/>
  <c r="P1944" i="2"/>
  <c r="Q1944" i="2"/>
  <c r="Q2125" i="2"/>
  <c r="P1472" i="2"/>
  <c r="Q1472" i="2"/>
  <c r="Q1535" i="2"/>
  <c r="R1859" i="2"/>
  <c r="R1745" i="2"/>
  <c r="R2245" i="2"/>
  <c r="R2739" i="2"/>
  <c r="R2597" i="2"/>
  <c r="R2956" i="2"/>
  <c r="P722" i="2"/>
  <c r="Q722" i="2"/>
  <c r="R722" i="2"/>
  <c r="R2035" i="2"/>
  <c r="R806" i="2"/>
  <c r="R820" i="2"/>
  <c r="R384" i="2"/>
  <c r="P384" i="2"/>
  <c r="Q384" i="2"/>
  <c r="R387" i="2"/>
  <c r="R405" i="2"/>
  <c r="R421" i="2"/>
  <c r="R428" i="2"/>
  <c r="R393" i="2"/>
  <c r="P754" i="2"/>
  <c r="Q754" i="2"/>
  <c r="R754" i="2"/>
  <c r="R929" i="2"/>
  <c r="R2434" i="2"/>
  <c r="R724" i="2"/>
  <c r="R1253" i="2"/>
  <c r="P988" i="2"/>
  <c r="Q988" i="2"/>
  <c r="R988" i="2"/>
  <c r="R1950" i="2"/>
  <c r="R1031" i="2"/>
  <c r="R2437" i="2"/>
  <c r="R1065" i="2"/>
  <c r="R891" i="2"/>
  <c r="P55" i="2"/>
  <c r="R55" i="2"/>
  <c r="Q55" i="2"/>
  <c r="R1945" i="2"/>
  <c r="R2146" i="2"/>
  <c r="R2402" i="2"/>
  <c r="R2673" i="2"/>
  <c r="R2908" i="2"/>
  <c r="P1508" i="2"/>
  <c r="Q1508" i="2"/>
  <c r="R1508" i="2"/>
  <c r="R1737" i="2"/>
  <c r="R1491" i="2"/>
  <c r="R2367" i="2"/>
  <c r="R1595" i="2"/>
  <c r="R2816" i="2"/>
  <c r="P162" i="2"/>
  <c r="Q162" i="2"/>
  <c r="R162" i="2"/>
  <c r="R107" i="2"/>
  <c r="R202" i="2"/>
  <c r="R239" i="2"/>
  <c r="R280" i="2"/>
  <c r="R321" i="2"/>
  <c r="P1144" i="2"/>
  <c r="Q1144" i="2"/>
  <c r="P1622" i="2"/>
  <c r="Q1622" i="2"/>
  <c r="P2906" i="2"/>
  <c r="Q2906" i="2"/>
  <c r="P464" i="2"/>
  <c r="Q464" i="2"/>
  <c r="P2844" i="2"/>
  <c r="Q2844" i="2"/>
  <c r="P2825" i="2"/>
  <c r="Q2825" i="2"/>
  <c r="P2816" i="2"/>
  <c r="Q2816" i="2"/>
  <c r="P432" i="2"/>
  <c r="Q432" i="2"/>
  <c r="P2530" i="2"/>
  <c r="Q2530" i="2"/>
  <c r="Q1230" i="2"/>
  <c r="P1048" i="2"/>
  <c r="Q1048" i="2"/>
  <c r="R1048" i="2"/>
  <c r="R2894" i="2"/>
  <c r="P1565" i="2"/>
  <c r="Q1565" i="2"/>
  <c r="R1565" i="2"/>
  <c r="R1621" i="2"/>
  <c r="P346" i="2"/>
  <c r="Q346" i="2"/>
  <c r="R346" i="2"/>
  <c r="R356" i="2"/>
  <c r="P2376" i="2"/>
  <c r="Q2376" i="2"/>
  <c r="Q1059" i="2"/>
  <c r="P2351" i="2"/>
  <c r="Q2351" i="2"/>
  <c r="Q1751" i="2"/>
  <c r="P2342" i="2"/>
  <c r="Q2342" i="2"/>
  <c r="Q1235" i="2"/>
  <c r="P2315" i="2"/>
  <c r="Q2315" i="2"/>
  <c r="Q877" i="2"/>
  <c r="P1743" i="2"/>
  <c r="Q1743" i="2"/>
  <c r="Q2241" i="2"/>
  <c r="P2032" i="2"/>
  <c r="Q2032" i="2"/>
  <c r="Q2250" i="2"/>
  <c r="P2028" i="2"/>
  <c r="Q2028" i="2"/>
  <c r="Q2229" i="2"/>
  <c r="P1482" i="2"/>
  <c r="Q1482" i="2"/>
  <c r="Q1643" i="2"/>
  <c r="P457" i="2"/>
  <c r="Q457" i="2"/>
  <c r="P927" i="2"/>
  <c r="Q927" i="2"/>
  <c r="Q1037" i="2"/>
  <c r="P473" i="2"/>
  <c r="Q473" i="2"/>
  <c r="Q584" i="2"/>
  <c r="P1532" i="2"/>
  <c r="Q1532" i="2"/>
  <c r="Q1543" i="2"/>
  <c r="Q1995" i="2"/>
  <c r="P1995" i="2"/>
  <c r="Q2202" i="2"/>
  <c r="P1991" i="2"/>
  <c r="Q1991" i="2"/>
  <c r="Q1036" i="2"/>
  <c r="P1985" i="2"/>
  <c r="Q1985" i="2"/>
  <c r="Q2205" i="2"/>
  <c r="Q1441" i="2"/>
  <c r="P1441" i="2"/>
  <c r="Q1545" i="2"/>
  <c r="P1001" i="2"/>
  <c r="Q1001" i="2"/>
  <c r="Q2169" i="2"/>
  <c r="P547" i="2"/>
  <c r="Q547" i="2"/>
  <c r="Q576" i="2"/>
  <c r="P1936" i="2"/>
  <c r="Q1936" i="2"/>
  <c r="Q2106" i="2"/>
  <c r="P1930" i="2"/>
  <c r="Q1930" i="2"/>
  <c r="Q2110" i="2"/>
  <c r="P1923" i="2"/>
  <c r="Q1923" i="2"/>
  <c r="R1923" i="2"/>
  <c r="Q2111" i="2"/>
  <c r="R2111" i="2"/>
  <c r="P844" i="2"/>
  <c r="Q844" i="2"/>
  <c r="Q2102" i="2"/>
  <c r="P1194" i="2"/>
  <c r="Q1194" i="2"/>
  <c r="Q1322" i="2"/>
  <c r="P1889" i="2"/>
  <c r="Q1889" i="2"/>
  <c r="R1889" i="2"/>
  <c r="R2626" i="2"/>
  <c r="P103" i="2"/>
  <c r="Q103" i="2"/>
  <c r="Q198" i="2"/>
  <c r="P1676" i="2"/>
  <c r="Q1676" i="2"/>
  <c r="Q2051" i="2"/>
  <c r="P1301" i="2"/>
  <c r="Q1301" i="2"/>
  <c r="R1301" i="2"/>
  <c r="R1205" i="2"/>
  <c r="R1216" i="2"/>
  <c r="R2520" i="2"/>
  <c r="R1380" i="2"/>
  <c r="R1259" i="2"/>
  <c r="R1300" i="2"/>
  <c r="P1300" i="2"/>
  <c r="Q1300" i="2"/>
  <c r="R1316" i="2"/>
  <c r="R1424" i="2"/>
  <c r="R2517" i="2"/>
  <c r="R1457" i="2"/>
  <c r="R1412" i="2"/>
  <c r="P757" i="2"/>
  <c r="Q757" i="2"/>
  <c r="R757" i="2"/>
  <c r="R937" i="2"/>
  <c r="R1041" i="2"/>
  <c r="R2476" i="2"/>
  <c r="R2709" i="2"/>
  <c r="R970" i="2"/>
  <c r="P14" i="2"/>
  <c r="Q14" i="2"/>
  <c r="R14" i="2"/>
  <c r="P1297" i="2"/>
  <c r="Q1297" i="2"/>
  <c r="R1297" i="2"/>
  <c r="R1118" i="2"/>
  <c r="R1334" i="2"/>
  <c r="R1351" i="2"/>
  <c r="R1386" i="2"/>
  <c r="R1079" i="2"/>
  <c r="P13" i="2"/>
  <c r="Q13" i="2"/>
  <c r="R13" i="2"/>
  <c r="Q1841" i="2"/>
  <c r="R1841" i="2"/>
  <c r="P1841" i="2"/>
  <c r="R1994" i="2"/>
  <c r="R2209" i="2"/>
  <c r="R2532" i="2"/>
  <c r="R2683" i="2"/>
  <c r="R2897" i="2"/>
  <c r="P991" i="2"/>
  <c r="R991" i="2"/>
  <c r="R1991" i="2"/>
  <c r="Q991" i="2"/>
  <c r="R1036" i="2"/>
  <c r="R2471" i="2"/>
  <c r="R1067" i="2"/>
  <c r="R893" i="2"/>
  <c r="Q718" i="2"/>
  <c r="P718" i="2"/>
  <c r="R718" i="2"/>
  <c r="R2022" i="2"/>
  <c r="R2537" i="2"/>
  <c r="R2725" i="2"/>
  <c r="R2949" i="2"/>
  <c r="P1835" i="2"/>
  <c r="Q1835" i="2"/>
  <c r="R1835" i="2"/>
  <c r="R2210" i="2"/>
  <c r="R2026" i="2"/>
  <c r="R2444" i="2"/>
  <c r="R2712" i="2"/>
  <c r="R2888" i="2"/>
  <c r="P1833" i="2"/>
  <c r="Q1833" i="2"/>
  <c r="R1833" i="2"/>
  <c r="R1935" i="2"/>
  <c r="R2155" i="2"/>
  <c r="R2415" i="2"/>
  <c r="R2687" i="2"/>
  <c r="R2859" i="2"/>
  <c r="P716" i="2"/>
  <c r="Q716" i="2"/>
  <c r="R716" i="2"/>
  <c r="P174" i="2"/>
  <c r="Q174" i="2"/>
  <c r="R174" i="2"/>
  <c r="R131" i="2"/>
  <c r="R219" i="2"/>
  <c r="R270" i="2"/>
  <c r="R306" i="2"/>
  <c r="R144" i="2"/>
  <c r="P59" i="2"/>
  <c r="Q59" i="2"/>
  <c r="R59" i="2"/>
  <c r="P1170" i="2"/>
  <c r="Q1170" i="2"/>
  <c r="R1170" i="2"/>
  <c r="R1010" i="2"/>
  <c r="R2170" i="2"/>
  <c r="R2404" i="2"/>
  <c r="R2671" i="2"/>
  <c r="R2891" i="2"/>
  <c r="P986" i="2"/>
  <c r="Q986" i="2"/>
  <c r="R986" i="2"/>
  <c r="R1939" i="2"/>
  <c r="R1030" i="2"/>
  <c r="R2366" i="2"/>
  <c r="R1060" i="2"/>
  <c r="R889" i="2"/>
  <c r="P16" i="2"/>
  <c r="Q16" i="2"/>
  <c r="R16" i="2"/>
  <c r="P468" i="2"/>
  <c r="Q468" i="2"/>
  <c r="R468" i="2"/>
  <c r="P1808" i="2"/>
  <c r="Q1808" i="2"/>
  <c r="R1808" i="2"/>
  <c r="R869" i="2"/>
  <c r="R2195" i="2"/>
  <c r="R2414" i="2"/>
  <c r="R954" i="2"/>
  <c r="R2828" i="2"/>
  <c r="P1155" i="2"/>
  <c r="Q1155" i="2"/>
  <c r="R1155" i="2"/>
  <c r="R1197" i="2"/>
  <c r="R1328" i="2"/>
  <c r="R1340" i="2"/>
  <c r="R1373" i="2"/>
  <c r="R1247" i="2"/>
  <c r="P1154" i="2"/>
  <c r="Q1154" i="2"/>
  <c r="R1154" i="2"/>
  <c r="R1113" i="2"/>
  <c r="R1215" i="2"/>
  <c r="R1354" i="2"/>
  <c r="R1389" i="2"/>
  <c r="R1251" i="2"/>
  <c r="P164" i="2"/>
  <c r="Q164" i="2"/>
  <c r="R164" i="2"/>
  <c r="R109" i="2"/>
  <c r="R204" i="2"/>
  <c r="R242" i="2"/>
  <c r="R283" i="2"/>
  <c r="R325" i="2"/>
  <c r="P1786" i="2"/>
  <c r="Q1786" i="2"/>
  <c r="R1786" i="2"/>
  <c r="R1906" i="2"/>
  <c r="R2085" i="2"/>
  <c r="R2303" i="2"/>
  <c r="R945" i="2"/>
  <c r="R2813" i="2"/>
  <c r="P1782" i="2"/>
  <c r="Q1782" i="2"/>
  <c r="R1782" i="2"/>
  <c r="R1884" i="2"/>
  <c r="R2077" i="2"/>
  <c r="R2280" i="2"/>
  <c r="R2618" i="2"/>
  <c r="R2766" i="2"/>
  <c r="P1106" i="2"/>
  <c r="Q1106" i="2"/>
  <c r="R1106" i="2"/>
  <c r="R921" i="2"/>
  <c r="R1125" i="2"/>
  <c r="R2308" i="2"/>
  <c r="R1229" i="2"/>
  <c r="R2806" i="2"/>
  <c r="P979" i="2"/>
  <c r="Q979" i="2"/>
  <c r="R979" i="2"/>
  <c r="R864" i="2"/>
  <c r="R2104" i="2"/>
  <c r="R2294" i="2"/>
  <c r="R1055" i="2"/>
  <c r="R888" i="2"/>
  <c r="R2976" i="2"/>
  <c r="Q2947" i="2"/>
  <c r="Q2918" i="2"/>
  <c r="Q2834" i="2"/>
  <c r="P1663" i="2"/>
  <c r="Q1663" i="2"/>
  <c r="P1086" i="2"/>
  <c r="Q1086" i="2"/>
  <c r="P1409" i="2"/>
  <c r="Q1409" i="2"/>
  <c r="Q1607" i="2"/>
  <c r="P1607" i="2"/>
  <c r="P318" i="2"/>
  <c r="Q318" i="2"/>
  <c r="R99" i="2"/>
  <c r="R194" i="2"/>
  <c r="R236" i="2"/>
  <c r="R314" i="2"/>
  <c r="R275" i="2"/>
  <c r="P1766" i="2"/>
  <c r="R1887" i="2"/>
  <c r="R2082" i="2"/>
  <c r="R2298" i="2"/>
  <c r="R876" i="2"/>
  <c r="R2776" i="2"/>
  <c r="P695" i="2"/>
  <c r="Q695" i="2"/>
  <c r="P1628" i="2"/>
  <c r="Q1628" i="2"/>
  <c r="P836" i="2"/>
  <c r="Q836" i="2"/>
  <c r="P2930" i="2"/>
  <c r="Q2930" i="2"/>
  <c r="P2913" i="2"/>
  <c r="Q2913" i="2"/>
  <c r="P973" i="2"/>
  <c r="Q973" i="2"/>
  <c r="P1254" i="2"/>
  <c r="Q1254" i="2"/>
  <c r="P2892" i="2"/>
  <c r="Q2892" i="2"/>
  <c r="P2881" i="2"/>
  <c r="Q2881" i="2"/>
  <c r="P2874" i="2"/>
  <c r="Q2874" i="2"/>
  <c r="Q685" i="2"/>
  <c r="P685" i="2"/>
  <c r="P2866" i="2"/>
  <c r="Q2866" i="2"/>
  <c r="P1076" i="2"/>
  <c r="Q1076" i="2"/>
  <c r="Q1710" i="2"/>
  <c r="P1710" i="2"/>
  <c r="P1406" i="2"/>
  <c r="Q1406" i="2"/>
  <c r="P2824" i="2"/>
  <c r="Q2824" i="2"/>
  <c r="P2815" i="2"/>
  <c r="Q2815" i="2"/>
  <c r="Q2807" i="2"/>
  <c r="P2807" i="2"/>
  <c r="P2798" i="2"/>
  <c r="Q2798" i="2"/>
  <c r="P2786" i="2"/>
  <c r="Q2786" i="2"/>
  <c r="P2776" i="2"/>
  <c r="Q2776" i="2"/>
  <c r="P1460" i="2"/>
  <c r="Q1460" i="2"/>
  <c r="P2758" i="2"/>
  <c r="Q2758" i="2"/>
  <c r="P1700" i="2"/>
  <c r="Q1700" i="2"/>
  <c r="P799" i="2"/>
  <c r="Q799" i="2"/>
  <c r="Q817" i="2"/>
  <c r="P1362" i="2"/>
  <c r="Q1362" i="2"/>
  <c r="Q1280" i="2"/>
  <c r="P254" i="2"/>
  <c r="Q254" i="2"/>
  <c r="Q293" i="2"/>
  <c r="P2503" i="2"/>
  <c r="Q2503" i="2"/>
  <c r="Q2717" i="2"/>
  <c r="P1575" i="2"/>
  <c r="Q1575" i="2"/>
  <c r="R1575" i="2"/>
  <c r="R1624" i="2"/>
  <c r="P620" i="2"/>
  <c r="Q620" i="2"/>
  <c r="Q653" i="2"/>
  <c r="P2467" i="2"/>
  <c r="Q2467" i="2"/>
  <c r="R2467" i="2"/>
  <c r="R1086" i="2"/>
  <c r="P2435" i="2"/>
  <c r="Q2435" i="2"/>
  <c r="Q2692" i="2"/>
  <c r="P2418" i="2"/>
  <c r="Q2418" i="2"/>
  <c r="Q1237" i="2"/>
  <c r="P2401" i="2"/>
  <c r="Q2401" i="2"/>
  <c r="Q2680" i="2"/>
  <c r="P1347" i="2"/>
  <c r="Q1347" i="2"/>
  <c r="Q2665" i="2"/>
  <c r="P1346" i="2"/>
  <c r="Q1346" i="2"/>
  <c r="Q1368" i="2"/>
  <c r="P774" i="2"/>
  <c r="R774" i="2"/>
  <c r="Q774" i="2"/>
  <c r="R378" i="2"/>
  <c r="P417" i="2"/>
  <c r="Q417" i="2"/>
  <c r="Q497" i="2"/>
  <c r="P600" i="2"/>
  <c r="Q600" i="2"/>
  <c r="Q637" i="2"/>
  <c r="P2311" i="2"/>
  <c r="Q2311" i="2"/>
  <c r="Q2625" i="2"/>
  <c r="P2289" i="2"/>
  <c r="Q2289" i="2"/>
  <c r="Q1648" i="2"/>
  <c r="P2273" i="2"/>
  <c r="Q2273" i="2"/>
  <c r="Q2620" i="2"/>
  <c r="P1450" i="2"/>
  <c r="Q1450" i="2"/>
  <c r="R1450" i="2"/>
  <c r="R1582" i="2"/>
  <c r="P871" i="2"/>
  <c r="Q871" i="2"/>
  <c r="Q2224" i="2"/>
  <c r="P1204" i="2"/>
  <c r="Q1204" i="2"/>
  <c r="Q1332" i="2"/>
  <c r="P769" i="2"/>
  <c r="Q769" i="2"/>
  <c r="P450" i="2"/>
  <c r="Q450" i="2"/>
  <c r="Q511" i="2"/>
  <c r="P767" i="2"/>
  <c r="Q767" i="2"/>
  <c r="P923" i="2"/>
  <c r="Q923" i="2"/>
  <c r="Q1126" i="2"/>
  <c r="P1943" i="2"/>
  <c r="Q1943" i="2"/>
  <c r="Q1736" i="2"/>
  <c r="P1736" i="2"/>
  <c r="Q2109" i="2"/>
  <c r="P1909" i="2"/>
  <c r="Q1909" i="2"/>
  <c r="Q2132" i="2"/>
  <c r="P1891" i="2"/>
  <c r="Q1891" i="2"/>
  <c r="Q2089" i="2"/>
  <c r="P1872" i="2"/>
  <c r="Q1872" i="2"/>
  <c r="Q2070" i="2"/>
  <c r="P87" i="2"/>
  <c r="Q87" i="2"/>
  <c r="R87" i="2"/>
  <c r="R1931" i="2"/>
  <c r="R2140" i="2"/>
  <c r="R2586" i="2"/>
  <c r="R1281" i="2"/>
  <c r="R2909" i="2"/>
  <c r="P1842" i="2"/>
  <c r="Q1842" i="2"/>
  <c r="R1842" i="2"/>
  <c r="R2014" i="2"/>
  <c r="R2227" i="2"/>
  <c r="R2501" i="2"/>
  <c r="R2723" i="2"/>
  <c r="R2811" i="2"/>
  <c r="R469" i="2"/>
  <c r="P469" i="2"/>
  <c r="Q469" i="2"/>
  <c r="R455" i="2"/>
  <c r="R622" i="2"/>
  <c r="R659" i="2"/>
  <c r="R461" i="2"/>
  <c r="P65" i="2"/>
  <c r="Q65" i="2"/>
  <c r="R65" i="2"/>
  <c r="P715" i="2"/>
  <c r="Q715" i="2"/>
  <c r="R715" i="2"/>
  <c r="R866" i="2"/>
  <c r="R1027" i="2"/>
  <c r="R2474" i="2"/>
  <c r="R953" i="2"/>
  <c r="R2871" i="2"/>
  <c r="P444" i="2"/>
  <c r="R444" i="2"/>
  <c r="Q444" i="2"/>
  <c r="R398" i="2"/>
  <c r="R480" i="2"/>
  <c r="R414" i="2"/>
  <c r="R495" i="2"/>
  <c r="R437" i="2"/>
  <c r="R169" i="2"/>
  <c r="P169" i="2"/>
  <c r="Q169" i="2"/>
  <c r="R115" i="2"/>
  <c r="R209" i="2"/>
  <c r="R244" i="2"/>
  <c r="R285" i="2"/>
  <c r="R330" i="2"/>
  <c r="P1799" i="2"/>
  <c r="Q1799" i="2"/>
  <c r="R1799" i="2"/>
  <c r="R1954" i="2"/>
  <c r="R2120" i="2"/>
  <c r="R2337" i="2"/>
  <c r="R948" i="2"/>
  <c r="R2847" i="2"/>
  <c r="P1506" i="2"/>
  <c r="Q1506" i="2"/>
  <c r="R1506" i="2"/>
  <c r="R1472" i="2"/>
  <c r="R1535" i="2"/>
  <c r="R2277" i="2"/>
  <c r="R1647" i="2"/>
  <c r="R1460" i="2"/>
  <c r="P1259" i="2"/>
  <c r="Q1259" i="2"/>
  <c r="P2861" i="2"/>
  <c r="Q2861" i="2"/>
  <c r="P1709" i="2"/>
  <c r="Q1709" i="2"/>
  <c r="P1703" i="2"/>
  <c r="Q1703" i="2"/>
  <c r="Q808" i="2"/>
  <c r="Q815" i="2"/>
  <c r="P794" i="2"/>
  <c r="Q794" i="2"/>
  <c r="R794" i="2"/>
  <c r="R831" i="2"/>
  <c r="P1359" i="2"/>
  <c r="Q1359" i="2"/>
  <c r="Q2727" i="2"/>
  <c r="P2501" i="2"/>
  <c r="Q2501" i="2"/>
  <c r="Q2723" i="2"/>
  <c r="P423" i="2"/>
  <c r="Q423" i="2"/>
  <c r="Q429" i="2"/>
  <c r="P781" i="2"/>
  <c r="Q781" i="2"/>
  <c r="R781" i="2"/>
  <c r="R1709" i="2"/>
  <c r="P2440" i="2"/>
  <c r="Q2440" i="2"/>
  <c r="Q946" i="2"/>
  <c r="P778" i="2"/>
  <c r="Q778" i="2"/>
  <c r="R778" i="2"/>
  <c r="P2428" i="2"/>
  <c r="Q2428" i="2"/>
  <c r="Q1234" i="2"/>
  <c r="P1351" i="2"/>
  <c r="Q1351" i="2"/>
  <c r="Q1386" i="2"/>
  <c r="P2398" i="2"/>
  <c r="Q2398" i="2"/>
  <c r="Q1137" i="2"/>
  <c r="P2383" i="2"/>
  <c r="Q2383" i="2"/>
  <c r="R2383" i="2"/>
  <c r="P2367" i="2"/>
  <c r="Q2367" i="2"/>
  <c r="Q1595" i="2"/>
  <c r="P340" i="2"/>
  <c r="Q340" i="2"/>
  <c r="R340" i="2"/>
  <c r="R350" i="2"/>
  <c r="P2325" i="2"/>
  <c r="Q2325" i="2"/>
  <c r="Q2676" i="2"/>
  <c r="Q2045" i="2"/>
  <c r="Q2217" i="2"/>
  <c r="P1448" i="2"/>
  <c r="Q1448" i="2"/>
  <c r="Q1642" i="2"/>
  <c r="Q123" i="2"/>
  <c r="P123" i="2"/>
  <c r="Q213" i="2"/>
  <c r="Q2017" i="2"/>
  <c r="P2017" i="2"/>
  <c r="Q2236" i="2"/>
  <c r="P2013" i="2"/>
  <c r="Q2013" i="2"/>
  <c r="P558" i="2"/>
  <c r="Q558" i="2"/>
  <c r="Q586" i="2"/>
  <c r="P2005" i="2"/>
  <c r="Q2005" i="2"/>
  <c r="Q2178" i="2"/>
  <c r="R2925" i="2"/>
  <c r="P556" i="2"/>
  <c r="Q556" i="2"/>
  <c r="Q597" i="2"/>
  <c r="P1994" i="2"/>
  <c r="Q1994" i="2"/>
  <c r="Q2209" i="2"/>
  <c r="P1984" i="2"/>
  <c r="Q1984" i="2"/>
  <c r="Q2183" i="2"/>
  <c r="R2914" i="2"/>
  <c r="P553" i="2"/>
  <c r="Q553" i="2"/>
  <c r="Q580" i="2"/>
  <c r="P1477" i="2"/>
  <c r="Q1477" i="2"/>
  <c r="Q1544" i="2"/>
  <c r="P766" i="2"/>
  <c r="Q766" i="2"/>
  <c r="P1953" i="2"/>
  <c r="Q1953" i="2"/>
  <c r="R1953" i="2"/>
  <c r="Q2147" i="2"/>
  <c r="R2147" i="2"/>
  <c r="P1682" i="2"/>
  <c r="Q1682" i="2"/>
  <c r="Q2123" i="2"/>
  <c r="P1906" i="2"/>
  <c r="Q1906" i="2"/>
  <c r="Q2085" i="2"/>
  <c r="Q1265" i="2"/>
  <c r="Q1323" i="2"/>
  <c r="P1265" i="2"/>
  <c r="P1898" i="2"/>
  <c r="Q1898" i="2"/>
  <c r="Q2074" i="2"/>
  <c r="Q919" i="2"/>
  <c r="P919" i="2"/>
  <c r="Q2095" i="2"/>
  <c r="P1880" i="2"/>
  <c r="Q1880" i="2"/>
  <c r="Q1021" i="2"/>
  <c r="P1871" i="2"/>
  <c r="Q1871" i="2"/>
  <c r="Q2056" i="2"/>
  <c r="Q1863" i="2"/>
  <c r="P1863" i="2"/>
  <c r="Q2050" i="2"/>
  <c r="R93" i="2"/>
  <c r="R2047" i="2"/>
  <c r="R2221" i="2"/>
  <c r="R2560" i="2"/>
  <c r="R1242" i="2"/>
  <c r="R2939" i="2"/>
  <c r="P720" i="2"/>
  <c r="Q720" i="2"/>
  <c r="R720" i="2"/>
  <c r="R2029" i="2"/>
  <c r="R799" i="2"/>
  <c r="R817" i="2"/>
  <c r="P1850" i="2"/>
  <c r="Q1850" i="2"/>
  <c r="R1850" i="2"/>
  <c r="R2016" i="2"/>
  <c r="R2235" i="2"/>
  <c r="R2503" i="2"/>
  <c r="R2717" i="2"/>
  <c r="R2852" i="2"/>
  <c r="P1299" i="2"/>
  <c r="Q1299" i="2"/>
  <c r="R1299" i="2"/>
  <c r="R1483" i="2"/>
  <c r="R1644" i="2"/>
  <c r="R2730" i="2"/>
  <c r="R2557" i="2"/>
  <c r="R1662" i="2"/>
  <c r="P1847" i="2"/>
  <c r="R1847" i="2"/>
  <c r="Q1847" i="2"/>
  <c r="R2030" i="2"/>
  <c r="R2222" i="2"/>
  <c r="R856" i="2"/>
  <c r="R2578" i="2"/>
  <c r="P180" i="2"/>
  <c r="Q180" i="2"/>
  <c r="R180" i="2"/>
  <c r="R119" i="2"/>
  <c r="R212" i="2"/>
  <c r="R297" i="2"/>
  <c r="R267" i="2"/>
  <c r="R338" i="2"/>
  <c r="P1294" i="2"/>
  <c r="R1294" i="2"/>
  <c r="Q1294" i="2"/>
  <c r="R1312" i="2"/>
  <c r="R1421" i="2"/>
  <c r="R2468" i="2"/>
  <c r="R1455" i="2"/>
  <c r="R1410" i="2"/>
  <c r="P534" i="2"/>
  <c r="R534" i="2"/>
  <c r="Q534" i="2"/>
  <c r="R457" i="2"/>
  <c r="R624" i="2"/>
  <c r="R514" i="2"/>
  <c r="P1838" i="2"/>
  <c r="Q1838" i="2"/>
  <c r="R1838" i="2"/>
  <c r="R1957" i="2"/>
  <c r="R2117" i="2"/>
  <c r="R2466" i="2"/>
  <c r="R2652" i="2"/>
  <c r="R2884" i="2"/>
  <c r="P747" i="2"/>
  <c r="Q747" i="2"/>
  <c r="R747" i="2"/>
  <c r="R1963" i="2"/>
  <c r="R2188" i="2"/>
  <c r="R2395" i="2"/>
  <c r="R850" i="2"/>
  <c r="R2876" i="2"/>
  <c r="P1288" i="2"/>
  <c r="Q1288" i="2"/>
  <c r="R1288" i="2"/>
  <c r="R1202" i="2"/>
  <c r="R1210" i="2"/>
  <c r="R2424" i="2"/>
  <c r="R1372" i="2"/>
  <c r="R1254" i="2"/>
  <c r="P1671" i="2"/>
  <c r="Q1671" i="2"/>
  <c r="R1671" i="2"/>
  <c r="R1687" i="2"/>
  <c r="R2234" i="2"/>
  <c r="R1359" i="2"/>
  <c r="R2727" i="2"/>
  <c r="R1717" i="2"/>
  <c r="P53" i="2"/>
  <c r="Q53" i="2"/>
  <c r="R53" i="2"/>
  <c r="P171" i="2"/>
  <c r="Q171" i="2"/>
  <c r="R171" i="2"/>
  <c r="R118" i="2"/>
  <c r="R210" i="2"/>
  <c r="R247" i="2"/>
  <c r="R288" i="2"/>
  <c r="R333" i="2"/>
  <c r="P1810" i="2"/>
  <c r="Q1810" i="2"/>
  <c r="R1810" i="2"/>
  <c r="R1944" i="2"/>
  <c r="R2125" i="2"/>
  <c r="R2386" i="2"/>
  <c r="R2672" i="2"/>
  <c r="R2809" i="2"/>
  <c r="P1159" i="2"/>
  <c r="Q1159" i="2"/>
  <c r="R1159" i="2"/>
  <c r="R1007" i="2"/>
  <c r="R2177" i="2"/>
  <c r="R2344" i="2"/>
  <c r="R1232" i="2"/>
  <c r="R2836" i="2"/>
  <c r="P1803" i="2"/>
  <c r="Q1803" i="2"/>
  <c r="R1803" i="2"/>
  <c r="R1982" i="2"/>
  <c r="R2129" i="2"/>
  <c r="R2368" i="2"/>
  <c r="R2666" i="2"/>
  <c r="R2799" i="2"/>
  <c r="P1151" i="2"/>
  <c r="Q1151" i="2"/>
  <c r="R1151" i="2"/>
  <c r="R1195" i="2"/>
  <c r="R1325" i="2"/>
  <c r="R1338" i="2"/>
  <c r="R1369" i="2"/>
  <c r="R1246" i="2"/>
  <c r="P1791" i="2"/>
  <c r="Q1791" i="2"/>
  <c r="R1791" i="2"/>
  <c r="R1879" i="2"/>
  <c r="R2061" i="2"/>
  <c r="R2332" i="2"/>
  <c r="R2609" i="2"/>
  <c r="R2788" i="2"/>
  <c r="P163" i="2"/>
  <c r="Q163" i="2"/>
  <c r="R163" i="2"/>
  <c r="R108" i="2"/>
  <c r="R201" i="2"/>
  <c r="R249" i="2"/>
  <c r="R287" i="2"/>
  <c r="R324" i="2"/>
  <c r="P1148" i="2"/>
  <c r="Q1148" i="2"/>
  <c r="R1148" i="2"/>
  <c r="R1193" i="2"/>
  <c r="R1321" i="2"/>
  <c r="R1337" i="2"/>
  <c r="R1367" i="2"/>
  <c r="R1245" i="2"/>
  <c r="P1505" i="2"/>
  <c r="R1505" i="2"/>
  <c r="R1733" i="2"/>
  <c r="Q1505" i="2"/>
  <c r="R1487" i="2"/>
  <c r="R2285" i="2"/>
  <c r="R1591" i="2"/>
  <c r="R2773" i="2"/>
  <c r="P1774" i="2"/>
  <c r="Q1774" i="2"/>
  <c r="R1774" i="2"/>
  <c r="R1885" i="2"/>
  <c r="Q838" i="2"/>
  <c r="Q1706" i="2"/>
  <c r="P2896" i="2"/>
  <c r="Q2896" i="2"/>
  <c r="P2867" i="2"/>
  <c r="Q2867" i="2"/>
  <c r="P437" i="2"/>
  <c r="Q437" i="2"/>
  <c r="P2801" i="2"/>
  <c r="Q2801" i="2"/>
  <c r="P823" i="2"/>
  <c r="Q823" i="2"/>
  <c r="P2954" i="2"/>
  <c r="Q2954" i="2"/>
  <c r="P1627" i="2"/>
  <c r="Q1627" i="2"/>
  <c r="P508" i="2"/>
  <c r="Q508" i="2"/>
  <c r="P2900" i="2"/>
  <c r="Q2900" i="2"/>
  <c r="P2833" i="2"/>
  <c r="Q2833" i="2"/>
  <c r="P2813" i="2"/>
  <c r="Q2813" i="2"/>
  <c r="Q2766" i="2"/>
  <c r="P2766" i="2"/>
  <c r="P2757" i="2"/>
  <c r="Q2757" i="2"/>
  <c r="P314" i="2"/>
  <c r="Q314" i="2"/>
  <c r="Q2705" i="2"/>
  <c r="Q776" i="2"/>
  <c r="R776" i="2"/>
  <c r="P776" i="2"/>
  <c r="R826" i="2"/>
  <c r="P2384" i="2"/>
  <c r="Q2384" i="2"/>
  <c r="Q1225" i="2"/>
  <c r="P2328" i="2"/>
  <c r="Q2328" i="2"/>
  <c r="R2328" i="2"/>
  <c r="R1606" i="2"/>
  <c r="P2285" i="2"/>
  <c r="Q2285" i="2"/>
  <c r="Q1591" i="2"/>
  <c r="Q475" i="2"/>
  <c r="Q484" i="2"/>
  <c r="P2010" i="2"/>
  <c r="Q2010" i="2"/>
  <c r="P1974" i="2"/>
  <c r="Q1974" i="2"/>
  <c r="Q1034" i="2"/>
  <c r="P1510" i="2"/>
  <c r="Q1510" i="2"/>
  <c r="R1510" i="2"/>
  <c r="R1443" i="2"/>
  <c r="R1547" i="2"/>
  <c r="R1569" i="2"/>
  <c r="R1598" i="2"/>
  <c r="R1465" i="2"/>
  <c r="P741" i="2"/>
  <c r="Q741" i="2"/>
  <c r="R741" i="2"/>
  <c r="R1014" i="2"/>
  <c r="R1046" i="2"/>
  <c r="R783" i="2"/>
  <c r="R814" i="2"/>
  <c r="R1088" i="2"/>
  <c r="R696" i="2"/>
  <c r="Q2935" i="2"/>
  <c r="R2924" i="2"/>
  <c r="P2931" i="2"/>
  <c r="Q2931" i="2"/>
  <c r="P1618" i="2"/>
  <c r="Q1618" i="2"/>
  <c r="P686" i="2"/>
  <c r="Q686" i="2"/>
  <c r="P1464" i="2"/>
  <c r="Q1464" i="2"/>
  <c r="P2768" i="2"/>
  <c r="Q2768" i="2"/>
  <c r="P697" i="2"/>
  <c r="Q697" i="2"/>
  <c r="P840" i="2"/>
  <c r="Q840" i="2"/>
  <c r="P2946" i="2"/>
  <c r="Q2946" i="2"/>
  <c r="P1659" i="2"/>
  <c r="Q1659" i="2"/>
  <c r="P334" i="2"/>
  <c r="Q334" i="2"/>
  <c r="P2912" i="2"/>
  <c r="Q2912" i="2"/>
  <c r="P1467" i="2"/>
  <c r="Q1467" i="2"/>
  <c r="P506" i="2"/>
  <c r="Q506" i="2"/>
  <c r="P1250" i="2"/>
  <c r="Q1250" i="2"/>
  <c r="P2873" i="2"/>
  <c r="Q2873" i="2"/>
  <c r="P379" i="2"/>
  <c r="Q379" i="2"/>
  <c r="P681" i="2"/>
  <c r="Q681" i="2"/>
  <c r="P2852" i="2"/>
  <c r="Q2852" i="2"/>
  <c r="P1075" i="2"/>
  <c r="Q1075" i="2"/>
  <c r="P352" i="2"/>
  <c r="Q352" i="2"/>
  <c r="P673" i="2"/>
  <c r="Q673" i="2"/>
  <c r="Q350" i="2"/>
  <c r="P350" i="2"/>
  <c r="Q1707" i="2"/>
  <c r="P1707" i="2"/>
  <c r="P1605" i="2"/>
  <c r="Q1605" i="2"/>
  <c r="P2783" i="2"/>
  <c r="Q2783" i="2"/>
  <c r="P2775" i="2"/>
  <c r="Q2775" i="2"/>
  <c r="P2754" i="2"/>
  <c r="Q2754" i="2"/>
  <c r="P2554" i="2"/>
  <c r="Q2720" i="2"/>
  <c r="Q2554" i="2"/>
  <c r="P493" i="2"/>
  <c r="Q493" i="2"/>
  <c r="Q2716" i="2"/>
  <c r="P1580" i="2"/>
  <c r="Q1580" i="2"/>
  <c r="R1580" i="2"/>
  <c r="R1625" i="2"/>
  <c r="P2518" i="2"/>
  <c r="Q2518" i="2"/>
  <c r="Q2681" i="2"/>
  <c r="P2488" i="2"/>
  <c r="Q2488" i="2"/>
  <c r="Q2715" i="2"/>
  <c r="P2476" i="2"/>
  <c r="Q2476" i="2"/>
  <c r="Q2709" i="2"/>
  <c r="Q2704" i="2"/>
  <c r="P616" i="2"/>
  <c r="Q616" i="2"/>
  <c r="Q654" i="2"/>
  <c r="P2443" i="2"/>
  <c r="Q2443" i="2"/>
  <c r="Q2693" i="2"/>
  <c r="P2434" i="2"/>
  <c r="Q2434" i="2"/>
  <c r="Q724" i="2"/>
  <c r="P2416" i="2"/>
  <c r="Q2416" i="2"/>
  <c r="Q2682" i="2"/>
  <c r="P2399" i="2"/>
  <c r="Q2399" i="2"/>
  <c r="R2399" i="2"/>
  <c r="R1615" i="2"/>
  <c r="P604" i="2"/>
  <c r="Q604" i="2"/>
  <c r="Q640" i="2"/>
  <c r="P240" i="2"/>
  <c r="Q240" i="2"/>
  <c r="Q279" i="2"/>
  <c r="P2353" i="2"/>
  <c r="Q2353" i="2"/>
  <c r="R2353" i="2"/>
  <c r="R2789" i="2"/>
  <c r="P2326" i="2"/>
  <c r="Q2326" i="2"/>
  <c r="Q1054" i="2"/>
  <c r="P2308" i="2"/>
  <c r="Q2308" i="2"/>
  <c r="Q1229" i="2"/>
  <c r="P2284" i="2"/>
  <c r="Q2284" i="2"/>
  <c r="Q1226" i="2"/>
  <c r="P2271" i="2"/>
  <c r="Q2271" i="2"/>
  <c r="Q1590" i="2"/>
  <c r="P454" i="2"/>
  <c r="Q454" i="2"/>
  <c r="R454" i="2"/>
  <c r="P1685" i="2"/>
  <c r="Q1685" i="2"/>
  <c r="R1685" i="2"/>
  <c r="Q2187" i="2"/>
  <c r="R2187" i="2"/>
  <c r="R1721" i="2"/>
  <c r="P867" i="2"/>
  <c r="Q867" i="2"/>
  <c r="Q2143" i="2"/>
  <c r="P1474" i="2"/>
  <c r="Q1474" i="2"/>
  <c r="Q1542" i="2"/>
  <c r="P1919" i="2"/>
  <c r="Q1919" i="2"/>
  <c r="Q2100" i="2"/>
  <c r="P1523" i="2"/>
  <c r="Q1523" i="2"/>
  <c r="Q1691" i="2"/>
  <c r="P1867" i="2"/>
  <c r="Q1867" i="2"/>
  <c r="Q2054" i="2"/>
  <c r="P88" i="2"/>
  <c r="Q88" i="2"/>
  <c r="R88" i="2"/>
  <c r="R2028" i="2"/>
  <c r="R2229" i="2"/>
  <c r="R2538" i="2"/>
  <c r="R1699" i="2"/>
  <c r="R2950" i="2"/>
  <c r="P1181" i="2"/>
  <c r="Q1181" i="2"/>
  <c r="R1201" i="2"/>
  <c r="R1181" i="2"/>
  <c r="R1357" i="2"/>
  <c r="R1277" i="2"/>
  <c r="R1073" i="2"/>
  <c r="P1837" i="2"/>
  <c r="Q1837" i="2"/>
  <c r="R1837" i="2"/>
  <c r="R1995" i="2"/>
  <c r="R2202" i="2"/>
  <c r="R2488" i="2"/>
  <c r="R2715" i="2"/>
  <c r="R2807" i="2"/>
  <c r="P63" i="2"/>
  <c r="R63" i="2"/>
  <c r="Q63" i="2"/>
  <c r="R1975" i="2"/>
  <c r="R2405" i="2"/>
  <c r="R1500" i="2"/>
  <c r="P8" i="2"/>
  <c r="Q8" i="2"/>
  <c r="R8" i="2"/>
  <c r="P714" i="2"/>
  <c r="Q714" i="2"/>
  <c r="R714" i="2"/>
  <c r="R1988" i="2"/>
  <c r="R2536" i="2"/>
  <c r="R2710" i="2"/>
  <c r="P712" i="2"/>
  <c r="Q712" i="2"/>
  <c r="R712" i="2"/>
  <c r="P1158" i="2"/>
  <c r="Q1158" i="2"/>
  <c r="R997" i="2"/>
  <c r="R1158" i="2"/>
  <c r="R2091" i="2"/>
  <c r="R2482" i="2"/>
  <c r="R1272" i="2"/>
  <c r="R1087" i="2"/>
  <c r="P902" i="2"/>
  <c r="Q902" i="2"/>
  <c r="R902" i="2"/>
  <c r="R843" i="2"/>
  <c r="R2333" i="2"/>
  <c r="R951" i="2"/>
  <c r="R882" i="2"/>
  <c r="P35" i="2"/>
  <c r="Q35" i="2"/>
  <c r="R35" i="2"/>
  <c r="R1874" i="2"/>
  <c r="R2075" i="2"/>
  <c r="R2276" i="2"/>
  <c r="R2617" i="2"/>
  <c r="R2810" i="2"/>
  <c r="P2955" i="2"/>
  <c r="Q2955" i="2"/>
  <c r="P1260" i="2"/>
  <c r="Q1260" i="2"/>
  <c r="P1102" i="2"/>
  <c r="Q1102" i="2"/>
  <c r="P832" i="2"/>
  <c r="Q832" i="2"/>
  <c r="P1658" i="2"/>
  <c r="Q1658" i="2"/>
  <c r="P1621" i="2"/>
  <c r="Q1621" i="2"/>
  <c r="P1412" i="2"/>
  <c r="Q1412" i="2"/>
  <c r="P893" i="2"/>
  <c r="Q893" i="2"/>
  <c r="P2905" i="2"/>
  <c r="Q2905" i="2"/>
  <c r="P826" i="2"/>
  <c r="Q826" i="2"/>
  <c r="P2897" i="2"/>
  <c r="Q2897" i="2"/>
  <c r="P892" i="2"/>
  <c r="Q892" i="2"/>
  <c r="P2887" i="2"/>
  <c r="Q2887" i="2"/>
  <c r="Q971" i="2"/>
  <c r="P971" i="2"/>
  <c r="P2879" i="2"/>
  <c r="Q2879" i="2"/>
  <c r="Q2876" i="2"/>
  <c r="P2876" i="2"/>
  <c r="P1081" i="2"/>
  <c r="Q1081" i="2"/>
  <c r="Q684" i="2"/>
  <c r="P684" i="2"/>
  <c r="P890" i="2"/>
  <c r="Q890" i="2"/>
  <c r="Q2860" i="2"/>
  <c r="P2860" i="2"/>
  <c r="P461" i="2"/>
  <c r="Q461" i="2"/>
  <c r="Q438" i="2"/>
  <c r="P438" i="2"/>
  <c r="P354" i="2"/>
  <c r="Q354" i="2"/>
  <c r="Q2838" i="2"/>
  <c r="P2838" i="2"/>
  <c r="P1407" i="2"/>
  <c r="Q1407" i="2"/>
  <c r="Q1608" i="2"/>
  <c r="P1608" i="2"/>
  <c r="P2823" i="2"/>
  <c r="Q2823" i="2"/>
  <c r="P672" i="2"/>
  <c r="Q672" i="2"/>
  <c r="P1708" i="2"/>
  <c r="Q1708" i="2"/>
  <c r="Q2805" i="2"/>
  <c r="P2805" i="2"/>
  <c r="P1461" i="2"/>
  <c r="Q1461" i="2"/>
  <c r="P349" i="2"/>
  <c r="Q349" i="2"/>
  <c r="P2784" i="2"/>
  <c r="Q2784" i="2"/>
  <c r="P320" i="2"/>
  <c r="Q320" i="2"/>
  <c r="P2773" i="2"/>
  <c r="Q2773" i="2"/>
  <c r="P1402" i="2"/>
  <c r="Q1402" i="2"/>
  <c r="P821" i="2"/>
  <c r="Q821" i="2"/>
  <c r="P2751" i="2"/>
  <c r="Q2751" i="2"/>
  <c r="P2744" i="2"/>
  <c r="Q2744" i="2"/>
  <c r="Q297" i="2"/>
  <c r="Q267" i="2"/>
  <c r="P2551" i="2"/>
  <c r="Q1390" i="2"/>
  <c r="Q2551" i="2"/>
  <c r="P494" i="2"/>
  <c r="Q494" i="2"/>
  <c r="Q2722" i="2"/>
  <c r="P2535" i="2"/>
  <c r="Q2535" i="2"/>
  <c r="R2535" i="2"/>
  <c r="P790" i="2"/>
  <c r="Q790" i="2"/>
  <c r="R790" i="2"/>
  <c r="R828" i="2"/>
  <c r="P789" i="2"/>
  <c r="Q789" i="2"/>
  <c r="R789" i="2"/>
  <c r="R1715" i="2"/>
  <c r="P2516" i="2"/>
  <c r="Q2516" i="2"/>
  <c r="Q964" i="2"/>
  <c r="P2507" i="2"/>
  <c r="Q2507" i="2"/>
  <c r="R2507" i="2"/>
  <c r="R2916" i="2"/>
  <c r="P2499" i="2"/>
  <c r="Q2499" i="2"/>
  <c r="Q2721" i="2"/>
  <c r="P2481" i="2"/>
  <c r="Q2481" i="2"/>
  <c r="Q1596" i="2"/>
  <c r="P2474" i="2"/>
  <c r="Q2474" i="2"/>
  <c r="Q953" i="2"/>
  <c r="P2465" i="2"/>
  <c r="Q2465" i="2"/>
  <c r="Q1654" i="2"/>
  <c r="P1047" i="2"/>
  <c r="Q1047" i="2"/>
  <c r="Q1427" i="2"/>
  <c r="P2426" i="2"/>
  <c r="Q2426" i="2"/>
  <c r="Q2696" i="2"/>
  <c r="P2411" i="2"/>
  <c r="Q2411" i="2"/>
  <c r="Q955" i="2"/>
  <c r="P2404" i="2"/>
  <c r="Q2404" i="2"/>
  <c r="Q2671" i="2"/>
  <c r="P2397" i="2"/>
  <c r="Q2397" i="2"/>
  <c r="R2397" i="2"/>
  <c r="R1090" i="2"/>
  <c r="P242" i="2"/>
  <c r="Q242" i="2"/>
  <c r="Q283" i="2"/>
  <c r="P2382" i="2"/>
  <c r="Q2382" i="2"/>
  <c r="Q956" i="2"/>
  <c r="P2373" i="2"/>
  <c r="Q2373" i="2"/>
  <c r="Q1375" i="2"/>
  <c r="P775" i="2"/>
  <c r="Q775" i="2"/>
  <c r="Q1134" i="2"/>
  <c r="Q2357" i="2"/>
  <c r="P2357" i="2"/>
  <c r="Q1136" i="2"/>
  <c r="Q2349" i="2"/>
  <c r="P2349" i="2"/>
  <c r="Q1371" i="2"/>
  <c r="P486" i="2"/>
  <c r="Q486" i="2"/>
  <c r="R486" i="2"/>
  <c r="R434" i="2"/>
  <c r="P1342" i="2"/>
  <c r="Q1342" i="2"/>
  <c r="Q2662" i="2"/>
  <c r="P2330" i="2"/>
  <c r="Q2330" i="2"/>
  <c r="Q1748" i="2"/>
  <c r="Q2323" i="2"/>
  <c r="P2323" i="2"/>
  <c r="Q1057" i="2"/>
  <c r="P1555" i="2"/>
  <c r="Q1555" i="2"/>
  <c r="Q2635" i="2"/>
  <c r="P237" i="2"/>
  <c r="Q237" i="2"/>
  <c r="Q278" i="2"/>
  <c r="P2296" i="2"/>
  <c r="Q2296" i="2"/>
  <c r="Q875" i="2"/>
  <c r="Q2287" i="2"/>
  <c r="P2287" i="2"/>
  <c r="Q2656" i="2"/>
  <c r="P2277" i="2"/>
  <c r="Q2277" i="2"/>
  <c r="Q1647" i="2"/>
  <c r="P2268" i="2"/>
  <c r="Q2268" i="2"/>
  <c r="R2268" i="2"/>
  <c r="R2756" i="2"/>
  <c r="P2259" i="2"/>
  <c r="Q2259" i="2"/>
  <c r="Q2603" i="2"/>
  <c r="Q2048" i="2"/>
  <c r="Q2208" i="2"/>
  <c r="P1742" i="2"/>
  <c r="Q1742" i="2"/>
  <c r="Q2242" i="2"/>
  <c r="P372" i="2"/>
  <c r="Q372" i="2"/>
  <c r="P1120" i="2"/>
  <c r="Q1120" i="2"/>
  <c r="Q1335" i="2"/>
  <c r="P1014" i="2"/>
  <c r="Q1014" i="2"/>
  <c r="Q1046" i="2"/>
  <c r="P120" i="2"/>
  <c r="Q120" i="2"/>
  <c r="Q220" i="2"/>
  <c r="P474" i="2"/>
  <c r="Q474" i="2"/>
  <c r="Q579" i="2"/>
  <c r="P2012" i="2"/>
  <c r="Q2012" i="2"/>
  <c r="Q2154" i="2"/>
  <c r="P1316" i="2"/>
  <c r="Q1316" i="2"/>
  <c r="Q1424" i="2"/>
  <c r="P1740" i="2"/>
  <c r="Q1740" i="2"/>
  <c r="Q1546" i="2"/>
  <c r="R2920" i="2"/>
  <c r="P1198" i="2"/>
  <c r="Q1198" i="2"/>
  <c r="Q1330" i="2"/>
  <c r="P1444" i="2"/>
  <c r="Q1444" i="2"/>
  <c r="Q1549" i="2"/>
  <c r="P1442" i="2"/>
  <c r="Q1442" i="2"/>
  <c r="Q1548" i="2"/>
  <c r="P1977" i="2"/>
  <c r="Q1977" i="2"/>
  <c r="R1977" i="2"/>
  <c r="Q2166" i="2"/>
  <c r="R2166" i="2"/>
  <c r="P399" i="2"/>
  <c r="Q399" i="2"/>
  <c r="Q482" i="2"/>
  <c r="P1967" i="2"/>
  <c r="Q1967" i="2"/>
  <c r="R1967" i="2"/>
  <c r="R2684" i="2"/>
  <c r="P410" i="2"/>
  <c r="Q410" i="2"/>
  <c r="Q459" i="2"/>
  <c r="P1961" i="2"/>
  <c r="Q1961" i="2"/>
  <c r="R1961" i="2"/>
  <c r="Q2133" i="2"/>
  <c r="R2133" i="2"/>
  <c r="P1956" i="2"/>
  <c r="Q1956" i="2"/>
  <c r="P1952" i="2"/>
  <c r="Q1952" i="2"/>
  <c r="Q1324" i="2"/>
  <c r="P1948" i="2"/>
  <c r="Q1948" i="2"/>
  <c r="R1948" i="2"/>
  <c r="Q2148" i="2"/>
  <c r="R2148" i="2"/>
  <c r="P1942" i="2"/>
  <c r="Q1942" i="2"/>
  <c r="Q2131" i="2"/>
  <c r="P542" i="2"/>
  <c r="Q542" i="2"/>
  <c r="Q572" i="2"/>
  <c r="P108" i="2"/>
  <c r="Q108" i="2"/>
  <c r="Q201" i="2"/>
  <c r="P1905" i="2"/>
  <c r="Q1905" i="2"/>
  <c r="Q2081" i="2"/>
  <c r="P1902" i="2"/>
  <c r="Q1902" i="2"/>
  <c r="Q2083" i="2"/>
  <c r="P862" i="2"/>
  <c r="Q862" i="2"/>
  <c r="Q1022" i="2"/>
  <c r="P105" i="2"/>
  <c r="Q105" i="2"/>
  <c r="Q203" i="2"/>
  <c r="P102" i="2"/>
  <c r="Q102" i="2"/>
  <c r="Q197" i="2"/>
  <c r="P1869" i="2"/>
  <c r="Q1869" i="2"/>
  <c r="Q2058" i="2"/>
  <c r="R918" i="2"/>
  <c r="R1220" i="2"/>
  <c r="R1121" i="2"/>
  <c r="R2584" i="2"/>
  <c r="R2729" i="2"/>
  <c r="R1144" i="2"/>
  <c r="R1304" i="2"/>
  <c r="R1208" i="2"/>
  <c r="R1221" i="2"/>
  <c r="R1390" i="2"/>
  <c r="R2551" i="2"/>
  <c r="P539" i="2"/>
  <c r="Q539" i="2"/>
  <c r="R539" i="2"/>
  <c r="R566" i="2"/>
  <c r="R594" i="2"/>
  <c r="R635" i="2"/>
  <c r="R666" i="2"/>
  <c r="Q1849" i="2"/>
  <c r="R1849" i="2"/>
  <c r="P1849" i="2"/>
  <c r="R2032" i="2"/>
  <c r="R2250" i="2"/>
  <c r="R2570" i="2"/>
  <c r="R855" i="2"/>
  <c r="P1517" i="2"/>
  <c r="Q1517" i="2"/>
  <c r="R1517" i="2"/>
  <c r="R1446" i="2"/>
  <c r="R1637" i="2"/>
  <c r="R1588" i="2"/>
  <c r="R1653" i="2"/>
  <c r="R1663" i="2"/>
  <c r="P83" i="2"/>
  <c r="Q83" i="2"/>
  <c r="R83" i="2"/>
  <c r="R2008" i="2"/>
  <c r="R2186" i="2"/>
  <c r="R2513" i="2"/>
  <c r="R1698" i="2"/>
  <c r="R912" i="2"/>
  <c r="Q912" i="2"/>
  <c r="R1943" i="2"/>
  <c r="P912" i="2"/>
  <c r="R2525" i="2"/>
  <c r="R1068" i="2"/>
  <c r="R2868" i="2"/>
  <c r="R897" i="2"/>
  <c r="Q897" i="2"/>
  <c r="P897" i="2"/>
  <c r="P908" i="2"/>
  <c r="Q908" i="2"/>
  <c r="R908" i="2"/>
  <c r="R927" i="2"/>
  <c r="R1037" i="2"/>
  <c r="R2417" i="2"/>
  <c r="R1138" i="2"/>
  <c r="R971" i="2"/>
  <c r="P73" i="2"/>
  <c r="Q73" i="2"/>
  <c r="R73" i="2"/>
  <c r="R2009" i="2"/>
  <c r="R2705" i="2"/>
  <c r="P69" i="2"/>
  <c r="R69" i="2"/>
  <c r="Q69" i="2"/>
  <c r="R2010" i="2"/>
  <c r="R2704" i="2"/>
  <c r="P382" i="2"/>
  <c r="Q382" i="2"/>
  <c r="R382" i="2"/>
  <c r="R388" i="2"/>
  <c r="R402" i="2"/>
  <c r="R422" i="2"/>
  <c r="R427" i="2"/>
  <c r="R390" i="2"/>
  <c r="P64" i="2"/>
  <c r="R64" i="2"/>
  <c r="Q64" i="2"/>
  <c r="R1973" i="2"/>
  <c r="R2165" i="2"/>
  <c r="R2435" i="2"/>
  <c r="R2692" i="2"/>
  <c r="R2912" i="2"/>
  <c r="P62" i="2"/>
  <c r="Q62" i="2"/>
  <c r="R62" i="2"/>
  <c r="R1964" i="2"/>
  <c r="R2149" i="2"/>
  <c r="R2419" i="2"/>
  <c r="R1379" i="2"/>
  <c r="R2906" i="2"/>
  <c r="P528" i="2"/>
  <c r="Q528" i="2"/>
  <c r="R528" i="2"/>
  <c r="R456" i="2"/>
  <c r="R609" i="2"/>
  <c r="R513" i="2"/>
  <c r="R507" i="2"/>
  <c r="P526" i="2"/>
  <c r="Q526" i="2"/>
  <c r="R526" i="2"/>
  <c r="R547" i="2"/>
  <c r="R576" i="2"/>
  <c r="R604" i="2"/>
  <c r="R640" i="2"/>
  <c r="R687" i="2"/>
  <c r="P1820" i="2"/>
  <c r="Q1820" i="2"/>
  <c r="R1820" i="2"/>
  <c r="R1949" i="2"/>
  <c r="R2135" i="2"/>
  <c r="R2355" i="2"/>
  <c r="R2646" i="2"/>
  <c r="R2819" i="2"/>
  <c r="P1287" i="2"/>
  <c r="Q1287" i="2"/>
  <c r="R1287" i="2"/>
  <c r="R1309" i="2"/>
  <c r="R1419" i="2"/>
  <c r="R2459" i="2"/>
  <c r="R1454" i="2"/>
  <c r="R1408" i="2"/>
  <c r="P52" i="2"/>
  <c r="Q52" i="2"/>
  <c r="R52" i="2"/>
  <c r="P1817" i="2"/>
  <c r="Q1817" i="2"/>
  <c r="R1817" i="2"/>
  <c r="R1917" i="2"/>
  <c r="R2086" i="2"/>
  <c r="R2425" i="2"/>
  <c r="R2623" i="2"/>
  <c r="R2854" i="2"/>
  <c r="P744" i="2"/>
  <c r="Q744" i="2"/>
  <c r="R744" i="2"/>
  <c r="R731" i="2"/>
  <c r="R2192" i="2"/>
  <c r="R2447" i="2"/>
  <c r="R1064" i="2"/>
  <c r="R824" i="2"/>
  <c r="P1815" i="2"/>
  <c r="Q1815" i="2"/>
  <c r="R1815" i="2"/>
  <c r="R1738" i="2"/>
  <c r="R1541" i="2"/>
  <c r="R2481" i="2"/>
  <c r="R1596" i="2"/>
  <c r="R2875" i="2"/>
  <c r="P709" i="2"/>
  <c r="Q709" i="2"/>
  <c r="R709" i="2"/>
  <c r="R862" i="2"/>
  <c r="R1022" i="2"/>
  <c r="R2440" i="2"/>
  <c r="R946" i="2"/>
  <c r="R2841" i="2"/>
  <c r="P1157" i="2"/>
  <c r="Q1157" i="2"/>
  <c r="R1157" i="2"/>
  <c r="R1196" i="2"/>
  <c r="R1327" i="2"/>
  <c r="R1349" i="2"/>
  <c r="R1374" i="2"/>
  <c r="R1250" i="2"/>
  <c r="P1802" i="2"/>
  <c r="Q1802" i="2"/>
  <c r="R1802" i="2"/>
  <c r="R1926" i="2"/>
  <c r="R2097" i="2"/>
  <c r="R2299" i="2"/>
  <c r="R2624" i="2"/>
  <c r="R2770" i="2"/>
  <c r="P1800" i="2"/>
  <c r="R1800" i="2"/>
  <c r="Q1800" i="2"/>
  <c r="R1976" i="2"/>
  <c r="R2460" i="2"/>
  <c r="R2255" i="2"/>
  <c r="R811" i="2"/>
  <c r="R2896" i="2"/>
  <c r="P1798" i="2"/>
  <c r="Q1798" i="2"/>
  <c r="R1798" i="2"/>
  <c r="R1905" i="2"/>
  <c r="R2081" i="2"/>
  <c r="R2282" i="2"/>
  <c r="R2621" i="2"/>
  <c r="R2774" i="2"/>
  <c r="P706" i="2"/>
  <c r="Q706" i="2"/>
  <c r="R706" i="2"/>
  <c r="R1893" i="2"/>
  <c r="R2442" i="2"/>
  <c r="R2667" i="2"/>
  <c r="R2903" i="2"/>
  <c r="P1790" i="2"/>
  <c r="Q1790" i="2"/>
  <c r="R1790" i="2"/>
  <c r="R1682" i="2"/>
  <c r="R2123" i="2"/>
  <c r="R2374" i="2"/>
  <c r="R2649" i="2"/>
  <c r="R1710" i="2"/>
  <c r="P982" i="2"/>
  <c r="R982" i="2"/>
  <c r="Q982" i="2"/>
  <c r="R1888" i="2"/>
  <c r="R1023" i="2"/>
  <c r="R2300" i="2"/>
  <c r="R1056" i="2"/>
  <c r="R885" i="2"/>
  <c r="P160" i="2"/>
  <c r="Q160" i="2"/>
  <c r="R160" i="2"/>
  <c r="R105" i="2"/>
  <c r="R203" i="2"/>
  <c r="R250" i="2"/>
  <c r="R284" i="2"/>
  <c r="R323" i="2"/>
  <c r="R2982" i="2"/>
  <c r="R701" i="2"/>
  <c r="R152" i="2"/>
  <c r="Q1624" i="2"/>
  <c r="Q2924" i="2"/>
  <c r="Q1620" i="2"/>
  <c r="P1098" i="2"/>
  <c r="Q1098" i="2"/>
  <c r="P1246" i="2"/>
  <c r="Q1246" i="2"/>
  <c r="P1468" i="2"/>
  <c r="R1306" i="2"/>
  <c r="R1484" i="2"/>
  <c r="R1550" i="2"/>
  <c r="R1492" i="2"/>
  <c r="R1400" i="2"/>
  <c r="P2957" i="2"/>
  <c r="R2957" i="2"/>
  <c r="P2945" i="2"/>
  <c r="Q2945" i="2"/>
  <c r="P2940" i="2"/>
  <c r="Q2940" i="2"/>
  <c r="P338" i="2"/>
  <c r="Q338" i="2"/>
  <c r="P830" i="2"/>
  <c r="Q830" i="2"/>
  <c r="R830" i="2"/>
  <c r="P1410" i="2"/>
  <c r="Q1410" i="2"/>
  <c r="P2890" i="2"/>
  <c r="Q2890" i="2"/>
  <c r="P691" i="2"/>
  <c r="Q691" i="2"/>
  <c r="P2878" i="2"/>
  <c r="Q2878" i="2"/>
  <c r="P391" i="2"/>
  <c r="Q391" i="2"/>
  <c r="P2869" i="2"/>
  <c r="Q2869" i="2"/>
  <c r="P2864" i="2"/>
  <c r="Q2864" i="2"/>
  <c r="P2851" i="2"/>
  <c r="Q2851" i="2"/>
  <c r="P2843" i="2"/>
  <c r="Q2843" i="2"/>
  <c r="P2837" i="2"/>
  <c r="Q2837" i="2"/>
  <c r="P2832" i="2"/>
  <c r="Q2832" i="2"/>
  <c r="P2821" i="2"/>
  <c r="Q2821" i="2"/>
  <c r="P1606" i="2"/>
  <c r="Q1606" i="2"/>
  <c r="P824" i="2"/>
  <c r="Q824" i="2"/>
  <c r="Q2796" i="2"/>
  <c r="P2796" i="2"/>
  <c r="P2782" i="2"/>
  <c r="Q2782" i="2"/>
  <c r="P2774" i="2"/>
  <c r="Q2774" i="2"/>
  <c r="P2753" i="2"/>
  <c r="Q2753" i="2"/>
  <c r="P2606" i="2"/>
  <c r="Q2606" i="2"/>
  <c r="Q1653" i="2"/>
  <c r="Q1588" i="2"/>
  <c r="Q2570" i="2"/>
  <c r="Q855" i="2"/>
  <c r="P2553" i="2"/>
  <c r="Q2553" i="2"/>
  <c r="Q2728" i="2"/>
  <c r="P2542" i="2"/>
  <c r="Q2542" i="2"/>
  <c r="Q2718" i="2"/>
  <c r="P1579" i="2"/>
  <c r="Q1579" i="2"/>
  <c r="Q1754" i="2"/>
  <c r="P2517" i="2"/>
  <c r="Q2517" i="2"/>
  <c r="Q1457" i="2"/>
  <c r="P2497" i="2"/>
  <c r="Q2497" i="2"/>
  <c r="Q2708" i="2"/>
  <c r="P622" i="2"/>
  <c r="Q622" i="2"/>
  <c r="Q659" i="2"/>
  <c r="P250" i="2"/>
  <c r="Q250" i="2"/>
  <c r="Q284" i="2"/>
  <c r="P2463" i="2"/>
  <c r="Q2463" i="2"/>
  <c r="Q960" i="2"/>
  <c r="P490" i="2"/>
  <c r="Q490" i="2"/>
  <c r="Q502" i="2"/>
  <c r="P2432" i="2"/>
  <c r="Q2432" i="2"/>
  <c r="Q1755" i="2"/>
  <c r="Q2415" i="2"/>
  <c r="P2415" i="2"/>
  <c r="Q2687" i="2"/>
  <c r="P2394" i="2"/>
  <c r="Q2394" i="2"/>
  <c r="R2394" i="2"/>
  <c r="R2883" i="2"/>
  <c r="P488" i="2"/>
  <c r="Q488" i="2"/>
  <c r="Q500" i="2"/>
  <c r="P345" i="2"/>
  <c r="Q345" i="2"/>
  <c r="R345" i="2"/>
  <c r="R355" i="2"/>
  <c r="P2352" i="2"/>
  <c r="Q2352" i="2"/>
  <c r="Q1135" i="2"/>
  <c r="P2338" i="2"/>
  <c r="Q2338" i="2"/>
  <c r="R2338" i="2"/>
  <c r="R673" i="2"/>
  <c r="P414" i="2"/>
  <c r="Q414" i="2"/>
  <c r="Q495" i="2"/>
  <c r="P2307" i="2"/>
  <c r="Q2307" i="2"/>
  <c r="Q2641" i="2"/>
  <c r="P2282" i="2"/>
  <c r="Q2282" i="2"/>
  <c r="Q2621" i="2"/>
  <c r="P2270" i="2"/>
  <c r="Q2270" i="2"/>
  <c r="Q1053" i="2"/>
  <c r="Q1208" i="2"/>
  <c r="Q1221" i="2"/>
  <c r="P937" i="2"/>
  <c r="Q937" i="2"/>
  <c r="Q1041" i="2"/>
  <c r="P1118" i="2"/>
  <c r="Q1118" i="2"/>
  <c r="Q1334" i="2"/>
  <c r="P2018" i="2"/>
  <c r="Q2018" i="2"/>
  <c r="Q2191" i="2"/>
  <c r="P869" i="2"/>
  <c r="Q869" i="2"/>
  <c r="Q2195" i="2"/>
  <c r="P1990" i="2"/>
  <c r="Q1990" i="2"/>
  <c r="Q2206" i="2"/>
  <c r="P1008" i="2"/>
  <c r="Q1008" i="2"/>
  <c r="Q2194" i="2"/>
  <c r="P1962" i="2"/>
  <c r="Q1962" i="2"/>
  <c r="Q2144" i="2"/>
  <c r="P1525" i="2"/>
  <c r="Q1525" i="2"/>
  <c r="Q1538" i="2"/>
  <c r="Q1935" i="2"/>
  <c r="P1935" i="2"/>
  <c r="Q2155" i="2"/>
  <c r="P1883" i="2"/>
  <c r="Q1883" i="2"/>
  <c r="Q2078" i="2"/>
  <c r="P85" i="2"/>
  <c r="Q85" i="2"/>
  <c r="R85" i="2"/>
  <c r="P71" i="2"/>
  <c r="Q71" i="2"/>
  <c r="R71" i="2"/>
  <c r="R2023" i="2"/>
  <c r="R2190" i="2"/>
  <c r="R2451" i="2"/>
  <c r="R2695" i="2"/>
  <c r="R2919" i="2"/>
  <c r="P1178" i="2"/>
  <c r="Q1178" i="2"/>
  <c r="R1178" i="2"/>
  <c r="R1012" i="2"/>
  <c r="R2200" i="2"/>
  <c r="R2462" i="2"/>
  <c r="R2689" i="2"/>
  <c r="R2904" i="2"/>
  <c r="P1630" i="2"/>
  <c r="Q1630" i="2"/>
  <c r="R1630" i="2"/>
  <c r="R1527" i="2"/>
  <c r="R1636" i="2"/>
  <c r="R2432" i="2"/>
  <c r="R1755" i="2"/>
  <c r="R1608" i="2"/>
  <c r="P1814" i="2"/>
  <c r="Q1814" i="2"/>
  <c r="R1909" i="2"/>
  <c r="R1814" i="2"/>
  <c r="R2132" i="2"/>
  <c r="R2356" i="2"/>
  <c r="R2678" i="2"/>
  <c r="R2764" i="2"/>
  <c r="P442" i="2"/>
  <c r="Q442" i="2"/>
  <c r="R442" i="2"/>
  <c r="R411" i="2"/>
  <c r="R481" i="2"/>
  <c r="R487" i="2"/>
  <c r="R499" i="2"/>
  <c r="R439" i="2"/>
  <c r="P1150" i="2"/>
  <c r="Q1150" i="2"/>
  <c r="R1150" i="2"/>
  <c r="R1194" i="2"/>
  <c r="R1322" i="2"/>
  <c r="R1346" i="2"/>
  <c r="R1368" i="2"/>
  <c r="R1249" i="2"/>
  <c r="P1625" i="2"/>
  <c r="Q1625" i="2"/>
  <c r="P2934" i="2"/>
  <c r="Q2934" i="2"/>
  <c r="P509" i="2"/>
  <c r="Q509" i="2"/>
  <c r="P2914" i="2"/>
  <c r="Q2914" i="2"/>
  <c r="P2908" i="2"/>
  <c r="Q2908" i="2"/>
  <c r="P2886" i="2"/>
  <c r="Q2886" i="2"/>
  <c r="P2882" i="2"/>
  <c r="Q2882" i="2"/>
  <c r="P462" i="2"/>
  <c r="Q462" i="2"/>
  <c r="P1465" i="2"/>
  <c r="Q1465" i="2"/>
  <c r="P2853" i="2"/>
  <c r="Q2853" i="2"/>
  <c r="P1610" i="2"/>
  <c r="Q1610" i="2"/>
  <c r="P675" i="2"/>
  <c r="Q675" i="2"/>
  <c r="P2831" i="2"/>
  <c r="Q2831" i="2"/>
  <c r="P1463" i="2"/>
  <c r="Q1463" i="2"/>
  <c r="P1704" i="2"/>
  <c r="Q1704" i="2"/>
  <c r="P1404" i="2"/>
  <c r="Q1404" i="2"/>
  <c r="P2780" i="2"/>
  <c r="Q2780" i="2"/>
  <c r="P317" i="2"/>
  <c r="Q317" i="2"/>
  <c r="P1701" i="2"/>
  <c r="Q1701" i="2"/>
  <c r="P2743" i="2"/>
  <c r="Q2743" i="2"/>
  <c r="R802" i="2"/>
  <c r="P796" i="2"/>
  <c r="Q796" i="2"/>
  <c r="R796" i="2"/>
  <c r="R839" i="2"/>
  <c r="P2541" i="2"/>
  <c r="Q2541" i="2"/>
  <c r="Q962" i="2"/>
  <c r="P2534" i="2"/>
  <c r="Q2534" i="2"/>
  <c r="Q1655" i="2"/>
  <c r="P1361" i="2"/>
  <c r="Q1361" i="2"/>
  <c r="Q1279" i="2"/>
  <c r="P2523" i="2"/>
  <c r="Q2523" i="2"/>
  <c r="Q2675" i="2"/>
  <c r="P2515" i="2"/>
  <c r="Q2515" i="2"/>
  <c r="Q1456" i="2"/>
  <c r="P2506" i="2"/>
  <c r="Q2506" i="2"/>
  <c r="R2506" i="2"/>
  <c r="R2942" i="2"/>
  <c r="P2498" i="2"/>
  <c r="Q2498" i="2"/>
  <c r="Q2707" i="2"/>
  <c r="P2493" i="2"/>
  <c r="Q2493" i="2"/>
  <c r="R2493" i="2"/>
  <c r="R1095" i="2"/>
  <c r="P2487" i="2"/>
  <c r="Q2487" i="2"/>
  <c r="Q1758" i="2"/>
  <c r="R1573" i="2"/>
  <c r="P1573" i="2"/>
  <c r="Q1573" i="2"/>
  <c r="P2469" i="2"/>
  <c r="Q2469" i="2"/>
  <c r="Q2701" i="2"/>
  <c r="P2464" i="2"/>
  <c r="Q2464" i="2"/>
  <c r="R2464" i="2"/>
  <c r="R2837" i="2"/>
  <c r="P2457" i="2"/>
  <c r="Q2457" i="2"/>
  <c r="Q1139" i="2"/>
  <c r="P2449" i="2"/>
  <c r="Q2449" i="2"/>
  <c r="Q2694" i="2"/>
  <c r="P348" i="2"/>
  <c r="Q348" i="2"/>
  <c r="R348" i="2"/>
  <c r="R358" i="2"/>
  <c r="P2425" i="2"/>
  <c r="Q2425" i="2"/>
  <c r="Q2623" i="2"/>
  <c r="P2410" i="2"/>
  <c r="Q2410" i="2"/>
  <c r="Q851" i="2"/>
  <c r="P2403" i="2"/>
  <c r="Q2403" i="2"/>
  <c r="Q1652" i="2"/>
  <c r="P2396" i="2"/>
  <c r="Q2396" i="2"/>
  <c r="R2396" i="2"/>
  <c r="P2381" i="2"/>
  <c r="Q2381" i="2"/>
  <c r="R2381" i="2"/>
  <c r="R2861" i="2"/>
  <c r="P2372" i="2"/>
  <c r="Q2372" i="2"/>
  <c r="P487" i="2"/>
  <c r="Q487" i="2"/>
  <c r="Q499" i="2"/>
  <c r="Q2348" i="2"/>
  <c r="P2348" i="2"/>
  <c r="Q2655" i="2"/>
  <c r="Q2341" i="2"/>
  <c r="R2341" i="2"/>
  <c r="P2341" i="2"/>
  <c r="P2329" i="2"/>
  <c r="Q2329" i="2"/>
  <c r="Q1650" i="2"/>
  <c r="P772" i="2"/>
  <c r="Q772" i="2"/>
  <c r="Q949" i="2"/>
  <c r="Q771" i="2"/>
  <c r="P771" i="2"/>
  <c r="Q2650" i="2"/>
  <c r="P2305" i="2"/>
  <c r="Q2305" i="2"/>
  <c r="Q947" i="2"/>
  <c r="P2295" i="2"/>
  <c r="Q2295" i="2"/>
  <c r="R2295" i="2"/>
  <c r="P2286" i="2"/>
  <c r="Q2286" i="2"/>
  <c r="Q943" i="2"/>
  <c r="Q235" i="2"/>
  <c r="P235" i="2"/>
  <c r="Q276" i="2"/>
  <c r="P2267" i="2"/>
  <c r="Q2267" i="2"/>
  <c r="Q2610" i="2"/>
  <c r="Q2258" i="2"/>
  <c r="P2258" i="2"/>
  <c r="Q2601" i="2"/>
  <c r="P2193" i="2"/>
  <c r="R2907" i="2"/>
  <c r="P1019" i="2"/>
  <c r="Q1019" i="2"/>
  <c r="Q2219" i="2"/>
  <c r="P1317" i="2"/>
  <c r="Q1317" i="2"/>
  <c r="Q1425" i="2"/>
  <c r="P371" i="2"/>
  <c r="Q371" i="2"/>
  <c r="P387" i="2"/>
  <c r="Q387" i="2"/>
  <c r="Q405" i="2"/>
  <c r="P458" i="2"/>
  <c r="Q458" i="2"/>
  <c r="P119" i="2"/>
  <c r="Q119" i="2"/>
  <c r="Q212" i="2"/>
  <c r="P1116" i="2"/>
  <c r="Q1116" i="2"/>
  <c r="Q1333" i="2"/>
  <c r="P770" i="2"/>
  <c r="Q770" i="2"/>
  <c r="P1445" i="2"/>
  <c r="Q1445" i="2"/>
  <c r="R1445" i="2"/>
  <c r="R1572" i="2"/>
  <c r="P1201" i="2"/>
  <c r="Q1201" i="2"/>
  <c r="P2003" i="2"/>
  <c r="Q2003" i="2"/>
  <c r="Q2156" i="2"/>
  <c r="P925" i="2"/>
  <c r="Q925" i="2"/>
  <c r="Q1035" i="2"/>
  <c r="P554" i="2"/>
  <c r="Q554" i="2"/>
  <c r="Q585" i="2"/>
  <c r="P1988" i="2"/>
  <c r="Q1988" i="2"/>
  <c r="P1983" i="2"/>
  <c r="Q1983" i="2"/>
  <c r="P413" i="2"/>
  <c r="Q413" i="2"/>
  <c r="Q460" i="2"/>
  <c r="P731" i="2"/>
  <c r="Q731" i="2"/>
  <c r="Q2192" i="2"/>
  <c r="P116" i="2"/>
  <c r="Q116" i="2"/>
  <c r="Q227" i="2"/>
  <c r="Q1005" i="2"/>
  <c r="P1005" i="2"/>
  <c r="Q1214" i="2"/>
  <c r="Q1684" i="2"/>
  <c r="P1684" i="2"/>
  <c r="Q2138" i="2"/>
  <c r="R1951" i="2"/>
  <c r="P1951" i="2"/>
  <c r="Q1951" i="2"/>
  <c r="Q2122" i="2"/>
  <c r="R2122" i="2"/>
  <c r="P398" i="2"/>
  <c r="Q398" i="2"/>
  <c r="Q480" i="2"/>
  <c r="P543" i="2"/>
  <c r="Q543" i="2"/>
  <c r="Q574" i="2"/>
  <c r="P110" i="2"/>
  <c r="Q110" i="2"/>
  <c r="Q207" i="2"/>
  <c r="P1921" i="2"/>
  <c r="Q1921" i="2"/>
  <c r="Q2145" i="2"/>
  <c r="P764" i="2"/>
  <c r="Q764" i="2"/>
  <c r="P107" i="2"/>
  <c r="Q107" i="2"/>
  <c r="Q202" i="2"/>
  <c r="P729" i="2"/>
  <c r="Q729" i="2"/>
  <c r="Q2151" i="2"/>
  <c r="P1901" i="2"/>
  <c r="Q1901" i="2"/>
  <c r="R1901" i="2"/>
  <c r="Q2071" i="2"/>
  <c r="R2071" i="2"/>
  <c r="P1679" i="2"/>
  <c r="Q1679" i="2"/>
  <c r="Q2084" i="2"/>
  <c r="P1887" i="2"/>
  <c r="Q1887" i="2"/>
  <c r="Q2082" i="2"/>
  <c r="P1878" i="2"/>
  <c r="Q1878" i="2"/>
  <c r="P1731" i="2"/>
  <c r="Q1731" i="2"/>
  <c r="Q2062" i="2"/>
  <c r="R509" i="2"/>
  <c r="R337" i="2"/>
  <c r="R1661" i="2"/>
  <c r="R2913" i="2"/>
  <c r="Q752" i="2"/>
  <c r="R752" i="2"/>
  <c r="P752" i="2"/>
  <c r="R932" i="2"/>
  <c r="R1042" i="2"/>
  <c r="R2390" i="2"/>
  <c r="R2697" i="2"/>
  <c r="R968" i="2"/>
  <c r="R1658" i="2"/>
  <c r="Q1171" i="2"/>
  <c r="R1171" i="2"/>
  <c r="P1171" i="2"/>
  <c r="R1001" i="2"/>
  <c r="R2169" i="2"/>
  <c r="R2345" i="2"/>
  <c r="R1236" i="2"/>
  <c r="R2777" i="2"/>
  <c r="R2851" i="2"/>
  <c r="R2958" i="2"/>
  <c r="R2943" i="2"/>
  <c r="Q829" i="2"/>
  <c r="P975" i="2"/>
  <c r="R1099" i="2"/>
  <c r="R976" i="2"/>
  <c r="R392" i="2"/>
  <c r="R2872" i="2"/>
  <c r="R408" i="2"/>
  <c r="P2944" i="2"/>
  <c r="Q2944" i="2"/>
  <c r="P408" i="2"/>
  <c r="Q408" i="2"/>
  <c r="P825" i="2"/>
  <c r="Q825" i="2"/>
  <c r="P2862" i="2"/>
  <c r="Q2862" i="2"/>
  <c r="P326" i="2"/>
  <c r="Q326" i="2"/>
  <c r="P2764" i="2"/>
  <c r="Q2764" i="2"/>
  <c r="Q2578" i="2"/>
  <c r="Q856" i="2"/>
  <c r="Q2561" i="2"/>
  <c r="Q2711" i="2"/>
  <c r="P2540" i="2"/>
  <c r="Q2540" i="2"/>
  <c r="Q812" i="2"/>
  <c r="P2529" i="2"/>
  <c r="Q2529" i="2"/>
  <c r="Q1601" i="2"/>
  <c r="P1576" i="2"/>
  <c r="Q1576" i="2"/>
  <c r="R1576" i="2"/>
  <c r="R1628" i="2"/>
  <c r="Q2450" i="2"/>
  <c r="R2450" i="2"/>
  <c r="P2450" i="2"/>
  <c r="P2441" i="2"/>
  <c r="Q2441" i="2"/>
  <c r="Q1697" i="2"/>
  <c r="P2431" i="2"/>
  <c r="Q2431" i="2"/>
  <c r="R2431" i="2"/>
  <c r="R2889" i="2"/>
  <c r="P2413" i="2"/>
  <c r="Q2413" i="2"/>
  <c r="Q2679" i="2"/>
  <c r="P2393" i="2"/>
  <c r="Q2393" i="2"/>
  <c r="R2393" i="2"/>
  <c r="R2855" i="2"/>
  <c r="P1561" i="2"/>
  <c r="Q1561" i="2"/>
  <c r="Q2661" i="2"/>
  <c r="P2365" i="2"/>
  <c r="Q2365" i="2"/>
  <c r="Q1592" i="2"/>
  <c r="P344" i="2"/>
  <c r="R344" i="2"/>
  <c r="Q344" i="2"/>
  <c r="R353" i="2"/>
  <c r="P2321" i="2"/>
  <c r="Q2321" i="2"/>
  <c r="Q2632" i="2"/>
  <c r="P1339" i="2"/>
  <c r="Q1339" i="2"/>
  <c r="Q2647" i="2"/>
  <c r="P2264" i="2"/>
  <c r="Q2264" i="2"/>
  <c r="Q2611" i="2"/>
  <c r="P1687" i="2"/>
  <c r="Q1687" i="2"/>
  <c r="Q2234" i="2"/>
  <c r="P1447" i="2"/>
  <c r="Q1447" i="2"/>
  <c r="R1447" i="2"/>
  <c r="R1581" i="2"/>
  <c r="Q1479" i="2"/>
  <c r="R1479" i="2"/>
  <c r="P1479" i="2"/>
  <c r="P1738" i="2"/>
  <c r="Q1738" i="2"/>
  <c r="Q1541" i="2"/>
  <c r="P112" i="2"/>
  <c r="Q112" i="2"/>
  <c r="Q206" i="2"/>
  <c r="P1918" i="2"/>
  <c r="Q1918" i="2"/>
  <c r="Q2080" i="2"/>
  <c r="P1522" i="2"/>
  <c r="Q1522" i="2"/>
  <c r="Q1537" i="2"/>
  <c r="P1881" i="2"/>
  <c r="Q1881" i="2"/>
  <c r="Q2059" i="2"/>
  <c r="P1865" i="2"/>
  <c r="Q1865" i="2"/>
  <c r="Q2055" i="2"/>
  <c r="P1110" i="2"/>
  <c r="Q1110" i="2"/>
  <c r="R1110" i="2"/>
  <c r="R934" i="2"/>
  <c r="R1128" i="2"/>
  <c r="R2547" i="2"/>
  <c r="R1240" i="2"/>
  <c r="Q758" i="2"/>
  <c r="R758" i="2"/>
  <c r="P758" i="2"/>
  <c r="R936" i="2"/>
  <c r="R1040" i="2"/>
  <c r="R2490" i="2"/>
  <c r="R2713" i="2"/>
  <c r="R975" i="2"/>
  <c r="P909" i="2"/>
  <c r="Q909" i="2"/>
  <c r="R1904" i="2"/>
  <c r="R909" i="2"/>
  <c r="R2494" i="2"/>
  <c r="R1066" i="2"/>
  <c r="R2834" i="2"/>
  <c r="P702" i="2"/>
  <c r="Q702" i="2"/>
  <c r="R702" i="2"/>
  <c r="P60" i="2"/>
  <c r="R60" i="2"/>
  <c r="Q60" i="2"/>
  <c r="R1997" i="2"/>
  <c r="R2180" i="2"/>
  <c r="R2401" i="2"/>
  <c r="R2680" i="2"/>
  <c r="R2885" i="2"/>
  <c r="P1436" i="2"/>
  <c r="Q1436" i="2"/>
  <c r="R1436" i="2"/>
  <c r="R1266" i="2"/>
  <c r="R1326" i="2"/>
  <c r="R1561" i="2"/>
  <c r="R2661" i="2"/>
  <c r="R1409" i="2"/>
  <c r="P736" i="2"/>
  <c r="Q736" i="2"/>
  <c r="R736" i="2"/>
  <c r="R729" i="2"/>
  <c r="R2151" i="2"/>
  <c r="R2376" i="2"/>
  <c r="R1059" i="2"/>
  <c r="R822" i="2"/>
  <c r="P1780" i="2"/>
  <c r="Q1780" i="2"/>
  <c r="R1780" i="2"/>
  <c r="R863" i="2"/>
  <c r="R1024" i="2"/>
  <c r="R2312" i="2"/>
  <c r="R1058" i="2"/>
  <c r="R2805" i="2"/>
  <c r="R1676" i="2"/>
  <c r="R2051" i="2"/>
  <c r="R2257" i="2"/>
  <c r="R2600" i="2"/>
  <c r="R1700" i="2"/>
  <c r="P1105" i="2"/>
  <c r="R919" i="2"/>
  <c r="R2095" i="2"/>
  <c r="R2291" i="2"/>
  <c r="R2633" i="2"/>
  <c r="R2802" i="2"/>
  <c r="P1283" i="2"/>
  <c r="Q1283" i="2"/>
  <c r="P1141" i="2"/>
  <c r="Q1141" i="2"/>
  <c r="P1095" i="2"/>
  <c r="Q1095" i="2"/>
  <c r="P1619" i="2"/>
  <c r="Q1619" i="2"/>
  <c r="P2898" i="2"/>
  <c r="Q2898" i="2"/>
  <c r="P2888" i="2"/>
  <c r="Q2888" i="2"/>
  <c r="P690" i="2"/>
  <c r="Q690" i="2"/>
  <c r="P1083" i="2"/>
  <c r="Q1083" i="2"/>
  <c r="P1466" i="2"/>
  <c r="Q1466" i="2"/>
  <c r="P328" i="2"/>
  <c r="Q328" i="2"/>
  <c r="P2820" i="2"/>
  <c r="Q2820" i="2"/>
  <c r="P2804" i="2"/>
  <c r="Q2804" i="2"/>
  <c r="P968" i="2"/>
  <c r="Q968" i="2"/>
  <c r="P2763" i="2"/>
  <c r="Q2763" i="2"/>
  <c r="Q2752" i="2"/>
  <c r="P2752" i="2"/>
  <c r="P2549" i="2"/>
  <c r="Q1459" i="2"/>
  <c r="Q2549" i="2"/>
  <c r="P2538" i="2"/>
  <c r="Q2538" i="2"/>
  <c r="Q1699" i="2"/>
  <c r="P791" i="2"/>
  <c r="Q791" i="2"/>
  <c r="R791" i="2"/>
  <c r="R827" i="2"/>
  <c r="P2512" i="2"/>
  <c r="Q2512" i="2"/>
  <c r="R2512" i="2"/>
  <c r="R2940" i="2"/>
  <c r="P2496" i="2"/>
  <c r="Q2496" i="2"/>
  <c r="R2496" i="2"/>
  <c r="R2932" i="2"/>
  <c r="P1574" i="2"/>
  <c r="Q1574" i="2"/>
  <c r="R1574" i="2"/>
  <c r="P2473" i="2"/>
  <c r="Q2473" i="2"/>
  <c r="Q1385" i="2"/>
  <c r="P1352" i="2"/>
  <c r="Q1352" i="2"/>
  <c r="Q1387" i="2"/>
  <c r="P422" i="2"/>
  <c r="Q422" i="2"/>
  <c r="Q427" i="2"/>
  <c r="Q2430" i="2"/>
  <c r="P2430" i="2"/>
  <c r="Q2669" i="2"/>
  <c r="P2409" i="2"/>
  <c r="Q2409" i="2"/>
  <c r="Q1061" i="2"/>
  <c r="P2362" i="2"/>
  <c r="Q2362" i="2"/>
  <c r="Q2644" i="2"/>
  <c r="P19" i="2"/>
  <c r="Q19" i="2"/>
  <c r="R19" i="2"/>
  <c r="R23" i="2"/>
  <c r="P2320" i="2"/>
  <c r="Q2320" i="2"/>
  <c r="Q2628" i="2"/>
  <c r="P339" i="2"/>
  <c r="Q339" i="2"/>
  <c r="R339" i="2"/>
  <c r="R349" i="2"/>
  <c r="P1551" i="2"/>
  <c r="Q1551" i="2"/>
  <c r="Q2604" i="2"/>
  <c r="P1117" i="2"/>
  <c r="Q1117" i="2"/>
  <c r="Q1219" i="2"/>
  <c r="P2016" i="2"/>
  <c r="Q2016" i="2"/>
  <c r="Q2235" i="2"/>
  <c r="P452" i="2"/>
  <c r="Q452" i="2"/>
  <c r="R452" i="2"/>
  <c r="P847" i="2"/>
  <c r="Q847" i="2"/>
  <c r="P1476" i="2"/>
  <c r="Q1476" i="2"/>
  <c r="Q1634" i="2"/>
  <c r="P1917" i="2"/>
  <c r="Q1917" i="2"/>
  <c r="Q2086" i="2"/>
  <c r="P763" i="2"/>
  <c r="Q763" i="2"/>
  <c r="P1876" i="2"/>
  <c r="Q1876" i="2"/>
  <c r="Q2063" i="2"/>
  <c r="P1263" i="2"/>
  <c r="Q1263" i="2"/>
  <c r="Q1319" i="2"/>
  <c r="P1187" i="2"/>
  <c r="Q1187" i="2"/>
  <c r="R1187" i="2"/>
  <c r="R1018" i="2"/>
  <c r="R2232" i="2"/>
  <c r="R2527" i="2"/>
  <c r="R2726" i="2"/>
  <c r="R1096" i="2"/>
  <c r="R1845" i="2"/>
  <c r="P1845" i="2"/>
  <c r="Q1845" i="2"/>
  <c r="R2024" i="2"/>
  <c r="R2218" i="2"/>
  <c r="R2720" i="2"/>
  <c r="R2554" i="2"/>
  <c r="R2944" i="2"/>
  <c r="P703" i="2"/>
  <c r="Q703" i="2"/>
  <c r="R703" i="2"/>
  <c r="P717" i="2"/>
  <c r="Q717" i="2"/>
  <c r="R717" i="2"/>
  <c r="R1033" i="2"/>
  <c r="R868" i="2"/>
  <c r="R2522" i="2"/>
  <c r="R957" i="2"/>
  <c r="R2892" i="2"/>
  <c r="P1176" i="2"/>
  <c r="Q1176" i="2"/>
  <c r="R1176" i="2"/>
  <c r="R1883" i="2"/>
  <c r="R2078" i="2"/>
  <c r="R2475" i="2"/>
  <c r="R1227" i="2"/>
  <c r="R2800" i="2"/>
  <c r="P58" i="2"/>
  <c r="Q58" i="2"/>
  <c r="R58" i="2"/>
  <c r="P51" i="2"/>
  <c r="Q51" i="2"/>
  <c r="R51" i="2"/>
  <c r="R1920" i="2"/>
  <c r="R2130" i="2"/>
  <c r="R2391" i="2"/>
  <c r="R1233" i="2"/>
  <c r="R2877" i="2"/>
  <c r="P1813" i="2"/>
  <c r="Q1813" i="2"/>
  <c r="R1813" i="2"/>
  <c r="R1981" i="2"/>
  <c r="R2150" i="2"/>
  <c r="R2375" i="2"/>
  <c r="R1651" i="2"/>
  <c r="R2827" i="2"/>
  <c r="P1470" i="2"/>
  <c r="R1470" i="2"/>
  <c r="Q1470" i="2"/>
  <c r="R1311" i="2"/>
  <c r="R1488" i="2"/>
  <c r="R1554" i="2"/>
  <c r="R1495" i="2"/>
  <c r="R1404" i="2"/>
  <c r="P1792" i="2"/>
  <c r="R1792" i="2"/>
  <c r="Q1792" i="2"/>
  <c r="R1902" i="2"/>
  <c r="R2083" i="2"/>
  <c r="R2317" i="2"/>
  <c r="R2643" i="2"/>
  <c r="R2761" i="2"/>
  <c r="P1778" i="2"/>
  <c r="Q1778" i="2"/>
  <c r="R1778" i="2"/>
  <c r="R861" i="2"/>
  <c r="R2076" i="2"/>
  <c r="R2278" i="2"/>
  <c r="R944" i="2"/>
  <c r="R2752" i="2"/>
  <c r="P2919" i="2"/>
  <c r="Q2919" i="2"/>
  <c r="P2901" i="2"/>
  <c r="Q2901" i="2"/>
  <c r="P504" i="2"/>
  <c r="Q504" i="2"/>
  <c r="P356" i="2"/>
  <c r="Q356" i="2"/>
  <c r="Q887" i="2"/>
  <c r="P887" i="2"/>
  <c r="P2790" i="2"/>
  <c r="Q2790" i="2"/>
  <c r="P1403" i="2"/>
  <c r="Q1403" i="2"/>
  <c r="Q2759" i="2"/>
  <c r="P2759" i="2"/>
  <c r="P257" i="2"/>
  <c r="Q257" i="2"/>
  <c r="Q296" i="2"/>
  <c r="P2528" i="2"/>
  <c r="Q2528" i="2"/>
  <c r="Q2690" i="2"/>
  <c r="Q786" i="2"/>
  <c r="R786" i="2"/>
  <c r="P786" i="2"/>
  <c r="R840" i="2"/>
  <c r="P2448" i="2"/>
  <c r="Q2448" i="2"/>
  <c r="Q1383" i="2"/>
  <c r="P1569" i="2"/>
  <c r="Q1569" i="2"/>
  <c r="Q1598" i="2"/>
  <c r="P2437" i="2"/>
  <c r="Q2437" i="2"/>
  <c r="Q1065" i="2"/>
  <c r="P1566" i="2"/>
  <c r="Q1566" i="2"/>
  <c r="R1566" i="2"/>
  <c r="R1617" i="2"/>
  <c r="P605" i="2"/>
  <c r="Q605" i="2"/>
  <c r="Q645" i="2"/>
  <c r="P2386" i="2"/>
  <c r="Q2386" i="2"/>
  <c r="Q2672" i="2"/>
  <c r="P418" i="2"/>
  <c r="Q418" i="2"/>
  <c r="Q498" i="2"/>
  <c r="P2364" i="2"/>
  <c r="Q2364" i="2"/>
  <c r="R2364" i="2"/>
  <c r="R2826" i="2"/>
  <c r="P2335" i="2"/>
  <c r="Q2335" i="2"/>
  <c r="Q950" i="2"/>
  <c r="P1557" i="2"/>
  <c r="Q1557" i="2"/>
  <c r="R1557" i="2"/>
  <c r="R2844" i="2"/>
  <c r="P2303" i="2"/>
  <c r="Q2303" i="2"/>
  <c r="Q945" i="2"/>
  <c r="P2293" i="2"/>
  <c r="Q2293" i="2"/>
  <c r="Q1746" i="2"/>
  <c r="P2265" i="2"/>
  <c r="Q2265" i="2"/>
  <c r="Q1131" i="2"/>
  <c r="P2256" i="2"/>
  <c r="Q2256" i="2"/>
  <c r="Q2599" i="2"/>
  <c r="P2031" i="2"/>
  <c r="Q2031" i="2"/>
  <c r="Q2233" i="2"/>
  <c r="P931" i="2"/>
  <c r="Q931" i="2"/>
  <c r="Q1039" i="2"/>
  <c r="P400" i="2"/>
  <c r="Q400" i="2"/>
  <c r="Q403" i="2"/>
  <c r="P386" i="2"/>
  <c r="Q404" i="2"/>
  <c r="Q386" i="2"/>
  <c r="P2021" i="2"/>
  <c r="Q2021" i="2"/>
  <c r="Q2181" i="2"/>
  <c r="P2014" i="2"/>
  <c r="Q2014" i="2"/>
  <c r="Q2227" i="2"/>
  <c r="P560" i="2"/>
  <c r="Q560" i="2"/>
  <c r="Q589" i="2"/>
  <c r="P870" i="2"/>
  <c r="Q870" i="2"/>
  <c r="Q1032" i="2"/>
  <c r="P2002" i="2"/>
  <c r="Q2002" i="2"/>
  <c r="Q2164" i="2"/>
  <c r="P1997" i="2"/>
  <c r="Q1997" i="2"/>
  <c r="Q2180" i="2"/>
  <c r="P1010" i="2"/>
  <c r="Q1010" i="2"/>
  <c r="Q2170" i="2"/>
  <c r="P1530" i="2"/>
  <c r="Q1530" i="2"/>
  <c r="Q1641" i="2"/>
  <c r="P1981" i="2"/>
  <c r="Q1981" i="2"/>
  <c r="Q2150" i="2"/>
  <c r="P1975" i="2"/>
  <c r="Q1975" i="2"/>
  <c r="P1971" i="2"/>
  <c r="Q1971" i="2"/>
  <c r="Q2212" i="2"/>
  <c r="P411" i="2"/>
  <c r="Q411" i="2"/>
  <c r="Q481" i="2"/>
  <c r="P1313" i="2"/>
  <c r="Q1313" i="2"/>
  <c r="Q1422" i="2"/>
  <c r="R1411" i="2"/>
  <c r="P1003" i="2"/>
  <c r="Q1003" i="2"/>
  <c r="Q2174" i="2"/>
  <c r="P549" i="2"/>
  <c r="Q549" i="2"/>
  <c r="Q583" i="2"/>
  <c r="P1950" i="2"/>
  <c r="Q1950" i="2"/>
  <c r="Q1031" i="2"/>
  <c r="P846" i="2"/>
  <c r="Q846" i="2"/>
  <c r="Q545" i="2"/>
  <c r="P545" i="2"/>
  <c r="Q573" i="2"/>
  <c r="P1934" i="2"/>
  <c r="Q1934" i="2"/>
  <c r="Q2141" i="2"/>
  <c r="Q1928" i="2"/>
  <c r="P1928" i="2"/>
  <c r="Q2088" i="2"/>
  <c r="P1195" i="2"/>
  <c r="Q1195" i="2"/>
  <c r="Q1325" i="2"/>
  <c r="P396" i="2"/>
  <c r="Q396" i="2"/>
  <c r="Q477" i="2"/>
  <c r="R1911" i="2"/>
  <c r="P1911" i="2"/>
  <c r="Q1911" i="2"/>
  <c r="P1680" i="2"/>
  <c r="Q1680" i="2"/>
  <c r="Q2092" i="2"/>
  <c r="P1733" i="2"/>
  <c r="Q1733" i="2"/>
  <c r="Q1487" i="2"/>
  <c r="P1894" i="2"/>
  <c r="Q1894" i="2"/>
  <c r="Q2079" i="2"/>
  <c r="P1885" i="2"/>
  <c r="Q1885" i="2"/>
  <c r="P1678" i="2"/>
  <c r="Q1678" i="2"/>
  <c r="Q2066" i="2"/>
  <c r="Q1874" i="2"/>
  <c r="P1874" i="2"/>
  <c r="Q2075" i="2"/>
  <c r="Q1868" i="2"/>
  <c r="P1868" i="2"/>
  <c r="R1868" i="2"/>
  <c r="R2606" i="2"/>
  <c r="R95" i="2"/>
  <c r="R2048" i="2"/>
  <c r="R2208" i="2"/>
  <c r="R2583" i="2"/>
  <c r="R2738" i="2"/>
  <c r="R2934" i="2"/>
  <c r="Q1303" i="2"/>
  <c r="R1303" i="2"/>
  <c r="P1303" i="2"/>
  <c r="R1317" i="2"/>
  <c r="R1425" i="2"/>
  <c r="R1459" i="2"/>
  <c r="R2549" i="2"/>
  <c r="R1414" i="2"/>
  <c r="Q1519" i="2"/>
  <c r="R1519" i="2"/>
  <c r="P1519" i="2"/>
  <c r="R1449" i="2"/>
  <c r="R1645" i="2"/>
  <c r="R1657" i="2"/>
  <c r="R1585" i="2"/>
  <c r="Q1729" i="2"/>
  <c r="R1729" i="2"/>
  <c r="P1729" i="2"/>
  <c r="R1531" i="2"/>
  <c r="R1694" i="2"/>
  <c r="R1579" i="2"/>
  <c r="R1754" i="2"/>
  <c r="R1622" i="2"/>
  <c r="R1185" i="2"/>
  <c r="P1185" i="2"/>
  <c r="Q1185" i="2"/>
  <c r="R1019" i="2"/>
  <c r="R2219" i="2"/>
  <c r="R2542" i="2"/>
  <c r="R2718" i="2"/>
  <c r="R1102" i="2"/>
  <c r="P86" i="2"/>
  <c r="Q86" i="2"/>
  <c r="R86" i="2"/>
  <c r="R1968" i="2"/>
  <c r="R2175" i="2"/>
  <c r="R2524" i="2"/>
  <c r="R1275" i="2"/>
  <c r="R2923" i="2"/>
  <c r="P27" i="2"/>
  <c r="Q27" i="2"/>
  <c r="R27" i="2"/>
  <c r="R80" i="2"/>
  <c r="P80" i="2"/>
  <c r="Q80" i="2"/>
  <c r="P756" i="2"/>
  <c r="Q756" i="2"/>
  <c r="R756" i="2"/>
  <c r="R930" i="2"/>
  <c r="R1038" i="2"/>
  <c r="R2461" i="2"/>
  <c r="R2700" i="2"/>
  <c r="R972" i="2"/>
  <c r="R992" i="2"/>
  <c r="Q992" i="2"/>
  <c r="P992" i="2"/>
  <c r="R2018" i="2"/>
  <c r="R2191" i="2"/>
  <c r="R2516" i="2"/>
  <c r="R964" i="2"/>
  <c r="R2893" i="2"/>
  <c r="R536" i="2"/>
  <c r="P536" i="2"/>
  <c r="Q536" i="2"/>
  <c r="R561" i="2"/>
  <c r="R588" i="2"/>
  <c r="R613" i="2"/>
  <c r="R642" i="2"/>
  <c r="R690" i="2"/>
  <c r="R1515" i="2"/>
  <c r="P1515" i="2"/>
  <c r="Q1515" i="2"/>
  <c r="R1442" i="2"/>
  <c r="R1548" i="2"/>
  <c r="R1568" i="2"/>
  <c r="R1600" i="2"/>
  <c r="R1461" i="2"/>
  <c r="R1180" i="2"/>
  <c r="P1180" i="2"/>
  <c r="Q1180" i="2"/>
  <c r="R1200" i="2"/>
  <c r="R1355" i="2"/>
  <c r="R1278" i="2"/>
  <c r="R1074" i="2"/>
  <c r="P1673" i="2"/>
  <c r="Q1673" i="2"/>
  <c r="R1673" i="2"/>
  <c r="R1689" i="2"/>
  <c r="R2247" i="2"/>
  <c r="R1363" i="2"/>
  <c r="R2731" i="2"/>
  <c r="R1720" i="2"/>
  <c r="Q751" i="2"/>
  <c r="P751" i="2"/>
  <c r="R751" i="2"/>
  <c r="R1993" i="2"/>
  <c r="R2204" i="2"/>
  <c r="R2478" i="2"/>
  <c r="R854" i="2"/>
  <c r="R2905" i="2"/>
  <c r="P749" i="2"/>
  <c r="Q749" i="2"/>
  <c r="R749" i="2"/>
  <c r="R928" i="2"/>
  <c r="R2445" i="2"/>
  <c r="R725" i="2"/>
  <c r="R1252" i="2"/>
  <c r="Q1830" i="2"/>
  <c r="P1830" i="2"/>
  <c r="R1830" i="2"/>
  <c r="R871" i="2"/>
  <c r="R2224" i="2"/>
  <c r="R2491" i="2"/>
  <c r="R963" i="2"/>
  <c r="R2901" i="2"/>
  <c r="P906" i="2"/>
  <c r="Q906" i="2"/>
  <c r="R906" i="2"/>
  <c r="R1114" i="2"/>
  <c r="R1211" i="2"/>
  <c r="R2552" i="2"/>
  <c r="R2670" i="2"/>
  <c r="R1142" i="2"/>
  <c r="Q1173" i="2"/>
  <c r="R1173" i="2"/>
  <c r="P1173" i="2"/>
  <c r="R1204" i="2"/>
  <c r="R1332" i="2"/>
  <c r="R1358" i="2"/>
  <c r="R1384" i="2"/>
  <c r="R1258" i="2"/>
  <c r="P746" i="2"/>
  <c r="Q746" i="2"/>
  <c r="R746" i="2"/>
  <c r="R769" i="2"/>
  <c r="R2540" i="2"/>
  <c r="R812" i="2"/>
  <c r="R2926" i="2"/>
  <c r="Q1819" i="2"/>
  <c r="R1819" i="2"/>
  <c r="P1819" i="2"/>
  <c r="R2020" i="2"/>
  <c r="R2168" i="2"/>
  <c r="R2443" i="2"/>
  <c r="R2693" i="2"/>
  <c r="R2874" i="2"/>
  <c r="P987" i="2"/>
  <c r="Q987" i="2"/>
  <c r="R987" i="2"/>
  <c r="R2006" i="2"/>
  <c r="R2163" i="2"/>
  <c r="R2422" i="2"/>
  <c r="R959" i="2"/>
  <c r="R2767" i="2"/>
  <c r="Q17" i="2"/>
  <c r="R17" i="2"/>
  <c r="P17" i="2"/>
  <c r="P1816" i="2"/>
  <c r="Q1816" i="2"/>
  <c r="R1816" i="2"/>
  <c r="R1940" i="2"/>
  <c r="R2189" i="2"/>
  <c r="R2369" i="2"/>
  <c r="R2663" i="2"/>
  <c r="R2795" i="2"/>
  <c r="Q48" i="2"/>
  <c r="R48" i="2"/>
  <c r="P48" i="2"/>
  <c r="R1925" i="2"/>
  <c r="R2340" i="2"/>
  <c r="R1498" i="2"/>
  <c r="P47" i="2"/>
  <c r="Q47" i="2"/>
  <c r="R47" i="2"/>
  <c r="R1934" i="2"/>
  <c r="R2141" i="2"/>
  <c r="R2378" i="2"/>
  <c r="R2668" i="2"/>
  <c r="R2882" i="2"/>
  <c r="Q1669" i="2"/>
  <c r="R1669" i="2"/>
  <c r="P1669" i="2"/>
  <c r="R1522" i="2"/>
  <c r="R1537" i="2"/>
  <c r="R2330" i="2"/>
  <c r="R1748" i="2"/>
  <c r="R1607" i="2"/>
  <c r="P1806" i="2"/>
  <c r="Q1806" i="2"/>
  <c r="R1806" i="2"/>
  <c r="R2002" i="2"/>
  <c r="R2164" i="2"/>
  <c r="R2411" i="2"/>
  <c r="R955" i="2"/>
  <c r="R2890" i="2"/>
  <c r="Q1805" i="2"/>
  <c r="R1805" i="2"/>
  <c r="P1805" i="2"/>
  <c r="R1933" i="2"/>
  <c r="R2113" i="2"/>
  <c r="R2302" i="2"/>
  <c r="R2763" i="2"/>
  <c r="R2640" i="2"/>
  <c r="P441" i="2"/>
  <c r="Q441" i="2"/>
  <c r="R441" i="2"/>
  <c r="R396" i="2"/>
  <c r="R477" i="2"/>
  <c r="R417" i="2"/>
  <c r="R497" i="2"/>
  <c r="R432" i="2"/>
  <c r="Q466" i="2"/>
  <c r="R466" i="2"/>
  <c r="P466" i="2"/>
  <c r="P165" i="2"/>
  <c r="Q165" i="2"/>
  <c r="R165" i="2"/>
  <c r="R112" i="2"/>
  <c r="R206" i="2"/>
  <c r="R252" i="2"/>
  <c r="R289" i="2"/>
  <c r="R332" i="2"/>
  <c r="R1794" i="2"/>
  <c r="P1794" i="2"/>
  <c r="Q1794" i="2"/>
  <c r="R1882" i="2"/>
  <c r="R2114" i="2"/>
  <c r="R2311" i="2"/>
  <c r="R2625" i="2"/>
  <c r="R2779" i="2"/>
  <c r="P1788" i="2"/>
  <c r="Q1788" i="2"/>
  <c r="R1788" i="2"/>
  <c r="R1912" i="2"/>
  <c r="R2105" i="2"/>
  <c r="R2287" i="2"/>
  <c r="R2760" i="2"/>
  <c r="R2656" i="2"/>
  <c r="P1784" i="2"/>
  <c r="Q1784" i="2"/>
  <c r="R1784" i="2"/>
  <c r="R1938" i="2"/>
  <c r="R2201" i="2"/>
  <c r="R2449" i="2"/>
  <c r="R2694" i="2"/>
  <c r="R2870" i="2"/>
  <c r="P161" i="2"/>
  <c r="Q161" i="2"/>
  <c r="R161" i="2"/>
  <c r="R103" i="2"/>
  <c r="R198" i="2"/>
  <c r="R240" i="2"/>
  <c r="R279" i="2"/>
  <c r="R319" i="2"/>
  <c r="R1779" i="2"/>
  <c r="P1779" i="2"/>
  <c r="R1898" i="2"/>
  <c r="Q1779" i="2"/>
  <c r="R2074" i="2"/>
  <c r="R2264" i="2"/>
  <c r="R2758" i="2"/>
  <c r="R2611" i="2"/>
  <c r="Q733" i="2"/>
  <c r="R733" i="2"/>
  <c r="P733" i="2"/>
  <c r="R1900" i="2"/>
  <c r="R2093" i="2"/>
  <c r="R771" i="2"/>
  <c r="R2650" i="2"/>
  <c r="R2793" i="2"/>
  <c r="R381" i="2"/>
  <c r="Q978" i="2"/>
  <c r="R2941" i="2"/>
  <c r="R2922" i="2"/>
  <c r="P1261" i="2"/>
  <c r="Q1261" i="2"/>
  <c r="P2939" i="2"/>
  <c r="Q2939" i="2"/>
  <c r="Q1253" i="2"/>
  <c r="P1253" i="2"/>
  <c r="P1084" i="2"/>
  <c r="Q1084" i="2"/>
  <c r="P2842" i="2"/>
  <c r="Q2842" i="2"/>
  <c r="Q674" i="2"/>
  <c r="P674" i="2"/>
  <c r="P886" i="2"/>
  <c r="Q886" i="2"/>
  <c r="P884" i="2"/>
  <c r="Q884" i="2"/>
  <c r="P1400" i="2"/>
  <c r="Q1400" i="2"/>
  <c r="P1343" i="2"/>
  <c r="Q1343" i="2"/>
  <c r="Q2657" i="2"/>
  <c r="P1970" i="2"/>
  <c r="Q1970" i="2"/>
  <c r="Q2184" i="2"/>
  <c r="P1763" i="2"/>
  <c r="R1864" i="2"/>
  <c r="R2052" i="2"/>
  <c r="R2260" i="2"/>
  <c r="R2607" i="2"/>
  <c r="R2744" i="2"/>
  <c r="P158" i="2"/>
  <c r="R106" i="2"/>
  <c r="R200" i="2"/>
  <c r="R235" i="2"/>
  <c r="R276" i="2"/>
  <c r="R317" i="2"/>
  <c r="P380" i="2"/>
  <c r="Q380" i="2"/>
  <c r="P831" i="2"/>
  <c r="Q831" i="2"/>
  <c r="P1411" i="2"/>
  <c r="Q1411" i="2"/>
  <c r="P693" i="2"/>
  <c r="Q693" i="2"/>
  <c r="P689" i="2"/>
  <c r="Q689" i="2"/>
  <c r="P683" i="2"/>
  <c r="Q683" i="2"/>
  <c r="P1078" i="2"/>
  <c r="Q1078" i="2"/>
  <c r="P2849" i="2"/>
  <c r="Q2849" i="2"/>
  <c r="P2840" i="2"/>
  <c r="Q2840" i="2"/>
  <c r="P2835" i="2"/>
  <c r="Q2835" i="2"/>
  <c r="P1073" i="2"/>
  <c r="Q1073" i="2"/>
  <c r="P2792" i="2"/>
  <c r="Q2792" i="2"/>
  <c r="P2771" i="2"/>
  <c r="Q2771" i="2"/>
  <c r="P2762" i="2"/>
  <c r="Q2762" i="2"/>
  <c r="Q2750" i="2"/>
  <c r="P2750" i="2"/>
  <c r="P2547" i="2"/>
  <c r="Q2547" i="2"/>
  <c r="Q1240" i="2"/>
  <c r="P2537" i="2"/>
  <c r="Q2537" i="2"/>
  <c r="Q2725" i="2"/>
  <c r="P2527" i="2"/>
  <c r="Q2527" i="2"/>
  <c r="Q2726" i="2"/>
  <c r="P2511" i="2"/>
  <c r="Q2511" i="2"/>
  <c r="R2511" i="2"/>
  <c r="R2921" i="2"/>
  <c r="P2461" i="2"/>
  <c r="Q2461" i="2"/>
  <c r="Q2700" i="2"/>
  <c r="P244" i="2"/>
  <c r="Q244" i="2"/>
  <c r="Q285" i="2"/>
  <c r="P2391" i="2"/>
  <c r="Q2391" i="2"/>
  <c r="Q1233" i="2"/>
  <c r="P2379" i="2"/>
  <c r="Q2379" i="2"/>
  <c r="Q2674" i="2"/>
  <c r="P2361" i="2"/>
  <c r="Q2361" i="2"/>
  <c r="Q879" i="2"/>
  <c r="P2346" i="2"/>
  <c r="Q2346" i="2"/>
  <c r="Q2658" i="2"/>
  <c r="P563" i="2"/>
  <c r="Q563" i="2"/>
  <c r="Q592" i="2"/>
  <c r="R694" i="2"/>
  <c r="P2027" i="2"/>
  <c r="Q2027" i="2"/>
  <c r="Q2230" i="2"/>
  <c r="P926" i="2"/>
  <c r="Q926" i="2"/>
  <c r="Q1127" i="2"/>
  <c r="P557" i="2"/>
  <c r="Q557" i="2"/>
  <c r="Q587" i="2"/>
  <c r="P1987" i="2"/>
  <c r="Q1987" i="2"/>
  <c r="P1002" i="2"/>
  <c r="Q1002" i="2"/>
  <c r="R1002" i="2"/>
  <c r="R2372" i="2"/>
  <c r="P1949" i="2"/>
  <c r="Q1949" i="2"/>
  <c r="Q2135" i="2"/>
  <c r="P1933" i="2"/>
  <c r="Q1933" i="2"/>
  <c r="Q2113" i="2"/>
  <c r="P728" i="2"/>
  <c r="Q728" i="2"/>
  <c r="Q2107" i="2"/>
  <c r="Q99" i="2"/>
  <c r="P99" i="2"/>
  <c r="Q194" i="2"/>
  <c r="P760" i="2"/>
  <c r="Q760" i="2"/>
  <c r="R760" i="2"/>
  <c r="R935" i="2"/>
  <c r="R2489" i="2"/>
  <c r="R727" i="2"/>
  <c r="R1257" i="2"/>
  <c r="Q898" i="2"/>
  <c r="R898" i="2"/>
  <c r="P898" i="2"/>
  <c r="P11" i="2"/>
  <c r="Q11" i="2"/>
  <c r="R11" i="2"/>
  <c r="P67" i="2"/>
  <c r="R67" i="2"/>
  <c r="Q67" i="2"/>
  <c r="P1822" i="2"/>
  <c r="Q1822" i="2"/>
  <c r="R1822" i="2"/>
  <c r="R1960" i="2"/>
  <c r="R2153" i="2"/>
  <c r="R2346" i="2"/>
  <c r="R2658" i="2"/>
  <c r="R2848" i="2"/>
  <c r="P1811" i="2"/>
  <c r="Q1811" i="2"/>
  <c r="R1811" i="2"/>
  <c r="R1970" i="2"/>
  <c r="R2184" i="2"/>
  <c r="R2354" i="2"/>
  <c r="R2685" i="2"/>
  <c r="R2801" i="2"/>
  <c r="P738" i="2"/>
  <c r="Q738" i="2"/>
  <c r="R738" i="2"/>
  <c r="R730" i="2"/>
  <c r="R2160" i="2"/>
  <c r="R2409" i="2"/>
  <c r="R1061" i="2"/>
  <c r="R823" i="2"/>
  <c r="P1149" i="2"/>
  <c r="Q1149" i="2"/>
  <c r="R1149" i="2"/>
  <c r="R995" i="2"/>
  <c r="R2094" i="2"/>
  <c r="R2320" i="2"/>
  <c r="R2628" i="2"/>
  <c r="R2818" i="2"/>
  <c r="P1776" i="2"/>
  <c r="Q1776" i="2"/>
  <c r="R1776" i="2"/>
  <c r="R1876" i="2"/>
  <c r="R2063" i="2"/>
  <c r="R2274" i="2"/>
  <c r="R2619" i="2"/>
  <c r="R2751" i="2"/>
  <c r="P2926" i="2"/>
  <c r="Q2926" i="2"/>
  <c r="P1093" i="2"/>
  <c r="Q1093" i="2"/>
  <c r="P329" i="2"/>
  <c r="Q329" i="2"/>
  <c r="P23" i="2"/>
  <c r="Q23" i="2"/>
  <c r="P671" i="2"/>
  <c r="Q671" i="2"/>
  <c r="P2684" i="2"/>
  <c r="Q2684" i="2"/>
  <c r="P2548" i="2"/>
  <c r="Q2548" i="2"/>
  <c r="Q1276" i="2"/>
  <c r="P2539" i="2"/>
  <c r="Q2539" i="2"/>
  <c r="Q2703" i="2"/>
  <c r="P2513" i="2"/>
  <c r="Q2513" i="2"/>
  <c r="Q1698" i="2"/>
  <c r="P2486" i="2"/>
  <c r="Q2486" i="2"/>
  <c r="Q1388" i="2"/>
  <c r="P1355" i="2"/>
  <c r="Q1355" i="2"/>
  <c r="Q1278" i="2"/>
  <c r="P1049" i="2"/>
  <c r="Q1049" i="2"/>
  <c r="R1049" i="2"/>
  <c r="R2879" i="2"/>
  <c r="P2454" i="2"/>
  <c r="Q2454" i="2"/>
  <c r="Q1501" i="2"/>
  <c r="Q2688" i="2"/>
  <c r="P2408" i="2"/>
  <c r="Q2408" i="2"/>
  <c r="Q852" i="2"/>
  <c r="P2363" i="2"/>
  <c r="Q2363" i="2"/>
  <c r="Q2648" i="2"/>
  <c r="P773" i="2"/>
  <c r="Q773" i="2"/>
  <c r="R773" i="2"/>
  <c r="R379" i="2"/>
  <c r="P343" i="2"/>
  <c r="R343" i="2"/>
  <c r="Q343" i="2"/>
  <c r="R352" i="2"/>
  <c r="P2312" i="2"/>
  <c r="Q2312" i="2"/>
  <c r="Q1058" i="2"/>
  <c r="P2283" i="2"/>
  <c r="Q2283" i="2"/>
  <c r="Q1494" i="2"/>
  <c r="P2275" i="2"/>
  <c r="Q2275" i="2"/>
  <c r="Q1132" i="2"/>
  <c r="Q476" i="2"/>
  <c r="Q483" i="2"/>
  <c r="P2020" i="2"/>
  <c r="Q2020" i="2"/>
  <c r="Q2168" i="2"/>
  <c r="P551" i="2"/>
  <c r="Q551" i="2"/>
  <c r="Q582" i="2"/>
  <c r="P115" i="2"/>
  <c r="Q115" i="2"/>
  <c r="Q209" i="2"/>
  <c r="P1939" i="2"/>
  <c r="Q1939" i="2"/>
  <c r="Q1030" i="2"/>
  <c r="P111" i="2"/>
  <c r="Q111" i="2"/>
  <c r="Q208" i="2"/>
  <c r="P1927" i="2"/>
  <c r="Q1927" i="2"/>
  <c r="Q2116" i="2"/>
  <c r="P109" i="2"/>
  <c r="Q109" i="2"/>
  <c r="Q204" i="2"/>
  <c r="P1915" i="2"/>
  <c r="Q1915" i="2"/>
  <c r="Q1026" i="2"/>
  <c r="P1910" i="2"/>
  <c r="Q1910" i="2"/>
  <c r="Q2118" i="2"/>
  <c r="P1893" i="2"/>
  <c r="Q1893" i="2"/>
  <c r="R916" i="2"/>
  <c r="R1122" i="2"/>
  <c r="R1224" i="2"/>
  <c r="R2553" i="2"/>
  <c r="R2728" i="2"/>
  <c r="P1854" i="2"/>
  <c r="Q1854" i="2"/>
  <c r="R1854" i="2"/>
  <c r="R1744" i="2"/>
  <c r="R2249" i="2"/>
  <c r="R2736" i="2"/>
  <c r="R2594" i="2"/>
  <c r="R2954" i="2"/>
  <c r="P369" i="2"/>
  <c r="Q369" i="2"/>
  <c r="R369" i="2"/>
  <c r="R371" i="2"/>
  <c r="R375" i="2"/>
  <c r="R373" i="2"/>
  <c r="R380" i="2"/>
  <c r="R911" i="2"/>
  <c r="P911" i="2"/>
  <c r="Q911" i="2"/>
  <c r="R931" i="2"/>
  <c r="R1039" i="2"/>
  <c r="R2457" i="2"/>
  <c r="R1139" i="2"/>
  <c r="R973" i="2"/>
  <c r="R1295" i="2"/>
  <c r="P1295" i="2"/>
  <c r="Q1295" i="2"/>
  <c r="R1315" i="2"/>
  <c r="R1423" i="2"/>
  <c r="R2508" i="2"/>
  <c r="R1458" i="2"/>
  <c r="R1413" i="2"/>
  <c r="P1839" i="2"/>
  <c r="Q1839" i="2"/>
  <c r="R1839" i="2"/>
  <c r="R2000" i="2"/>
  <c r="R2225" i="2"/>
  <c r="R2469" i="2"/>
  <c r="R2701" i="2"/>
  <c r="R2840" i="2"/>
  <c r="P74" i="2"/>
  <c r="Q74" i="2"/>
  <c r="R74" i="2"/>
  <c r="R1996" i="2"/>
  <c r="R2171" i="2"/>
  <c r="R2448" i="2"/>
  <c r="R1383" i="2"/>
  <c r="R2917" i="2"/>
  <c r="P176" i="2"/>
  <c r="Q176" i="2"/>
  <c r="R176" i="2"/>
  <c r="R116" i="2"/>
  <c r="R227" i="2"/>
  <c r="R245" i="2"/>
  <c r="R292" i="2"/>
  <c r="R326" i="2"/>
  <c r="P1179" i="2"/>
  <c r="R1179" i="2"/>
  <c r="Q1179" i="2"/>
  <c r="R1015" i="2"/>
  <c r="R2198" i="2"/>
  <c r="R1276" i="2"/>
  <c r="R2548" i="2"/>
  <c r="R1100" i="2"/>
  <c r="P15" i="2"/>
  <c r="Q15" i="2"/>
  <c r="R15" i="2"/>
  <c r="P363" i="2"/>
  <c r="Q363" i="2"/>
  <c r="R363" i="2"/>
  <c r="R542" i="2"/>
  <c r="R572" i="2"/>
  <c r="R610" i="2"/>
  <c r="R643" i="2"/>
  <c r="R678" i="2"/>
  <c r="P447" i="2"/>
  <c r="Q447" i="2"/>
  <c r="R447" i="2"/>
  <c r="R410" i="2"/>
  <c r="R459" i="2"/>
  <c r="R490" i="2"/>
  <c r="R502" i="2"/>
  <c r="R504" i="2"/>
  <c r="P7" i="2"/>
  <c r="Q7" i="2"/>
  <c r="R7" i="2"/>
  <c r="P170" i="2"/>
  <c r="Q170" i="2"/>
  <c r="R170" i="2"/>
  <c r="R132" i="2"/>
  <c r="R231" i="2"/>
  <c r="R271" i="2"/>
  <c r="R300" i="2"/>
  <c r="R146" i="2"/>
  <c r="P1160" i="2"/>
  <c r="Q1160" i="2"/>
  <c r="R1160" i="2"/>
  <c r="R1000" i="2"/>
  <c r="R2136" i="2"/>
  <c r="R2363" i="2"/>
  <c r="R2648" i="2"/>
  <c r="R2857" i="2"/>
  <c r="P44" i="2"/>
  <c r="Q44" i="2"/>
  <c r="R44" i="2"/>
  <c r="R1890" i="2"/>
  <c r="R2073" i="2"/>
  <c r="R2388" i="2"/>
  <c r="R1696" i="2"/>
  <c r="R2869" i="2"/>
  <c r="P1804" i="2"/>
  <c r="Q1804" i="2"/>
  <c r="R1804" i="2"/>
  <c r="R1734" i="2"/>
  <c r="R1540" i="2"/>
  <c r="R2423" i="2"/>
  <c r="R1594" i="2"/>
  <c r="R2845" i="2"/>
  <c r="P1668" i="2"/>
  <c r="Q1668" i="2"/>
  <c r="R1668" i="2"/>
  <c r="R1684" i="2"/>
  <c r="R2138" i="2"/>
  <c r="R1347" i="2"/>
  <c r="R2665" i="2"/>
  <c r="R1708" i="2"/>
  <c r="P1797" i="2"/>
  <c r="R1797" i="2"/>
  <c r="Q1797" i="2"/>
  <c r="R1955" i="2"/>
  <c r="R2128" i="2"/>
  <c r="R2292" i="2"/>
  <c r="R2638" i="2"/>
  <c r="R2796" i="2"/>
  <c r="P1781" i="2"/>
  <c r="R1781" i="2"/>
  <c r="Q1781" i="2"/>
  <c r="R1892" i="2"/>
  <c r="R2067" i="2"/>
  <c r="R2267" i="2"/>
  <c r="R2610" i="2"/>
  <c r="R2754" i="2"/>
  <c r="P980" i="2"/>
  <c r="Q980" i="2"/>
  <c r="R980" i="2"/>
  <c r="R1880" i="2"/>
  <c r="R2270" i="2"/>
  <c r="R1021" i="2"/>
  <c r="R1053" i="2"/>
  <c r="R881" i="2"/>
  <c r="Q2953" i="2"/>
  <c r="R510" i="2"/>
  <c r="Q2922" i="2"/>
  <c r="Q1091" i="2"/>
  <c r="P696" i="2"/>
  <c r="Q696" i="2"/>
  <c r="P335" i="2"/>
  <c r="Q335" i="2"/>
  <c r="P1255" i="2"/>
  <c r="Q1255" i="2"/>
  <c r="Q2889" i="2"/>
  <c r="P2889" i="2"/>
  <c r="P2872" i="2"/>
  <c r="Q2872" i="2"/>
  <c r="P1248" i="2"/>
  <c r="Q1248" i="2"/>
  <c r="P2836" i="2"/>
  <c r="Q2836" i="2"/>
  <c r="Q2812" i="2"/>
  <c r="P2812" i="2"/>
  <c r="P2794" i="2"/>
  <c r="Q2794" i="2"/>
  <c r="P798" i="2"/>
  <c r="Q798" i="2"/>
  <c r="R798" i="2"/>
  <c r="R838" i="2"/>
  <c r="P491" i="2"/>
  <c r="Q491" i="2"/>
  <c r="R491" i="2"/>
  <c r="P2281" i="2"/>
  <c r="Q2281" i="2"/>
  <c r="P1504" i="2"/>
  <c r="R1730" i="2"/>
  <c r="R1485" i="2"/>
  <c r="R2271" i="2"/>
  <c r="R2759" i="2"/>
  <c r="R1590" i="2"/>
  <c r="P976" i="2"/>
  <c r="Q976" i="2"/>
  <c r="P1258" i="2"/>
  <c r="Q1258" i="2"/>
  <c r="P2909" i="2"/>
  <c r="Q2909" i="2"/>
  <c r="Q357" i="2"/>
  <c r="P357" i="2"/>
  <c r="P505" i="2"/>
  <c r="Q505" i="2"/>
  <c r="P392" i="2"/>
  <c r="Q392" i="2"/>
  <c r="P1712" i="2"/>
  <c r="Q1712" i="2"/>
  <c r="P2817" i="2"/>
  <c r="Q2817" i="2"/>
  <c r="R836" i="2"/>
  <c r="P1360" i="2"/>
  <c r="Q1360" i="2"/>
  <c r="Q1391" i="2"/>
  <c r="P248" i="2"/>
  <c r="Q248" i="2"/>
  <c r="Q291" i="2"/>
  <c r="P2439" i="2"/>
  <c r="Q2439" i="2"/>
  <c r="Q809" i="2"/>
  <c r="P2389" i="2"/>
  <c r="Q2389" i="2"/>
  <c r="Q1063" i="2"/>
  <c r="P2377" i="2"/>
  <c r="Q2377" i="2"/>
  <c r="Q2660" i="2"/>
  <c r="P2336" i="2"/>
  <c r="Q2336" i="2"/>
  <c r="R2336" i="2"/>
  <c r="R670" i="2"/>
  <c r="R336" i="2"/>
  <c r="P1739" i="2"/>
  <c r="Q1739" i="2"/>
  <c r="Q2152" i="2"/>
  <c r="P1931" i="2"/>
  <c r="Q1931" i="2"/>
  <c r="Q2140" i="2"/>
  <c r="P1900" i="2"/>
  <c r="Q1900" i="2"/>
  <c r="Q2093" i="2"/>
  <c r="R97" i="2"/>
  <c r="R2044" i="2"/>
  <c r="R2216" i="2"/>
  <c r="R2567" i="2"/>
  <c r="R2742" i="2"/>
  <c r="R2952" i="2"/>
  <c r="R1844" i="2"/>
  <c r="P1844" i="2"/>
  <c r="Q1844" i="2"/>
  <c r="R2012" i="2"/>
  <c r="R2154" i="2"/>
  <c r="R2518" i="2"/>
  <c r="R2681" i="2"/>
  <c r="R2915" i="2"/>
  <c r="P748" i="2"/>
  <c r="R748" i="2"/>
  <c r="Q748" i="2"/>
  <c r="R767" i="2"/>
  <c r="R2470" i="2"/>
  <c r="R810" i="2"/>
  <c r="R2918" i="2"/>
  <c r="P711" i="2"/>
  <c r="Q711" i="2"/>
  <c r="R711" i="2"/>
  <c r="R1959" i="2"/>
  <c r="R2492" i="2"/>
  <c r="R2691" i="2"/>
  <c r="R2936" i="2"/>
  <c r="P1435" i="2"/>
  <c r="Q1435" i="2"/>
  <c r="R1435" i="2"/>
  <c r="R1265" i="2"/>
  <c r="R1323" i="2"/>
  <c r="R1555" i="2"/>
  <c r="R2635" i="2"/>
  <c r="R1403" i="2"/>
  <c r="P901" i="2"/>
  <c r="Q901" i="2"/>
  <c r="R901" i="2"/>
  <c r="R922" i="2"/>
  <c r="R1025" i="2"/>
  <c r="R2275" i="2"/>
  <c r="R1132" i="2"/>
  <c r="R967" i="2"/>
  <c r="P1775" i="2"/>
  <c r="R1775" i="2"/>
  <c r="Q1775" i="2"/>
  <c r="R1261" i="2"/>
  <c r="Q510" i="2"/>
  <c r="P2899" i="2"/>
  <c r="P2629" i="2"/>
  <c r="Q2629" i="2"/>
  <c r="R2629" i="2"/>
  <c r="R1863" i="2"/>
  <c r="R2050" i="2"/>
  <c r="R2258" i="2"/>
  <c r="R2601" i="2"/>
  <c r="R2745" i="2"/>
  <c r="P157" i="2"/>
  <c r="R104" i="2"/>
  <c r="R199" i="2"/>
  <c r="R241" i="2"/>
  <c r="R318" i="2"/>
  <c r="R281" i="2"/>
  <c r="P841" i="2"/>
  <c r="Q841" i="2"/>
  <c r="P1660" i="2"/>
  <c r="Q1660" i="2"/>
  <c r="P834" i="2"/>
  <c r="Q834" i="2"/>
  <c r="R834" i="2"/>
  <c r="P2932" i="2"/>
  <c r="Q2932" i="2"/>
  <c r="P2925" i="2"/>
  <c r="Q2925" i="2"/>
  <c r="P1094" i="2"/>
  <c r="Q1094" i="2"/>
  <c r="P1429" i="2"/>
  <c r="Q1429" i="2"/>
  <c r="P1088" i="2"/>
  <c r="Q1088" i="2"/>
  <c r="P1252" i="2"/>
  <c r="Q1252" i="2"/>
  <c r="P1251" i="2"/>
  <c r="Q1251" i="2"/>
  <c r="P1615" i="2"/>
  <c r="Q1615" i="2"/>
  <c r="Q1082" i="2"/>
  <c r="P1082" i="2"/>
  <c r="P1080" i="2"/>
  <c r="Q1080" i="2"/>
  <c r="P2868" i="2"/>
  <c r="Q2868" i="2"/>
  <c r="P2858" i="2"/>
  <c r="Q2858" i="2"/>
  <c r="P2847" i="2"/>
  <c r="Q2847" i="2"/>
  <c r="P676" i="2"/>
  <c r="Q676" i="2"/>
  <c r="P2829" i="2"/>
  <c r="Q2829" i="2"/>
  <c r="P325" i="2"/>
  <c r="Q325" i="2"/>
  <c r="Q433" i="2"/>
  <c r="P433" i="2"/>
  <c r="P2788" i="2"/>
  <c r="Q2788" i="2"/>
  <c r="Q321" i="2"/>
  <c r="P321" i="2"/>
  <c r="P2769" i="2"/>
  <c r="Q2769" i="2"/>
  <c r="P319" i="2"/>
  <c r="Q319" i="2"/>
  <c r="P2748" i="2"/>
  <c r="Q2748" i="2"/>
  <c r="P2626" i="2"/>
  <c r="Q2626" i="2"/>
  <c r="P1581" i="2"/>
  <c r="Q1581" i="2"/>
  <c r="P626" i="2"/>
  <c r="Q626" i="2"/>
  <c r="Q660" i="2"/>
  <c r="P2509" i="2"/>
  <c r="Q2509" i="2"/>
  <c r="Q2714" i="2"/>
  <c r="Q2492" i="2"/>
  <c r="P2492" i="2"/>
  <c r="Q2691" i="2"/>
  <c r="P2483" i="2"/>
  <c r="Q2483" i="2"/>
  <c r="R2483" i="2"/>
  <c r="R2938" i="2"/>
  <c r="P2471" i="2"/>
  <c r="Q2471" i="2"/>
  <c r="Q1067" i="2"/>
  <c r="P2459" i="2"/>
  <c r="Q2459" i="2"/>
  <c r="Q1454" i="2"/>
  <c r="P2438" i="2"/>
  <c r="Q2438" i="2"/>
  <c r="P2424" i="2"/>
  <c r="Q2424" i="2"/>
  <c r="Q1372" i="2"/>
  <c r="P1563" i="2"/>
  <c r="Q1563" i="2"/>
  <c r="R1563" i="2"/>
  <c r="R1614" i="2"/>
  <c r="P2375" i="2"/>
  <c r="Q2375" i="2"/>
  <c r="Q1651" i="2"/>
  <c r="P2359" i="2"/>
  <c r="Q2359" i="2"/>
  <c r="Q2664" i="2"/>
  <c r="P1344" i="2"/>
  <c r="Q1344" i="2"/>
  <c r="Q1377" i="2"/>
  <c r="P2334" i="2"/>
  <c r="Q2334" i="2"/>
  <c r="Q1231" i="2"/>
  <c r="P2316" i="2"/>
  <c r="Q2316" i="2"/>
  <c r="R2316" i="2"/>
  <c r="R2781" i="2"/>
  <c r="P2215" i="2"/>
  <c r="R2951" i="2"/>
  <c r="P2034" i="2"/>
  <c r="Q2034" i="2"/>
  <c r="P1017" i="2"/>
  <c r="Q1017" i="2"/>
  <c r="Q2231" i="2"/>
  <c r="P1446" i="2"/>
  <c r="Q1446" i="2"/>
  <c r="Q1637" i="2"/>
  <c r="P1267" i="2"/>
  <c r="Q1267" i="2"/>
  <c r="Q1269" i="2"/>
  <c r="Q1314" i="2"/>
  <c r="P1314" i="2"/>
  <c r="Q1490" i="2"/>
  <c r="P1113" i="2"/>
  <c r="Q1113" i="2"/>
  <c r="Q1215" i="2"/>
  <c r="P1959" i="2"/>
  <c r="Q1959" i="2"/>
  <c r="P546" i="2"/>
  <c r="Q546" i="2"/>
  <c r="Q570" i="2"/>
  <c r="P1899" i="2"/>
  <c r="Q1899" i="2"/>
  <c r="Q2087" i="2"/>
  <c r="Q1875" i="2"/>
  <c r="P1875" i="2"/>
  <c r="Q2057" i="2"/>
  <c r="R96" i="2"/>
  <c r="R2045" i="2"/>
  <c r="R2217" i="2"/>
  <c r="R2568" i="2"/>
  <c r="R1398" i="2"/>
  <c r="R2948" i="2"/>
  <c r="P385" i="2"/>
  <c r="R385" i="2"/>
  <c r="Q385" i="2"/>
  <c r="R389" i="2"/>
  <c r="R406" i="2"/>
  <c r="R423" i="2"/>
  <c r="R429" i="2"/>
  <c r="R391" i="2"/>
  <c r="P1834" i="2"/>
  <c r="Q1834" i="2"/>
  <c r="R1834" i="2"/>
  <c r="R1929" i="2"/>
  <c r="R2159" i="2"/>
  <c r="R2407" i="2"/>
  <c r="R2677" i="2"/>
  <c r="R2797" i="2"/>
  <c r="P907" i="2"/>
  <c r="Q907" i="2"/>
  <c r="R907" i="2"/>
  <c r="R925" i="2"/>
  <c r="R1035" i="2"/>
  <c r="R2357" i="2"/>
  <c r="R1136" i="2"/>
  <c r="R969" i="2"/>
  <c r="P1172" i="2"/>
  <c r="Q1172" i="2"/>
  <c r="R1172" i="2"/>
  <c r="R1942" i="2"/>
  <c r="R2131" i="2"/>
  <c r="R2398" i="2"/>
  <c r="R1137" i="2"/>
  <c r="R1711" i="2"/>
  <c r="P904" i="2"/>
  <c r="Q904" i="2"/>
  <c r="R904" i="2"/>
  <c r="R846" i="2"/>
  <c r="R2392" i="2"/>
  <c r="R958" i="2"/>
  <c r="R884" i="2"/>
  <c r="P742" i="2"/>
  <c r="Q742" i="2"/>
  <c r="R742" i="2"/>
  <c r="R768" i="2"/>
  <c r="R2361" i="2"/>
  <c r="R879" i="2"/>
  <c r="R2867" i="2"/>
  <c r="P1507" i="2"/>
  <c r="Q1507" i="2"/>
  <c r="R1507" i="2"/>
  <c r="R1735" i="2"/>
  <c r="R1489" i="2"/>
  <c r="R2318" i="2"/>
  <c r="R1593" i="2"/>
  <c r="R2783" i="2"/>
  <c r="P32" i="2"/>
  <c r="Q32" i="2"/>
  <c r="R32" i="2"/>
  <c r="R1872" i="2"/>
  <c r="R2070" i="2"/>
  <c r="R2284" i="2"/>
  <c r="R1226" i="2"/>
  <c r="R2769" i="2"/>
  <c r="P1085" i="2"/>
  <c r="Q1085" i="2"/>
  <c r="P2877" i="2"/>
  <c r="Q2877" i="2"/>
  <c r="P2863" i="2"/>
  <c r="Q2863" i="2"/>
  <c r="Q670" i="2"/>
  <c r="P670" i="2"/>
  <c r="P2756" i="2"/>
  <c r="Q2756" i="2"/>
  <c r="P2543" i="2"/>
  <c r="Q1069" i="2"/>
  <c r="Q2543" i="2"/>
  <c r="P2526" i="2"/>
  <c r="Q2526" i="2"/>
  <c r="Q2686" i="2"/>
  <c r="P625" i="2"/>
  <c r="Q625" i="2"/>
  <c r="Q658" i="2"/>
  <c r="Q613" i="2"/>
  <c r="P613" i="2"/>
  <c r="Q642" i="2"/>
  <c r="P246" i="2"/>
  <c r="Q246" i="2"/>
  <c r="Q290" i="2"/>
  <c r="P611" i="2"/>
  <c r="Q611" i="2"/>
  <c r="Q646" i="2"/>
  <c r="P2400" i="2"/>
  <c r="Q2400" i="2"/>
  <c r="R2400" i="2"/>
  <c r="R2842" i="2"/>
  <c r="Q2385" i="2"/>
  <c r="P2385" i="2"/>
  <c r="Q1750" i="2"/>
  <c r="P2369" i="2"/>
  <c r="Q2369" i="2"/>
  <c r="Q2663" i="2"/>
  <c r="P1341" i="2"/>
  <c r="Q1341" i="2"/>
  <c r="Q2659" i="2"/>
  <c r="P2327" i="2"/>
  <c r="Q2327" i="2"/>
  <c r="Q878" i="2"/>
  <c r="P2302" i="2"/>
  <c r="Q2302" i="2"/>
  <c r="Q2640" i="2"/>
  <c r="P2291" i="2"/>
  <c r="Q2291" i="2"/>
  <c r="Q2633" i="2"/>
  <c r="P234" i="2"/>
  <c r="Q234" i="2"/>
  <c r="Q274" i="2"/>
  <c r="P1018" i="2"/>
  <c r="Q1018" i="2"/>
  <c r="Q2232" i="2"/>
  <c r="P930" i="2"/>
  <c r="Q930" i="2"/>
  <c r="Q1038" i="2"/>
  <c r="P2026" i="2"/>
  <c r="Q2026" i="2"/>
  <c r="Q2210" i="2"/>
  <c r="P2023" i="2"/>
  <c r="Q2023" i="2"/>
  <c r="Q2190" i="2"/>
  <c r="P1480" i="2"/>
  <c r="Q1480" i="2"/>
  <c r="Q1638" i="2"/>
  <c r="R1659" i="2"/>
  <c r="P2000" i="2"/>
  <c r="Q2000" i="2"/>
  <c r="Q2225" i="2"/>
  <c r="P1009" i="2"/>
  <c r="R1009" i="2"/>
  <c r="Q1009" i="2"/>
  <c r="R2438" i="2"/>
  <c r="P451" i="2"/>
  <c r="Q451" i="2"/>
  <c r="Q512" i="2"/>
  <c r="P1980" i="2"/>
  <c r="Q1980" i="2"/>
  <c r="Q2203" i="2"/>
  <c r="P552" i="2"/>
  <c r="Q552" i="2"/>
  <c r="Q575" i="2"/>
  <c r="P1312" i="2"/>
  <c r="Q1312" i="2"/>
  <c r="Q1421" i="2"/>
  <c r="P1196" i="2"/>
  <c r="Q1196" i="2"/>
  <c r="Q1327" i="2"/>
  <c r="P1946" i="2"/>
  <c r="Q1946" i="2"/>
  <c r="Q2127" i="2"/>
  <c r="P1938" i="2"/>
  <c r="Q1938" i="2"/>
  <c r="Q2201" i="2"/>
  <c r="P845" i="2"/>
  <c r="Q845" i="2"/>
  <c r="P1308" i="2"/>
  <c r="Q1308" i="2"/>
  <c r="Q1418" i="2"/>
  <c r="R1406" i="2"/>
  <c r="P995" i="2"/>
  <c r="Q995" i="2"/>
  <c r="Q2094" i="2"/>
  <c r="P1884" i="2"/>
  <c r="Q1884" i="2"/>
  <c r="Q2077" i="2"/>
  <c r="P104" i="2"/>
  <c r="Q104" i="2"/>
  <c r="Q199" i="2"/>
  <c r="P1521" i="2"/>
  <c r="Q1521" i="2"/>
  <c r="Q1534" i="2"/>
  <c r="P1302" i="2"/>
  <c r="Q1302" i="2"/>
  <c r="R1302" i="2"/>
  <c r="R1207" i="2"/>
  <c r="R1218" i="2"/>
  <c r="R2558" i="2"/>
  <c r="R1392" i="2"/>
  <c r="R1260" i="2"/>
  <c r="P1851" i="2"/>
  <c r="Q1851" i="2"/>
  <c r="R1851" i="2"/>
  <c r="R2031" i="2"/>
  <c r="R2233" i="2"/>
  <c r="R2576" i="2"/>
  <c r="R857" i="2"/>
  <c r="R2953" i="2"/>
  <c r="P1184" i="2"/>
  <c r="Q1184" i="2"/>
  <c r="R1184" i="2"/>
  <c r="R1203" i="2"/>
  <c r="R1361" i="2"/>
  <c r="R1279" i="2"/>
  <c r="R1075" i="2"/>
  <c r="P360" i="2"/>
  <c r="Q360" i="2"/>
  <c r="R360" i="2"/>
  <c r="R559" i="2"/>
  <c r="R590" i="2"/>
  <c r="R623" i="2"/>
  <c r="R655" i="2"/>
  <c r="R683" i="2"/>
  <c r="P1293" i="2"/>
  <c r="Q1293" i="2"/>
  <c r="R1293" i="2"/>
  <c r="R1120" i="2"/>
  <c r="R1335" i="2"/>
  <c r="R1352" i="2"/>
  <c r="R1387" i="2"/>
  <c r="R1076" i="2"/>
  <c r="P30" i="2"/>
  <c r="R30" i="2"/>
  <c r="Q30" i="2"/>
  <c r="P990" i="2"/>
  <c r="Q990" i="2"/>
  <c r="R990" i="2"/>
  <c r="R2003" i="2"/>
  <c r="R2156" i="2"/>
  <c r="R2463" i="2"/>
  <c r="R960" i="2"/>
  <c r="R2822" i="2"/>
  <c r="P531" i="2"/>
  <c r="R531" i="2"/>
  <c r="Q531" i="2"/>
  <c r="R551" i="2"/>
  <c r="R582" i="2"/>
  <c r="R603" i="2"/>
  <c r="R641" i="2"/>
  <c r="R691" i="2"/>
  <c r="R1956" i="2"/>
  <c r="P745" i="2"/>
  <c r="Q745" i="2"/>
  <c r="R745" i="2"/>
  <c r="R1980" i="2"/>
  <c r="R2203" i="2"/>
  <c r="R2456" i="2"/>
  <c r="R853" i="2"/>
  <c r="R2846" i="2"/>
  <c r="P524" i="2"/>
  <c r="R524" i="2"/>
  <c r="Q524" i="2"/>
  <c r="R451" i="2"/>
  <c r="R512" i="2"/>
  <c r="R617" i="2"/>
  <c r="R656" i="2"/>
  <c r="R463" i="2"/>
  <c r="P985" i="2"/>
  <c r="R985" i="2"/>
  <c r="Q985" i="2"/>
  <c r="R1924" i="2"/>
  <c r="R1028" i="2"/>
  <c r="R2389" i="2"/>
  <c r="R1063" i="2"/>
  <c r="R890" i="2"/>
  <c r="P1166" i="2"/>
  <c r="Q1166" i="2"/>
  <c r="R1166" i="2"/>
  <c r="R1198" i="2"/>
  <c r="R1330" i="2"/>
  <c r="R1345" i="2"/>
  <c r="R1376" i="2"/>
  <c r="R1248" i="2"/>
  <c r="P1107" i="2"/>
  <c r="Q1107" i="2"/>
  <c r="R1107" i="2"/>
  <c r="R923" i="2"/>
  <c r="R1126" i="2"/>
  <c r="R2428" i="2"/>
  <c r="R1234" i="2"/>
  <c r="R974" i="2"/>
  <c r="P517" i="2"/>
  <c r="Q517" i="2"/>
  <c r="R517" i="2"/>
  <c r="R556" i="2"/>
  <c r="R597" i="2"/>
  <c r="R618" i="2"/>
  <c r="R657" i="2"/>
  <c r="R693" i="2"/>
  <c r="P708" i="2"/>
  <c r="R708" i="2"/>
  <c r="Q708" i="2"/>
  <c r="P1793" i="2"/>
  <c r="Q1793" i="2"/>
  <c r="R1793" i="2"/>
  <c r="R1732" i="2"/>
  <c r="R1536" i="2"/>
  <c r="R2365" i="2"/>
  <c r="R1592" i="2"/>
  <c r="R2791" i="2"/>
  <c r="P1667" i="2"/>
  <c r="Q1667" i="2"/>
  <c r="R1667" i="2"/>
  <c r="R1524" i="2"/>
  <c r="R1692" i="2"/>
  <c r="R2351" i="2"/>
  <c r="R1751" i="2"/>
  <c r="R1713" i="2"/>
  <c r="P1666" i="2"/>
  <c r="Q1666" i="2"/>
  <c r="R1666" i="2"/>
  <c r="R1521" i="2"/>
  <c r="R1534" i="2"/>
  <c r="R2293" i="2"/>
  <c r="R1746" i="2"/>
  <c r="R1602" i="2"/>
  <c r="P1777" i="2"/>
  <c r="Q1777" i="2"/>
  <c r="R1777" i="2"/>
  <c r="R1680" i="2"/>
  <c r="R2092" i="2"/>
  <c r="R2321" i="2"/>
  <c r="R2632" i="2"/>
  <c r="R1705" i="2"/>
  <c r="R2975" i="2"/>
  <c r="R1626" i="2"/>
  <c r="P2532" i="2"/>
  <c r="Q2532" i="2"/>
  <c r="Q2683" i="2"/>
  <c r="P1050" i="2"/>
  <c r="Q1050" i="2"/>
  <c r="R1050" i="2"/>
  <c r="P253" i="2"/>
  <c r="Q253" i="2"/>
  <c r="Q295" i="2"/>
  <c r="P1356" i="2"/>
  <c r="Q1356" i="2"/>
  <c r="Q2702" i="2"/>
  <c r="P2462" i="2"/>
  <c r="Q2462" i="2"/>
  <c r="Q2689" i="2"/>
  <c r="P1353" i="2"/>
  <c r="Q1353" i="2"/>
  <c r="Q1378" i="2"/>
  <c r="R2387" i="2"/>
  <c r="P2387" i="2"/>
  <c r="Q2387" i="2"/>
  <c r="R1083" i="2"/>
  <c r="P2319" i="2"/>
  <c r="Q2319" i="2"/>
  <c r="Q2642" i="2"/>
  <c r="Q1199" i="2"/>
  <c r="P1199" i="2"/>
  <c r="Q1329" i="2"/>
  <c r="P117" i="2"/>
  <c r="Q117" i="2"/>
  <c r="Q226" i="2"/>
  <c r="P999" i="2"/>
  <c r="Q999" i="2"/>
  <c r="Q1213" i="2"/>
  <c r="P997" i="2"/>
  <c r="Q997" i="2"/>
  <c r="Q2091" i="2"/>
  <c r="P1306" i="2"/>
  <c r="Q1306" i="2"/>
  <c r="Q1484" i="2"/>
  <c r="Q368" i="2"/>
  <c r="R368" i="2"/>
  <c r="P368" i="2"/>
  <c r="R564" i="2"/>
  <c r="R595" i="2"/>
  <c r="R628" i="2"/>
  <c r="R664" i="2"/>
  <c r="P759" i="2"/>
  <c r="Q759" i="2"/>
  <c r="R759" i="2"/>
  <c r="R933" i="2"/>
  <c r="R2495" i="2"/>
  <c r="R726" i="2"/>
  <c r="R1256" i="2"/>
  <c r="P523" i="2"/>
  <c r="Q523" i="2"/>
  <c r="R523" i="2"/>
  <c r="P443" i="2"/>
  <c r="R443" i="2"/>
  <c r="Q443" i="2"/>
  <c r="R397" i="2"/>
  <c r="R479" i="2"/>
  <c r="R416" i="2"/>
  <c r="R496" i="2"/>
  <c r="R435" i="2"/>
  <c r="P43" i="2"/>
  <c r="Q43" i="2"/>
  <c r="R43" i="2"/>
  <c r="R1903" i="2"/>
  <c r="R2119" i="2"/>
  <c r="R2313" i="2"/>
  <c r="R2639" i="2"/>
  <c r="P981" i="2"/>
  <c r="Q981" i="2"/>
  <c r="R981" i="2"/>
  <c r="R920" i="2"/>
  <c r="R2099" i="2"/>
  <c r="R2306" i="2"/>
  <c r="R1228" i="2"/>
  <c r="R2780" i="2"/>
  <c r="Q1626" i="2"/>
  <c r="Q1257" i="2"/>
  <c r="P2545" i="2"/>
  <c r="Q2545" i="2"/>
  <c r="Q2724" i="2"/>
  <c r="P424" i="2"/>
  <c r="Q424" i="2"/>
  <c r="Q430" i="2"/>
  <c r="P2477" i="2"/>
  <c r="Q2477" i="2"/>
  <c r="Q1756" i="2"/>
  <c r="P615" i="2"/>
  <c r="Q615" i="2"/>
  <c r="Q650" i="2"/>
  <c r="P2423" i="2"/>
  <c r="Q2423" i="2"/>
  <c r="Q1594" i="2"/>
  <c r="P2371" i="2"/>
  <c r="Q2371" i="2"/>
  <c r="R2371" i="2"/>
  <c r="P2360" i="2"/>
  <c r="Q2360" i="2"/>
  <c r="Q2654" i="2"/>
  <c r="Q342" i="2"/>
  <c r="R342" i="2"/>
  <c r="P342" i="2"/>
  <c r="R354" i="2"/>
  <c r="P2272" i="2"/>
  <c r="Q2272" i="2"/>
  <c r="Q2612" i="2"/>
  <c r="P2035" i="2"/>
  <c r="Q2035" i="2"/>
  <c r="P1115" i="2"/>
  <c r="Q1115" i="2"/>
  <c r="Q1331" i="2"/>
  <c r="P1266" i="2"/>
  <c r="Q1266" i="2"/>
  <c r="Q1326" i="2"/>
  <c r="P730" i="2"/>
  <c r="Q730" i="2"/>
  <c r="Q2160" i="2"/>
  <c r="P865" i="2"/>
  <c r="Q865" i="2"/>
  <c r="Q2098" i="2"/>
  <c r="P1892" i="2"/>
  <c r="Q1892" i="2"/>
  <c r="Q2067" i="2"/>
  <c r="P1873" i="2"/>
  <c r="Q1873" i="2"/>
  <c r="Q2060" i="2"/>
  <c r="P1518" i="2"/>
  <c r="Q1518" i="2"/>
  <c r="R1518" i="2"/>
  <c r="R1448" i="2"/>
  <c r="R1642" i="2"/>
  <c r="R1589" i="2"/>
  <c r="R1656" i="2"/>
  <c r="P470" i="2"/>
  <c r="Q470" i="2"/>
  <c r="R470" i="2"/>
  <c r="R475" i="2"/>
  <c r="R484" i="2"/>
  <c r="R2716" i="2"/>
  <c r="R493" i="2"/>
  <c r="P10" i="2"/>
  <c r="R10" i="2"/>
  <c r="Q10" i="2"/>
  <c r="P1827" i="2"/>
  <c r="Q1827" i="2"/>
  <c r="R1827" i="2"/>
  <c r="R1739" i="2"/>
  <c r="R2152" i="2"/>
  <c r="R2362" i="2"/>
  <c r="R2644" i="2"/>
  <c r="R2817" i="2"/>
  <c r="P1167" i="2"/>
  <c r="R1167" i="2"/>
  <c r="Q1167" i="2"/>
  <c r="R999" i="2"/>
  <c r="R1213" i="2"/>
  <c r="R1343" i="2"/>
  <c r="R2657" i="2"/>
  <c r="R1714" i="2"/>
  <c r="R2815" i="2"/>
  <c r="R686" i="2"/>
  <c r="R2835" i="2"/>
  <c r="R328" i="2"/>
  <c r="R2833" i="2"/>
  <c r="Q2828" i="2"/>
  <c r="R2824" i="2"/>
  <c r="P370" i="2"/>
  <c r="Q370" i="2"/>
  <c r="R370" i="2"/>
  <c r="R372" i="2"/>
  <c r="R376" i="2"/>
  <c r="R374" i="2"/>
  <c r="P367" i="2"/>
  <c r="Q367" i="2"/>
  <c r="R367" i="2"/>
  <c r="R562" i="2"/>
  <c r="R596" i="2"/>
  <c r="R662" i="2"/>
  <c r="R629" i="2"/>
  <c r="P472" i="2"/>
  <c r="Q472" i="2"/>
  <c r="R472" i="2"/>
  <c r="R476" i="2"/>
  <c r="R483" i="2"/>
  <c r="R494" i="2"/>
  <c r="R2722" i="2"/>
  <c r="P1109" i="2"/>
  <c r="Q1109" i="2"/>
  <c r="R1109" i="2"/>
  <c r="R938" i="2"/>
  <c r="R1130" i="2"/>
  <c r="R2556" i="2"/>
  <c r="R1241" i="2"/>
  <c r="Q181" i="2"/>
  <c r="R181" i="2"/>
  <c r="P181" i="2"/>
  <c r="R122" i="2"/>
  <c r="R215" i="2"/>
  <c r="R257" i="2"/>
  <c r="R296" i="2"/>
  <c r="P1298" i="2"/>
  <c r="Q1298" i="2"/>
  <c r="R1298" i="2"/>
  <c r="R1482" i="2"/>
  <c r="R1643" i="2"/>
  <c r="R2545" i="2"/>
  <c r="R2724" i="2"/>
  <c r="P1633" i="2"/>
  <c r="Q1633" i="2"/>
  <c r="R1633" i="2"/>
  <c r="R1530" i="2"/>
  <c r="R1641" i="2"/>
  <c r="R2472" i="2"/>
  <c r="R1757" i="2"/>
  <c r="R1611" i="2"/>
  <c r="P77" i="2"/>
  <c r="Q77" i="2"/>
  <c r="R77" i="2"/>
  <c r="R2015" i="2"/>
  <c r="R2211" i="2"/>
  <c r="R2514" i="2"/>
  <c r="R2706" i="2"/>
  <c r="P537" i="2"/>
  <c r="Q537" i="2"/>
  <c r="R537" i="2"/>
  <c r="R474" i="2"/>
  <c r="R579" i="2"/>
  <c r="R614" i="2"/>
  <c r="R647" i="2"/>
  <c r="R503" i="2"/>
  <c r="P5" i="2"/>
  <c r="Q5" i="2"/>
  <c r="R5" i="2"/>
  <c r="R72" i="2"/>
  <c r="P72" i="2"/>
  <c r="Q72" i="2"/>
  <c r="R1946" i="2"/>
  <c r="R2127" i="2"/>
  <c r="R2441" i="2"/>
  <c r="R1697" i="2"/>
  <c r="R68" i="2"/>
  <c r="P68" i="2"/>
  <c r="Q68" i="2"/>
  <c r="R2013" i="2"/>
  <c r="R2454" i="2"/>
  <c r="R1501" i="2"/>
  <c r="R1290" i="2"/>
  <c r="P1290" i="2"/>
  <c r="Q1290" i="2"/>
  <c r="R1333" i="2"/>
  <c r="R1116" i="2"/>
  <c r="R1350" i="2"/>
  <c r="R1382" i="2"/>
  <c r="R1082" i="2"/>
  <c r="Q1831" i="2"/>
  <c r="R1831" i="2"/>
  <c r="P1831" i="2"/>
  <c r="R1990" i="2"/>
  <c r="R2206" i="2"/>
  <c r="R2498" i="2"/>
  <c r="R2707" i="2"/>
  <c r="R2831" i="2"/>
  <c r="R529" i="2"/>
  <c r="P529" i="2"/>
  <c r="Q529" i="2"/>
  <c r="R554" i="2"/>
  <c r="R585" i="2"/>
  <c r="R625" i="2"/>
  <c r="R658" i="2"/>
  <c r="R681" i="2"/>
  <c r="Q1289" i="2"/>
  <c r="R1289" i="2"/>
  <c r="R1476" i="2"/>
  <c r="P1289" i="2"/>
  <c r="R1634" i="2"/>
  <c r="R2526" i="2"/>
  <c r="R2686" i="2"/>
  <c r="R1823" i="2"/>
  <c r="P1823" i="2"/>
  <c r="Q1823" i="2"/>
  <c r="R1962" i="2"/>
  <c r="R2144" i="2"/>
  <c r="R2348" i="2"/>
  <c r="R2655" i="2"/>
  <c r="R2790" i="2"/>
  <c r="R54" i="2"/>
  <c r="P54" i="2"/>
  <c r="Q54" i="2"/>
  <c r="R1947" i="2"/>
  <c r="R2162" i="2"/>
  <c r="R2418" i="2"/>
  <c r="R1237" i="2"/>
  <c r="R2881" i="2"/>
  <c r="Q1169" i="2"/>
  <c r="R1169" i="2"/>
  <c r="P1169" i="2"/>
  <c r="R1004" i="2"/>
  <c r="R1212" i="2"/>
  <c r="R1342" i="2"/>
  <c r="R2662" i="2"/>
  <c r="R2850" i="2"/>
  <c r="R446" i="2"/>
  <c r="P446" i="2"/>
  <c r="Q446" i="2"/>
  <c r="R413" i="2"/>
  <c r="R460" i="2"/>
  <c r="R489" i="2"/>
  <c r="R501" i="2"/>
  <c r="R506" i="2"/>
  <c r="Q49" i="2"/>
  <c r="R49" i="2"/>
  <c r="P49" i="2"/>
  <c r="R1932" i="2"/>
  <c r="R2124" i="2"/>
  <c r="R2373" i="2"/>
  <c r="R1375" i="2"/>
  <c r="R2878" i="2"/>
  <c r="R1670" i="2"/>
  <c r="P1670" i="2"/>
  <c r="Q1670" i="2"/>
  <c r="R1686" i="2"/>
  <c r="R2220" i="2"/>
  <c r="R1356" i="2"/>
  <c r="R2702" i="2"/>
  <c r="R1712" i="2"/>
  <c r="Q1161" i="2"/>
  <c r="R1161" i="2"/>
  <c r="P1161" i="2"/>
  <c r="R2019" i="2"/>
  <c r="R2214" i="2"/>
  <c r="R2486" i="2"/>
  <c r="R1388" i="2"/>
  <c r="Q740" i="2"/>
  <c r="R740" i="2"/>
  <c r="P740" i="2"/>
  <c r="R764" i="2"/>
  <c r="R2439" i="2"/>
  <c r="R809" i="2"/>
  <c r="R2902" i="2"/>
  <c r="P739" i="2"/>
  <c r="Q739" i="2"/>
  <c r="R739" i="2"/>
  <c r="R766" i="2"/>
  <c r="R2327" i="2"/>
  <c r="R878" i="2"/>
  <c r="P40" i="2"/>
  <c r="Q40" i="2"/>
  <c r="R40" i="2"/>
  <c r="P37" i="2"/>
  <c r="Q37" i="2"/>
  <c r="R37" i="2"/>
  <c r="P1795" i="2"/>
  <c r="Q1795" i="2"/>
  <c r="R1795" i="2"/>
  <c r="R1907" i="2"/>
  <c r="R2108" i="2"/>
  <c r="R2310" i="2"/>
  <c r="R2636" i="2"/>
  <c r="R2786" i="2"/>
  <c r="P1789" i="2"/>
  <c r="Q1789" i="2"/>
  <c r="R1789" i="2"/>
  <c r="R1930" i="2"/>
  <c r="R2110" i="2"/>
  <c r="R2289" i="2"/>
  <c r="R1648" i="2"/>
  <c r="R2765" i="2"/>
  <c r="P1772" i="2"/>
  <c r="Q1772" i="2"/>
  <c r="R1772" i="2"/>
  <c r="R1731" i="2"/>
  <c r="R2062" i="2"/>
  <c r="R2262" i="2"/>
  <c r="R2602" i="2"/>
  <c r="R2748" i="2"/>
  <c r="Q839" i="2"/>
  <c r="Q1097" i="2"/>
  <c r="Q378" i="2"/>
  <c r="P2895" i="2"/>
  <c r="Q2895" i="2"/>
  <c r="Q972" i="2"/>
  <c r="P972" i="2"/>
  <c r="P2871" i="2"/>
  <c r="Q2871" i="2"/>
  <c r="P440" i="2"/>
  <c r="Q440" i="2"/>
  <c r="P2839" i="2"/>
  <c r="Q2839" i="2"/>
  <c r="P324" i="2"/>
  <c r="Q324" i="2"/>
  <c r="P1603" i="2"/>
  <c r="Q1603" i="2"/>
  <c r="P2746" i="2"/>
  <c r="Q2746" i="2"/>
  <c r="P1585" i="2"/>
  <c r="Q1585" i="2"/>
  <c r="Q1657" i="2"/>
  <c r="P792" i="2"/>
  <c r="Q792" i="2"/>
  <c r="R792" i="2"/>
  <c r="P2485" i="2"/>
  <c r="Q2485" i="2"/>
  <c r="Q2699" i="2"/>
  <c r="P2447" i="2"/>
  <c r="Q2447" i="2"/>
  <c r="Q1064" i="2"/>
  <c r="P607" i="2"/>
  <c r="Q607" i="2"/>
  <c r="Q648" i="2"/>
  <c r="P2392" i="2"/>
  <c r="Q2392" i="2"/>
  <c r="Q958" i="2"/>
  <c r="P2356" i="2"/>
  <c r="Q2356" i="2"/>
  <c r="Q2678" i="2"/>
  <c r="Q2337" i="2"/>
  <c r="P2337" i="2"/>
  <c r="Q948" i="2"/>
  <c r="Q2297" i="2"/>
  <c r="P2297" i="2"/>
  <c r="Q2634" i="2"/>
  <c r="P2280" i="2"/>
  <c r="Q2280" i="2"/>
  <c r="Q2618" i="2"/>
  <c r="P449" i="2"/>
  <c r="Q449" i="2"/>
  <c r="R449" i="2"/>
  <c r="P1945" i="2"/>
  <c r="Q1945" i="2"/>
  <c r="Q2146" i="2"/>
  <c r="P1929" i="2"/>
  <c r="Q1929" i="2"/>
  <c r="Q2159" i="2"/>
  <c r="P1193" i="2"/>
  <c r="Q1193" i="2"/>
  <c r="Q1321" i="2"/>
  <c r="Q1182" i="2"/>
  <c r="R1182" i="2"/>
  <c r="R1916" i="2"/>
  <c r="P1182" i="2"/>
  <c r="R2112" i="2"/>
  <c r="R2530" i="2"/>
  <c r="R1230" i="2"/>
  <c r="R2864" i="2"/>
  <c r="Q1716" i="2"/>
  <c r="R1716" i="2"/>
  <c r="P1614" i="2"/>
  <c r="Q1614" i="2"/>
  <c r="P1612" i="2"/>
  <c r="Q1612" i="2"/>
  <c r="P1077" i="2"/>
  <c r="Q1077" i="2"/>
  <c r="P2845" i="2"/>
  <c r="Q2845" i="2"/>
  <c r="P2830" i="2"/>
  <c r="Q2830" i="2"/>
  <c r="P377" i="2"/>
  <c r="Q377" i="2"/>
  <c r="P2791" i="2"/>
  <c r="Q2791" i="2"/>
  <c r="Q2779" i="2"/>
  <c r="P2779" i="2"/>
  <c r="P316" i="2"/>
  <c r="Q316" i="2"/>
  <c r="Q1656" i="2"/>
  <c r="Q1589" i="2"/>
  <c r="Q2576" i="2"/>
  <c r="Q857" i="2"/>
  <c r="P2558" i="2"/>
  <c r="Q2558" i="2"/>
  <c r="Q1392" i="2"/>
  <c r="P2550" i="2"/>
  <c r="R2550" i="2"/>
  <c r="Q2550" i="2"/>
  <c r="P2544" i="2"/>
  <c r="Q2544" i="2"/>
  <c r="Q1238" i="2"/>
  <c r="P1582" i="2"/>
  <c r="Q1582" i="2"/>
  <c r="P2533" i="2"/>
  <c r="Q2533" i="2"/>
  <c r="R2533" i="2"/>
  <c r="P1051" i="2"/>
  <c r="Q1051" i="2"/>
  <c r="R1051" i="2"/>
  <c r="P2522" i="2"/>
  <c r="Q2522" i="2"/>
  <c r="Q957" i="2"/>
  <c r="P2514" i="2"/>
  <c r="Q2514" i="2"/>
  <c r="Q2706" i="2"/>
  <c r="P787" i="2"/>
  <c r="Q787" i="2"/>
  <c r="R787" i="2"/>
  <c r="P785" i="2"/>
  <c r="Q785" i="2"/>
  <c r="R785" i="2"/>
  <c r="R1080" i="2"/>
  <c r="P783" i="2"/>
  <c r="Q783" i="2"/>
  <c r="Q814" i="2"/>
  <c r="P623" i="2"/>
  <c r="Q623" i="2"/>
  <c r="Q655" i="2"/>
  <c r="P2480" i="2"/>
  <c r="Q2480" i="2"/>
  <c r="R2480" i="2"/>
  <c r="P619" i="2"/>
  <c r="Q619" i="2"/>
  <c r="Q652" i="2"/>
  <c r="P2468" i="2"/>
  <c r="Q2468" i="2"/>
  <c r="Q1455" i="2"/>
  <c r="P492" i="2"/>
  <c r="Q492" i="2"/>
  <c r="R492" i="2"/>
  <c r="P2456" i="2"/>
  <c r="Q2456" i="2"/>
  <c r="Q853" i="2"/>
  <c r="P1570" i="2"/>
  <c r="Q1570" i="2"/>
  <c r="Q1599" i="2"/>
  <c r="P2442" i="2"/>
  <c r="Q2442" i="2"/>
  <c r="Q2667" i="2"/>
  <c r="P612" i="2"/>
  <c r="Q612" i="2"/>
  <c r="Q649" i="2"/>
  <c r="P2433" i="2"/>
  <c r="Q2433" i="2"/>
  <c r="R2433" i="2"/>
  <c r="R1612" i="2"/>
  <c r="P610" i="2"/>
  <c r="Q610" i="2"/>
  <c r="Q643" i="2"/>
  <c r="P2417" i="2"/>
  <c r="Q2417" i="2"/>
  <c r="Q1138" i="2"/>
  <c r="P1564" i="2"/>
  <c r="Q1564" i="2"/>
  <c r="Q1747" i="2"/>
  <c r="P606" i="2"/>
  <c r="Q606" i="2"/>
  <c r="Q639" i="2"/>
  <c r="P2395" i="2"/>
  <c r="Q2395" i="2"/>
  <c r="Q850" i="2"/>
  <c r="P2380" i="2"/>
  <c r="Q2380" i="2"/>
  <c r="R2380" i="2"/>
  <c r="R672" i="2"/>
  <c r="P2347" i="2"/>
  <c r="Q2347" i="2"/>
  <c r="Q2645" i="2"/>
  <c r="P1558" i="2"/>
  <c r="Q1558" i="2"/>
  <c r="Q1497" i="2"/>
  <c r="P2322" i="2"/>
  <c r="Q2322" i="2"/>
  <c r="R2322" i="2"/>
  <c r="R675" i="2"/>
  <c r="P2314" i="2"/>
  <c r="Q2314" i="2"/>
  <c r="R2314" i="2"/>
  <c r="R1609" i="2"/>
  <c r="P2304" i="2"/>
  <c r="Q2304" i="2"/>
  <c r="Q2637" i="2"/>
  <c r="P2294" i="2"/>
  <c r="Q2294" i="2"/>
  <c r="Q1055" i="2"/>
  <c r="P2266" i="2"/>
  <c r="Q2266" i="2"/>
  <c r="Q2608" i="2"/>
  <c r="P2257" i="2"/>
  <c r="Q2257" i="2"/>
  <c r="Q2600" i="2"/>
  <c r="P1420" i="2"/>
  <c r="R1429" i="2"/>
  <c r="Q2047" i="2"/>
  <c r="Q2221" i="2"/>
  <c r="Q2041" i="2"/>
  <c r="Q2215" i="2"/>
  <c r="Q2036" i="2"/>
  <c r="Q2197" i="2"/>
  <c r="P1207" i="2"/>
  <c r="Q1207" i="2"/>
  <c r="Q1218" i="2"/>
  <c r="P936" i="2"/>
  <c r="Q936" i="2"/>
  <c r="Q1040" i="2"/>
  <c r="P2029" i="2"/>
  <c r="Q2029" i="2"/>
  <c r="P932" i="2"/>
  <c r="Q932" i="2"/>
  <c r="Q1042" i="2"/>
  <c r="P1013" i="2"/>
  <c r="Q1013" i="2"/>
  <c r="R1013" i="2"/>
  <c r="R2479" i="2"/>
  <c r="P1686" i="2"/>
  <c r="Q1686" i="2"/>
  <c r="Q2220" i="2"/>
  <c r="P1203" i="2"/>
  <c r="Q1203" i="2"/>
  <c r="P2015" i="2"/>
  <c r="Q2015" i="2"/>
  <c r="Q2211" i="2"/>
  <c r="P1202" i="2"/>
  <c r="Q1202" i="2"/>
  <c r="Q1210" i="2"/>
  <c r="P2008" i="2"/>
  <c r="Q2008" i="2"/>
  <c r="Q2186" i="2"/>
  <c r="P1200" i="2"/>
  <c r="Q1200" i="2"/>
  <c r="P1998" i="2"/>
  <c r="Q1998" i="2"/>
  <c r="R1998" i="2"/>
  <c r="Q2167" i="2"/>
  <c r="R2167" i="2"/>
  <c r="P768" i="2"/>
  <c r="Q768" i="2"/>
  <c r="P453" i="2"/>
  <c r="Q453" i="2"/>
  <c r="R453" i="2"/>
  <c r="P1982" i="2"/>
  <c r="Q1982" i="2"/>
  <c r="Q2129" i="2"/>
  <c r="P1976" i="2"/>
  <c r="Q1976" i="2"/>
  <c r="Q2255" i="2"/>
  <c r="P1972" i="2"/>
  <c r="Q1972" i="2"/>
  <c r="Q2137" i="2"/>
  <c r="P412" i="2"/>
  <c r="Q412" i="2"/>
  <c r="Q478" i="2"/>
  <c r="P1440" i="2"/>
  <c r="Q1440" i="2"/>
  <c r="Q1635" i="2"/>
  <c r="P1960" i="2"/>
  <c r="Q1960" i="2"/>
  <c r="Q2153" i="2"/>
  <c r="P1955" i="2"/>
  <c r="Q1955" i="2"/>
  <c r="Q2128" i="2"/>
  <c r="P1311" i="2"/>
  <c r="Q1311" i="2"/>
  <c r="Q1488" i="2"/>
  <c r="P1947" i="2"/>
  <c r="Q1947" i="2"/>
  <c r="Q2162" i="2"/>
  <c r="P1940" i="2"/>
  <c r="Q1940" i="2"/>
  <c r="Q2189" i="2"/>
  <c r="P1439" i="2"/>
  <c r="Q1439" i="2"/>
  <c r="R1439" i="2"/>
  <c r="R1560" i="2"/>
  <c r="P922" i="2"/>
  <c r="Q922" i="2"/>
  <c r="Q1025" i="2"/>
  <c r="P998" i="2"/>
  <c r="Q998" i="2"/>
  <c r="Q1209" i="2"/>
  <c r="P1916" i="2"/>
  <c r="Q1916" i="2"/>
  <c r="Q2112" i="2"/>
  <c r="P1734" i="2"/>
  <c r="Q1734" i="2"/>
  <c r="Q1540" i="2"/>
  <c r="P1904" i="2"/>
  <c r="Q1904" i="2"/>
  <c r="P996" i="2"/>
  <c r="Q996" i="2"/>
  <c r="R996" i="2"/>
  <c r="R2281" i="2"/>
  <c r="P1895" i="2"/>
  <c r="Q1895" i="2"/>
  <c r="R1895" i="2"/>
  <c r="Q2069" i="2"/>
  <c r="R2069" i="2"/>
  <c r="P1886" i="2"/>
  <c r="Q1886" i="2"/>
  <c r="Q2072" i="2"/>
  <c r="P1877" i="2"/>
  <c r="Q1877" i="2"/>
  <c r="Q2065" i="2"/>
  <c r="P1730" i="2"/>
  <c r="Q1730" i="2"/>
  <c r="Q1485" i="2"/>
  <c r="Q100" i="2"/>
  <c r="P100" i="2"/>
  <c r="Q195" i="2"/>
  <c r="R98" i="2"/>
  <c r="R2042" i="2"/>
  <c r="R2226" i="2"/>
  <c r="R2562" i="2"/>
  <c r="R1282" i="2"/>
  <c r="P723" i="2"/>
  <c r="Q723" i="2"/>
  <c r="R723" i="2"/>
  <c r="R2034" i="2"/>
  <c r="R807" i="2"/>
  <c r="R816" i="2"/>
  <c r="P538" i="2"/>
  <c r="Q538" i="2"/>
  <c r="R538" i="2"/>
  <c r="R567" i="2"/>
  <c r="R593" i="2"/>
  <c r="R634" i="2"/>
  <c r="R667" i="2"/>
  <c r="P1186" i="2"/>
  <c r="Q1186" i="2"/>
  <c r="R1186" i="2"/>
  <c r="R1206" i="2"/>
  <c r="R1362" i="2"/>
  <c r="R1280" i="2"/>
  <c r="R1078" i="2"/>
  <c r="P28" i="2"/>
  <c r="Q28" i="2"/>
  <c r="R28" i="2"/>
  <c r="P365" i="2"/>
  <c r="Q365" i="2"/>
  <c r="R365" i="2"/>
  <c r="R565" i="2"/>
  <c r="R591" i="2"/>
  <c r="R631" i="2"/>
  <c r="R665" i="2"/>
  <c r="P82" i="2"/>
  <c r="Q82" i="2"/>
  <c r="R82" i="2"/>
  <c r="R2021" i="2"/>
  <c r="R2181" i="2"/>
  <c r="R2528" i="2"/>
  <c r="R2690" i="2"/>
  <c r="P1108" i="2"/>
  <c r="Q1108" i="2"/>
  <c r="R1108" i="2"/>
  <c r="R926" i="2"/>
  <c r="R1127" i="2"/>
  <c r="R2521" i="2"/>
  <c r="R1239" i="2"/>
  <c r="P1674" i="2"/>
  <c r="Q1674" i="2"/>
  <c r="R1674" i="2"/>
  <c r="R1532" i="2"/>
  <c r="R1543" i="2"/>
  <c r="R2446" i="2"/>
  <c r="R1753" i="2"/>
  <c r="R1620" i="2"/>
  <c r="P383" i="2"/>
  <c r="Q383" i="2"/>
  <c r="R383" i="2"/>
  <c r="R386" i="2"/>
  <c r="R404" i="2"/>
  <c r="R420" i="2"/>
  <c r="R426" i="2"/>
  <c r="P1840" i="2"/>
  <c r="R1840" i="2"/>
  <c r="Q1840" i="2"/>
  <c r="R1741" i="2"/>
  <c r="R2182" i="2"/>
  <c r="R2430" i="2"/>
  <c r="R2669" i="2"/>
  <c r="P1632" i="2"/>
  <c r="R1632" i="2"/>
  <c r="R1529" i="2"/>
  <c r="Q1632" i="2"/>
  <c r="R1640" i="2"/>
  <c r="R2487" i="2"/>
  <c r="R1758" i="2"/>
  <c r="R1618" i="2"/>
  <c r="P1631" i="2"/>
  <c r="R1631" i="2"/>
  <c r="Q1631" i="2"/>
  <c r="R1528" i="2"/>
  <c r="R1639" i="2"/>
  <c r="R2477" i="2"/>
  <c r="R1756" i="2"/>
  <c r="R1616" i="2"/>
  <c r="P177" i="2"/>
  <c r="Q177" i="2"/>
  <c r="R177" i="2"/>
  <c r="R117" i="2"/>
  <c r="R226" i="2"/>
  <c r="R246" i="2"/>
  <c r="R290" i="2"/>
  <c r="R331" i="2"/>
  <c r="P66" i="2"/>
  <c r="Q66" i="2"/>
  <c r="R66" i="2"/>
  <c r="R2001" i="2"/>
  <c r="R2172" i="2"/>
  <c r="R2458" i="2"/>
  <c r="R2698" i="2"/>
  <c r="P533" i="2"/>
  <c r="Q533" i="2"/>
  <c r="R533" i="2"/>
  <c r="R557" i="2"/>
  <c r="R587" i="2"/>
  <c r="R612" i="2"/>
  <c r="R649" i="2"/>
  <c r="R692" i="2"/>
  <c r="P895" i="2"/>
  <c r="Q895" i="2"/>
  <c r="R895" i="2"/>
  <c r="P1828" i="2"/>
  <c r="Q1828" i="2"/>
  <c r="R1828" i="2"/>
  <c r="R1989" i="2"/>
  <c r="R2142" i="2"/>
  <c r="R2360" i="2"/>
  <c r="R2654" i="2"/>
  <c r="R2825" i="2"/>
  <c r="P1174" i="2"/>
  <c r="Q1174" i="2"/>
  <c r="R1174" i="2"/>
  <c r="R1011" i="2"/>
  <c r="R2173" i="2"/>
  <c r="R2531" i="2"/>
  <c r="R1274" i="2"/>
  <c r="P1512" i="2"/>
  <c r="Q1512" i="2"/>
  <c r="R1512" i="2"/>
  <c r="R1441" i="2"/>
  <c r="R1545" i="2"/>
  <c r="R1567" i="2"/>
  <c r="R1597" i="2"/>
  <c r="R1464" i="2"/>
  <c r="P448" i="2"/>
  <c r="Q448" i="2"/>
  <c r="R448" i="2"/>
  <c r="R399" i="2"/>
  <c r="R482" i="2"/>
  <c r="R418" i="2"/>
  <c r="R498" i="2"/>
  <c r="R436" i="2"/>
  <c r="P1511" i="2"/>
  <c r="Q1511" i="2"/>
  <c r="R1511" i="2"/>
  <c r="R1474" i="2"/>
  <c r="R1542" i="2"/>
  <c r="R2403" i="2"/>
  <c r="R1652" i="2"/>
  <c r="R1466" i="2"/>
  <c r="P172" i="2"/>
  <c r="Q172" i="2"/>
  <c r="R172" i="2"/>
  <c r="R111" i="2"/>
  <c r="R208" i="2"/>
  <c r="R254" i="2"/>
  <c r="R293" i="2"/>
  <c r="R329" i="2"/>
  <c r="P521" i="2"/>
  <c r="Q521" i="2"/>
  <c r="R521" i="2"/>
  <c r="R544" i="2"/>
  <c r="R571" i="2"/>
  <c r="R601" i="2"/>
  <c r="R636" i="2"/>
  <c r="R674" i="2"/>
  <c r="P394" i="2"/>
  <c r="Q394" i="2"/>
  <c r="R394" i="2"/>
  <c r="R400" i="2"/>
  <c r="R403" i="2"/>
  <c r="R424" i="2"/>
  <c r="R430" i="2"/>
  <c r="P520" i="2"/>
  <c r="Q520" i="2"/>
  <c r="R520" i="2"/>
  <c r="R450" i="2"/>
  <c r="R511" i="2"/>
  <c r="R615" i="2"/>
  <c r="R650" i="2"/>
  <c r="R464" i="2"/>
  <c r="P1809" i="2"/>
  <c r="Q1809" i="2"/>
  <c r="R1809" i="2"/>
  <c r="R1269" i="2"/>
  <c r="R1267" i="2"/>
  <c r="R1047" i="2"/>
  <c r="R1427" i="2"/>
  <c r="P1807" i="2"/>
  <c r="Q1807" i="2"/>
  <c r="R1807" i="2"/>
  <c r="R1914" i="2"/>
  <c r="R2161" i="2"/>
  <c r="R2347" i="2"/>
  <c r="R2645" i="2"/>
  <c r="R2794" i="2"/>
  <c r="P167" i="2"/>
  <c r="Q167" i="2"/>
  <c r="R167" i="2"/>
  <c r="R113" i="2"/>
  <c r="R205" i="2"/>
  <c r="R251" i="2"/>
  <c r="R286" i="2"/>
  <c r="R327" i="2"/>
  <c r="P166" i="2"/>
  <c r="Q166" i="2"/>
  <c r="R133" i="2"/>
  <c r="R166" i="2"/>
  <c r="R217" i="2"/>
  <c r="R258" i="2"/>
  <c r="R303" i="2"/>
  <c r="P737" i="2"/>
  <c r="Q737" i="2"/>
  <c r="R737" i="2"/>
  <c r="R765" i="2"/>
  <c r="R2315" i="2"/>
  <c r="R877" i="2"/>
  <c r="R2853" i="2"/>
  <c r="P707" i="2"/>
  <c r="Q707" i="2"/>
  <c r="R707" i="2"/>
  <c r="P705" i="2"/>
  <c r="Q705" i="2"/>
  <c r="R705" i="2"/>
  <c r="P515" i="2"/>
  <c r="R515" i="2"/>
  <c r="Q515" i="2"/>
  <c r="R549" i="2"/>
  <c r="R583" i="2"/>
  <c r="R621" i="2"/>
  <c r="R651" i="2"/>
  <c r="R689" i="2"/>
  <c r="P1785" i="2"/>
  <c r="Q1785" i="2"/>
  <c r="R1785" i="2"/>
  <c r="R1927" i="2"/>
  <c r="R2116" i="2"/>
  <c r="R2325" i="2"/>
  <c r="R2676" i="2"/>
  <c r="P704" i="2"/>
  <c r="Q704" i="2"/>
  <c r="R704" i="2"/>
  <c r="P1285" i="2"/>
  <c r="Q1285" i="2"/>
  <c r="R1285" i="2"/>
  <c r="R1952" i="2"/>
  <c r="R1324" i="2"/>
  <c r="R1344" i="2"/>
  <c r="R1377" i="2"/>
  <c r="R1724" i="2"/>
  <c r="P1771" i="2"/>
  <c r="Q1771" i="2"/>
  <c r="R1771" i="2"/>
  <c r="R1873" i="2"/>
  <c r="R2060" i="2"/>
  <c r="R2286" i="2"/>
  <c r="R2778" i="2"/>
  <c r="R943" i="2"/>
  <c r="R1660" i="2"/>
  <c r="P1256" i="2"/>
  <c r="R2843" i="2"/>
  <c r="R697" i="2"/>
  <c r="R2929" i="2"/>
  <c r="R1098" i="2"/>
  <c r="Q682" i="2"/>
  <c r="R1283" i="2"/>
  <c r="P2885" i="2"/>
  <c r="Q2885" i="2"/>
  <c r="P677" i="2"/>
  <c r="Q677" i="2"/>
  <c r="P2802" i="2"/>
  <c r="Q2802" i="2"/>
  <c r="P1602" i="2"/>
  <c r="Q1602" i="2"/>
  <c r="P967" i="2"/>
  <c r="Q967" i="2"/>
  <c r="P2536" i="2"/>
  <c r="Q2536" i="2"/>
  <c r="P618" i="2"/>
  <c r="Q618" i="2"/>
  <c r="Q657" i="2"/>
  <c r="P2452" i="2"/>
  <c r="Q2452" i="2"/>
  <c r="Q1271" i="2"/>
  <c r="P2445" i="2"/>
  <c r="Q2445" i="2"/>
  <c r="Q725" i="2"/>
  <c r="P241" i="2"/>
  <c r="Q241" i="2"/>
  <c r="Q281" i="2"/>
  <c r="P2354" i="2"/>
  <c r="Q2354" i="2"/>
  <c r="Q2685" i="2"/>
  <c r="P2309" i="2"/>
  <c r="Q2309" i="2"/>
  <c r="Q1370" i="2"/>
  <c r="P1553" i="2"/>
  <c r="Q1553" i="2"/>
  <c r="Q2614" i="2"/>
  <c r="P565" i="2"/>
  <c r="Q565" i="2"/>
  <c r="Q591" i="2"/>
  <c r="P121" i="2"/>
  <c r="Q121" i="2"/>
  <c r="Q211" i="2"/>
  <c r="P1964" i="2"/>
  <c r="Q1964" i="2"/>
  <c r="Q2149" i="2"/>
  <c r="P1683" i="2"/>
  <c r="Q1683" i="2"/>
  <c r="R1683" i="2"/>
  <c r="Q2157" i="2"/>
  <c r="R2157" i="2"/>
  <c r="R1719" i="2"/>
  <c r="P921" i="2"/>
  <c r="Q921" i="2"/>
  <c r="Q1125" i="2"/>
  <c r="P843" i="2"/>
  <c r="Q843" i="2"/>
  <c r="P182" i="2"/>
  <c r="Q182" i="2"/>
  <c r="R182" i="2"/>
  <c r="R120" i="2"/>
  <c r="R220" i="2"/>
  <c r="R255" i="2"/>
  <c r="R294" i="2"/>
  <c r="P1829" i="2"/>
  <c r="Q1829" i="2"/>
  <c r="R1829" i="2"/>
  <c r="R1971" i="2"/>
  <c r="R2212" i="2"/>
  <c r="R2416" i="2"/>
  <c r="R2682" i="2"/>
  <c r="R2823" i="2"/>
  <c r="P46" i="2"/>
  <c r="Q46" i="2"/>
  <c r="R46" i="2"/>
  <c r="R2928" i="2"/>
  <c r="R829" i="2"/>
  <c r="P1716" i="2"/>
  <c r="R2865" i="2"/>
  <c r="Q1247" i="2"/>
  <c r="P1483" i="2"/>
  <c r="Q1483" i="2"/>
  <c r="Q1644" i="2"/>
  <c r="P2019" i="2"/>
  <c r="Q2019" i="2"/>
  <c r="Q2214" i="2"/>
  <c r="P1114" i="2"/>
  <c r="Q1114" i="2"/>
  <c r="Q1211" i="2"/>
  <c r="P2001" i="2"/>
  <c r="Q2001" i="2"/>
  <c r="Q2172" i="2"/>
  <c r="P1526" i="2"/>
  <c r="Q1526" i="2"/>
  <c r="Q1693" i="2"/>
  <c r="P1924" i="2"/>
  <c r="Q1924" i="2"/>
  <c r="Q1028" i="2"/>
  <c r="Q76" i="2"/>
  <c r="R76" i="2"/>
  <c r="P76" i="2"/>
  <c r="P4" i="2"/>
  <c r="R4" i="2"/>
  <c r="Q4" i="2"/>
  <c r="P56" i="2"/>
  <c r="Q56" i="2"/>
  <c r="R56" i="2"/>
  <c r="R1983" i="2"/>
  <c r="R2688" i="2"/>
  <c r="P45" i="2"/>
  <c r="R45" i="2"/>
  <c r="R1913" i="2"/>
  <c r="Q45" i="2"/>
  <c r="R2103" i="2"/>
  <c r="R2349" i="2"/>
  <c r="R1371" i="2"/>
  <c r="P1796" i="2"/>
  <c r="Q1796" i="2"/>
  <c r="R1796" i="2"/>
  <c r="R867" i="2"/>
  <c r="R2143" i="2"/>
  <c r="R2335" i="2"/>
  <c r="R2775" i="2"/>
  <c r="R950" i="2"/>
  <c r="P899" i="2"/>
  <c r="Q899" i="2"/>
  <c r="R899" i="2"/>
  <c r="R844" i="2"/>
  <c r="R2102" i="2"/>
  <c r="R2304" i="2"/>
  <c r="R2637" i="2"/>
  <c r="R2804" i="2"/>
  <c r="P2495" i="2"/>
  <c r="Q2495" i="2"/>
  <c r="Q726" i="2"/>
  <c r="P2489" i="2"/>
  <c r="Q2489" i="2"/>
  <c r="Q727" i="2"/>
  <c r="P2420" i="2"/>
  <c r="Q2420" i="2"/>
  <c r="Q2622" i="2"/>
  <c r="P2414" i="2"/>
  <c r="Q2414" i="2"/>
  <c r="Q954" i="2"/>
  <c r="Q602" i="2"/>
  <c r="P602" i="2"/>
  <c r="Q638" i="2"/>
  <c r="P2343" i="2"/>
  <c r="Q2343" i="2"/>
  <c r="Q849" i="2"/>
  <c r="P2300" i="2"/>
  <c r="Q2300" i="2"/>
  <c r="Q1056" i="2"/>
  <c r="P1338" i="2"/>
  <c r="Q1338" i="2"/>
  <c r="Q1369" i="2"/>
  <c r="P2262" i="2"/>
  <c r="Q2262" i="2"/>
  <c r="Q2602" i="2"/>
  <c r="P1121" i="2"/>
  <c r="Q1121" i="2"/>
  <c r="Q1220" i="2"/>
  <c r="P935" i="2"/>
  <c r="Q935" i="2"/>
  <c r="P2025" i="2"/>
  <c r="Q2025" i="2"/>
  <c r="Q2193" i="2"/>
  <c r="P1481" i="2"/>
  <c r="Q1481" i="2"/>
  <c r="R1481" i="2"/>
  <c r="P2006" i="2"/>
  <c r="Q2006" i="2"/>
  <c r="Q2163" i="2"/>
  <c r="Q1315" i="2"/>
  <c r="P1315" i="2"/>
  <c r="Q1423" i="2"/>
  <c r="P1992" i="2"/>
  <c r="Q1992" i="2"/>
  <c r="Q2158" i="2"/>
  <c r="P1957" i="2"/>
  <c r="Q1957" i="2"/>
  <c r="Q2117" i="2"/>
  <c r="P548" i="2"/>
  <c r="Q548" i="2"/>
  <c r="Q577" i="2"/>
  <c r="P113" i="2"/>
  <c r="Q113" i="2"/>
  <c r="Q205" i="2"/>
  <c r="P1524" i="2"/>
  <c r="Q1524" i="2"/>
  <c r="Q1692" i="2"/>
  <c r="P106" i="2"/>
  <c r="Q106" i="2"/>
  <c r="Q200" i="2"/>
  <c r="P1882" i="2"/>
  <c r="Q1882" i="2"/>
  <c r="Q2114" i="2"/>
  <c r="P914" i="2"/>
  <c r="Q914" i="2"/>
  <c r="R914" i="2"/>
  <c r="R1119" i="2"/>
  <c r="R1217" i="2"/>
  <c r="R2561" i="2"/>
  <c r="R2711" i="2"/>
  <c r="R12" i="2"/>
  <c r="P12" i="2"/>
  <c r="Q12" i="2"/>
  <c r="P1516" i="2"/>
  <c r="Q1516" i="2"/>
  <c r="R1516" i="2"/>
  <c r="R1444" i="2"/>
  <c r="R1549" i="2"/>
  <c r="R1570" i="2"/>
  <c r="R1599" i="2"/>
  <c r="P1514" i="2"/>
  <c r="R1514" i="2"/>
  <c r="Q1514" i="2"/>
  <c r="R1440" i="2"/>
  <c r="R1635" i="2"/>
  <c r="R1583" i="2"/>
  <c r="R1649" i="2"/>
  <c r="P1291" i="2"/>
  <c r="Q1291" i="2"/>
  <c r="R1291" i="2"/>
  <c r="R1115" i="2"/>
  <c r="R1331" i="2"/>
  <c r="R1348" i="2"/>
  <c r="R1381" i="2"/>
  <c r="P1177" i="2"/>
  <c r="Q1177" i="2"/>
  <c r="R1177" i="2"/>
  <c r="R1008" i="2"/>
  <c r="R2194" i="2"/>
  <c r="R2342" i="2"/>
  <c r="R1235" i="2"/>
  <c r="R2784" i="2"/>
  <c r="P1821" i="2"/>
  <c r="Q1821" i="2"/>
  <c r="R1821" i="2"/>
  <c r="R1972" i="2"/>
  <c r="R2137" i="2"/>
  <c r="R2359" i="2"/>
  <c r="R2664" i="2"/>
  <c r="P1812" i="2"/>
  <c r="Q1812" i="2"/>
  <c r="R1812" i="2"/>
  <c r="R1936" i="2"/>
  <c r="R2106" i="2"/>
  <c r="R2319" i="2"/>
  <c r="R2798" i="2"/>
  <c r="R2642" i="2"/>
  <c r="P1509" i="2"/>
  <c r="Q1509" i="2"/>
  <c r="R1509" i="2"/>
  <c r="R1473" i="2"/>
  <c r="R1539" i="2"/>
  <c r="R2329" i="2"/>
  <c r="R1650" i="2"/>
  <c r="P467" i="2"/>
  <c r="R467" i="2"/>
  <c r="Q467" i="2"/>
  <c r="P1434" i="2"/>
  <c r="Q1434" i="2"/>
  <c r="R1434" i="2"/>
  <c r="R1416" i="2"/>
  <c r="R1420" i="2"/>
  <c r="R1562" i="2"/>
  <c r="R1499" i="2"/>
  <c r="P1152" i="2"/>
  <c r="Q1152" i="2"/>
  <c r="R1152" i="2"/>
  <c r="R1865" i="2"/>
  <c r="R2055" i="2"/>
  <c r="R2384" i="2"/>
  <c r="R1225" i="2"/>
  <c r="R2757" i="2"/>
  <c r="Q2799" i="2"/>
  <c r="R1463" i="2"/>
  <c r="Q2044" i="2"/>
  <c r="Q2216" i="2"/>
  <c r="P389" i="2"/>
  <c r="Q389" i="2"/>
  <c r="Q406" i="2"/>
  <c r="P1205" i="2"/>
  <c r="Q1205" i="2"/>
  <c r="Q1216" i="2"/>
  <c r="P1011" i="2"/>
  <c r="Q1011" i="2"/>
  <c r="Q2173" i="2"/>
  <c r="P1989" i="2"/>
  <c r="Q1989" i="2"/>
  <c r="Q2142" i="2"/>
  <c r="P1969" i="2"/>
  <c r="Q1969" i="2"/>
  <c r="R1969" i="2"/>
  <c r="Q2134" i="2"/>
  <c r="R2134" i="2"/>
  <c r="P1920" i="2"/>
  <c r="Q1920" i="2"/>
  <c r="Q2130" i="2"/>
  <c r="R78" i="2"/>
  <c r="P78" i="2"/>
  <c r="Q78" i="2"/>
  <c r="R2005" i="2"/>
  <c r="R2178" i="2"/>
  <c r="R2473" i="2"/>
  <c r="R1385" i="2"/>
  <c r="P75" i="2"/>
  <c r="R75" i="2"/>
  <c r="Q75" i="2"/>
  <c r="P1175" i="2"/>
  <c r="R1175" i="2"/>
  <c r="Q1175" i="2"/>
  <c r="R1005" i="2"/>
  <c r="R1214" i="2"/>
  <c r="R1341" i="2"/>
  <c r="R2659" i="2"/>
  <c r="R2792" i="2"/>
  <c r="P1162" i="2"/>
  <c r="Q1162" i="2"/>
  <c r="R1162" i="2"/>
  <c r="R1199" i="2"/>
  <c r="R1329" i="2"/>
  <c r="R1353" i="2"/>
  <c r="R1378" i="2"/>
  <c r="P1401" i="2"/>
  <c r="Q1401" i="2"/>
  <c r="P2745" i="2"/>
  <c r="Q2745" i="2"/>
  <c r="Q807" i="2"/>
  <c r="Q816" i="2"/>
  <c r="P2552" i="2"/>
  <c r="Q2552" i="2"/>
  <c r="Q2670" i="2"/>
  <c r="P797" i="2"/>
  <c r="Q797" i="2"/>
  <c r="R797" i="2"/>
  <c r="P256" i="2"/>
  <c r="Q256" i="2"/>
  <c r="Q298" i="2"/>
  <c r="P1358" i="2"/>
  <c r="Q1358" i="2"/>
  <c r="Q1384" i="2"/>
  <c r="P1577" i="2"/>
  <c r="Q1577" i="2"/>
  <c r="Q1752" i="2"/>
  <c r="P788" i="2"/>
  <c r="Q788" i="2"/>
  <c r="R788" i="2"/>
  <c r="P2500" i="2"/>
  <c r="Q2500" i="2"/>
  <c r="R2500" i="2"/>
  <c r="P784" i="2"/>
  <c r="Q784" i="2"/>
  <c r="R784" i="2"/>
  <c r="P2482" i="2"/>
  <c r="Q2482" i="2"/>
  <c r="Q1272" i="2"/>
  <c r="P2475" i="2"/>
  <c r="Q2475" i="2"/>
  <c r="Q1227" i="2"/>
  <c r="Q617" i="2"/>
  <c r="P617" i="2"/>
  <c r="Q656" i="2"/>
  <c r="R780" i="2"/>
  <c r="P780" i="2"/>
  <c r="Q780" i="2"/>
  <c r="Q2458" i="2"/>
  <c r="P2458" i="2"/>
  <c r="Q2698" i="2"/>
  <c r="P2427" i="2"/>
  <c r="Q2427" i="2"/>
  <c r="R2427" i="2"/>
  <c r="P2419" i="2"/>
  <c r="Q2419" i="2"/>
  <c r="Q1379" i="2"/>
  <c r="P2412" i="2"/>
  <c r="Q2412" i="2"/>
  <c r="R2412" i="2"/>
  <c r="P2405" i="2"/>
  <c r="Q2405" i="2"/>
  <c r="Q1500" i="2"/>
  <c r="P243" i="2"/>
  <c r="Q243" i="2"/>
  <c r="Q282" i="2"/>
  <c r="P419" i="2"/>
  <c r="Q419" i="2"/>
  <c r="R419" i="2"/>
  <c r="P603" i="2"/>
  <c r="Q603" i="2"/>
  <c r="Q641" i="2"/>
  <c r="P2366" i="2"/>
  <c r="Q2366" i="2"/>
  <c r="Q1060" i="2"/>
  <c r="Q1345" i="2"/>
  <c r="P1345" i="2"/>
  <c r="Q1376" i="2"/>
  <c r="P2350" i="2"/>
  <c r="Q2350" i="2"/>
  <c r="R2350" i="2"/>
  <c r="R1605" i="2"/>
  <c r="Q2331" i="2"/>
  <c r="P2331" i="2"/>
  <c r="Q2630" i="2"/>
  <c r="P2324" i="2"/>
  <c r="Q2324" i="2"/>
  <c r="R2324" i="2"/>
  <c r="R1603" i="2"/>
  <c r="P238" i="2"/>
  <c r="Q238" i="2"/>
  <c r="Q277" i="2"/>
  <c r="P2306" i="2"/>
  <c r="Q2306" i="2"/>
  <c r="Q1228" i="2"/>
  <c r="P2288" i="2"/>
  <c r="Q2288" i="2"/>
  <c r="R2288" i="2"/>
  <c r="R2812" i="2"/>
  <c r="Q2269" i="2"/>
  <c r="P2269" i="2"/>
  <c r="Q2613" i="2"/>
  <c r="Q2260" i="2"/>
  <c r="P2260" i="2"/>
  <c r="Q2607" i="2"/>
  <c r="P938" i="2"/>
  <c r="Q938" i="2"/>
  <c r="Q1130" i="2"/>
  <c r="P2030" i="2"/>
  <c r="Q2030" i="2"/>
  <c r="Q2222" i="2"/>
  <c r="P122" i="2"/>
  <c r="Q122" i="2"/>
  <c r="Q215" i="2"/>
  <c r="P1015" i="2"/>
  <c r="Q1015" i="2"/>
  <c r="Q2198" i="2"/>
  <c r="P1012" i="2"/>
  <c r="Q1012" i="2"/>
  <c r="Q2200" i="2"/>
  <c r="P928" i="2"/>
  <c r="Q928" i="2"/>
  <c r="Q2009" i="2"/>
  <c r="P2009" i="2"/>
  <c r="P555" i="2"/>
  <c r="Q555" i="2"/>
  <c r="Q578" i="2"/>
  <c r="P455" i="2"/>
  <c r="Q455" i="2"/>
  <c r="P1443" i="2"/>
  <c r="Q1443" i="2"/>
  <c r="Q1547" i="2"/>
  <c r="P1978" i="2"/>
  <c r="Q1978" i="2"/>
  <c r="R1978" i="2"/>
  <c r="Q2176" i="2"/>
  <c r="R2176" i="2"/>
  <c r="P1007" i="2"/>
  <c r="Q1007" i="2"/>
  <c r="Q2177" i="2"/>
  <c r="P1527" i="2"/>
  <c r="Q1527" i="2"/>
  <c r="Q1636" i="2"/>
  <c r="Q1416" i="2"/>
  <c r="Q1420" i="2"/>
  <c r="P1416" i="2"/>
  <c r="P1000" i="2"/>
  <c r="Q1000" i="2"/>
  <c r="Q2136" i="2"/>
  <c r="Q397" i="2"/>
  <c r="P397" i="2"/>
  <c r="Q479" i="2"/>
  <c r="P544" i="2"/>
  <c r="Q544" i="2"/>
  <c r="Q571" i="2"/>
  <c r="P1922" i="2"/>
  <c r="Q1922" i="2"/>
  <c r="Q2096" i="2"/>
  <c r="P1681" i="2"/>
  <c r="Q1681" i="2"/>
  <c r="R1681" i="2"/>
  <c r="Q2121" i="2"/>
  <c r="R2121" i="2"/>
  <c r="P863" i="2"/>
  <c r="Q863" i="2"/>
  <c r="Q1024" i="2"/>
  <c r="P1309" i="2"/>
  <c r="Q1309" i="2"/>
  <c r="Q1419" i="2"/>
  <c r="P920" i="2"/>
  <c r="Q920" i="2"/>
  <c r="Q2099" i="2"/>
  <c r="P1888" i="2"/>
  <c r="Q1888" i="2"/>
  <c r="Q1023" i="2"/>
  <c r="P1879" i="2"/>
  <c r="Q1879" i="2"/>
  <c r="Q2061" i="2"/>
  <c r="Q1264" i="2"/>
  <c r="P1264" i="2"/>
  <c r="Q1320" i="2"/>
  <c r="Q1870" i="2"/>
  <c r="P1870" i="2"/>
  <c r="Q2064" i="2"/>
  <c r="R91" i="2"/>
  <c r="R2041" i="2"/>
  <c r="R2215" i="2"/>
  <c r="R2569" i="2"/>
  <c r="R1393" i="2"/>
  <c r="Q1188" i="2"/>
  <c r="R1188" i="2"/>
  <c r="P1188" i="2"/>
  <c r="R1984" i="2"/>
  <c r="R2183" i="2"/>
  <c r="R2544" i="2"/>
  <c r="R1238" i="2"/>
  <c r="P366" i="2"/>
  <c r="R366" i="2"/>
  <c r="Q366" i="2"/>
  <c r="R563" i="2"/>
  <c r="R592" i="2"/>
  <c r="R663" i="2"/>
  <c r="R630" i="2"/>
  <c r="P1846" i="2"/>
  <c r="Q1846" i="2"/>
  <c r="R1846" i="2"/>
  <c r="R2017" i="2"/>
  <c r="R2236" i="2"/>
  <c r="R2499" i="2"/>
  <c r="R2721" i="2"/>
  <c r="P81" i="2"/>
  <c r="Q81" i="2"/>
  <c r="R81" i="2"/>
  <c r="P1296" i="2"/>
  <c r="Q1296" i="2"/>
  <c r="R1296" i="2"/>
  <c r="R1313" i="2"/>
  <c r="R1422" i="2"/>
  <c r="R2515" i="2"/>
  <c r="R1456" i="2"/>
  <c r="P179" i="2"/>
  <c r="Q179" i="2"/>
  <c r="R179" i="2"/>
  <c r="R121" i="2"/>
  <c r="R211" i="2"/>
  <c r="R253" i="2"/>
  <c r="R295" i="2"/>
  <c r="Q1292" i="2"/>
  <c r="R1292" i="2"/>
  <c r="P1292" i="2"/>
  <c r="R1480" i="2"/>
  <c r="R1638" i="2"/>
  <c r="R2539" i="2"/>
  <c r="R2703" i="2"/>
  <c r="R364" i="2"/>
  <c r="P364" i="2"/>
  <c r="Q364" i="2"/>
  <c r="R550" i="2"/>
  <c r="R581" i="2"/>
  <c r="R620" i="2"/>
  <c r="R653" i="2"/>
  <c r="P70" i="2"/>
  <c r="R70" i="2"/>
  <c r="Q70" i="2"/>
  <c r="Q1513" i="2"/>
  <c r="R1513" i="2"/>
  <c r="P1513" i="2"/>
  <c r="R1477" i="2"/>
  <c r="R1544" i="2"/>
  <c r="R2465" i="2"/>
  <c r="R1654" i="2"/>
  <c r="P750" i="2"/>
  <c r="R750" i="2"/>
  <c r="Q750" i="2"/>
  <c r="R1986" i="2"/>
  <c r="R2207" i="2"/>
  <c r="R2408" i="2"/>
  <c r="R852" i="2"/>
  <c r="R1832" i="2"/>
  <c r="P1832" i="2"/>
  <c r="Q1832" i="2"/>
  <c r="R2025" i="2"/>
  <c r="R2193" i="2"/>
  <c r="R2534" i="2"/>
  <c r="R1655" i="2"/>
  <c r="P1824" i="2"/>
  <c r="Q1824" i="2"/>
  <c r="R1824" i="2"/>
  <c r="R1740" i="2"/>
  <c r="R1546" i="2"/>
  <c r="R2529" i="2"/>
  <c r="R1601" i="2"/>
  <c r="P905" i="2"/>
  <c r="R905" i="2"/>
  <c r="Q905" i="2"/>
  <c r="R847" i="2"/>
  <c r="R2436" i="2"/>
  <c r="R961" i="2"/>
  <c r="P1818" i="2"/>
  <c r="R1818" i="2"/>
  <c r="Q1818" i="2"/>
  <c r="R1910" i="2"/>
  <c r="R2118" i="2"/>
  <c r="R2453" i="2"/>
  <c r="R2631" i="2"/>
  <c r="P29" i="2"/>
  <c r="Q29" i="2"/>
  <c r="R29" i="2"/>
  <c r="P1471" i="2"/>
  <c r="R1471" i="2"/>
  <c r="Q1471" i="2"/>
  <c r="R1314" i="2"/>
  <c r="R1490" i="2"/>
  <c r="R1558" i="2"/>
  <c r="R1497" i="2"/>
  <c r="P445" i="2"/>
  <c r="Q445" i="2"/>
  <c r="R445" i="2"/>
  <c r="R412" i="2"/>
  <c r="R478" i="2"/>
  <c r="R488" i="2"/>
  <c r="R500" i="2"/>
  <c r="P743" i="2"/>
  <c r="R743" i="2"/>
  <c r="Q743" i="2"/>
  <c r="R1965" i="2"/>
  <c r="R2185" i="2"/>
  <c r="R2343" i="2"/>
  <c r="R849" i="2"/>
  <c r="P518" i="2"/>
  <c r="R518" i="2"/>
  <c r="Q518" i="2"/>
  <c r="R546" i="2"/>
  <c r="R570" i="2"/>
  <c r="R602" i="2"/>
  <c r="R638" i="2"/>
  <c r="R671" i="2"/>
  <c r="P168" i="2"/>
  <c r="Q168" i="2"/>
  <c r="R168" i="2"/>
  <c r="R110" i="2"/>
  <c r="R207" i="2"/>
  <c r="R237" i="2"/>
  <c r="R278" i="2"/>
  <c r="Q1286" i="2"/>
  <c r="R1286" i="2"/>
  <c r="P1286" i="2"/>
  <c r="R1308" i="2"/>
  <c r="R1418" i="2"/>
  <c r="R2370" i="2"/>
  <c r="R1453" i="2"/>
  <c r="P1801" i="2"/>
  <c r="Q1801" i="2"/>
  <c r="R1801" i="2"/>
  <c r="R1736" i="2"/>
  <c r="R2109" i="2"/>
  <c r="R2290" i="2"/>
  <c r="R2616" i="2"/>
  <c r="R2768" i="2"/>
  <c r="R38" i="2"/>
  <c r="P38" i="2"/>
  <c r="Q38" i="2"/>
  <c r="R1899" i="2"/>
  <c r="R2087" i="2"/>
  <c r="R2309" i="2"/>
  <c r="R1370" i="2"/>
  <c r="P983" i="2"/>
  <c r="Q983" i="2"/>
  <c r="R983" i="2"/>
  <c r="R1922" i="2"/>
  <c r="R2096" i="2"/>
  <c r="R2305" i="2"/>
  <c r="R947" i="2"/>
  <c r="R2747" i="2"/>
  <c r="P1469" i="2"/>
  <c r="Q1469" i="2"/>
  <c r="R1469" i="2"/>
  <c r="R1310" i="2"/>
  <c r="R1486" i="2"/>
  <c r="R1552" i="2"/>
  <c r="R1493" i="2"/>
  <c r="R1402" i="2"/>
  <c r="P900" i="2"/>
  <c r="Q900" i="2"/>
  <c r="R900" i="2"/>
  <c r="R924" i="2"/>
  <c r="R1029" i="2"/>
  <c r="R775" i="2"/>
  <c r="R1134" i="2"/>
  <c r="R36" i="2"/>
  <c r="P36" i="2"/>
  <c r="Q36" i="2"/>
  <c r="R1878" i="2"/>
  <c r="R2283" i="2"/>
  <c r="R1494" i="2"/>
  <c r="P734" i="2"/>
  <c r="Q734" i="2"/>
  <c r="R734" i="2"/>
  <c r="R728" i="2"/>
  <c r="R2107" i="2"/>
  <c r="R2326" i="2"/>
  <c r="R1054" i="2"/>
  <c r="R821" i="2"/>
  <c r="P1773" i="2"/>
  <c r="Q1773" i="2"/>
  <c r="R1773" i="2"/>
  <c r="R1869" i="2"/>
  <c r="R2058" i="2"/>
  <c r="R2266" i="2"/>
  <c r="R2608" i="2"/>
  <c r="R2755" i="2"/>
  <c r="R438" i="2"/>
  <c r="R2838" i="2"/>
  <c r="R886" i="2"/>
  <c r="R1255" i="2"/>
  <c r="R2898" i="2"/>
  <c r="R2803" i="2"/>
  <c r="P2785" i="2"/>
  <c r="Q1089" i="2"/>
  <c r="P1206" i="2"/>
  <c r="Q1206" i="2"/>
  <c r="P2004" i="2"/>
  <c r="Q2004" i="2"/>
  <c r="Q2213" i="2"/>
  <c r="P1737" i="2"/>
  <c r="Q1737" i="2"/>
  <c r="Q1491" i="2"/>
  <c r="P1310" i="2"/>
  <c r="Q1310" i="2"/>
  <c r="Q1486" i="2"/>
  <c r="P1473" i="2"/>
  <c r="Q1473" i="2"/>
  <c r="Q1539" i="2"/>
  <c r="P1866" i="2"/>
  <c r="Q1866" i="2"/>
  <c r="Q2053" i="2"/>
  <c r="P1164" i="2"/>
  <c r="Q1164" i="2"/>
  <c r="R1164" i="2"/>
  <c r="R1003" i="2"/>
  <c r="R2174" i="2"/>
  <c r="R2334" i="2"/>
  <c r="R1231" i="2"/>
  <c r="P1156" i="2"/>
  <c r="Q1156" i="2"/>
  <c r="R1156" i="2"/>
  <c r="R998" i="2"/>
  <c r="R1209" i="2"/>
  <c r="R1339" i="2"/>
  <c r="R2647" i="2"/>
  <c r="R2771" i="2"/>
  <c r="Q503" i="2"/>
  <c r="Q970" i="2"/>
  <c r="Q2854" i="2"/>
  <c r="Q1609" i="2"/>
  <c r="Q351" i="2"/>
  <c r="R1462" i="2"/>
  <c r="R2808" i="2"/>
  <c r="R1091" i="2"/>
  <c r="R1467" i="2"/>
  <c r="R440" i="2"/>
  <c r="R1077" i="2"/>
  <c r="R2856" i="2"/>
  <c r="R1407" i="2"/>
  <c r="N1432" i="2"/>
  <c r="N859" i="2"/>
  <c r="N33" i="2"/>
  <c r="W2" i="2"/>
  <c r="N1147" i="2"/>
  <c r="Q1147" i="2" s="1"/>
  <c r="N1768" i="2"/>
  <c r="Q1768" i="2" s="1"/>
  <c r="N732" i="2"/>
  <c r="Q732" i="2" s="1"/>
  <c r="N1767" i="2"/>
  <c r="N156" i="2"/>
  <c r="N31" i="2"/>
  <c r="P31" i="2" s="1"/>
  <c r="N1769" i="2"/>
  <c r="N155" i="2"/>
  <c r="N1431" i="2"/>
  <c r="Q1431" i="2" s="1"/>
  <c r="Q1763" i="2"/>
  <c r="P1762" i="2"/>
  <c r="R157" i="2"/>
  <c r="I7" i="1"/>
  <c r="N7" i="1" s="1"/>
  <c r="M7" i="1" s="1"/>
  <c r="L7" i="1" s="1"/>
  <c r="K7" i="1"/>
  <c r="R1760" i="2"/>
  <c r="J5" i="1"/>
  <c r="Q154" i="2"/>
  <c r="N1761" i="2"/>
  <c r="R1762" i="2"/>
  <c r="Q1105" i="2"/>
  <c r="N159" i="2"/>
  <c r="L2" i="2"/>
  <c r="Q1765" i="2"/>
  <c r="P154" i="2"/>
  <c r="Q1468" i="2"/>
  <c r="Q157" i="2"/>
  <c r="K16" i="1"/>
  <c r="J6" i="1"/>
  <c r="K4" i="1"/>
  <c r="P1760" i="2"/>
  <c r="N1764" i="2"/>
  <c r="Q1764" i="2" s="1"/>
  <c r="Q158" i="2"/>
  <c r="J22" i="1"/>
  <c r="Q1504" i="2"/>
  <c r="J18" i="1"/>
  <c r="K20" i="1"/>
  <c r="Q1760" i="2"/>
  <c r="Q1766" i="2"/>
  <c r="Q1762" i="2"/>
  <c r="J10" i="1"/>
  <c r="P1767" i="2" l="1"/>
  <c r="R1877" i="2"/>
  <c r="R2263" i="2"/>
  <c r="R2065" i="2"/>
  <c r="R1646" i="2"/>
  <c r="R2746" i="2"/>
  <c r="P159" i="2"/>
  <c r="R102" i="2"/>
  <c r="R197" i="2"/>
  <c r="R243" i="2"/>
  <c r="R282" i="2"/>
  <c r="R322" i="2"/>
  <c r="P1768" i="2"/>
  <c r="R1881" i="2"/>
  <c r="R2059" i="2"/>
  <c r="R2269" i="2"/>
  <c r="R2613" i="2"/>
  <c r="R2749" i="2"/>
  <c r="P33" i="2"/>
  <c r="Q33" i="2"/>
  <c r="R33" i="2"/>
  <c r="P859" i="2"/>
  <c r="Q859" i="2"/>
  <c r="R859" i="2"/>
  <c r="R865" i="2"/>
  <c r="R2098" i="2"/>
  <c r="R2339" i="2"/>
  <c r="R952" i="2"/>
  <c r="R2873" i="2"/>
  <c r="Q1767" i="2"/>
  <c r="R100" i="2"/>
  <c r="R195" i="2"/>
  <c r="R234" i="2"/>
  <c r="R274" i="2"/>
  <c r="R315" i="2"/>
  <c r="P732" i="2"/>
  <c r="R1897" i="2"/>
  <c r="R2090" i="2"/>
  <c r="R772" i="2"/>
  <c r="R949" i="2"/>
  <c r="R2785" i="2"/>
  <c r="P1147" i="2"/>
  <c r="R1867" i="2"/>
  <c r="R2054" i="2"/>
  <c r="R2265" i="2"/>
  <c r="R1131" i="2"/>
  <c r="R1701" i="2"/>
  <c r="P1764" i="2"/>
  <c r="R1871" i="2"/>
  <c r="R2056" i="2"/>
  <c r="R2259" i="2"/>
  <c r="R2603" i="2"/>
  <c r="R2750" i="2"/>
  <c r="Q1761" i="2"/>
  <c r="R1866" i="2"/>
  <c r="R2053" i="2"/>
  <c r="R2256" i="2"/>
  <c r="R2599" i="2"/>
  <c r="R2743" i="2"/>
  <c r="P1769" i="2"/>
  <c r="R1875" i="2"/>
  <c r="R2057" i="2"/>
  <c r="R2261" i="2"/>
  <c r="R2605" i="2"/>
  <c r="R2753" i="2"/>
  <c r="P1431" i="2"/>
  <c r="R1263" i="2"/>
  <c r="R1319" i="2"/>
  <c r="R1551" i="2"/>
  <c r="R2604" i="2"/>
  <c r="R1399" i="2"/>
  <c r="P1432" i="2"/>
  <c r="Q1432" i="2"/>
  <c r="R1432" i="2"/>
  <c r="R1307" i="2"/>
  <c r="R1451" i="2"/>
  <c r="R1556" i="2"/>
  <c r="R1496" i="2"/>
  <c r="R1405" i="2"/>
  <c r="P156" i="2"/>
  <c r="R101" i="2"/>
  <c r="R196" i="2"/>
  <c r="R238" i="2"/>
  <c r="R277" i="2"/>
  <c r="R316" i="2"/>
  <c r="R1769" i="2"/>
  <c r="R1764" i="2"/>
  <c r="Q159" i="2"/>
  <c r="Q156" i="2"/>
  <c r="R1768" i="2"/>
  <c r="R1767" i="2"/>
  <c r="Q1769" i="2"/>
  <c r="P155" i="2"/>
  <c r="R158" i="2"/>
  <c r="R1763" i="2"/>
  <c r="Q155" i="2"/>
  <c r="R1765" i="2"/>
  <c r="R159" i="2"/>
  <c r="Q31" i="2"/>
  <c r="R156" i="2"/>
  <c r="R155" i="2"/>
  <c r="R1105" i="2"/>
  <c r="I5" i="1"/>
  <c r="N5" i="1" s="1"/>
  <c r="M5" i="1" s="1"/>
  <c r="L5" i="1" s="1"/>
  <c r="K5" i="1"/>
  <c r="K22" i="1"/>
  <c r="I22" i="1"/>
  <c r="N22" i="1" s="1"/>
  <c r="M22" i="1" s="1"/>
  <c r="L22" i="1" s="1"/>
  <c r="R1766" i="2"/>
  <c r="R1504" i="2"/>
  <c r="R732" i="2"/>
  <c r="R1761" i="2"/>
  <c r="P1761" i="2"/>
  <c r="R1468" i="2"/>
  <c r="R1147" i="2"/>
  <c r="R1431" i="2"/>
  <c r="I18" i="1"/>
  <c r="N18" i="1" s="1"/>
  <c r="M18" i="1" s="1"/>
  <c r="L18" i="1" s="1"/>
  <c r="K18" i="1"/>
  <c r="K2" i="1"/>
  <c r="Q2" i="2"/>
  <c r="M2" i="2"/>
  <c r="I10" i="1"/>
  <c r="N10" i="1" s="1"/>
  <c r="M10" i="1" s="1"/>
  <c r="L10" i="1" s="1"/>
  <c r="K10" i="1"/>
  <c r="I6" i="1"/>
  <c r="N6" i="1" s="1"/>
  <c r="M6" i="1" s="1"/>
  <c r="L6" i="1" s="1"/>
  <c r="K6" i="1"/>
  <c r="R154" i="2"/>
  <c r="R31" i="2"/>
</calcChain>
</file>

<file path=xl/sharedStrings.xml><?xml version="1.0" encoding="utf-8"?>
<sst xmlns="http://schemas.openxmlformats.org/spreadsheetml/2006/main" count="14007" uniqueCount="309">
  <si>
    <t>Shade Code</t>
  </si>
  <si>
    <t>Mah</t>
  </si>
  <si>
    <t>Pan</t>
  </si>
  <si>
    <t>Lud</t>
  </si>
  <si>
    <t>CY</t>
  </si>
  <si>
    <t>CMR</t>
  </si>
  <si>
    <t>KGP</t>
  </si>
  <si>
    <t>Guw</t>
  </si>
  <si>
    <t>48(0,12,36,24,15,33,20,28,48)</t>
  </si>
  <si>
    <t>46(0,12,34,23,15,31,20,26,46)</t>
  </si>
  <si>
    <t>45(0,12,33,22.5,15,30,20,25,45)</t>
  </si>
  <si>
    <t>doh=inv*30/demand</t>
  </si>
  <si>
    <t>ABC</t>
  </si>
  <si>
    <t>Sum of M0 Opening Inventory</t>
  </si>
  <si>
    <t>Sum of M0 Demand Plan</t>
  </si>
  <si>
    <t>Business Contribution</t>
  </si>
  <si>
    <t>M0 Production Plan without 10p.</t>
  </si>
  <si>
    <t>Sum of M0 Production Plan</t>
  </si>
  <si>
    <t>Sum of M1 Opening Inventory</t>
  </si>
  <si>
    <t>Sum of M1 Demand Plan</t>
  </si>
  <si>
    <t>DOH Target</t>
  </si>
  <si>
    <t>Target M1 Opening</t>
  </si>
  <si>
    <t>Target M0 Production</t>
  </si>
  <si>
    <t>Max allowed M1 Plant Opening DOH</t>
  </si>
  <si>
    <t>Max allowed M1 Region Opening DOH</t>
  </si>
  <si>
    <t>Max allowed All India M1 DOH</t>
  </si>
  <si>
    <t>Actual DOH</t>
  </si>
  <si>
    <t>m1 opening=M0opening+M0 production- M0Demand</t>
  </si>
  <si>
    <t>Calista</t>
  </si>
  <si>
    <t>A</t>
  </si>
  <si>
    <t>B</t>
  </si>
  <si>
    <t>C</t>
  </si>
  <si>
    <t>One</t>
  </si>
  <si>
    <t>Alldry</t>
  </si>
  <si>
    <t>Prime</t>
  </si>
  <si>
    <t>Style</t>
  </si>
  <si>
    <t>Grand Total</t>
  </si>
  <si>
    <t>10p</t>
  </si>
  <si>
    <t>9963334018</t>
  </si>
  <si>
    <t>Key SKU-Region</t>
  </si>
  <si>
    <t>Key SKU-Plant</t>
  </si>
  <si>
    <t>SKU</t>
  </si>
  <si>
    <t>Plant</t>
  </si>
  <si>
    <t>Region</t>
  </si>
  <si>
    <t>Batch Size</t>
  </si>
  <si>
    <t>M0 Opening Inventory</t>
  </si>
  <si>
    <t>M0 Opening DOH</t>
  </si>
  <si>
    <t>M0 Demand Plan</t>
  </si>
  <si>
    <t>M0 Production Plan without batching</t>
  </si>
  <si>
    <t>M0 Production Plan</t>
  </si>
  <si>
    <t>Number of Batches</t>
  </si>
  <si>
    <t>M1 Opening Inventory</t>
  </si>
  <si>
    <t>M1 Demand Plan</t>
  </si>
  <si>
    <t>M1 Plant Opening DOH</t>
  </si>
  <si>
    <t>M1 Region Opening DOH</t>
  </si>
  <si>
    <t>All India M1 DOH</t>
  </si>
  <si>
    <t>Brand Name</t>
  </si>
  <si>
    <t>10p SKU</t>
  </si>
  <si>
    <t>10p Ratio</t>
  </si>
  <si>
    <t>10p Demand</t>
  </si>
  <si>
    <t>Production Remarks</t>
  </si>
  <si>
    <t>diff</t>
  </si>
  <si>
    <t>With batching</t>
  </si>
  <si>
    <t>West</t>
  </si>
  <si>
    <t>North</t>
  </si>
  <si>
    <t>South</t>
  </si>
  <si>
    <t>East</t>
  </si>
  <si>
    <t>Sum of 10p Demand</t>
  </si>
  <si>
    <t>2181241943999 Total</t>
  </si>
  <si>
    <t>9963334018999 Total</t>
  </si>
  <si>
    <t>AllDry</t>
  </si>
  <si>
    <t>Colorants</t>
  </si>
  <si>
    <t/>
  </si>
  <si>
    <t>5.5(0,5.5)</t>
  </si>
  <si>
    <t>5.4(0,5.4)</t>
  </si>
  <si>
    <t>34(0,12,22,17,15,19,20,14,34)</t>
  </si>
  <si>
    <t>36(0,12,24,18,15,21,20,16,36)</t>
  </si>
  <si>
    <t>35(0,12,23,17.5,15,20,20,15,35)</t>
  </si>
  <si>
    <t>37(0,12,25,18.5,15,22,20,17,37)</t>
  </si>
  <si>
    <t>38(0,12,26,19,15,23,20,18,38)</t>
  </si>
  <si>
    <t>40(0,12,28,20,15,25,20,20,40)</t>
  </si>
  <si>
    <t>32(0,12,20,16,15,17,20,12,32)</t>
  </si>
  <si>
    <t>33(0,12,21,16.5,15,18,20,13,33)</t>
  </si>
  <si>
    <t>44(0,12,32,22,15,29,20,24,44)</t>
  </si>
  <si>
    <t>47(0,12,35,23.5,15,32,20,27,47)</t>
  </si>
  <si>
    <t>42(0,12,30,21,15,27,20,22,42)</t>
  </si>
  <si>
    <t>43(0,12,31,21.5,15,28,20,23,43)</t>
  </si>
  <si>
    <t>28(0,12,16,14,15,13,28)</t>
  </si>
  <si>
    <t>41(0,12,29,20.5,15,26,20,21,41)</t>
  </si>
  <si>
    <t>39(0,12,27,19.5,15,24,20,19,39)</t>
  </si>
  <si>
    <t>23(0,12,11,11.5,23)</t>
  </si>
  <si>
    <t>24(0,12,12,12,24)</t>
  </si>
  <si>
    <t>4.7(0,4.7)</t>
  </si>
  <si>
    <t>4.5(0,4.5)</t>
  </si>
  <si>
    <t>18(0,18)</t>
  </si>
  <si>
    <t>22(0,22)</t>
  </si>
  <si>
    <t>25(0,12,13,12.5,25)</t>
  </si>
  <si>
    <t>26(0,12,14,13,15,11,26)</t>
  </si>
  <si>
    <t>3.5(0,3.5)</t>
  </si>
  <si>
    <t>1.35(0,1.35)</t>
  </si>
  <si>
    <t>1.4(0,1.4)</t>
  </si>
  <si>
    <t>2(0,2)</t>
  </si>
  <si>
    <t>30(0,12,18,15,15,15,20,10,30)</t>
  </si>
  <si>
    <t>27(0,12,15,13.5,15,12,27)</t>
  </si>
  <si>
    <t>20(0,20)</t>
  </si>
  <si>
    <t>34.2(0,12,22.2,17.1,15,19.2,20,14.2,34.2)</t>
  </si>
  <si>
    <t>29.5(0,12,17.5,14.75,15,14.5,29.5)</t>
  </si>
  <si>
    <t>16(0,16)</t>
  </si>
  <si>
    <t>4(0,4)</t>
  </si>
  <si>
    <t>9(0,9)</t>
  </si>
  <si>
    <t>46.5(0,12,34.5,23.25,15,31.5,20,26.5,46.5)</t>
  </si>
  <si>
    <t>West9710049922320</t>
  </si>
  <si>
    <t>Mah9710049922320</t>
  </si>
  <si>
    <t>9710049922</t>
  </si>
  <si>
    <t>West9710049922310</t>
  </si>
  <si>
    <t>Mah9710049922310</t>
  </si>
  <si>
    <t>West9160309999219</t>
  </si>
  <si>
    <t>Mah9160309999219</t>
  </si>
  <si>
    <t>9160309999</t>
  </si>
  <si>
    <t>North9320099902219</t>
  </si>
  <si>
    <t>Pan9320099902219</t>
  </si>
  <si>
    <t>9320099902</t>
  </si>
  <si>
    <t>North9320099902839</t>
  </si>
  <si>
    <t>Pan9320099902839</t>
  </si>
  <si>
    <t>North9320099999839</t>
  </si>
  <si>
    <t>Pan9320099999839</t>
  </si>
  <si>
    <t>9320099999</t>
  </si>
  <si>
    <t>North9432029902838</t>
  </si>
  <si>
    <t>Pan9432029902838</t>
  </si>
  <si>
    <t>9432029902</t>
  </si>
  <si>
    <t>North9320089999839</t>
  </si>
  <si>
    <t>Pan9320089999839</t>
  </si>
  <si>
    <t>9320089999</t>
  </si>
  <si>
    <t>North9432029999195</t>
  </si>
  <si>
    <t>Pan9432029999195</t>
  </si>
  <si>
    <t>9432029999</t>
  </si>
  <si>
    <t>North9432029902195</t>
  </si>
  <si>
    <t>Pan9432029902195</t>
  </si>
  <si>
    <t>North9420139902195</t>
  </si>
  <si>
    <t>Pan9420139902195</t>
  </si>
  <si>
    <t>9420139902</t>
  </si>
  <si>
    <t>North9420139999195</t>
  </si>
  <si>
    <t>Pan9420139999195</t>
  </si>
  <si>
    <t>9420139999</t>
  </si>
  <si>
    <t>North9432029902295</t>
  </si>
  <si>
    <t>Pan9432029902295</t>
  </si>
  <si>
    <t>North9432029999838</t>
  </si>
  <si>
    <t>Pan9432029999838</t>
  </si>
  <si>
    <t>North9432029902319</t>
  </si>
  <si>
    <t>Pan9432029902319</t>
  </si>
  <si>
    <t>North9330239901320</t>
  </si>
  <si>
    <t>Lud9330239901320</t>
  </si>
  <si>
    <t>9330239901</t>
  </si>
  <si>
    <t>North9160309999219</t>
  </si>
  <si>
    <t>Lud9160309999219</t>
  </si>
  <si>
    <t>North9330239902219</t>
  </si>
  <si>
    <t>Lud9330239902219</t>
  </si>
  <si>
    <t>9330239902</t>
  </si>
  <si>
    <t>North9330239901310</t>
  </si>
  <si>
    <t>Lud9330239901310</t>
  </si>
  <si>
    <t>Lud9320099902219</t>
  </si>
  <si>
    <t>Lud9320089999839</t>
  </si>
  <si>
    <t>Lud9432029902838</t>
  </si>
  <si>
    <t>Lud9432029999195</t>
  </si>
  <si>
    <t>North9330239901840</t>
  </si>
  <si>
    <t>Lud9330239901840</t>
  </si>
  <si>
    <t>Lud9432029902195</t>
  </si>
  <si>
    <t>Lud9320099902839</t>
  </si>
  <si>
    <t>North9330239999839</t>
  </si>
  <si>
    <t>Lud9330239999839</t>
  </si>
  <si>
    <t>9330239999</t>
  </si>
  <si>
    <t>Lud9320099999839</t>
  </si>
  <si>
    <t>North9330239902839</t>
  </si>
  <si>
    <t>Lud9330239902839</t>
  </si>
  <si>
    <t>Lud9420139999195</t>
  </si>
  <si>
    <t>Lud9420139902195</t>
  </si>
  <si>
    <t>North9330239901210</t>
  </si>
  <si>
    <t>Lud9330239901210</t>
  </si>
  <si>
    <t>North9420139902838</t>
  </si>
  <si>
    <t>Lud9420139902838</t>
  </si>
  <si>
    <t>Lud9432029902295</t>
  </si>
  <si>
    <t>Lud9432029902319</t>
  </si>
  <si>
    <t>Lud9432029999838</t>
  </si>
  <si>
    <t>South9330239902219</t>
  </si>
  <si>
    <t>CY9330239902219</t>
  </si>
  <si>
    <t>South9320099902219</t>
  </si>
  <si>
    <t>CY9320099902219</t>
  </si>
  <si>
    <t>South9320089999839</t>
  </si>
  <si>
    <t>CY9320089999839</t>
  </si>
  <si>
    <t>South9330239905839</t>
  </si>
  <si>
    <t>CY9330239905839</t>
  </si>
  <si>
    <t>9330239905</t>
  </si>
  <si>
    <t>South9320099905839</t>
  </si>
  <si>
    <t>CY9320099905839</t>
  </si>
  <si>
    <t>9320099905</t>
  </si>
  <si>
    <t>South9330239999839</t>
  </si>
  <si>
    <t>CY9330239999839</t>
  </si>
  <si>
    <t>South9330239902839</t>
  </si>
  <si>
    <t>CY9330239902839</t>
  </si>
  <si>
    <t>South9432029905190</t>
  </si>
  <si>
    <t>CY9432029905190</t>
  </si>
  <si>
    <t>9432029905</t>
  </si>
  <si>
    <t>South9432029902838</t>
  </si>
  <si>
    <t>CY9432029902838</t>
  </si>
  <si>
    <t>South9160309999219</t>
  </si>
  <si>
    <t>CY9160309999219</t>
  </si>
  <si>
    <t>South9320099902839</t>
  </si>
  <si>
    <t>CY9320099902839</t>
  </si>
  <si>
    <t>South9432029902195</t>
  </si>
  <si>
    <t>CY9432029902195</t>
  </si>
  <si>
    <t>South9320099999839</t>
  </si>
  <si>
    <t>CY9320099999839</t>
  </si>
  <si>
    <t>South9420139902195</t>
  </si>
  <si>
    <t>CY9420139902195</t>
  </si>
  <si>
    <t>South9432029999195</t>
  </si>
  <si>
    <t>CY9432029999195</t>
  </si>
  <si>
    <t>South9420139999195</t>
  </si>
  <si>
    <t>CY9420139999195</t>
  </si>
  <si>
    <t>South9432029906190</t>
  </si>
  <si>
    <t>CY9432029906190</t>
  </si>
  <si>
    <t>9432029906</t>
  </si>
  <si>
    <t>South9432029999838</t>
  </si>
  <si>
    <t>CY9432029999838</t>
  </si>
  <si>
    <t>South9432029902319</t>
  </si>
  <si>
    <t>CY9432029902319</t>
  </si>
  <si>
    <t>South9432029906836</t>
  </si>
  <si>
    <t>CY9432029906836</t>
  </si>
  <si>
    <t>South9410149906190</t>
  </si>
  <si>
    <t>CY9410149906190</t>
  </si>
  <si>
    <t>9410149906</t>
  </si>
  <si>
    <t>South9410149906836</t>
  </si>
  <si>
    <t>CY9410149906836</t>
  </si>
  <si>
    <t>South9432029902295</t>
  </si>
  <si>
    <t>CY9432029902295</t>
  </si>
  <si>
    <t>South9432029905836</t>
  </si>
  <si>
    <t>CY9432029905836</t>
  </si>
  <si>
    <t>CMR9320089999839</t>
  </si>
  <si>
    <t>CMR9320099902219</t>
  </si>
  <si>
    <t>CMR9160309999219</t>
  </si>
  <si>
    <t>CMR9420139902195</t>
  </si>
  <si>
    <t>CMR9432029902838</t>
  </si>
  <si>
    <t>CMR9320099999839</t>
  </si>
  <si>
    <t>CMR9420139999195</t>
  </si>
  <si>
    <t>CMR9320099902839</t>
  </si>
  <si>
    <t>CMR9432029999195</t>
  </si>
  <si>
    <t>CMR9432029902195</t>
  </si>
  <si>
    <t>CMR9432029902295</t>
  </si>
  <si>
    <t>CMR9432029902319</t>
  </si>
  <si>
    <t>CMR9432029999838</t>
  </si>
  <si>
    <t>East9330239901320</t>
  </si>
  <si>
    <t>KGP9330239901320</t>
  </si>
  <si>
    <t>East9320099902219</t>
  </si>
  <si>
    <t>KGP9320099902219</t>
  </si>
  <si>
    <t>East9320099905839</t>
  </si>
  <si>
    <t>KGP9320099905839</t>
  </si>
  <si>
    <t>East9330239902219</t>
  </si>
  <si>
    <t>KGP9330239902219</t>
  </si>
  <si>
    <t>East9330239901310</t>
  </si>
  <si>
    <t>KGP9330239901310</t>
  </si>
  <si>
    <t>East9160309999219</t>
  </si>
  <si>
    <t>KGP9160309999219</t>
  </si>
  <si>
    <t>East9330239901840</t>
  </si>
  <si>
    <t>KGP9330239901840</t>
  </si>
  <si>
    <t>East9320089999839</t>
  </si>
  <si>
    <t>KGP9320089999839</t>
  </si>
  <si>
    <t>East9330239999839</t>
  </si>
  <si>
    <t>KGP9330239999839</t>
  </si>
  <si>
    <t>East9330239902839</t>
  </si>
  <si>
    <t>KGP9330239902839</t>
  </si>
  <si>
    <t>East9330239901210</t>
  </si>
  <si>
    <t>KGP9330239901210</t>
  </si>
  <si>
    <t>East9320099902839</t>
  </si>
  <si>
    <t>KGP9320099902839</t>
  </si>
  <si>
    <t>East9432029905190</t>
  </si>
  <si>
    <t>KGP9432029905190</t>
  </si>
  <si>
    <t>East9432029902838</t>
  </si>
  <si>
    <t>KGP9432029902838</t>
  </si>
  <si>
    <t>East9320099999839</t>
  </si>
  <si>
    <t>KGP9320099999839</t>
  </si>
  <si>
    <t>East9330239905839</t>
  </si>
  <si>
    <t>KGP9330239905839</t>
  </si>
  <si>
    <t>East9420139902195</t>
  </si>
  <si>
    <t>KGP9420139902195</t>
  </si>
  <si>
    <t>East9432029999195</t>
  </si>
  <si>
    <t>KGP9432029999195</t>
  </si>
  <si>
    <t>East9432029902195</t>
  </si>
  <si>
    <t>KGP9432029902195</t>
  </si>
  <si>
    <t>East9432029906190</t>
  </si>
  <si>
    <t>KGP9432029906190</t>
  </si>
  <si>
    <t>East9420139999195</t>
  </si>
  <si>
    <t>KGP9420139999195</t>
  </si>
  <si>
    <t>East9420139905190</t>
  </si>
  <si>
    <t>KGP9420139905190</t>
  </si>
  <si>
    <t>9420139905</t>
  </si>
  <si>
    <t>East9420139902838</t>
  </si>
  <si>
    <t>KGP9420139902838</t>
  </si>
  <si>
    <t>East9420139906190</t>
  </si>
  <si>
    <t>KGP9420139906190</t>
  </si>
  <si>
    <t>9420139906</t>
  </si>
  <si>
    <t>East9432029902319</t>
  </si>
  <si>
    <t>KGP9432029902319</t>
  </si>
  <si>
    <t>East9410149906836</t>
  </si>
  <si>
    <t>KGP9410149906836</t>
  </si>
  <si>
    <t>East9432029999838</t>
  </si>
  <si>
    <t>KGP9432029999838</t>
  </si>
  <si>
    <t>East9432029902295</t>
  </si>
  <si>
    <t>KGP9432029902295</t>
  </si>
  <si>
    <t>East9410149906190</t>
  </si>
  <si>
    <t>KGP9410149906190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</si>
</sst>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%"/>
    <numFmt numFmtId="165" formatCode="0.0"/>
    <numFmt numFmtId="166" formatCode="_(* #,##0.0_);_(* \(#,##0.0\);_(* &quot;-&quot;??_);_(@_)"/>
    <numFmt numFmtId="167" formatCode="_(* #,##0_);_(* \(#,##0\);_(* &quot;-&quot;??_);_(@_)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/>
    <xf numFmtId="9" fontId="2" fillId="0" borderId="0"/>
  </cellStyleXfs>
  <cellXfs count="4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3" fillId="0" borderId="0" xfId="0" applyFont="1"/>
    <xf numFmtId="1" fontId="3" fillId="4" borderId="0" xfId="0" applyNumberFormat="1" applyFont="1" applyFill="1"/>
    <xf numFmtId="164" fontId="3" fillId="0" borderId="0" xfId="2" applyNumberFormat="1" applyFont="1"/>
    <xf numFmtId="0" fontId="4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1" fontId="3" fillId="0" borderId="0" xfId="0" applyNumberFormat="1" applyFont="1"/>
    <xf numFmtId="165" fontId="3" fillId="0" borderId="0" xfId="0" applyNumberFormat="1" applyFont="1"/>
    <xf numFmtId="166" fontId="3" fillId="0" borderId="0" xfId="1" applyNumberFormat="1" applyFont="1"/>
    <xf numFmtId="43" fontId="3" fillId="0" borderId="0" xfId="1" applyFont="1"/>
    <xf numFmtId="1" fontId="3" fillId="0" borderId="0" xfId="1" applyNumberFormat="1" applyFont="1"/>
    <xf numFmtId="0" fontId="5" fillId="0" borderId="0" xfId="0" applyFont="1"/>
    <xf numFmtId="0" fontId="0" fillId="0" borderId="0" xfId="0" applyAlignment="1">
      <alignment horizontal="left"/>
    </xf>
    <xf numFmtId="167" fontId="0" fillId="0" borderId="0" xfId="1" applyNumberFormat="1" applyFont="1"/>
    <xf numFmtId="167" fontId="5" fillId="0" borderId="0" xfId="1" applyNumberFormat="1" applyFont="1"/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 indent="1"/>
    </xf>
    <xf numFmtId="1" fontId="5" fillId="0" borderId="0" xfId="0" applyNumberFormat="1" applyFont="1"/>
    <xf numFmtId="0" fontId="6" fillId="0" borderId="0" xfId="0" applyFont="1" applyAlignment="1">
      <alignment horizontal="left"/>
    </xf>
    <xf numFmtId="10" fontId="0" fillId="0" borderId="0" xfId="0" applyNumberFormat="1"/>
    <xf numFmtId="10" fontId="6" fillId="0" borderId="0" xfId="0" applyNumberFormat="1" applyFont="1"/>
    <xf numFmtId="167" fontId="5" fillId="2" borderId="0" xfId="1" applyNumberFormat="1" applyFont="1" applyFill="1"/>
    <xf numFmtId="167" fontId="5" fillId="0" borderId="0" xfId="0" applyNumberFormat="1" applyFont="1"/>
    <xf numFmtId="167" fontId="1" fillId="0" borderId="0" xfId="1" applyNumberFormat="1" applyFont="1"/>
    <xf numFmtId="167" fontId="0" fillId="0" borderId="0" xfId="0" applyNumberFormat="1"/>
    <xf numFmtId="0" fontId="0" fillId="0" borderId="0" xfId="0" quotePrefix="1"/>
    <xf numFmtId="0" fontId="3" fillId="5" borderId="0" xfId="0" applyFont="1" applyFill="1"/>
    <xf numFmtId="2" fontId="5" fillId="0" borderId="0" xfId="0" applyNumberFormat="1" applyFont="1"/>
    <xf numFmtId="0" fontId="0" fillId="0" borderId="0" xfId="0" applyAlignment="1">
      <alignment wrapText="1"/>
    </xf>
    <xf numFmtId="0" fontId="6" fillId="0" borderId="0" xfId="0" applyFont="1"/>
    <xf numFmtId="0" fontId="0" fillId="2" borderId="0" xfId="0" applyFill="1" applyAlignment="1">
      <alignment horizontal="left" indent="1"/>
    </xf>
    <xf numFmtId="0" fontId="0" fillId="2" borderId="0" xfId="0" applyFill="1"/>
    <xf numFmtId="1" fontId="5" fillId="2" borderId="0" xfId="0" applyNumberFormat="1" applyFont="1" applyFill="1"/>
    <xf numFmtId="2" fontId="5" fillId="6" borderId="0" xfId="0" applyNumberFormat="1" applyFont="1" applyFill="1"/>
    <xf numFmtId="1" fontId="0" fillId="0" borderId="0" xfId="0" applyNumberFormat="1"/>
    <xf numFmtId="0" fontId="0" fillId="3" borderId="0" xfId="0" applyFill="1"/>
  </cellXfs>
  <cellStyles count="3">
    <cellStyle name="Comma" xfId="1" builtinId="3"/>
    <cellStyle name="Normal" xfId="0" builtinId="0"/>
    <cellStyle name="Percent" xfId="2" builtinId="5"/>
  </cellStyles>
  <dxfs count="25">
    <dxf>
      <font>
        <color rgb="FF9C0006"/>
      </font>
      <fill>
        <patternFill>
          <bgColor rgb="FFFFC7CE"/>
        </patternFill>
      </fill>
    </dxf>
    <dxf>
      <numFmt numFmtId="1" formatCode="0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numFmt numFmtId="14" formatCode="0.00%"/>
    </dxf>
    <dxf>
      <alignment vertical="center"/>
    </dxf>
    <dxf>
      <alignment horizontal="center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numFmt numFmtId="14" formatCode="0.00%"/>
    </dxf>
    <dxf>
      <font>
        <b/>
      </font>
    </dxf>
    <dxf>
      <font>
        <b/>
      </font>
    </dxf>
    <dxf>
      <alignment vertical="center"/>
    </dxf>
    <dxf>
      <alignment horizontal="center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Mahesh Pol" refreshedDate="46229.435375810193" createdVersion="8" refreshedVersion="8" minRefreshableVersion="3" recordCount="316" xr:uid="{00000000-000A-0000-FFFF-FFFFD7010000}">
  <cacheSource type="worksheet">
    <worksheetSource ref="A3:T39571" sheet="Base"/>
  </cacheSource>
  <cacheFields count="20">
    <cacheField name="Key SKU-Region" numFmtId="0">
      <sharedItems containsBlank="1"/>
    </cacheField>
    <cacheField name="Key SKU-Plant" numFmtId="0">
      <sharedItems containsBlank="1"/>
    </cacheField>
    <cacheField name="SKU" numFmtId="0">
      <sharedItems containsString="0" containsBlank="1" containsNumber="1" containsInteger="1" minValue="1127978094120" maxValue="9963334018999"/>
    </cacheField>
    <cacheField name="Shade Code" numFmtId="0">
      <sharedItems containsBlank="1"/>
    </cacheField>
    <cacheField name="Plant" numFmtId="0">
      <sharedItems containsBlank="1"/>
    </cacheField>
    <cacheField name="Region" numFmtId="0">
      <sharedItems containsBlank="1"/>
    </cacheField>
    <cacheField name="Batch Size" numFmtId="0">
      <sharedItems containsString="0" containsBlank="1" containsNumber="1" minValue="16" maxValue="92"/>
    </cacheField>
    <cacheField name="M0 Opening Inventory" numFmtId="0">
      <sharedItems containsString="0" containsBlank="1" containsNumber="1" minValue="0" maxValue="2842"/>
    </cacheField>
    <cacheField name="M0 Opening DOH" numFmtId="0">
      <sharedItems containsString="0" containsBlank="1" containsNumber="1" minValue="0" maxValue="270"/>
    </cacheField>
    <cacheField name="M0 Demand Plan" numFmtId="0">
      <sharedItems containsString="0" containsBlank="1" containsNumber="1" minValue="0" maxValue="3510"/>
    </cacheField>
    <cacheField name="M0 Production Plan without 10p" numFmtId="0">
      <sharedItems containsString="0" containsBlank="1" containsNumber="1" minValue="0" maxValue="4890"/>
    </cacheField>
    <cacheField name="M0 Production Plan" numFmtId="0">
      <sharedItems containsString="0" containsBlank="1" containsNumber="1" minValue="0" maxValue="4900"/>
    </cacheField>
    <cacheField name="Number of Batches" numFmtId="0">
      <sharedItems containsString="0" containsBlank="1" containsNumber="1" minValue="0" maxValue="214"/>
    </cacheField>
    <cacheField name="M1 Opening Inventory" numFmtId="0">
      <sharedItems containsString="0" containsBlank="1" containsNumber="1" minValue="-148" maxValue="3646"/>
    </cacheField>
    <cacheField name="M1 Demand Plan" numFmtId="0">
      <sharedItems containsString="0" containsBlank="1" containsNumber="1" minValue="0" maxValue="3574"/>
    </cacheField>
    <cacheField name="M1 Plant Opening DOH" numFmtId="0">
      <sharedItems containsString="0" containsBlank="1" containsNumber="1" minValue="-49.887640449438202" maxValue="9999"/>
    </cacheField>
    <cacheField name="M1 Region Opening DOH" numFmtId="0">
      <sharedItems containsString="0" containsBlank="1" containsNumber="1" minValue="8.0281690140845079" maxValue="120"/>
    </cacheField>
    <cacheField name="All India M1 DOH" numFmtId="0">
      <sharedItems containsString="0" containsBlank="1" containsNumber="1" minValue="0.25091391419878423" maxValue="60.696324951644101"/>
    </cacheField>
    <cacheField name="ABC" numFmtId="0">
      <sharedItems containsBlank="1" count="5">
        <s v="C"/>
        <s v="A"/>
        <s v="B"/>
        <s v="10p"/>
        <m/>
      </sharedItems>
    </cacheField>
    <cacheField name="Brand Name" numFmtId="0">
      <sharedItems containsBlank="1" count="7">
        <s v="Alldry"/>
        <s v="Calista"/>
        <s v="Prime"/>
        <s v="Style"/>
        <s v="One"/>
        <s v="10p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Mahesh Pol" refreshedDate="46229.43750925926" createdVersion="8" refreshedVersion="8" minRefreshableVersion="3" recordCount="316" xr:uid="{00000000-000A-0000-FFFF-FFFFD8010000}">
  <cacheSource type="worksheet">
    <worksheetSource ref="A3:Y1048576" sheet="Base"/>
  </cacheSource>
  <cacheFields count="25">
    <cacheField name="Key SKU-Region" numFmtId="0">
      <sharedItems containsBlank="1"/>
    </cacheField>
    <cacheField name="Key SKU-Plant" numFmtId="0">
      <sharedItems containsBlank="1"/>
    </cacheField>
    <cacheField name="SKU" numFmtId="0">
      <sharedItems containsString="0" containsBlank="1" containsNumber="1" containsInteger="1" minValue="1127978094120" maxValue="9963334018999" count="46">
        <n v="3746317213120"/>
        <n v="3746317213220"/>
        <n v="3746317213420"/>
        <n v="9697354961220"/>
        <n v="9697354961320"/>
        <n v="9697354961420"/>
        <n v="9697354961520"/>
        <n v="2181241943120"/>
        <n v="2181241943220"/>
        <n v="2181241943320"/>
        <n v="2181241943420"/>
        <n v="2181241943520"/>
        <n v="1958682846120"/>
        <n v="1958682846320"/>
        <n v="1958682846520"/>
        <n v="4163119785120"/>
        <n v="4163119785220"/>
        <n v="4163119785320"/>
        <n v="4163119785520"/>
        <n v="9963334018120"/>
        <n v="9963334018220"/>
        <n v="9963334018320"/>
        <n v="9963334018420"/>
        <n v="9963334018520"/>
        <n v="2812140441120"/>
        <n v="2812140441320"/>
        <n v="2812140441520"/>
        <n v="1127978094120"/>
        <n v="1127978094320"/>
        <n v="1127978094420"/>
        <n v="1939042955120"/>
        <n v="1939042955320"/>
        <n v="1939042955520"/>
        <n v="9703905715220"/>
        <n v="9703905715320"/>
        <n v="9703905715420"/>
        <n v="7635473142220"/>
        <n v="7635473142320"/>
        <n v="7635473142420"/>
        <n v="6241752544220"/>
        <n v="6241752544320"/>
        <n v="6241752544420"/>
        <n v="6241752544520"/>
        <n v="2181241943999"/>
        <n v="9963334018999"/>
        <m/>
      </sharedItems>
    </cacheField>
    <cacheField name="Shade Code" numFmtId="0">
      <sharedItems containsBlank="1"/>
    </cacheField>
    <cacheField name="Plant" numFmtId="0">
      <sharedItems containsBlank="1" count="8">
        <s v="Mah"/>
        <s v="Pan"/>
        <s v="Lud"/>
        <s v="CY"/>
        <s v="CMR"/>
        <s v="KGP"/>
        <s v="Guw"/>
        <m/>
      </sharedItems>
    </cacheField>
    <cacheField name="Region" numFmtId="0">
      <sharedItems containsBlank="1"/>
    </cacheField>
    <cacheField name="Batch Size" numFmtId="0">
      <sharedItems containsString="0" containsBlank="1" containsNumber="1" minValue="16" maxValue="92"/>
    </cacheField>
    <cacheField name="M0 Opening Inventory" numFmtId="0">
      <sharedItems containsString="0" containsBlank="1" containsNumber="1" minValue="0" maxValue="2842"/>
    </cacheField>
    <cacheField name="M0 Opening DOH" numFmtId="0">
      <sharedItems containsString="0" containsBlank="1" containsNumber="1" minValue="0" maxValue="270"/>
    </cacheField>
    <cacheField name="M0 Demand Plan" numFmtId="0">
      <sharedItems containsString="0" containsBlank="1" containsNumber="1" minValue="0" maxValue="3510"/>
    </cacheField>
    <cacheField name="M0 Production Plan without 10p" numFmtId="0">
      <sharedItems containsString="0" containsBlank="1" containsNumber="1" minValue="0" maxValue="4890"/>
    </cacheField>
    <cacheField name="M0 Production Plan" numFmtId="0">
      <sharedItems containsString="0" containsBlank="1" containsNumber="1" minValue="0" maxValue="4900"/>
    </cacheField>
    <cacheField name="Number of Batches" numFmtId="0">
      <sharedItems containsString="0" containsBlank="1" containsNumber="1" minValue="0" maxValue="214"/>
    </cacheField>
    <cacheField name="M1 Opening Inventory" numFmtId="0">
      <sharedItems containsString="0" containsBlank="1" containsNumber="1" minValue="-148" maxValue="3646"/>
    </cacheField>
    <cacheField name="M1 Demand Plan" numFmtId="0">
      <sharedItems containsString="0" containsBlank="1" containsNumber="1" minValue="0" maxValue="3574"/>
    </cacheField>
    <cacheField name="M1 Plant Opening DOH" numFmtId="0">
      <sharedItems containsString="0" containsBlank="1" containsNumber="1" minValue="-49.887640449438202" maxValue="9999"/>
    </cacheField>
    <cacheField name="M1 Region Opening DOH" numFmtId="0">
      <sharedItems containsString="0" containsBlank="1" containsNumber="1" minValue="8.0281690140845079" maxValue="120"/>
    </cacheField>
    <cacheField name="All India M1 DOH" numFmtId="0">
      <sharedItems containsString="0" containsBlank="1" containsNumber="1" minValue="0.25091391419878423" maxValue="60.696324951644101"/>
    </cacheField>
    <cacheField name="ABC" numFmtId="0">
      <sharedItems containsBlank="1" count="5">
        <s v="C"/>
        <s v="A"/>
        <s v="B"/>
        <s v="10p"/>
        <m/>
      </sharedItems>
    </cacheField>
    <cacheField name="Brand Name" numFmtId="0">
      <sharedItems containsBlank="1"/>
    </cacheField>
    <cacheField name="10p SKU" numFmtId="0">
      <sharedItems containsString="0" containsBlank="1" containsNumber="1" containsInteger="1" minValue="2181241943999" maxValue="9963334018999"/>
    </cacheField>
    <cacheField name="10p Ratio" numFmtId="0">
      <sharedItems containsString="0" containsBlank="1" containsNumber="1" minValue="0.1" maxValue="0.1"/>
    </cacheField>
    <cacheField name="10p Demand" numFmtId="0">
      <sharedItems containsString="0" containsBlank="1" containsNumber="1" minValue="0" maxValue="481.5"/>
    </cacheField>
    <cacheField name="Production Remarks" numFmtId="0">
      <sharedItems containsBlank="1"/>
    </cacheField>
    <cacheField name="diff" numFmtId="0">
      <sharedItems containsString="0" containsBlank="1" containsNumber="1" minValue="-96" maxValue="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2" cacheId="5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BC">
  <location ref="A31:F32" firstHeaderRow="0" firstDataRow="1" firstDataCol="0" rowPageCount="1" colPageCount="1"/>
  <pivotFields count="20">
    <pivotField showAll="0"/>
    <pivotField showAll="0"/>
    <pivotField numFmtId="1" multipleItemSelectionAllowe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axis="axisPage" multipleItemSelectionAllowed="1" showAll="0">
      <items count="6">
        <item h="1" x="1"/>
        <item h="1" x="2"/>
        <item h="1" x="0"/>
        <item h="1" x="4"/>
        <item x="3"/>
        <item t="default"/>
      </items>
    </pivotField>
    <pivotField showAll="0">
      <items count="8">
        <item x="1"/>
        <item x="6"/>
        <item x="4"/>
        <item x="0"/>
        <item x="2"/>
        <item x="3"/>
        <item x="5"/>
        <item t="default"/>
      </items>
    </pivotField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18" hier="-1"/>
  </pageFields>
  <dataFields count="6">
    <dataField name="Sum of M0 Opening Inventory" fld="7" baseField="0" baseItem="0"/>
    <dataField name="Sum of M0 Demand Plan" fld="9" baseField="0" baseItem="0"/>
    <dataField name="Business Contribution" fld="9" baseField="0" baseItem="0" numFmtId="10"/>
    <dataField name="Sum of M0 Production Plan" fld="11" baseField="0" baseItem="0"/>
    <dataField name="Sum of M1 Opening Inventory" fld="13" baseField="0" baseItem="0"/>
    <dataField name="Sum of M1 Demand Plan" fld="14" baseField="0" baseItem="0"/>
  </dataFields>
  <formats count="10">
    <format dxfId="11">
      <pivotArea field="18" type="button" dataOnly="0" labelOnly="1" outline="0" axis="axisPage" fieldPosition="0"/>
    </format>
    <format dxfId="10">
      <pivotArea dataOnly="0" labelOnly="1" outline="0" fieldPosition="0">
        <references count="1">
          <reference field="4294967294" count="5">
            <x v="0"/>
            <x v="1"/>
            <x v="3"/>
            <x v="4"/>
            <x v="5"/>
          </reference>
        </references>
      </pivotArea>
    </format>
    <format dxfId="9">
      <pivotArea field="18" type="button" dataOnly="0" labelOnly="1" outline="0" axis="axisPage" fieldPosition="0"/>
    </format>
    <format dxfId="8">
      <pivotArea field="18" type="button" dataOnly="0" labelOnly="1" outline="0" axis="axisPage" fieldPosition="0"/>
    </format>
    <format dxfId="7">
      <pivotArea outline="0" fieldPosition="0">
        <references count="1">
          <reference field="4294967294" count="1">
            <x v="2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">
      <pivotArea field="19" type="button" dataOnly="0" labelOnly="1" outline="0"/>
    </format>
    <format dxfId="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">
      <pivotArea field="19" type="button" dataOnly="0" labelOnly="1" outline="0"/>
    </format>
    <format dxfId="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5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BC">
  <location ref="A3:H24" firstHeaderRow="0" firstDataRow="1" firstDataCol="1"/>
  <pivotFields count="20">
    <pivotField showAll="0"/>
    <pivotField showAll="0"/>
    <pivotField numFmtId="1" multipleItemSelectionAllowed="1"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axis="axisRow" showAll="0">
      <items count="6">
        <item x="1"/>
        <item x="2"/>
        <item x="0"/>
        <item h="1" x="4"/>
        <item h="1" x="3"/>
        <item t="default"/>
      </items>
    </pivotField>
    <pivotField axis="axisRow" showAll="0">
      <items count="8">
        <item x="1"/>
        <item h="1" x="6"/>
        <item x="4"/>
        <item x="0"/>
        <item x="2"/>
        <item x="3"/>
        <item x="5"/>
        <item t="default"/>
      </items>
    </pivotField>
  </pivotFields>
  <rowFields count="2">
    <field x="19"/>
    <field x="18"/>
  </rowFields>
  <rowItems count="21">
    <i>
      <x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M0 Opening Inventory" fld="7" baseField="0" baseItem="0"/>
    <dataField name="Sum of M0 Demand Plan" fld="9" baseField="0" baseItem="0"/>
    <dataField name="Business Contribution" fld="9" baseField="0" baseItem="0" numFmtId="10"/>
    <dataField name="M0 Production Plan without 10p." fld="10" baseField="0" baseItem="0"/>
    <dataField name="Sum of M0 Production Plan" fld="11" baseField="0" baseItem="0"/>
    <dataField name="Sum of M1 Opening Inventory" fld="13" baseField="0" baseItem="0"/>
    <dataField name="Sum of M1 Demand Plan" fld="14" baseField="0" baseItem="0"/>
  </dataFields>
  <formats count="13">
    <format dxfId="24">
      <pivotArea field="18" type="button" dataOnly="0" labelOnly="1" outline="0" axis="axisRow" fieldPosition="1"/>
    </format>
    <format dxfId="23">
      <pivotArea dataOnly="0" labelOnly="1" outline="0" fieldPosition="0">
        <references count="1">
          <reference field="4294967294" count="5">
            <x v="0"/>
            <x v="1"/>
            <x v="4"/>
            <x v="5"/>
            <x v="6"/>
          </reference>
        </references>
      </pivotArea>
    </format>
    <format dxfId="22">
      <pivotArea field="18" type="button" dataOnly="0" labelOnly="1" outline="0" axis="axisRow" fieldPosition="1"/>
    </format>
    <format dxfId="21">
      <pivotArea field="18" type="button" dataOnly="0" labelOnly="1" outline="0" axis="axisRow" fieldPosition="1"/>
    </format>
    <format dxfId="20">
      <pivotArea collapsedLevelsAreSubtotals="1" fieldPosition="0">
        <references count="1">
          <reference field="19" count="1">
            <x v="0"/>
          </reference>
        </references>
      </pivotArea>
    </format>
    <format dxfId="19">
      <pivotArea dataOnly="0" labelOnly="1" fieldPosition="0">
        <references count="1">
          <reference field="19" count="1">
            <x v="0"/>
          </reference>
        </references>
      </pivotArea>
    </format>
    <format dxfId="18">
      <pivotArea outline="0" fieldPosition="0">
        <references count="1">
          <reference field="4294967294" count="1">
            <x v="2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6">
      <pivotArea field="19" type="button" dataOnly="0" labelOnly="1" outline="0" axis="axisRow" fieldPosition="0"/>
    </format>
    <format dxfId="15">
      <pivotArea dataOnly="0" labelOnly="1" outline="0" fieldPosition="0">
        <references count="1">
          <reference field="4294967294" count="6">
            <x v="0"/>
            <x v="1"/>
            <x v="2"/>
            <x v="4"/>
            <x v="5"/>
            <x v="6"/>
          </reference>
        </references>
      </pivotArea>
    </format>
    <format dxfId="14">
      <pivotArea field="19" type="button" dataOnly="0" labelOnly="1" outline="0" axis="axisRow" fieldPosition="0"/>
    </format>
    <format dxfId="13">
      <pivotArea dataOnly="0" labelOnly="1" outline="0" fieldPosition="0">
        <references count="1">
          <reference field="4294967294" count="6">
            <x v="0"/>
            <x v="1"/>
            <x v="2"/>
            <x v="4"/>
            <x v="5"/>
            <x v="6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PivotTable3" cacheId="585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>
  <location ref="A3:D20" firstHeaderRow="0" firstDataRow="1" firstDataCol="2" rowPageCount="1" colPageCount="1"/>
  <pivotFields count="25">
    <pivotField compact="0" outline="0" showAll="0"/>
    <pivotField compact="0" outline="0" showAll="0"/>
    <pivotField axis="axisRow" compact="0" outline="0" showAll="0">
      <items count="47">
        <item x="27"/>
        <item x="28"/>
        <item x="29"/>
        <item x="30"/>
        <item x="31"/>
        <item x="32"/>
        <item x="12"/>
        <item x="13"/>
        <item x="14"/>
        <item x="7"/>
        <item x="8"/>
        <item x="9"/>
        <item x="10"/>
        <item x="11"/>
        <item x="43"/>
        <item x="24"/>
        <item x="25"/>
        <item x="26"/>
        <item x="0"/>
        <item x="1"/>
        <item x="2"/>
        <item x="15"/>
        <item x="16"/>
        <item x="17"/>
        <item x="18"/>
        <item x="39"/>
        <item x="40"/>
        <item x="41"/>
        <item x="42"/>
        <item x="36"/>
        <item x="37"/>
        <item x="38"/>
        <item x="3"/>
        <item x="4"/>
        <item x="5"/>
        <item x="6"/>
        <item x="33"/>
        <item x="34"/>
        <item x="35"/>
        <item x="19"/>
        <item x="20"/>
        <item x="21"/>
        <item x="22"/>
        <item x="23"/>
        <item x="44"/>
        <item x="45"/>
        <item t="default"/>
      </items>
    </pivotField>
    <pivotField compact="0" outline="0" showAll="0"/>
    <pivotField axis="axisRow" compact="0" outline="0" showAll="0">
      <items count="9">
        <item x="4"/>
        <item x="3"/>
        <item x="6"/>
        <item x="5"/>
        <item x="2"/>
        <item x="0"/>
        <item x="1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6">
        <item x="3"/>
        <item h="1" x="1"/>
        <item h="1" x="2"/>
        <item h="1" x="0"/>
        <item h="1" x="4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2">
    <field x="2"/>
    <field x="4"/>
  </rowFields>
  <rowItems count="17"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4"/>
    </i>
    <i>
      <x v="44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44"/>
    </i>
    <i t="grand">
      <x/>
    </i>
  </rowItems>
  <colFields count="1">
    <field x="-2"/>
  </colFields>
  <colItems count="2">
    <i>
      <x/>
    </i>
    <i i="1">
      <x v="1"/>
    </i>
  </colItems>
  <pageFields count="1">
    <pageField fld="18" hier="-1"/>
  </pageFields>
  <dataFields count="2">
    <dataField name="Sum of 10p Demand" fld="22" baseField="0" baseItem="0"/>
    <dataField name="Sum of M0 Production Plan" fld="11" baseField="0" baseItem="0"/>
  </dataFields>
  <formats count="1">
    <format dxfId="1">
      <pivotArea dataOnly="0" labelOnly="1" fieldPosition="0">
        <references count="1">
          <reference field="2" count="2">
            <x v="14"/>
            <x v="44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tabSelected="1" topLeftCell="A3" zoomScale="116" workbookViewId="0">
      <selection activeCell="D31" sqref="D31"/>
    </sheetView>
  </sheetViews>
  <sheetFormatPr defaultColWidth="11.19921875" defaultRowHeight="15.6" x14ac:dyDescent="0.3"/>
  <cols>
    <col min="1" max="1" width="10.5" bestFit="1" customWidth="1"/>
    <col min="2" max="2" width="15.796875" bestFit="1" customWidth="1"/>
    <col min="3" max="3" width="12.19921875" bestFit="1" customWidth="1"/>
    <col min="4" max="4" width="19.296875" bestFit="1" customWidth="1"/>
    <col min="5" max="5" width="15.296875" bestFit="1" customWidth="1"/>
    <col min="6" max="6" width="14.19921875" bestFit="1" customWidth="1"/>
    <col min="7" max="7" width="17" bestFit="1" customWidth="1"/>
    <col min="8" max="8" width="21.5" customWidth="1"/>
    <col min="9" max="14" width="12" customWidth="1"/>
    <col min="15" max="15" width="10.69921875" bestFit="1" customWidth="1"/>
    <col min="17" max="17" width="30.796875" customWidth="1"/>
  </cols>
  <sheetData>
    <row r="1" spans="1:17" x14ac:dyDescent="0.3">
      <c r="E1">
        <v>129620.50000000501</v>
      </c>
      <c r="F1">
        <v>129630</v>
      </c>
      <c r="I1" s="17"/>
      <c r="P1" t="s">
        <v>11</v>
      </c>
    </row>
    <row r="2" spans="1:17" x14ac:dyDescent="0.3">
      <c r="K2" s="30">
        <f>K4+K8+K12+K16+K20</f>
        <v>129620.23333333334</v>
      </c>
    </row>
    <row r="3" spans="1:17" s="20" customFormat="1" ht="49.05" customHeight="1" x14ac:dyDescent="0.3">
      <c r="A3" s="19" t="s">
        <v>12</v>
      </c>
      <c r="B3" s="20" t="s">
        <v>13</v>
      </c>
      <c r="C3" s="20" t="s">
        <v>14</v>
      </c>
      <c r="D3" s="20" t="s">
        <v>15</v>
      </c>
      <c r="E3" s="34" t="s">
        <v>16</v>
      </c>
      <c r="F3" s="20" t="s">
        <v>17</v>
      </c>
      <c r="G3" s="20" t="s">
        <v>18</v>
      </c>
      <c r="H3" s="20" t="s">
        <v>19</v>
      </c>
      <c r="I3" s="20" t="s">
        <v>20</v>
      </c>
      <c r="J3" s="20" t="s">
        <v>21</v>
      </c>
      <c r="K3" s="20" t="s">
        <v>22</v>
      </c>
      <c r="L3" s="20" t="s">
        <v>23</v>
      </c>
      <c r="M3" s="20" t="s">
        <v>24</v>
      </c>
      <c r="N3" s="20" t="s">
        <v>25</v>
      </c>
      <c r="O3" s="20" t="s">
        <v>26</v>
      </c>
      <c r="Q3" s="20" t="s">
        <v>27</v>
      </c>
    </row>
    <row r="4" spans="1:17" s="15" customFormat="1" x14ac:dyDescent="0.3">
      <c r="A4" s="24" t="s">
        <v>28</v>
      </c>
      <c r="B4" s="35">
        <v>24227</v>
      </c>
      <c r="C4" s="35">
        <v>27316</v>
      </c>
      <c r="D4" s="26">
        <v>0.27771169467573531</v>
      </c>
      <c r="E4" s="35">
        <v>30708.500000005031</v>
      </c>
      <c r="F4" s="35">
        <v>30718</v>
      </c>
      <c r="G4" s="35">
        <v>27629</v>
      </c>
      <c r="H4" s="35">
        <v>33144</v>
      </c>
      <c r="I4" s="27">
        <v>25</v>
      </c>
      <c r="J4" s="18">
        <f>I4*H4/30</f>
        <v>27620</v>
      </c>
      <c r="K4" s="18">
        <f t="shared" ref="K4:K23" si="0">J4-B4+C4</f>
        <v>30709</v>
      </c>
      <c r="L4" s="23">
        <f t="shared" ref="L4:M10" si="1">M4*1.25</f>
        <v>41.015625</v>
      </c>
      <c r="M4" s="23">
        <f t="shared" si="1"/>
        <v>32.8125</v>
      </c>
      <c r="N4" s="28">
        <f t="shared" ref="N4:N24" si="2">I4*1.05</f>
        <v>26.25</v>
      </c>
      <c r="O4" s="33">
        <f t="shared" ref="O4:O24" si="3">G4*30/H4</f>
        <v>25.008146270818248</v>
      </c>
    </row>
    <row r="5" spans="1:17" x14ac:dyDescent="0.3">
      <c r="A5" s="22" t="s">
        <v>29</v>
      </c>
      <c r="B5">
        <v>16959</v>
      </c>
      <c r="C5">
        <v>18247</v>
      </c>
      <c r="D5" s="25">
        <v>0.66799677844486749</v>
      </c>
      <c r="E5">
        <v>19738.000000003351</v>
      </c>
      <c r="F5">
        <v>19740</v>
      </c>
      <c r="G5">
        <v>18452</v>
      </c>
      <c r="H5">
        <v>24076</v>
      </c>
      <c r="I5" s="17">
        <f>J5/H5*30</f>
        <v>22.98978778116868</v>
      </c>
      <c r="J5" s="17">
        <f>J4*D5</f>
        <v>18450.071020647239</v>
      </c>
      <c r="K5" s="29">
        <f t="shared" si="0"/>
        <v>19738.071020647239</v>
      </c>
      <c r="L5" s="23">
        <f t="shared" si="1"/>
        <v>37.717620578479867</v>
      </c>
      <c r="M5" s="23">
        <f t="shared" si="1"/>
        <v>30.174096462783893</v>
      </c>
      <c r="N5" s="28">
        <f t="shared" si="2"/>
        <v>24.139277170227114</v>
      </c>
      <c r="O5" s="33">
        <f t="shared" si="3"/>
        <v>22.992191393919256</v>
      </c>
    </row>
    <row r="6" spans="1:17" x14ac:dyDescent="0.3">
      <c r="A6" s="22" t="s">
        <v>30</v>
      </c>
      <c r="B6">
        <v>4527</v>
      </c>
      <c r="C6">
        <v>6106</v>
      </c>
      <c r="D6" s="25">
        <v>0.22353199589983891</v>
      </c>
      <c r="E6">
        <v>7753.0000000016753</v>
      </c>
      <c r="F6">
        <v>7758.5</v>
      </c>
      <c r="G6">
        <v>6179.5</v>
      </c>
      <c r="H6">
        <v>5981</v>
      </c>
      <c r="I6" s="17">
        <f>J6/H6*30</f>
        <v>30.967833439660012</v>
      </c>
      <c r="J6" s="17">
        <f>J4*D6</f>
        <v>6173.9537267535507</v>
      </c>
      <c r="K6" s="29">
        <f t="shared" si="0"/>
        <v>7752.9537267535507</v>
      </c>
      <c r="L6" s="23">
        <f t="shared" si="1"/>
        <v>50.806601736942213</v>
      </c>
      <c r="M6" s="23">
        <f t="shared" si="1"/>
        <v>40.645281389553773</v>
      </c>
      <c r="N6" s="28">
        <f t="shared" si="2"/>
        <v>32.516225111643017</v>
      </c>
      <c r="O6" s="33">
        <f t="shared" si="3"/>
        <v>30.995652900852701</v>
      </c>
    </row>
    <row r="7" spans="1:17" x14ac:dyDescent="0.3">
      <c r="A7" s="22" t="s">
        <v>31</v>
      </c>
      <c r="B7">
        <v>2741</v>
      </c>
      <c r="C7">
        <v>2963</v>
      </c>
      <c r="D7" s="25">
        <v>0.1084712256552936</v>
      </c>
      <c r="E7">
        <v>3217.5</v>
      </c>
      <c r="F7">
        <v>3219.5</v>
      </c>
      <c r="G7">
        <v>2997.5</v>
      </c>
      <c r="H7">
        <v>3087</v>
      </c>
      <c r="I7" s="17">
        <f>J7/H7*30</f>
        <v>29.115405758981627</v>
      </c>
      <c r="J7" s="17">
        <f>J4*D7</f>
        <v>2995.9752525992094</v>
      </c>
      <c r="K7" s="29">
        <f t="shared" si="0"/>
        <v>3217.9752525992094</v>
      </c>
      <c r="L7" s="23">
        <f t="shared" si="1"/>
        <v>47.767462573329233</v>
      </c>
      <c r="M7" s="23">
        <f t="shared" si="1"/>
        <v>38.213970058663385</v>
      </c>
      <c r="N7" s="28">
        <f t="shared" si="2"/>
        <v>30.571176046930709</v>
      </c>
      <c r="O7" s="33">
        <f t="shared" si="3"/>
        <v>29.130223517978621</v>
      </c>
    </row>
    <row r="8" spans="1:17" x14ac:dyDescent="0.3">
      <c r="A8" s="16" t="s">
        <v>32</v>
      </c>
      <c r="B8">
        <v>9369</v>
      </c>
      <c r="C8">
        <v>10944</v>
      </c>
      <c r="D8" s="25">
        <v>0.111263610577363</v>
      </c>
      <c r="E8">
        <v>22135.5</v>
      </c>
      <c r="F8">
        <v>22137.5</v>
      </c>
      <c r="G8">
        <v>20562.5</v>
      </c>
      <c r="H8">
        <v>17623</v>
      </c>
      <c r="I8" s="27">
        <v>35</v>
      </c>
      <c r="J8" s="18">
        <f>I8*H8/30</f>
        <v>20560.166666666668</v>
      </c>
      <c r="K8" s="18">
        <f t="shared" si="0"/>
        <v>22135.166666666668</v>
      </c>
      <c r="L8" s="23">
        <f t="shared" si="1"/>
        <v>57.421875</v>
      </c>
      <c r="M8" s="23">
        <f t="shared" si="1"/>
        <v>45.9375</v>
      </c>
      <c r="N8" s="28">
        <f t="shared" si="2"/>
        <v>36.75</v>
      </c>
      <c r="O8" s="33">
        <f t="shared" si="3"/>
        <v>35.003972081938379</v>
      </c>
    </row>
    <row r="9" spans="1:17" x14ac:dyDescent="0.3">
      <c r="A9" s="22" t="s">
        <v>29</v>
      </c>
      <c r="B9">
        <v>5866</v>
      </c>
      <c r="C9">
        <v>7188</v>
      </c>
      <c r="D9" s="25">
        <v>0.6567982456140351</v>
      </c>
      <c r="E9">
        <v>14826</v>
      </c>
      <c r="F9">
        <v>14827</v>
      </c>
      <c r="G9">
        <v>13505</v>
      </c>
      <c r="H9">
        <v>12809</v>
      </c>
      <c r="I9" s="17">
        <f>J9/H9*30</f>
        <v>31.62748394769029</v>
      </c>
      <c r="J9" s="17">
        <f>J8*D9</f>
        <v>13503.881396198831</v>
      </c>
      <c r="K9" s="29">
        <f t="shared" si="0"/>
        <v>14825.881396198831</v>
      </c>
      <c r="L9" s="23">
        <f t="shared" si="1"/>
        <v>51.888840851679383</v>
      </c>
      <c r="M9" s="23">
        <f t="shared" si="1"/>
        <v>41.511072681343506</v>
      </c>
      <c r="N9" s="28">
        <f t="shared" si="2"/>
        <v>33.208858145074807</v>
      </c>
      <c r="O9" s="33">
        <f t="shared" si="3"/>
        <v>31.630103833242252</v>
      </c>
    </row>
    <row r="10" spans="1:17" x14ac:dyDescent="0.3">
      <c r="A10" s="22" t="s">
        <v>30</v>
      </c>
      <c r="B10">
        <v>2432</v>
      </c>
      <c r="C10">
        <v>2302</v>
      </c>
      <c r="D10" s="25">
        <v>0.210343567251462</v>
      </c>
      <c r="E10">
        <v>4195</v>
      </c>
      <c r="F10">
        <v>4194</v>
      </c>
      <c r="G10">
        <v>4324</v>
      </c>
      <c r="H10">
        <v>3412</v>
      </c>
      <c r="I10" s="17">
        <f>J10/H10*30</f>
        <v>38.024901523604342</v>
      </c>
      <c r="J10" s="17">
        <f>J8*D10</f>
        <v>4324.6987999512676</v>
      </c>
      <c r="K10" s="29">
        <f t="shared" si="0"/>
        <v>4194.6987999512676</v>
      </c>
      <c r="L10" s="23">
        <f t="shared" si="1"/>
        <v>62.384604062163369</v>
      </c>
      <c r="M10" s="23">
        <f t="shared" si="1"/>
        <v>49.907683249730695</v>
      </c>
      <c r="N10" s="28">
        <f t="shared" si="2"/>
        <v>39.926146599784559</v>
      </c>
      <c r="O10" s="33">
        <f t="shared" si="3"/>
        <v>38.018757327080891</v>
      </c>
    </row>
    <row r="11" spans="1:17" x14ac:dyDescent="0.3">
      <c r="A11" s="22" t="s">
        <v>31</v>
      </c>
      <c r="B11">
        <v>1071</v>
      </c>
      <c r="C11">
        <v>1454</v>
      </c>
      <c r="D11" s="25">
        <v>0.1328581871345029</v>
      </c>
      <c r="E11">
        <v>3114.5</v>
      </c>
      <c r="F11">
        <v>3116.5</v>
      </c>
      <c r="G11">
        <v>2733.5</v>
      </c>
      <c r="H11">
        <v>1402</v>
      </c>
      <c r="I11" s="17">
        <f>J11/H11*30</f>
        <v>58.450495089512884</v>
      </c>
      <c r="J11" s="17">
        <f>J8*D11</f>
        <v>2731.5864705165686</v>
      </c>
      <c r="K11" s="29">
        <f t="shared" si="0"/>
        <v>3114.5864705165686</v>
      </c>
      <c r="L11" s="23">
        <f>M11*2</f>
        <v>184.1190595319656</v>
      </c>
      <c r="M11" s="23">
        <f>N11*1.5</f>
        <v>92.059529765982802</v>
      </c>
      <c r="N11" s="28">
        <f t="shared" si="2"/>
        <v>61.37301984398853</v>
      </c>
      <c r="O11" s="33">
        <f t="shared" si="3"/>
        <v>58.491440798858775</v>
      </c>
    </row>
    <row r="12" spans="1:17" x14ac:dyDescent="0.3">
      <c r="A12" s="16" t="s">
        <v>33</v>
      </c>
      <c r="B12">
        <v>8626</v>
      </c>
      <c r="C12">
        <v>14804</v>
      </c>
      <c r="D12" s="25">
        <v>0.1505068065595104</v>
      </c>
      <c r="E12">
        <v>19211.000000000011</v>
      </c>
      <c r="F12">
        <v>19214</v>
      </c>
      <c r="G12">
        <v>13036</v>
      </c>
      <c r="H12">
        <v>12218</v>
      </c>
      <c r="I12" s="27">
        <v>32</v>
      </c>
      <c r="J12" s="18">
        <f>I12*H12/30</f>
        <v>13032.533333333333</v>
      </c>
      <c r="K12" s="18">
        <f t="shared" si="0"/>
        <v>19210.533333333333</v>
      </c>
      <c r="L12" s="23">
        <f t="shared" ref="L12:M24" si="4">M12*1.25</f>
        <v>52.5</v>
      </c>
      <c r="M12" s="23">
        <f t="shared" si="4"/>
        <v>42</v>
      </c>
      <c r="N12" s="28">
        <f t="shared" si="2"/>
        <v>33.6</v>
      </c>
      <c r="O12" s="33">
        <f t="shared" si="3"/>
        <v>32.008512031429042</v>
      </c>
    </row>
    <row r="13" spans="1:17" x14ac:dyDescent="0.3">
      <c r="A13" s="22" t="s">
        <v>29</v>
      </c>
      <c r="B13">
        <v>5316</v>
      </c>
      <c r="C13">
        <v>10587</v>
      </c>
      <c r="D13" s="25">
        <v>0.71514455552553369</v>
      </c>
      <c r="E13">
        <v>14591.5</v>
      </c>
      <c r="F13">
        <v>14594.5</v>
      </c>
      <c r="G13">
        <v>9323.5</v>
      </c>
      <c r="H13">
        <v>8326</v>
      </c>
      <c r="I13" s="17">
        <f>J13/H13*30</f>
        <v>33.582075155074591</v>
      </c>
      <c r="J13" s="17">
        <f>J12*D13</f>
        <v>9320.1452580383684</v>
      </c>
      <c r="K13" s="29">
        <f t="shared" si="0"/>
        <v>14591.145258038368</v>
      </c>
      <c r="L13" s="23">
        <f t="shared" si="4"/>
        <v>55.095592051294247</v>
      </c>
      <c r="M13" s="23">
        <f t="shared" si="4"/>
        <v>44.076473641035399</v>
      </c>
      <c r="N13" s="28">
        <f t="shared" si="2"/>
        <v>35.261178912828321</v>
      </c>
      <c r="O13" s="33">
        <f t="shared" si="3"/>
        <v>33.594162863319724</v>
      </c>
    </row>
    <row r="14" spans="1:17" x14ac:dyDescent="0.3">
      <c r="A14" s="22" t="s">
        <v>30</v>
      </c>
      <c r="B14">
        <v>2054</v>
      </c>
      <c r="C14">
        <v>2983</v>
      </c>
      <c r="D14" s="25">
        <v>0.20149959470413401</v>
      </c>
      <c r="E14">
        <v>3555.0000000000118</v>
      </c>
      <c r="F14">
        <v>3554.5</v>
      </c>
      <c r="G14">
        <v>2625.5</v>
      </c>
      <c r="H14">
        <v>2422</v>
      </c>
      <c r="I14" s="17">
        <f>J14/H14*30</f>
        <v>32.527458934369726</v>
      </c>
      <c r="J14" s="17">
        <f>J12*D14</f>
        <v>2626.0501846347829</v>
      </c>
      <c r="K14" s="29">
        <f t="shared" si="0"/>
        <v>3555.0501846347829</v>
      </c>
      <c r="L14" s="23">
        <f t="shared" si="4"/>
        <v>53.36536231420034</v>
      </c>
      <c r="M14" s="23">
        <f t="shared" si="4"/>
        <v>42.692289851360272</v>
      </c>
      <c r="N14" s="28">
        <f t="shared" si="2"/>
        <v>34.153831881088216</v>
      </c>
      <c r="O14" s="33">
        <f t="shared" si="3"/>
        <v>32.520644095788604</v>
      </c>
    </row>
    <row r="15" spans="1:17" x14ac:dyDescent="0.3">
      <c r="A15" s="22" t="s">
        <v>31</v>
      </c>
      <c r="B15">
        <v>1256</v>
      </c>
      <c r="C15">
        <v>1234</v>
      </c>
      <c r="D15" s="25">
        <v>8.3355849770332349E-2</v>
      </c>
      <c r="E15">
        <v>1064.5</v>
      </c>
      <c r="F15">
        <v>1065</v>
      </c>
      <c r="G15">
        <v>1087</v>
      </c>
      <c r="H15">
        <v>1470</v>
      </c>
      <c r="I15" s="17">
        <f>J15/H15*30</f>
        <v>22.170161033881264</v>
      </c>
      <c r="J15" s="17">
        <f>J12*D15</f>
        <v>1086.337890660182</v>
      </c>
      <c r="K15" s="29">
        <f t="shared" si="0"/>
        <v>1064.337890660182</v>
      </c>
      <c r="L15" s="23">
        <f t="shared" si="4"/>
        <v>36.372920446211452</v>
      </c>
      <c r="M15" s="23">
        <f t="shared" si="4"/>
        <v>29.09833635696916</v>
      </c>
      <c r="N15" s="28">
        <f t="shared" si="2"/>
        <v>23.278669085575327</v>
      </c>
      <c r="O15" s="33">
        <f t="shared" si="3"/>
        <v>22.183673469387756</v>
      </c>
    </row>
    <row r="16" spans="1:17" x14ac:dyDescent="0.3">
      <c r="A16" s="16" t="s">
        <v>34</v>
      </c>
      <c r="B16">
        <v>24790</v>
      </c>
      <c r="C16">
        <v>26789</v>
      </c>
      <c r="D16" s="25">
        <v>0.27235388009475298</v>
      </c>
      <c r="E16">
        <v>41015.5</v>
      </c>
      <c r="F16">
        <v>41009.5</v>
      </c>
      <c r="G16">
        <v>39010.5</v>
      </c>
      <c r="H16">
        <v>29262</v>
      </c>
      <c r="I16" s="27">
        <v>40</v>
      </c>
      <c r="J16" s="18">
        <f>I16*H16/30</f>
        <v>39016</v>
      </c>
      <c r="K16" s="18">
        <f t="shared" si="0"/>
        <v>41015</v>
      </c>
      <c r="L16" s="23">
        <f t="shared" si="4"/>
        <v>65.625</v>
      </c>
      <c r="M16" s="23">
        <f t="shared" si="4"/>
        <v>52.5</v>
      </c>
      <c r="N16" s="28">
        <f t="shared" si="2"/>
        <v>42</v>
      </c>
      <c r="O16" s="33">
        <f t="shared" si="3"/>
        <v>39.994361287676853</v>
      </c>
    </row>
    <row r="17" spans="1:15" x14ac:dyDescent="0.3">
      <c r="A17" s="22" t="s">
        <v>29</v>
      </c>
      <c r="B17">
        <v>16902</v>
      </c>
      <c r="C17">
        <v>18874</v>
      </c>
      <c r="D17" s="25">
        <v>0.70454290940311326</v>
      </c>
      <c r="E17">
        <v>29460.5</v>
      </c>
      <c r="F17">
        <v>29457.5</v>
      </c>
      <c r="G17">
        <v>27485.5</v>
      </c>
      <c r="H17">
        <v>20365</v>
      </c>
      <c r="I17" s="17">
        <f>J17/H17*30</f>
        <v>40.493659936074444</v>
      </c>
      <c r="J17" s="17">
        <f>J16*D17</f>
        <v>27488.446153271867</v>
      </c>
      <c r="K17" s="29">
        <f t="shared" si="0"/>
        <v>29460.446153271867</v>
      </c>
      <c r="L17" s="23">
        <f t="shared" si="4"/>
        <v>66.434910832622137</v>
      </c>
      <c r="M17" s="23">
        <f t="shared" si="4"/>
        <v>53.147928666097712</v>
      </c>
      <c r="N17" s="28">
        <f t="shared" si="2"/>
        <v>42.51834293287817</v>
      </c>
      <c r="O17" s="33">
        <f t="shared" si="3"/>
        <v>40.489319911613059</v>
      </c>
    </row>
    <row r="18" spans="1:15" x14ac:dyDescent="0.3">
      <c r="A18" s="22" t="s">
        <v>30</v>
      </c>
      <c r="B18">
        <v>5715</v>
      </c>
      <c r="C18">
        <v>5069</v>
      </c>
      <c r="D18" s="25">
        <v>0.18921945574676169</v>
      </c>
      <c r="E18">
        <v>6737</v>
      </c>
      <c r="F18">
        <v>6736</v>
      </c>
      <c r="G18">
        <v>7382</v>
      </c>
      <c r="H18">
        <v>6137</v>
      </c>
      <c r="I18" s="17">
        <f>J18/H18*30</f>
        <v>36.088901509282977</v>
      </c>
      <c r="J18" s="17">
        <f>J16*D18</f>
        <v>7382.5862854156539</v>
      </c>
      <c r="K18" s="29">
        <f t="shared" si="0"/>
        <v>6736.5862854156539</v>
      </c>
      <c r="L18" s="23">
        <f t="shared" si="4"/>
        <v>59.208354038667387</v>
      </c>
      <c r="M18" s="23">
        <f t="shared" si="4"/>
        <v>47.366683230933909</v>
      </c>
      <c r="N18" s="28">
        <f t="shared" si="2"/>
        <v>37.893346584747128</v>
      </c>
      <c r="O18" s="33">
        <f t="shared" si="3"/>
        <v>36.086035522242135</v>
      </c>
    </row>
    <row r="19" spans="1:15" x14ac:dyDescent="0.3">
      <c r="A19" s="22" t="s">
        <v>31</v>
      </c>
      <c r="B19">
        <v>2173</v>
      </c>
      <c r="C19">
        <v>2846</v>
      </c>
      <c r="D19" s="25">
        <v>0.10623763485012511</v>
      </c>
      <c r="E19">
        <v>4818</v>
      </c>
      <c r="F19">
        <v>4816</v>
      </c>
      <c r="G19">
        <v>4143</v>
      </c>
      <c r="H19">
        <v>2760</v>
      </c>
      <c r="I19" s="17">
        <f>J19/H19*30</f>
        <v>45.053995231657403</v>
      </c>
      <c r="J19" s="17">
        <f>J16*D19</f>
        <v>4144.9675613124809</v>
      </c>
      <c r="K19" s="29">
        <f t="shared" si="0"/>
        <v>4817.9675613124809</v>
      </c>
      <c r="L19" s="23">
        <f t="shared" si="4"/>
        <v>73.916710926937938</v>
      </c>
      <c r="M19" s="23">
        <f t="shared" si="4"/>
        <v>59.133368741550349</v>
      </c>
      <c r="N19" s="28">
        <f t="shared" si="2"/>
        <v>47.306694993240278</v>
      </c>
      <c r="O19" s="33">
        <f t="shared" si="3"/>
        <v>45.032608695652172</v>
      </c>
    </row>
    <row r="20" spans="1:15" x14ac:dyDescent="0.3">
      <c r="A20" s="16" t="s">
        <v>35</v>
      </c>
      <c r="B20">
        <v>14474</v>
      </c>
      <c r="C20">
        <v>18508</v>
      </c>
      <c r="D20" s="25">
        <v>0.18816400809263831</v>
      </c>
      <c r="E20">
        <v>16550</v>
      </c>
      <c r="F20">
        <v>16551</v>
      </c>
      <c r="G20">
        <v>12517</v>
      </c>
      <c r="H20">
        <v>17068</v>
      </c>
      <c r="I20" s="27">
        <v>22</v>
      </c>
      <c r="J20" s="18">
        <f>I20*H20/30</f>
        <v>12516.533333333333</v>
      </c>
      <c r="K20" s="18">
        <f t="shared" si="0"/>
        <v>16550.533333333333</v>
      </c>
      <c r="L20" s="23">
        <f t="shared" si="4"/>
        <v>36.09375</v>
      </c>
      <c r="M20" s="23">
        <f t="shared" si="4"/>
        <v>28.875</v>
      </c>
      <c r="N20" s="28">
        <f t="shared" si="2"/>
        <v>23.1</v>
      </c>
      <c r="O20" s="33">
        <f t="shared" si="3"/>
        <v>22.000820248418091</v>
      </c>
    </row>
    <row r="21" spans="1:15" x14ac:dyDescent="0.3">
      <c r="A21" s="22" t="s">
        <v>29</v>
      </c>
      <c r="B21">
        <v>10313</v>
      </c>
      <c r="C21">
        <v>13525</v>
      </c>
      <c r="D21" s="25">
        <v>0.7307650745623514</v>
      </c>
      <c r="E21">
        <v>12358.5</v>
      </c>
      <c r="F21">
        <v>12357.5</v>
      </c>
      <c r="G21">
        <v>9145.5</v>
      </c>
      <c r="H21">
        <v>11379</v>
      </c>
      <c r="I21" s="17">
        <f>J21/H21*30</f>
        <v>24.114541035052703</v>
      </c>
      <c r="J21" s="17">
        <f>J20*D21</f>
        <v>9146.6454145954904</v>
      </c>
      <c r="K21" s="29">
        <f t="shared" si="0"/>
        <v>12358.64541459549</v>
      </c>
      <c r="L21" s="23">
        <f t="shared" si="4"/>
        <v>39.562918885633344</v>
      </c>
      <c r="M21" s="23">
        <f t="shared" si="4"/>
        <v>31.650335108506674</v>
      </c>
      <c r="N21" s="28">
        <f t="shared" si="2"/>
        <v>25.320268086805338</v>
      </c>
      <c r="O21" s="33">
        <f t="shared" si="3"/>
        <v>24.111521223306092</v>
      </c>
    </row>
    <row r="22" spans="1:15" x14ac:dyDescent="0.3">
      <c r="A22" s="22" t="s">
        <v>30</v>
      </c>
      <c r="B22">
        <v>2831</v>
      </c>
      <c r="C22">
        <v>3475</v>
      </c>
      <c r="D22" s="25">
        <v>0.18775664577480011</v>
      </c>
      <c r="E22">
        <v>2994</v>
      </c>
      <c r="F22">
        <v>2996</v>
      </c>
      <c r="G22">
        <v>2352</v>
      </c>
      <c r="H22">
        <v>3641</v>
      </c>
      <c r="I22" s="17">
        <f>J22/H22*30</f>
        <v>19.363325861536484</v>
      </c>
      <c r="J22" s="17">
        <f>J20*D22</f>
        <v>2350.0623153951447</v>
      </c>
      <c r="K22" s="29">
        <f t="shared" si="0"/>
        <v>2994.0623153951447</v>
      </c>
      <c r="L22" s="23">
        <f t="shared" si="4"/>
        <v>31.767956491583291</v>
      </c>
      <c r="M22" s="23">
        <f t="shared" si="4"/>
        <v>25.414365193266633</v>
      </c>
      <c r="N22" s="28">
        <f t="shared" si="2"/>
        <v>20.331492154613308</v>
      </c>
      <c r="O22" s="33">
        <f t="shared" si="3"/>
        <v>19.379291403460588</v>
      </c>
    </row>
    <row r="23" spans="1:15" x14ac:dyDescent="0.3">
      <c r="A23" s="22" t="s">
        <v>31</v>
      </c>
      <c r="B23">
        <v>1330</v>
      </c>
      <c r="C23">
        <v>1508</v>
      </c>
      <c r="D23" s="25">
        <v>8.1478279662848499E-2</v>
      </c>
      <c r="E23">
        <v>1197.5</v>
      </c>
      <c r="F23">
        <v>1197.5</v>
      </c>
      <c r="G23">
        <v>1019.5</v>
      </c>
      <c r="H23">
        <v>2048</v>
      </c>
      <c r="I23" s="17">
        <f>J23/H23*30</f>
        <v>14.938851611465312</v>
      </c>
      <c r="J23" s="17">
        <f>J20*D23</f>
        <v>1019.8256033426986</v>
      </c>
      <c r="K23" s="29">
        <f t="shared" si="0"/>
        <v>1197.8256033426987</v>
      </c>
      <c r="L23" s="23">
        <f t="shared" si="4"/>
        <v>24.509053425060277</v>
      </c>
      <c r="M23" s="23">
        <f t="shared" si="4"/>
        <v>19.607242740048221</v>
      </c>
      <c r="N23" s="28">
        <f t="shared" si="2"/>
        <v>15.685794192038578</v>
      </c>
      <c r="O23" s="33">
        <f t="shared" si="3"/>
        <v>14.93408203125</v>
      </c>
    </row>
    <row r="24" spans="1:15" x14ac:dyDescent="0.3">
      <c r="A24" s="16" t="s">
        <v>36</v>
      </c>
      <c r="B24">
        <v>81486</v>
      </c>
      <c r="C24">
        <v>98361</v>
      </c>
      <c r="D24" s="25">
        <v>1</v>
      </c>
      <c r="E24">
        <v>129620.50000000501</v>
      </c>
      <c r="F24">
        <v>129630</v>
      </c>
      <c r="G24">
        <v>112755</v>
      </c>
      <c r="H24">
        <v>109315</v>
      </c>
      <c r="I24" s="17"/>
      <c r="L24" s="23">
        <f t="shared" si="4"/>
        <v>0</v>
      </c>
      <c r="M24" s="23">
        <f t="shared" si="4"/>
        <v>0</v>
      </c>
      <c r="N24" s="28">
        <f t="shared" si="2"/>
        <v>0</v>
      </c>
      <c r="O24" s="39">
        <f t="shared" si="3"/>
        <v>30.944060741892695</v>
      </c>
    </row>
    <row r="26" spans="1:15" s="37" customFormat="1" x14ac:dyDescent="0.3">
      <c r="A26" s="36" t="s">
        <v>37</v>
      </c>
      <c r="J26" s="37">
        <v>2700</v>
      </c>
      <c r="K26" s="37">
        <v>2700</v>
      </c>
      <c r="L26" s="38">
        <f>M26*1.25</f>
        <v>1562500</v>
      </c>
      <c r="M26" s="38">
        <f>N26*1.25</f>
        <v>1250000</v>
      </c>
      <c r="N26" s="37">
        <v>1000000</v>
      </c>
    </row>
    <row r="27" spans="1:15" x14ac:dyDescent="0.3">
      <c r="C27" s="31"/>
    </row>
    <row r="29" spans="1:15" ht="16.95" customHeight="1" x14ac:dyDescent="0.3">
      <c r="A29" s="19" t="s">
        <v>12</v>
      </c>
      <c r="B29" t="s">
        <v>37</v>
      </c>
    </row>
    <row r="31" spans="1:15" ht="51" customHeight="1" x14ac:dyDescent="0.3">
      <c r="A31" s="20" t="s">
        <v>13</v>
      </c>
      <c r="B31" s="20" t="s">
        <v>14</v>
      </c>
      <c r="C31" s="20" t="s">
        <v>15</v>
      </c>
      <c r="D31" s="20" t="s">
        <v>17</v>
      </c>
      <c r="E31" s="20" t="s">
        <v>18</v>
      </c>
      <c r="F31" s="20" t="s">
        <v>19</v>
      </c>
    </row>
    <row r="32" spans="1:15" x14ac:dyDescent="0.3">
      <c r="A32">
        <v>131.94500000000039</v>
      </c>
      <c r="B32">
        <v>1326.125000000168</v>
      </c>
      <c r="C32" s="25"/>
      <c r="D32">
        <v>2699.5</v>
      </c>
      <c r="E32">
        <v>1505.319999999833</v>
      </c>
      <c r="F32">
        <v>1326.125000000168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983"/>
  <sheetViews>
    <sheetView topLeftCell="A2" zoomScale="75" workbookViewId="0">
      <pane xSplit="2" ySplit="2" topLeftCell="C1775" activePane="bottomRight" state="frozen"/>
      <selection activeCell="A2" sqref="A2"/>
      <selection pane="topRight" activeCell="C2" sqref="C2"/>
      <selection pane="bottomLeft" activeCell="A4" sqref="A4"/>
      <selection pane="bottomRight" activeCell="A3" sqref="A3"/>
    </sheetView>
  </sheetViews>
  <sheetFormatPr defaultColWidth="10.796875" defaultRowHeight="13.8" x14ac:dyDescent="0.3"/>
  <cols>
    <col min="1" max="1" width="18.5" style="3" bestFit="1" customWidth="1"/>
    <col min="2" max="2" width="17.296875" style="3" bestFit="1" customWidth="1"/>
    <col min="3" max="3" width="19.19921875" style="3" bestFit="1" customWidth="1"/>
    <col min="4" max="4" width="15.796875" style="3" bestFit="1" customWidth="1"/>
    <col min="5" max="7" width="9.69921875" style="3" customWidth="1"/>
    <col min="8" max="8" width="12.796875" style="3" customWidth="1"/>
    <col min="9" max="9" width="14.296875" style="3" bestFit="1" customWidth="1"/>
    <col min="10" max="10" width="14.19921875" style="3" bestFit="1" customWidth="1"/>
    <col min="11" max="11" width="15.796875" style="3" bestFit="1" customWidth="1"/>
    <col min="12" max="20" width="9.69921875" style="3" customWidth="1"/>
    <col min="21" max="21" width="15.3984375" style="3" bestFit="1" customWidth="1"/>
    <col min="22" max="23" width="9.69921875" style="3" customWidth="1"/>
    <col min="24" max="24" width="87.5" style="3" bestFit="1" customWidth="1"/>
    <col min="25" max="49" width="10.796875" style="3" customWidth="1"/>
    <col min="50" max="16384" width="10.796875" style="3"/>
  </cols>
  <sheetData>
    <row r="1" spans="1:27" x14ac:dyDescent="0.3">
      <c r="E1" s="3">
        <f>5000/6</f>
        <v>833.33333333333337</v>
      </c>
      <c r="M1" s="4">
        <v>0</v>
      </c>
      <c r="N1" s="5"/>
      <c r="R1" s="3">
        <f>40/30</f>
        <v>1.3333333333333333</v>
      </c>
    </row>
    <row r="2" spans="1:27" x14ac:dyDescent="0.3">
      <c r="C2" s="14">
        <v>9170519900</v>
      </c>
      <c r="D2" s="3" t="s">
        <v>38</v>
      </c>
      <c r="E2" s="3">
        <f>4140/30</f>
        <v>138</v>
      </c>
      <c r="G2" s="3" t="e">
        <f>#REF!/27</f>
        <v>#REF!</v>
      </c>
      <c r="H2" s="3">
        <f>SUBTOTAL(9,H4:H1048576)</f>
        <v>39039.192557774863</v>
      </c>
      <c r="I2" s="3">
        <f>48*3</f>
        <v>144</v>
      </c>
      <c r="J2" s="3">
        <f>SUBTOTAL(9,J4:J1048576)</f>
        <v>31640.844591914189</v>
      </c>
      <c r="K2" s="3">
        <f>SUBTOTAL(9,K4:K1048576)</f>
        <v>30472.923888888876</v>
      </c>
      <c r="L2" s="3">
        <f>SUBTOTAL(9,L4:L1048576)</f>
        <v>0</v>
      </c>
      <c r="M2" s="3">
        <f>L2/27</f>
        <v>0</v>
      </c>
      <c r="O2" s="3">
        <f>SUBTOTAL(9,O4:O1048576)</f>
        <v>31640.844591914189</v>
      </c>
      <c r="Q2" s="3">
        <f>L2-K2</f>
        <v>-30472.923888888876</v>
      </c>
      <c r="W2" s="3">
        <f>SUBTOTAL(9,W4:W1048576)</f>
        <v>1396.4260000000011</v>
      </c>
    </row>
    <row r="3" spans="1:27" s="6" customFormat="1" ht="49.05" customHeight="1" x14ac:dyDescent="0.3">
      <c r="A3" s="6" t="s">
        <v>39</v>
      </c>
      <c r="B3" s="6" t="s">
        <v>40</v>
      </c>
      <c r="C3" s="6" t="s">
        <v>41</v>
      </c>
      <c r="D3" s="1" t="s">
        <v>0</v>
      </c>
      <c r="E3" s="6" t="s">
        <v>42</v>
      </c>
      <c r="F3" s="6" t="s">
        <v>43</v>
      </c>
      <c r="G3" s="6" t="s">
        <v>44</v>
      </c>
      <c r="H3" s="7" t="s">
        <v>45</v>
      </c>
      <c r="I3" s="7" t="s">
        <v>46</v>
      </c>
      <c r="J3" s="7" t="s">
        <v>47</v>
      </c>
      <c r="K3" s="7" t="s">
        <v>48</v>
      </c>
      <c r="L3" s="7" t="s">
        <v>49</v>
      </c>
      <c r="M3" s="7" t="s">
        <v>50</v>
      </c>
      <c r="N3" s="7" t="s">
        <v>51</v>
      </c>
      <c r="O3" s="7" t="s">
        <v>52</v>
      </c>
      <c r="P3" s="7" t="s">
        <v>53</v>
      </c>
      <c r="Q3" s="8" t="s">
        <v>54</v>
      </c>
      <c r="R3" s="9" t="s">
        <v>55</v>
      </c>
      <c r="S3" s="6" t="s">
        <v>12</v>
      </c>
      <c r="T3" s="6" t="s">
        <v>56</v>
      </c>
      <c r="U3" s="6" t="s">
        <v>57</v>
      </c>
      <c r="V3" s="6" t="s">
        <v>58</v>
      </c>
      <c r="W3" s="6" t="s">
        <v>59</v>
      </c>
      <c r="X3" s="6" t="s">
        <v>60</v>
      </c>
      <c r="Y3" s="6" t="s">
        <v>61</v>
      </c>
      <c r="Z3" s="6" t="s">
        <v>62</v>
      </c>
    </row>
    <row r="4" spans="1:27" x14ac:dyDescent="0.3">
      <c r="A4" s="3" t="str">
        <f t="shared" ref="A4:A67" si="0">_xlfn.CONCAT(F4,C4)</f>
        <v>West9400039913250</v>
      </c>
      <c r="B4" s="3" t="str">
        <f t="shared" ref="B4:B67" si="1">_xlfn.CONCAT(E4,C4)</f>
        <v>Mah9400039913250</v>
      </c>
      <c r="C4" s="10">
        <v>9400039913250</v>
      </c>
      <c r="D4" s="10" t="str">
        <f t="shared" ref="D4:D67" si="2">LEFT(C4,10)</f>
        <v>9400039913</v>
      </c>
      <c r="E4" s="3" t="s">
        <v>1</v>
      </c>
      <c r="F4" s="3" t="s">
        <v>63</v>
      </c>
      <c r="H4" s="3">
        <v>5.4999999999999956</v>
      </c>
      <c r="I4" s="10">
        <f t="shared" ref="I4:I67" si="3">IFERROR(H4/J4*30,0)</f>
        <v>183.86020511079323</v>
      </c>
      <c r="J4" s="3">
        <v>0.89742095033871905</v>
      </c>
      <c r="K4" s="3">
        <v>0</v>
      </c>
      <c r="L4" s="3">
        <f t="shared" ref="L4:L67" si="4">M4*G4</f>
        <v>0</v>
      </c>
      <c r="M4" s="32"/>
      <c r="N4" s="11">
        <f t="shared" ref="N4:N67" si="5">H4-J4+L4</f>
        <v>4.6025790496612764</v>
      </c>
      <c r="O4" s="3">
        <v>0.89742095033871905</v>
      </c>
      <c r="P4" s="11">
        <f t="shared" ref="P4:P67" si="6">IF(O4=0,9999,N4/O4*30)</f>
        <v>153.86020511079323</v>
      </c>
      <c r="Q4" s="12">
        <f t="shared" ref="Q4:Q67" si="7">IF(SUMIF($A:$A,$A4,$O:$O)=0,9999,SUMIF($A:$A,$A4,$N:$N)*30/SUMIF($A:$A,$A4,$O:$O))</f>
        <v>153.86020511079323</v>
      </c>
      <c r="R4" s="13">
        <f t="shared" ref="R4:R67" si="8">IF(SUMIF($C:$C,$C4,$O:$O)=0,9999,SUMIF($C:$C,$C4,$N:$N)*30/SUMIF($C:$C,$C4,$O:$O))</f>
        <v>153.86020511079323</v>
      </c>
      <c r="S4" s="3" t="s">
        <v>31</v>
      </c>
      <c r="T4" s="3" t="s">
        <v>32</v>
      </c>
      <c r="U4" s="10">
        <v>0</v>
      </c>
      <c r="V4" s="3">
        <v>0</v>
      </c>
      <c r="W4" s="3">
        <f t="shared" ref="W4:W67" si="9">IFERROR(K4*V4,0)</f>
        <v>0</v>
      </c>
      <c r="Y4" s="3">
        <v>0</v>
      </c>
      <c r="Z4" s="3">
        <v>0</v>
      </c>
      <c r="AA4" s="3">
        <v>1.35</v>
      </c>
    </row>
    <row r="5" spans="1:27" x14ac:dyDescent="0.3">
      <c r="A5" s="3" t="str">
        <f t="shared" si="0"/>
        <v>West9400039913210</v>
      </c>
      <c r="B5" s="3" t="str">
        <f t="shared" si="1"/>
        <v>Mah9400039913210</v>
      </c>
      <c r="C5" s="10">
        <v>9400039913210</v>
      </c>
      <c r="D5" s="10" t="str">
        <f t="shared" si="2"/>
        <v>9400039913</v>
      </c>
      <c r="E5" s="3" t="s">
        <v>1</v>
      </c>
      <c r="F5" s="3" t="s">
        <v>63</v>
      </c>
      <c r="H5" s="3">
        <v>2.6229999999999998</v>
      </c>
      <c r="I5" s="10">
        <f t="shared" si="3"/>
        <v>136.69995389518493</v>
      </c>
      <c r="J5" s="3">
        <v>0.57564028192969086</v>
      </c>
      <c r="K5" s="3">
        <v>0</v>
      </c>
      <c r="L5" s="3">
        <f t="shared" si="4"/>
        <v>0</v>
      </c>
      <c r="N5" s="11">
        <f t="shared" si="5"/>
        <v>2.0473597180703091</v>
      </c>
      <c r="O5" s="3">
        <v>0.57564028192969086</v>
      </c>
      <c r="P5" s="11">
        <f t="shared" si="6"/>
        <v>106.69995389518493</v>
      </c>
      <c r="Q5" s="12">
        <f t="shared" si="7"/>
        <v>106.69995389518493</v>
      </c>
      <c r="R5" s="13">
        <f t="shared" si="8"/>
        <v>106.69995389518493</v>
      </c>
      <c r="S5" s="3" t="s">
        <v>31</v>
      </c>
      <c r="T5" s="3" t="s">
        <v>32</v>
      </c>
      <c r="U5" s="10">
        <v>0</v>
      </c>
      <c r="V5" s="3">
        <v>0</v>
      </c>
      <c r="W5" s="3">
        <f t="shared" si="9"/>
        <v>0</v>
      </c>
      <c r="AA5" s="3">
        <v>1.35</v>
      </c>
    </row>
    <row r="6" spans="1:27" x14ac:dyDescent="0.3">
      <c r="A6" s="3" t="str">
        <f t="shared" si="0"/>
        <v>West9400039913320</v>
      </c>
      <c r="B6" s="3" t="str">
        <f t="shared" si="1"/>
        <v>Mah9400039913320</v>
      </c>
      <c r="C6" s="10">
        <v>9400039913320</v>
      </c>
      <c r="D6" s="10" t="str">
        <f t="shared" si="2"/>
        <v>9400039913</v>
      </c>
      <c r="E6" s="3" t="s">
        <v>1</v>
      </c>
      <c r="F6" s="3" t="s">
        <v>63</v>
      </c>
      <c r="H6" s="3">
        <v>0.1</v>
      </c>
      <c r="I6" s="10">
        <f t="shared" si="3"/>
        <v>0</v>
      </c>
      <c r="J6" s="3">
        <v>0</v>
      </c>
      <c r="K6" s="3">
        <v>0</v>
      </c>
      <c r="L6" s="3">
        <f t="shared" si="4"/>
        <v>0</v>
      </c>
      <c r="N6" s="11">
        <f t="shared" si="5"/>
        <v>0.1</v>
      </c>
      <c r="O6" s="3">
        <v>0</v>
      </c>
      <c r="P6" s="11">
        <f t="shared" si="6"/>
        <v>9999</v>
      </c>
      <c r="Q6" s="12">
        <f t="shared" si="7"/>
        <v>9999</v>
      </c>
      <c r="R6" s="13">
        <f t="shared" si="8"/>
        <v>9999</v>
      </c>
      <c r="S6" s="3" t="s">
        <v>31</v>
      </c>
      <c r="T6" s="3" t="s">
        <v>32</v>
      </c>
      <c r="U6" s="10">
        <v>0</v>
      </c>
      <c r="V6" s="3">
        <v>0</v>
      </c>
      <c r="W6" s="3">
        <f t="shared" si="9"/>
        <v>0</v>
      </c>
      <c r="AA6" s="3">
        <v>1.35</v>
      </c>
    </row>
    <row r="7" spans="1:27" x14ac:dyDescent="0.3">
      <c r="A7" s="3" t="str">
        <f t="shared" si="0"/>
        <v>West9401019913310</v>
      </c>
      <c r="B7" s="3" t="str">
        <f t="shared" si="1"/>
        <v>Mah9401019913310</v>
      </c>
      <c r="C7" s="10">
        <v>9401019913310</v>
      </c>
      <c r="D7" s="10" t="str">
        <f t="shared" si="2"/>
        <v>9401019913</v>
      </c>
      <c r="E7" s="3" t="s">
        <v>1</v>
      </c>
      <c r="F7" s="3" t="s">
        <v>63</v>
      </c>
      <c r="H7" s="3">
        <v>7.9699999999999944</v>
      </c>
      <c r="I7" s="10">
        <f t="shared" si="3"/>
        <v>106.71434445359158</v>
      </c>
      <c r="J7" s="3">
        <v>2.2405610157121916</v>
      </c>
      <c r="K7" s="3">
        <v>0</v>
      </c>
      <c r="L7" s="3">
        <f t="shared" si="4"/>
        <v>0</v>
      </c>
      <c r="M7" s="32"/>
      <c r="N7" s="11">
        <f t="shared" si="5"/>
        <v>5.7294389842878033</v>
      </c>
      <c r="O7" s="3">
        <v>2.2405610157121916</v>
      </c>
      <c r="P7" s="11">
        <f t="shared" si="6"/>
        <v>76.714344453591593</v>
      </c>
      <c r="Q7" s="12">
        <f t="shared" si="7"/>
        <v>76.714344453591579</v>
      </c>
      <c r="R7" s="13">
        <f t="shared" si="8"/>
        <v>76.714344453591579</v>
      </c>
      <c r="S7" s="3" t="s">
        <v>31</v>
      </c>
      <c r="T7" s="3" t="s">
        <v>32</v>
      </c>
      <c r="U7" s="10">
        <v>0</v>
      </c>
      <c r="V7" s="3">
        <v>0</v>
      </c>
      <c r="W7" s="3">
        <f t="shared" si="9"/>
        <v>0</v>
      </c>
      <c r="Y7" s="3">
        <v>0</v>
      </c>
      <c r="Z7" s="3">
        <v>30</v>
      </c>
      <c r="AA7" s="3">
        <v>1.4</v>
      </c>
    </row>
    <row r="8" spans="1:27" ht="16.05" customHeight="1" x14ac:dyDescent="0.3">
      <c r="A8" s="3" t="str">
        <f t="shared" si="0"/>
        <v>West9401039913310</v>
      </c>
      <c r="B8" s="3" t="str">
        <f t="shared" si="1"/>
        <v>Mah9401039913310</v>
      </c>
      <c r="C8" s="10">
        <v>9401039913310</v>
      </c>
      <c r="D8" s="10" t="str">
        <f t="shared" si="2"/>
        <v>9401039913</v>
      </c>
      <c r="E8" s="3" t="s">
        <v>1</v>
      </c>
      <c r="F8" s="3" t="s">
        <v>63</v>
      </c>
      <c r="H8" s="3">
        <v>12.839999999999993</v>
      </c>
      <c r="I8" s="10">
        <f t="shared" si="3"/>
        <v>317.25413732768982</v>
      </c>
      <c r="J8" s="3">
        <v>1.2141685629213059</v>
      </c>
      <c r="K8" s="3">
        <v>0</v>
      </c>
      <c r="L8" s="3">
        <f t="shared" si="4"/>
        <v>0</v>
      </c>
      <c r="M8" s="32"/>
      <c r="N8" s="11">
        <f t="shared" si="5"/>
        <v>11.625831437078688</v>
      </c>
      <c r="O8" s="3">
        <v>1.2141685629213059</v>
      </c>
      <c r="P8" s="11">
        <f t="shared" si="6"/>
        <v>287.25413732768982</v>
      </c>
      <c r="Q8" s="12">
        <f t="shared" si="7"/>
        <v>287.25413732768982</v>
      </c>
      <c r="R8" s="13">
        <f t="shared" si="8"/>
        <v>287.25413732768982</v>
      </c>
      <c r="S8" s="3" t="s">
        <v>31</v>
      </c>
      <c r="T8" s="3" t="s">
        <v>32</v>
      </c>
      <c r="U8" s="10">
        <v>0</v>
      </c>
      <c r="V8" s="3">
        <v>0</v>
      </c>
      <c r="W8" s="3">
        <f t="shared" si="9"/>
        <v>0</v>
      </c>
      <c r="Y8" s="3">
        <v>0</v>
      </c>
      <c r="Z8" s="3">
        <v>108</v>
      </c>
      <c r="AA8" s="3">
        <v>1.4</v>
      </c>
    </row>
    <row r="9" spans="1:27" ht="16.05" customHeight="1" x14ac:dyDescent="0.3">
      <c r="A9" s="3" t="str">
        <f t="shared" si="0"/>
        <v>West9400049913320</v>
      </c>
      <c r="B9" s="3" t="str">
        <f t="shared" si="1"/>
        <v>Mah9400049913320</v>
      </c>
      <c r="C9" s="10">
        <v>9400049913320</v>
      </c>
      <c r="D9" s="10" t="str">
        <f t="shared" si="2"/>
        <v>9400049913</v>
      </c>
      <c r="E9" s="3" t="s">
        <v>1</v>
      </c>
      <c r="F9" s="3" t="s">
        <v>63</v>
      </c>
      <c r="H9" s="3">
        <v>20.799999999999986</v>
      </c>
      <c r="I9" s="10">
        <f t="shared" si="3"/>
        <v>697.76003193846122</v>
      </c>
      <c r="J9" s="3">
        <v>0.89429025945560758</v>
      </c>
      <c r="K9" s="3">
        <v>0</v>
      </c>
      <c r="L9" s="3">
        <f t="shared" si="4"/>
        <v>0</v>
      </c>
      <c r="M9" s="32"/>
      <c r="N9" s="11">
        <f t="shared" si="5"/>
        <v>19.905709740544378</v>
      </c>
      <c r="O9" s="3">
        <v>0.89429025945560758</v>
      </c>
      <c r="P9" s="11">
        <f t="shared" si="6"/>
        <v>667.76003193846122</v>
      </c>
      <c r="Q9" s="12">
        <f t="shared" si="7"/>
        <v>667.76003193846134</v>
      </c>
      <c r="R9" s="13">
        <f t="shared" si="8"/>
        <v>667.76003193846134</v>
      </c>
      <c r="S9" s="3" t="s">
        <v>31</v>
      </c>
      <c r="T9" s="3" t="s">
        <v>32</v>
      </c>
      <c r="U9" s="10">
        <v>0</v>
      </c>
      <c r="V9" s="3">
        <v>0</v>
      </c>
      <c r="W9" s="3">
        <f t="shared" si="9"/>
        <v>0</v>
      </c>
      <c r="Y9" s="3">
        <v>0</v>
      </c>
      <c r="Z9" s="3">
        <v>30</v>
      </c>
      <c r="AA9" s="3">
        <v>1.4</v>
      </c>
    </row>
    <row r="10" spans="1:27" x14ac:dyDescent="0.3">
      <c r="A10" s="3" t="str">
        <f t="shared" si="0"/>
        <v>West9400049913250</v>
      </c>
      <c r="B10" s="3" t="str">
        <f t="shared" si="1"/>
        <v>Mah9400049913250</v>
      </c>
      <c r="C10" s="10">
        <v>9400049913250</v>
      </c>
      <c r="D10" s="10" t="str">
        <f t="shared" si="2"/>
        <v>9400049913</v>
      </c>
      <c r="E10" s="3" t="s">
        <v>1</v>
      </c>
      <c r="F10" s="3" t="s">
        <v>63</v>
      </c>
      <c r="H10" s="3">
        <v>7.0849999999999929</v>
      </c>
      <c r="I10" s="10">
        <f t="shared" si="3"/>
        <v>313.03356391896125</v>
      </c>
      <c r="J10" s="3">
        <v>0.67900067117092</v>
      </c>
      <c r="K10" s="3">
        <v>0</v>
      </c>
      <c r="L10" s="3">
        <f t="shared" si="4"/>
        <v>0</v>
      </c>
      <c r="N10" s="11">
        <f t="shared" si="5"/>
        <v>6.4059993288290729</v>
      </c>
      <c r="O10" s="3">
        <v>0.67900067117092</v>
      </c>
      <c r="P10" s="11">
        <f t="shared" si="6"/>
        <v>283.03356391896125</v>
      </c>
      <c r="Q10" s="12">
        <f t="shared" si="7"/>
        <v>283.03356391896131</v>
      </c>
      <c r="R10" s="13">
        <f t="shared" si="8"/>
        <v>283.03356391896131</v>
      </c>
      <c r="S10" s="3" t="s">
        <v>31</v>
      </c>
      <c r="T10" s="3" t="s">
        <v>32</v>
      </c>
      <c r="U10" s="10">
        <v>0</v>
      </c>
      <c r="V10" s="3">
        <v>0</v>
      </c>
      <c r="W10" s="3">
        <f t="shared" si="9"/>
        <v>0</v>
      </c>
      <c r="AA10" s="3">
        <v>1.4</v>
      </c>
    </row>
    <row r="11" spans="1:27" x14ac:dyDescent="0.3">
      <c r="A11" s="3" t="str">
        <f t="shared" si="0"/>
        <v>West9401019913210</v>
      </c>
      <c r="B11" s="3" t="str">
        <f t="shared" si="1"/>
        <v>Mah9401019913210</v>
      </c>
      <c r="C11" s="10">
        <v>9401019913210</v>
      </c>
      <c r="D11" s="10" t="str">
        <f t="shared" si="2"/>
        <v>9401019913</v>
      </c>
      <c r="E11" s="3" t="s">
        <v>1</v>
      </c>
      <c r="F11" s="3" t="s">
        <v>63</v>
      </c>
      <c r="H11" s="3">
        <v>3.3680000000000003</v>
      </c>
      <c r="I11" s="10">
        <f t="shared" si="3"/>
        <v>227.19914039588559</v>
      </c>
      <c r="J11" s="3">
        <v>0.44471999244337707</v>
      </c>
      <c r="K11" s="3">
        <v>0</v>
      </c>
      <c r="L11" s="3">
        <f t="shared" si="4"/>
        <v>0</v>
      </c>
      <c r="N11" s="11">
        <f t="shared" si="5"/>
        <v>2.9232800075566234</v>
      </c>
      <c r="O11" s="3">
        <v>0.44471999244337707</v>
      </c>
      <c r="P11" s="11">
        <f t="shared" si="6"/>
        <v>197.19914039588559</v>
      </c>
      <c r="Q11" s="12">
        <f t="shared" si="7"/>
        <v>197.19914039588562</v>
      </c>
      <c r="R11" s="13">
        <f t="shared" si="8"/>
        <v>197.19914039588562</v>
      </c>
      <c r="S11" s="3" t="s">
        <v>31</v>
      </c>
      <c r="T11" s="3" t="s">
        <v>32</v>
      </c>
      <c r="U11" s="10">
        <v>0</v>
      </c>
      <c r="V11" s="3">
        <v>0</v>
      </c>
      <c r="W11" s="3">
        <f t="shared" si="9"/>
        <v>0</v>
      </c>
      <c r="AA11" s="3">
        <v>1.4</v>
      </c>
    </row>
    <row r="12" spans="1:27" x14ac:dyDescent="0.3">
      <c r="A12" s="3" t="str">
        <f t="shared" si="0"/>
        <v>West9401039913210</v>
      </c>
      <c r="B12" s="3" t="str">
        <f t="shared" si="1"/>
        <v>Mah9401039913210</v>
      </c>
      <c r="C12" s="10">
        <v>9401039913210</v>
      </c>
      <c r="D12" s="10" t="str">
        <f t="shared" si="2"/>
        <v>9401039913</v>
      </c>
      <c r="E12" s="3" t="s">
        <v>1</v>
      </c>
      <c r="F12" s="3" t="s">
        <v>63</v>
      </c>
      <c r="H12" s="3">
        <v>3.6849999999999996</v>
      </c>
      <c r="I12" s="10">
        <f t="shared" si="3"/>
        <v>352.38714257846698</v>
      </c>
      <c r="J12" s="3">
        <v>0.31371746196836203</v>
      </c>
      <c r="K12" s="3">
        <v>0</v>
      </c>
      <c r="L12" s="3">
        <f t="shared" si="4"/>
        <v>0</v>
      </c>
      <c r="N12" s="11">
        <f t="shared" si="5"/>
        <v>3.3712825380316378</v>
      </c>
      <c r="O12" s="3">
        <v>0.31371746196836203</v>
      </c>
      <c r="P12" s="11">
        <f t="shared" si="6"/>
        <v>322.38714257846704</v>
      </c>
      <c r="Q12" s="12">
        <f t="shared" si="7"/>
        <v>322.38714257846704</v>
      </c>
      <c r="R12" s="13">
        <f t="shared" si="8"/>
        <v>322.38714257846704</v>
      </c>
      <c r="S12" s="3" t="s">
        <v>31</v>
      </c>
      <c r="T12" s="3" t="s">
        <v>32</v>
      </c>
      <c r="U12" s="10">
        <v>0</v>
      </c>
      <c r="V12" s="3">
        <v>0</v>
      </c>
      <c r="W12" s="3">
        <f t="shared" si="9"/>
        <v>0</v>
      </c>
      <c r="AA12" s="3">
        <v>1.4</v>
      </c>
    </row>
    <row r="13" spans="1:27" x14ac:dyDescent="0.3">
      <c r="A13" s="3" t="str">
        <f t="shared" si="0"/>
        <v>West9401029913240</v>
      </c>
      <c r="B13" s="3" t="str">
        <f t="shared" si="1"/>
        <v>Mah9401029913240</v>
      </c>
      <c r="C13" s="10">
        <v>9401029913240</v>
      </c>
      <c r="D13" s="10" t="str">
        <f t="shared" si="2"/>
        <v>9401029913</v>
      </c>
      <c r="E13" s="3" t="s">
        <v>1</v>
      </c>
      <c r="F13" s="3" t="s">
        <v>63</v>
      </c>
      <c r="H13" s="3">
        <v>7.3520000000000021</v>
      </c>
      <c r="I13" s="10">
        <f t="shared" si="3"/>
        <v>558.40908211630972</v>
      </c>
      <c r="J13" s="3">
        <v>0.39497924919863703</v>
      </c>
      <c r="K13" s="3">
        <v>0</v>
      </c>
      <c r="L13" s="3">
        <f t="shared" si="4"/>
        <v>0</v>
      </c>
      <c r="N13" s="11">
        <f t="shared" si="5"/>
        <v>6.9570207508013651</v>
      </c>
      <c r="O13" s="3">
        <v>0.39497924919863703</v>
      </c>
      <c r="P13" s="11">
        <f t="shared" si="6"/>
        <v>528.40908211630972</v>
      </c>
      <c r="Q13" s="12">
        <f t="shared" si="7"/>
        <v>528.40908211630972</v>
      </c>
      <c r="R13" s="13">
        <f t="shared" si="8"/>
        <v>528.40908211630972</v>
      </c>
      <c r="S13" s="3" t="s">
        <v>31</v>
      </c>
      <c r="T13" s="3" t="s">
        <v>32</v>
      </c>
      <c r="U13" s="10">
        <v>0</v>
      </c>
      <c r="V13" s="3">
        <v>0</v>
      </c>
      <c r="W13" s="3">
        <f t="shared" si="9"/>
        <v>0</v>
      </c>
      <c r="AA13" s="3">
        <v>2</v>
      </c>
    </row>
    <row r="14" spans="1:27" x14ac:dyDescent="0.3">
      <c r="A14" s="3" t="str">
        <f t="shared" si="0"/>
        <v>West9401029913210</v>
      </c>
      <c r="B14" s="3" t="str">
        <f t="shared" si="1"/>
        <v>Mah9401029913210</v>
      </c>
      <c r="C14" s="10">
        <v>9401029913210</v>
      </c>
      <c r="D14" s="10" t="str">
        <f t="shared" si="2"/>
        <v>9401029913</v>
      </c>
      <c r="E14" s="3" t="s">
        <v>1</v>
      </c>
      <c r="F14" s="3" t="s">
        <v>63</v>
      </c>
      <c r="H14" s="3">
        <v>16.609000000000009</v>
      </c>
      <c r="I14" s="10">
        <f t="shared" si="3"/>
        <v>1912.5937520260088</v>
      </c>
      <c r="J14" s="3">
        <v>0.26052056244154481</v>
      </c>
      <c r="K14" s="3">
        <v>0</v>
      </c>
      <c r="L14" s="3">
        <f t="shared" si="4"/>
        <v>0</v>
      </c>
      <c r="N14" s="11">
        <f t="shared" si="5"/>
        <v>16.348479437558463</v>
      </c>
      <c r="O14" s="3">
        <v>0.26052056244154481</v>
      </c>
      <c r="P14" s="11">
        <f t="shared" si="6"/>
        <v>1882.5937520260086</v>
      </c>
      <c r="Q14" s="12">
        <f t="shared" si="7"/>
        <v>1882.5937520260086</v>
      </c>
      <c r="R14" s="13">
        <f t="shared" si="8"/>
        <v>1882.5937520260086</v>
      </c>
      <c r="S14" s="3" t="s">
        <v>31</v>
      </c>
      <c r="T14" s="3" t="s">
        <v>32</v>
      </c>
      <c r="U14" s="10">
        <v>0</v>
      </c>
      <c r="V14" s="3">
        <v>0</v>
      </c>
      <c r="W14" s="3">
        <f t="shared" si="9"/>
        <v>0</v>
      </c>
      <c r="AA14" s="3">
        <v>2</v>
      </c>
    </row>
    <row r="15" spans="1:27" x14ac:dyDescent="0.3">
      <c r="A15" s="3" t="str">
        <f t="shared" si="0"/>
        <v>West9400029915210</v>
      </c>
      <c r="B15" s="3" t="str">
        <f t="shared" si="1"/>
        <v>Mah9400029915210</v>
      </c>
      <c r="C15" s="10">
        <v>9400029915210</v>
      </c>
      <c r="D15" s="10" t="str">
        <f t="shared" si="2"/>
        <v>9400029915</v>
      </c>
      <c r="E15" s="3" t="s">
        <v>1</v>
      </c>
      <c r="F15" s="3" t="s">
        <v>63</v>
      </c>
      <c r="H15" s="3">
        <v>5.9399999999999995</v>
      </c>
      <c r="I15" s="10">
        <f t="shared" si="3"/>
        <v>183.54730027497973</v>
      </c>
      <c r="J15" s="3">
        <v>0.97086690860084168</v>
      </c>
      <c r="K15" s="3">
        <v>0</v>
      </c>
      <c r="L15" s="3">
        <f t="shared" si="4"/>
        <v>0</v>
      </c>
      <c r="M15" s="32"/>
      <c r="N15" s="11">
        <f t="shared" si="5"/>
        <v>4.9691330913991578</v>
      </c>
      <c r="O15" s="3">
        <v>0.97086690860084168</v>
      </c>
      <c r="P15" s="11">
        <f t="shared" si="6"/>
        <v>153.54730027497973</v>
      </c>
      <c r="Q15" s="12">
        <f t="shared" si="7"/>
        <v>153.54730027497973</v>
      </c>
      <c r="R15" s="13">
        <f t="shared" si="8"/>
        <v>153.54730027497973</v>
      </c>
      <c r="S15" s="3" t="s">
        <v>31</v>
      </c>
      <c r="T15" s="3" t="s">
        <v>32</v>
      </c>
      <c r="U15" s="10">
        <v>0</v>
      </c>
      <c r="V15" s="3">
        <v>0</v>
      </c>
      <c r="W15" s="3">
        <f t="shared" si="9"/>
        <v>0</v>
      </c>
      <c r="Y15" s="3">
        <v>0</v>
      </c>
      <c r="Z15" s="3">
        <v>2115</v>
      </c>
      <c r="AA15" s="3">
        <v>3.5</v>
      </c>
    </row>
    <row r="16" spans="1:27" x14ac:dyDescent="0.3">
      <c r="A16" s="3" t="str">
        <f t="shared" si="0"/>
        <v>West9400019999097</v>
      </c>
      <c r="B16" s="3" t="str">
        <f t="shared" si="1"/>
        <v>Mah9400019999097</v>
      </c>
      <c r="C16" s="10">
        <v>9400019999097</v>
      </c>
      <c r="D16" s="10" t="str">
        <f t="shared" si="2"/>
        <v>9400019999</v>
      </c>
      <c r="E16" s="3" t="s">
        <v>1</v>
      </c>
      <c r="F16" s="3" t="s">
        <v>63</v>
      </c>
      <c r="H16" s="3">
        <v>18.438224999999996</v>
      </c>
      <c r="I16" s="10">
        <f t="shared" si="3"/>
        <v>257.00356381173276</v>
      </c>
      <c r="J16" s="3">
        <v>2.1522921386615712</v>
      </c>
      <c r="K16" s="3">
        <v>0</v>
      </c>
      <c r="L16" s="3">
        <f t="shared" si="4"/>
        <v>0</v>
      </c>
      <c r="M16" s="32"/>
      <c r="N16" s="11">
        <f t="shared" si="5"/>
        <v>16.285932861338424</v>
      </c>
      <c r="O16" s="3">
        <v>2.1522921386615712</v>
      </c>
      <c r="P16" s="11">
        <f t="shared" si="6"/>
        <v>227.00356381173273</v>
      </c>
      <c r="Q16" s="12">
        <f t="shared" si="7"/>
        <v>227.00356381173273</v>
      </c>
      <c r="R16" s="13">
        <f t="shared" si="8"/>
        <v>227.00356381173273</v>
      </c>
      <c r="S16" s="3" t="s">
        <v>31</v>
      </c>
      <c r="T16" s="3" t="s">
        <v>32</v>
      </c>
      <c r="U16" s="10">
        <v>0</v>
      </c>
      <c r="V16" s="3">
        <v>0</v>
      </c>
      <c r="W16" s="3">
        <f t="shared" si="9"/>
        <v>0</v>
      </c>
      <c r="Y16" s="3">
        <v>0</v>
      </c>
      <c r="Z16" s="3">
        <v>375</v>
      </c>
      <c r="AA16" s="3">
        <v>3.9</v>
      </c>
    </row>
    <row r="17" spans="1:27" x14ac:dyDescent="0.3">
      <c r="A17" s="3" t="str">
        <f t="shared" si="0"/>
        <v>West9400029914210</v>
      </c>
      <c r="B17" s="3" t="str">
        <f t="shared" si="1"/>
        <v>Mah9400029914210</v>
      </c>
      <c r="C17" s="10">
        <v>9400029914210</v>
      </c>
      <c r="D17" s="10" t="str">
        <f t="shared" si="2"/>
        <v>9400029914</v>
      </c>
      <c r="E17" s="3" t="s">
        <v>1</v>
      </c>
      <c r="F17" s="3" t="s">
        <v>63</v>
      </c>
      <c r="H17" s="3">
        <v>11.882999999999996</v>
      </c>
      <c r="I17" s="10">
        <f t="shared" si="3"/>
        <v>183.25735717046075</v>
      </c>
      <c r="J17" s="3">
        <v>1.9452970702202317</v>
      </c>
      <c r="K17" s="3">
        <v>0</v>
      </c>
      <c r="L17" s="3">
        <f t="shared" si="4"/>
        <v>0</v>
      </c>
      <c r="M17" s="32"/>
      <c r="N17" s="11">
        <f t="shared" si="5"/>
        <v>9.9377029297797641</v>
      </c>
      <c r="O17" s="3">
        <v>1.9452970702202317</v>
      </c>
      <c r="P17" s="11">
        <f t="shared" si="6"/>
        <v>153.25735717046075</v>
      </c>
      <c r="Q17" s="12">
        <f t="shared" si="7"/>
        <v>153.25735717046075</v>
      </c>
      <c r="R17" s="13">
        <f t="shared" si="8"/>
        <v>153.25735717046075</v>
      </c>
      <c r="S17" s="3" t="s">
        <v>31</v>
      </c>
      <c r="T17" s="3" t="s">
        <v>32</v>
      </c>
      <c r="U17" s="10">
        <v>0</v>
      </c>
      <c r="V17" s="3">
        <v>0</v>
      </c>
      <c r="W17" s="3">
        <f t="shared" si="9"/>
        <v>0</v>
      </c>
      <c r="Y17" s="3">
        <v>0</v>
      </c>
      <c r="Z17" s="3">
        <v>108</v>
      </c>
      <c r="AA17" s="3">
        <v>3.9</v>
      </c>
    </row>
    <row r="18" spans="1:27" x14ac:dyDescent="0.3">
      <c r="A18" s="3" t="str">
        <f t="shared" si="0"/>
        <v>South9700029922210</v>
      </c>
      <c r="B18" s="3" t="str">
        <f t="shared" si="1"/>
        <v>CY9700029922210</v>
      </c>
      <c r="C18" s="10">
        <v>9700029922210</v>
      </c>
      <c r="D18" s="10" t="str">
        <f t="shared" si="2"/>
        <v>9700029922</v>
      </c>
      <c r="E18" s="3" t="s">
        <v>4</v>
      </c>
      <c r="F18" s="3" t="s">
        <v>65</v>
      </c>
      <c r="H18" s="3">
        <v>71.858000000000018</v>
      </c>
      <c r="I18" s="10">
        <f t="shared" si="3"/>
        <v>104.68242960890721</v>
      </c>
      <c r="J18" s="3">
        <v>20.593140683243877</v>
      </c>
      <c r="K18" s="3">
        <v>8</v>
      </c>
      <c r="L18" s="3">
        <f t="shared" si="4"/>
        <v>0</v>
      </c>
      <c r="N18" s="11">
        <f t="shared" si="5"/>
        <v>51.264859316756144</v>
      </c>
      <c r="O18" s="3">
        <v>20.593140683243877</v>
      </c>
      <c r="P18" s="11">
        <f t="shared" si="6"/>
        <v>74.682429608907213</v>
      </c>
      <c r="Q18" s="12">
        <f t="shared" si="7"/>
        <v>74.682429608907213</v>
      </c>
      <c r="R18" s="13">
        <f t="shared" si="8"/>
        <v>77.228437960344976</v>
      </c>
      <c r="S18" s="3" t="s">
        <v>29</v>
      </c>
      <c r="T18" s="3" t="s">
        <v>71</v>
      </c>
      <c r="U18" s="10">
        <v>0</v>
      </c>
      <c r="V18" s="3">
        <v>0</v>
      </c>
      <c r="W18" s="3">
        <f t="shared" si="9"/>
        <v>0</v>
      </c>
      <c r="AA18" s="3">
        <v>4</v>
      </c>
    </row>
    <row r="19" spans="1:27" ht="16.05" customHeight="1" x14ac:dyDescent="0.3">
      <c r="A19" s="3" t="str">
        <f t="shared" si="0"/>
        <v>South9700039922210</v>
      </c>
      <c r="B19" s="3" t="str">
        <f t="shared" si="1"/>
        <v>CY9700039922210</v>
      </c>
      <c r="C19" s="10">
        <v>9700039922210</v>
      </c>
      <c r="D19" s="10" t="str">
        <f t="shared" si="2"/>
        <v>9700039922</v>
      </c>
      <c r="E19" s="3" t="s">
        <v>4</v>
      </c>
      <c r="F19" s="3" t="s">
        <v>65</v>
      </c>
      <c r="H19" s="3">
        <v>30.482400000000002</v>
      </c>
      <c r="I19" s="10">
        <f t="shared" si="3"/>
        <v>149.42631613549545</v>
      </c>
      <c r="J19" s="3">
        <v>6.1198858651563306</v>
      </c>
      <c r="K19" s="3">
        <v>0</v>
      </c>
      <c r="L19" s="3">
        <f t="shared" si="4"/>
        <v>0</v>
      </c>
      <c r="N19" s="11">
        <f t="shared" si="5"/>
        <v>24.362514134843671</v>
      </c>
      <c r="O19" s="3">
        <v>6.1198858651563306</v>
      </c>
      <c r="P19" s="11">
        <f t="shared" si="6"/>
        <v>119.42631613549547</v>
      </c>
      <c r="Q19" s="12">
        <f t="shared" si="7"/>
        <v>119.42631613549548</v>
      </c>
      <c r="R19" s="13">
        <f t="shared" si="8"/>
        <v>70.202940194598213</v>
      </c>
      <c r="S19" s="3" t="s">
        <v>29</v>
      </c>
      <c r="T19" s="3" t="s">
        <v>71</v>
      </c>
      <c r="U19" s="10">
        <v>0</v>
      </c>
      <c r="V19" s="3">
        <v>0</v>
      </c>
      <c r="W19" s="3">
        <f t="shared" si="9"/>
        <v>0</v>
      </c>
      <c r="AA19" s="3">
        <v>4</v>
      </c>
    </row>
    <row r="20" spans="1:27" x14ac:dyDescent="0.3">
      <c r="A20" s="3" t="str">
        <f t="shared" si="0"/>
        <v>South9700069922210</v>
      </c>
      <c r="B20" s="3" t="str">
        <f t="shared" si="1"/>
        <v>CY9700069922210</v>
      </c>
      <c r="C20" s="10">
        <v>9700069922210</v>
      </c>
      <c r="D20" s="10" t="str">
        <f t="shared" si="2"/>
        <v>9700069922</v>
      </c>
      <c r="E20" s="3" t="s">
        <v>4</v>
      </c>
      <c r="F20" s="3" t="s">
        <v>65</v>
      </c>
      <c r="H20" s="3">
        <v>19.995999999999995</v>
      </c>
      <c r="I20" s="10">
        <f t="shared" si="3"/>
        <v>120.29501421716098</v>
      </c>
      <c r="J20" s="3">
        <v>4.9867403391887422</v>
      </c>
      <c r="K20" s="3">
        <v>0</v>
      </c>
      <c r="L20" s="3">
        <f t="shared" si="4"/>
        <v>0</v>
      </c>
      <c r="N20" s="11">
        <f t="shared" si="5"/>
        <v>15.009259660811253</v>
      </c>
      <c r="O20" s="3">
        <v>4.9867403391887422</v>
      </c>
      <c r="P20" s="11">
        <f t="shared" si="6"/>
        <v>90.295014217160968</v>
      </c>
      <c r="Q20" s="12">
        <f t="shared" si="7"/>
        <v>90.295014217160968</v>
      </c>
      <c r="R20" s="13">
        <f t="shared" si="8"/>
        <v>91.849621540787439</v>
      </c>
      <c r="S20" s="3" t="s">
        <v>29</v>
      </c>
      <c r="T20" s="3" t="s">
        <v>71</v>
      </c>
      <c r="U20" s="10">
        <v>0</v>
      </c>
      <c r="V20" s="3">
        <v>0</v>
      </c>
      <c r="W20" s="3">
        <f t="shared" si="9"/>
        <v>0</v>
      </c>
      <c r="AA20" s="3">
        <v>4</v>
      </c>
    </row>
    <row r="21" spans="1:27" x14ac:dyDescent="0.3">
      <c r="A21" s="3" t="str">
        <f t="shared" si="0"/>
        <v>South9700079922210</v>
      </c>
      <c r="B21" s="3" t="str">
        <f t="shared" si="1"/>
        <v>CY9700079922210</v>
      </c>
      <c r="C21" s="10">
        <v>9700079922210</v>
      </c>
      <c r="D21" s="10" t="str">
        <f t="shared" si="2"/>
        <v>9700079922</v>
      </c>
      <c r="E21" s="3" t="s">
        <v>4</v>
      </c>
      <c r="F21" s="3" t="s">
        <v>65</v>
      </c>
      <c r="H21" s="3">
        <v>13.371999999999998</v>
      </c>
      <c r="I21" s="10">
        <f t="shared" si="3"/>
        <v>116.50608427677024</v>
      </c>
      <c r="J21" s="3">
        <v>3.4432536505733879</v>
      </c>
      <c r="K21" s="3">
        <v>4</v>
      </c>
      <c r="L21" s="3">
        <f t="shared" si="4"/>
        <v>0</v>
      </c>
      <c r="N21" s="11">
        <f t="shared" si="5"/>
        <v>9.9287463494266106</v>
      </c>
      <c r="O21" s="3">
        <v>3.4432536505733879</v>
      </c>
      <c r="P21" s="11">
        <f t="shared" si="6"/>
        <v>86.506084276770252</v>
      </c>
      <c r="Q21" s="12">
        <f t="shared" si="7"/>
        <v>86.506084276770252</v>
      </c>
      <c r="R21" s="13">
        <f t="shared" si="8"/>
        <v>90.973359939070562</v>
      </c>
      <c r="S21" s="3" t="s">
        <v>29</v>
      </c>
      <c r="T21" s="3" t="s">
        <v>71</v>
      </c>
      <c r="U21" s="10">
        <v>0</v>
      </c>
      <c r="V21" s="3">
        <v>0</v>
      </c>
      <c r="W21" s="3">
        <f t="shared" si="9"/>
        <v>0</v>
      </c>
      <c r="AA21" s="3">
        <v>4</v>
      </c>
    </row>
    <row r="22" spans="1:27" x14ac:dyDescent="0.3">
      <c r="A22" s="3" t="str">
        <f t="shared" si="0"/>
        <v>East9700029922210</v>
      </c>
      <c r="B22" s="3" t="str">
        <f t="shared" si="1"/>
        <v>KGP9700029922210</v>
      </c>
      <c r="C22" s="10">
        <v>9700029922210</v>
      </c>
      <c r="D22" s="10" t="str">
        <f t="shared" si="2"/>
        <v>9700029922</v>
      </c>
      <c r="E22" s="3" t="s">
        <v>6</v>
      </c>
      <c r="F22" s="3" t="s">
        <v>66</v>
      </c>
      <c r="H22" s="3">
        <v>42.87</v>
      </c>
      <c r="I22" s="10">
        <f t="shared" si="3"/>
        <v>111.78558975159989</v>
      </c>
      <c r="J22" s="3">
        <v>11.505060740457321</v>
      </c>
      <c r="K22" s="3">
        <v>4</v>
      </c>
      <c r="L22" s="3">
        <f t="shared" si="4"/>
        <v>0</v>
      </c>
      <c r="N22" s="11">
        <f t="shared" si="5"/>
        <v>31.364939259542677</v>
      </c>
      <c r="O22" s="3">
        <v>11.505060740457321</v>
      </c>
      <c r="P22" s="11">
        <f t="shared" si="6"/>
        <v>81.785589751599886</v>
      </c>
      <c r="Q22" s="12">
        <f t="shared" si="7"/>
        <v>81.785589751599872</v>
      </c>
      <c r="R22" s="13">
        <f t="shared" si="8"/>
        <v>77.228437960344976</v>
      </c>
      <c r="S22" s="3" t="s">
        <v>29</v>
      </c>
      <c r="T22" s="3" t="s">
        <v>71</v>
      </c>
      <c r="U22" s="10">
        <v>0</v>
      </c>
      <c r="V22" s="3">
        <v>0</v>
      </c>
      <c r="W22" s="3">
        <f t="shared" si="9"/>
        <v>0</v>
      </c>
      <c r="AA22" s="3">
        <v>4</v>
      </c>
    </row>
    <row r="23" spans="1:27" ht="16.05" customHeight="1" x14ac:dyDescent="0.3">
      <c r="A23" s="3" t="str">
        <f t="shared" si="0"/>
        <v>East9700039922210</v>
      </c>
      <c r="B23" s="3" t="str">
        <f t="shared" si="1"/>
        <v>KGP9700039922210</v>
      </c>
      <c r="C23" s="10">
        <v>9700039922210</v>
      </c>
      <c r="D23" s="10" t="str">
        <f t="shared" si="2"/>
        <v>9700039922</v>
      </c>
      <c r="E23" s="3" t="s">
        <v>6</v>
      </c>
      <c r="F23" s="3" t="s">
        <v>66</v>
      </c>
      <c r="H23" s="3">
        <v>8.7685999999999993</v>
      </c>
      <c r="I23" s="10">
        <f t="shared" si="3"/>
        <v>46.7113433918108</v>
      </c>
      <c r="J23" s="3">
        <v>5.6315657161364792</v>
      </c>
      <c r="K23" s="3">
        <v>12</v>
      </c>
      <c r="L23" s="3">
        <f t="shared" si="4"/>
        <v>0</v>
      </c>
      <c r="N23" s="11">
        <f t="shared" si="5"/>
        <v>3.1370342838635201</v>
      </c>
      <c r="O23" s="3">
        <v>5.6315657161364792</v>
      </c>
      <c r="P23" s="11">
        <f t="shared" si="6"/>
        <v>16.711343391810797</v>
      </c>
      <c r="Q23" s="12">
        <f t="shared" si="7"/>
        <v>16.7113433918108</v>
      </c>
      <c r="R23" s="13">
        <f t="shared" si="8"/>
        <v>70.202940194598213</v>
      </c>
      <c r="S23" s="3" t="s">
        <v>29</v>
      </c>
      <c r="T23" s="3" t="s">
        <v>71</v>
      </c>
      <c r="U23" s="10">
        <v>0</v>
      </c>
      <c r="V23" s="3">
        <v>0</v>
      </c>
      <c r="W23" s="3">
        <f t="shared" si="9"/>
        <v>0</v>
      </c>
      <c r="AA23" s="3">
        <v>4</v>
      </c>
    </row>
    <row r="24" spans="1:27" x14ac:dyDescent="0.3">
      <c r="A24" s="3" t="str">
        <f t="shared" si="0"/>
        <v>East9700069922210</v>
      </c>
      <c r="B24" s="3" t="str">
        <f t="shared" si="1"/>
        <v>KGP9700069922210</v>
      </c>
      <c r="C24" s="10">
        <v>9700069922210</v>
      </c>
      <c r="D24" s="10" t="str">
        <f t="shared" si="2"/>
        <v>9700069922</v>
      </c>
      <c r="E24" s="3" t="s">
        <v>6</v>
      </c>
      <c r="F24" s="3" t="s">
        <v>66</v>
      </c>
      <c r="H24" s="3">
        <v>21.526999999999997</v>
      </c>
      <c r="I24" s="10">
        <f t="shared" si="3"/>
        <v>123.33009892884532</v>
      </c>
      <c r="J24" s="3">
        <v>5.2364346222781899</v>
      </c>
      <c r="K24" s="3">
        <v>0</v>
      </c>
      <c r="L24" s="3">
        <f t="shared" si="4"/>
        <v>0</v>
      </c>
      <c r="N24" s="11">
        <f t="shared" si="5"/>
        <v>16.290565377721808</v>
      </c>
      <c r="O24" s="3">
        <v>5.2364346222781899</v>
      </c>
      <c r="P24" s="11">
        <f t="shared" si="6"/>
        <v>93.330098928845317</v>
      </c>
      <c r="Q24" s="12">
        <f t="shared" si="7"/>
        <v>93.330098928845331</v>
      </c>
      <c r="R24" s="13">
        <f t="shared" si="8"/>
        <v>91.849621540787439</v>
      </c>
      <c r="S24" s="3" t="s">
        <v>29</v>
      </c>
      <c r="T24" s="3" t="s">
        <v>71</v>
      </c>
      <c r="U24" s="10">
        <v>0</v>
      </c>
      <c r="V24" s="3">
        <v>0</v>
      </c>
      <c r="W24" s="3">
        <f t="shared" si="9"/>
        <v>0</v>
      </c>
      <c r="AA24" s="3">
        <v>4</v>
      </c>
    </row>
    <row r="25" spans="1:27" x14ac:dyDescent="0.3">
      <c r="A25" s="3" t="str">
        <f t="shared" si="0"/>
        <v>East9700079922210</v>
      </c>
      <c r="B25" s="3" t="str">
        <f t="shared" si="1"/>
        <v>KGP9700079922210</v>
      </c>
      <c r="C25" s="10">
        <v>9700079922210</v>
      </c>
      <c r="D25" s="10" t="str">
        <f t="shared" si="2"/>
        <v>9700079922</v>
      </c>
      <c r="E25" s="3" t="s">
        <v>6</v>
      </c>
      <c r="F25" s="3" t="s">
        <v>66</v>
      </c>
      <c r="H25" s="3">
        <v>12.497999999999999</v>
      </c>
      <c r="I25" s="10">
        <f t="shared" si="3"/>
        <v>126.14862396988673</v>
      </c>
      <c r="J25" s="3">
        <v>2.9722084014923769</v>
      </c>
      <c r="K25" s="3">
        <v>0</v>
      </c>
      <c r="L25" s="3">
        <f t="shared" si="4"/>
        <v>0</v>
      </c>
      <c r="N25" s="11">
        <f t="shared" si="5"/>
        <v>9.525791598507622</v>
      </c>
      <c r="O25" s="3">
        <v>2.9722084014923769</v>
      </c>
      <c r="P25" s="11">
        <f t="shared" si="6"/>
        <v>96.148623969886728</v>
      </c>
      <c r="Q25" s="12">
        <f t="shared" si="7"/>
        <v>96.148623969886728</v>
      </c>
      <c r="R25" s="13">
        <f t="shared" si="8"/>
        <v>90.973359939070562</v>
      </c>
      <c r="S25" s="3" t="s">
        <v>29</v>
      </c>
      <c r="T25" s="3" t="s">
        <v>71</v>
      </c>
      <c r="U25" s="10">
        <v>0</v>
      </c>
      <c r="V25" s="3">
        <v>0</v>
      </c>
      <c r="W25" s="3">
        <f t="shared" si="9"/>
        <v>0</v>
      </c>
      <c r="AA25" s="3">
        <v>4</v>
      </c>
    </row>
    <row r="26" spans="1:27" x14ac:dyDescent="0.3">
      <c r="A26" s="3" t="str">
        <f t="shared" si="0"/>
        <v>West9310019915210</v>
      </c>
      <c r="B26" s="3" t="str">
        <f t="shared" si="1"/>
        <v>Mah9310019915210</v>
      </c>
      <c r="C26" s="10">
        <v>9310019915210</v>
      </c>
      <c r="D26" s="10" t="str">
        <f t="shared" si="2"/>
        <v>9310019915</v>
      </c>
      <c r="E26" s="3" t="s">
        <v>1</v>
      </c>
      <c r="F26" s="3" t="s">
        <v>63</v>
      </c>
      <c r="H26" s="3">
        <v>2.3999999999999995</v>
      </c>
      <c r="I26" s="10">
        <f t="shared" si="3"/>
        <v>79.109737734943238</v>
      </c>
      <c r="J26" s="3">
        <v>0.91012815945915038</v>
      </c>
      <c r="K26" s="3">
        <v>0</v>
      </c>
      <c r="L26" s="3">
        <f t="shared" si="4"/>
        <v>0</v>
      </c>
      <c r="M26" s="32"/>
      <c r="N26" s="11">
        <f t="shared" si="5"/>
        <v>1.4898718405408491</v>
      </c>
      <c r="O26" s="3">
        <v>0.91012815945915038</v>
      </c>
      <c r="P26" s="11">
        <f t="shared" si="6"/>
        <v>49.109737734943238</v>
      </c>
      <c r="Q26" s="12">
        <f t="shared" si="7"/>
        <v>49.109737734943238</v>
      </c>
      <c r="R26" s="13">
        <f t="shared" si="8"/>
        <v>49.109737734943238</v>
      </c>
      <c r="S26" s="3" t="s">
        <v>31</v>
      </c>
      <c r="T26" s="3" t="s">
        <v>32</v>
      </c>
      <c r="U26" s="10">
        <v>0</v>
      </c>
      <c r="V26" s="3">
        <v>0</v>
      </c>
      <c r="W26" s="3">
        <f t="shared" si="9"/>
        <v>0</v>
      </c>
      <c r="Y26" s="3">
        <v>0</v>
      </c>
      <c r="Z26" s="3">
        <v>108</v>
      </c>
      <c r="AA26" s="3">
        <v>4.5</v>
      </c>
    </row>
    <row r="27" spans="1:27" x14ac:dyDescent="0.3">
      <c r="A27" s="3" t="str">
        <f t="shared" si="0"/>
        <v>West9400059999210</v>
      </c>
      <c r="B27" s="3" t="str">
        <f t="shared" si="1"/>
        <v>Mah9400059999210</v>
      </c>
      <c r="C27" s="10">
        <v>9400059999210</v>
      </c>
      <c r="D27" s="10" t="str">
        <f t="shared" si="2"/>
        <v>9400059999</v>
      </c>
      <c r="E27" s="3" t="s">
        <v>1</v>
      </c>
      <c r="F27" s="3" t="s">
        <v>63</v>
      </c>
      <c r="H27" s="3">
        <v>2.4839999999999982</v>
      </c>
      <c r="I27" s="10">
        <f t="shared" si="3"/>
        <v>330.75782108619836</v>
      </c>
      <c r="J27" s="3">
        <v>0.2253007948694262</v>
      </c>
      <c r="K27" s="3">
        <v>0</v>
      </c>
      <c r="L27" s="3">
        <f t="shared" si="4"/>
        <v>0</v>
      </c>
      <c r="N27" s="11">
        <f t="shared" si="5"/>
        <v>2.2586992051305721</v>
      </c>
      <c r="O27" s="3">
        <v>0.2253007948694262</v>
      </c>
      <c r="P27" s="11">
        <f t="shared" si="6"/>
        <v>300.75782108619836</v>
      </c>
      <c r="Q27" s="12">
        <f t="shared" si="7"/>
        <v>300.75782108619842</v>
      </c>
      <c r="R27" s="13">
        <f t="shared" si="8"/>
        <v>300.75782108619842</v>
      </c>
      <c r="S27" s="3" t="s">
        <v>31</v>
      </c>
      <c r="T27" s="3" t="s">
        <v>32</v>
      </c>
      <c r="U27" s="10">
        <v>0</v>
      </c>
      <c r="V27" s="3">
        <v>0</v>
      </c>
      <c r="W27" s="3">
        <f t="shared" si="9"/>
        <v>0</v>
      </c>
      <c r="AA27" s="3">
        <v>4.5</v>
      </c>
    </row>
    <row r="28" spans="1:27" x14ac:dyDescent="0.3">
      <c r="A28" s="3" t="str">
        <f t="shared" si="0"/>
        <v>West9310019915840</v>
      </c>
      <c r="B28" s="3" t="str">
        <f t="shared" si="1"/>
        <v>Mah9310019915840</v>
      </c>
      <c r="C28" s="10">
        <v>9310019915840</v>
      </c>
      <c r="D28" s="10" t="str">
        <f t="shared" si="2"/>
        <v>9310019915</v>
      </c>
      <c r="E28" s="3" t="s">
        <v>1</v>
      </c>
      <c r="F28" s="3" t="s">
        <v>63</v>
      </c>
      <c r="H28" s="3">
        <v>7.2280000000000042</v>
      </c>
      <c r="I28" s="10">
        <f t="shared" si="3"/>
        <v>1696.5109992597218</v>
      </c>
      <c r="J28" s="3">
        <v>0.12781526326361514</v>
      </c>
      <c r="K28" s="3">
        <v>0</v>
      </c>
      <c r="L28" s="3">
        <f t="shared" si="4"/>
        <v>0</v>
      </c>
      <c r="N28" s="11">
        <f t="shared" si="5"/>
        <v>7.1001847367363888</v>
      </c>
      <c r="O28" s="3">
        <v>0.12781526326361514</v>
      </c>
      <c r="P28" s="11">
        <f t="shared" si="6"/>
        <v>1666.5109992597215</v>
      </c>
      <c r="Q28" s="12">
        <f t="shared" si="7"/>
        <v>1666.5109992597215</v>
      </c>
      <c r="R28" s="13">
        <f t="shared" si="8"/>
        <v>1666.5109992597215</v>
      </c>
      <c r="S28" s="3" t="s">
        <v>31</v>
      </c>
      <c r="T28" s="3" t="s">
        <v>32</v>
      </c>
      <c r="U28" s="10">
        <v>0</v>
      </c>
      <c r="V28" s="3">
        <v>0</v>
      </c>
      <c r="W28" s="3">
        <f t="shared" si="9"/>
        <v>0</v>
      </c>
      <c r="AA28" s="3">
        <v>4.5</v>
      </c>
    </row>
    <row r="29" spans="1:27" x14ac:dyDescent="0.3">
      <c r="A29" s="3" t="str">
        <f t="shared" si="0"/>
        <v>West9310019914210</v>
      </c>
      <c r="B29" s="3" t="str">
        <f t="shared" si="1"/>
        <v>Mah9310019914210</v>
      </c>
      <c r="C29" s="10">
        <v>9310019914210</v>
      </c>
      <c r="D29" s="10" t="str">
        <f t="shared" si="2"/>
        <v>9310019914</v>
      </c>
      <c r="E29" s="3" t="s">
        <v>1</v>
      </c>
      <c r="F29" s="3" t="s">
        <v>63</v>
      </c>
      <c r="H29" s="3">
        <v>4.5429999999999975</v>
      </c>
      <c r="I29" s="10">
        <f t="shared" si="3"/>
        <v>72.541447362483382</v>
      </c>
      <c r="J29" s="3">
        <v>1.8787879888716654</v>
      </c>
      <c r="K29" s="3">
        <v>4.7</v>
      </c>
      <c r="L29" s="3">
        <f t="shared" si="4"/>
        <v>0</v>
      </c>
      <c r="M29" s="32"/>
      <c r="N29" s="11">
        <f t="shared" si="5"/>
        <v>2.6642120111283321</v>
      </c>
      <c r="O29" s="3">
        <v>1.8787879888716654</v>
      </c>
      <c r="P29" s="11">
        <f t="shared" si="6"/>
        <v>42.541447362483375</v>
      </c>
      <c r="Q29" s="12">
        <f t="shared" si="7"/>
        <v>42.541447362483375</v>
      </c>
      <c r="R29" s="13">
        <f t="shared" si="8"/>
        <v>42.541447362483375</v>
      </c>
      <c r="S29" s="3" t="s">
        <v>31</v>
      </c>
      <c r="T29" s="3" t="s">
        <v>32</v>
      </c>
      <c r="U29" s="10">
        <v>0</v>
      </c>
      <c r="V29" s="3">
        <v>0</v>
      </c>
      <c r="W29" s="3">
        <f t="shared" si="9"/>
        <v>0</v>
      </c>
      <c r="Y29" s="3">
        <v>0</v>
      </c>
      <c r="Z29" s="3">
        <v>234</v>
      </c>
      <c r="AA29" s="3">
        <v>4.7</v>
      </c>
    </row>
    <row r="30" spans="1:27" x14ac:dyDescent="0.3">
      <c r="A30" s="3" t="str">
        <f t="shared" si="0"/>
        <v>West9310019914840</v>
      </c>
      <c r="B30" s="3" t="str">
        <f t="shared" si="1"/>
        <v>Mah9310019914840</v>
      </c>
      <c r="C30" s="10">
        <v>9310019914840</v>
      </c>
      <c r="D30" s="10" t="str">
        <f t="shared" si="2"/>
        <v>9310019914</v>
      </c>
      <c r="E30" s="3" t="s">
        <v>1</v>
      </c>
      <c r="F30" s="3" t="s">
        <v>63</v>
      </c>
      <c r="H30" s="3">
        <v>8.9330000000000052</v>
      </c>
      <c r="I30" s="10">
        <f t="shared" si="3"/>
        <v>414.30360815597169</v>
      </c>
      <c r="J30" s="3">
        <v>0.64684447522144373</v>
      </c>
      <c r="K30" s="3">
        <v>0</v>
      </c>
      <c r="L30" s="3">
        <f t="shared" si="4"/>
        <v>0</v>
      </c>
      <c r="N30" s="11">
        <f t="shared" si="5"/>
        <v>8.286155524778561</v>
      </c>
      <c r="O30" s="3">
        <v>0.64684447522144373</v>
      </c>
      <c r="P30" s="11">
        <f t="shared" si="6"/>
        <v>384.30360815597169</v>
      </c>
      <c r="Q30" s="12">
        <f t="shared" si="7"/>
        <v>384.30360815597163</v>
      </c>
      <c r="R30" s="13">
        <f t="shared" si="8"/>
        <v>384.30360815597163</v>
      </c>
      <c r="S30" s="3" t="s">
        <v>31</v>
      </c>
      <c r="T30" s="3" t="s">
        <v>32</v>
      </c>
      <c r="U30" s="10">
        <v>0</v>
      </c>
      <c r="V30" s="3">
        <v>0</v>
      </c>
      <c r="W30" s="3">
        <f t="shared" si="9"/>
        <v>0</v>
      </c>
      <c r="AA30" s="3">
        <v>4.7</v>
      </c>
    </row>
    <row r="31" spans="1:27" ht="15.6" x14ac:dyDescent="0.3">
      <c r="A31" s="3" t="str">
        <f t="shared" si="0"/>
        <v>West9360039992320</v>
      </c>
      <c r="B31" s="3" t="str">
        <f t="shared" si="1"/>
        <v>Mah9360039992320</v>
      </c>
      <c r="C31" s="14">
        <v>9360039992320</v>
      </c>
      <c r="D31" s="10" t="str">
        <f t="shared" si="2"/>
        <v>9360039992</v>
      </c>
      <c r="E31" s="3" t="s">
        <v>1</v>
      </c>
      <c r="F31" s="3" t="s">
        <v>63</v>
      </c>
      <c r="G31"/>
      <c r="H31" s="3">
        <v>82.158040000000014</v>
      </c>
      <c r="I31" s="10">
        <f t="shared" si="3"/>
        <v>49.246789492958086</v>
      </c>
      <c r="J31" s="3">
        <v>50.048769176159993</v>
      </c>
      <c r="K31" s="3">
        <v>65</v>
      </c>
      <c r="L31" s="3">
        <f t="shared" si="4"/>
        <v>0</v>
      </c>
      <c r="M31" s="32"/>
      <c r="N31" s="11">
        <f t="shared" si="5"/>
        <v>32.109270823840021</v>
      </c>
      <c r="O31" s="3">
        <v>50.048769176159993</v>
      </c>
      <c r="P31" s="11">
        <f t="shared" si="6"/>
        <v>19.246789492958083</v>
      </c>
      <c r="Q31" s="12">
        <f t="shared" si="7"/>
        <v>19.246789492958086</v>
      </c>
      <c r="R31" s="13">
        <f t="shared" si="8"/>
        <v>19.246789492958086</v>
      </c>
      <c r="S31" s="3" t="s">
        <v>30</v>
      </c>
      <c r="T31" s="3" t="s">
        <v>33</v>
      </c>
      <c r="U31" s="10">
        <v>9360039900999</v>
      </c>
      <c r="V31" s="3">
        <v>0.1</v>
      </c>
      <c r="W31" s="3">
        <f t="shared" si="9"/>
        <v>6.5</v>
      </c>
      <c r="Y31" s="3">
        <v>12</v>
      </c>
      <c r="Z31" s="3">
        <v>24</v>
      </c>
      <c r="AA31">
        <v>5</v>
      </c>
    </row>
    <row r="32" spans="1:27" x14ac:dyDescent="0.3">
      <c r="A32" s="3" t="str">
        <f t="shared" si="0"/>
        <v>West9320099901320</v>
      </c>
      <c r="B32" s="3" t="str">
        <f t="shared" si="1"/>
        <v>Mah9320099901320</v>
      </c>
      <c r="C32" s="14">
        <v>9320099901320</v>
      </c>
      <c r="D32" s="10" t="str">
        <f t="shared" si="2"/>
        <v>9320099901</v>
      </c>
      <c r="E32" s="3" t="s">
        <v>1</v>
      </c>
      <c r="F32" s="3" t="s">
        <v>63</v>
      </c>
      <c r="H32" s="3">
        <v>54.879999999999995</v>
      </c>
      <c r="I32" s="10">
        <f t="shared" si="3"/>
        <v>41.732882336982641</v>
      </c>
      <c r="J32" s="3">
        <v>39.45090556424379</v>
      </c>
      <c r="K32" s="3">
        <v>25</v>
      </c>
      <c r="L32" s="3">
        <f t="shared" si="4"/>
        <v>0</v>
      </c>
      <c r="M32" s="32"/>
      <c r="N32" s="11">
        <f t="shared" si="5"/>
        <v>15.429094435756205</v>
      </c>
      <c r="O32" s="3">
        <v>39.45090556424379</v>
      </c>
      <c r="P32" s="11">
        <f t="shared" si="6"/>
        <v>11.732882336982641</v>
      </c>
      <c r="Q32" s="12">
        <f t="shared" si="7"/>
        <v>11.732882336982641</v>
      </c>
      <c r="R32" s="13">
        <f t="shared" si="8"/>
        <v>2.6817619389753564</v>
      </c>
      <c r="S32" s="3" t="s">
        <v>31</v>
      </c>
      <c r="T32" s="3" t="s">
        <v>28</v>
      </c>
      <c r="U32" s="10">
        <v>9320099900999</v>
      </c>
      <c r="V32" s="3">
        <v>0.1</v>
      </c>
      <c r="W32" s="3">
        <f t="shared" si="9"/>
        <v>2.5</v>
      </c>
      <c r="Y32" s="3">
        <v>0</v>
      </c>
      <c r="Z32" s="3">
        <v>529</v>
      </c>
      <c r="AA32" s="3">
        <v>5</v>
      </c>
    </row>
    <row r="33" spans="1:27" x14ac:dyDescent="0.3">
      <c r="A33" s="3" t="str">
        <f t="shared" si="0"/>
        <v>West9360039981320</v>
      </c>
      <c r="B33" s="3" t="str">
        <f t="shared" si="1"/>
        <v>Mah9360039981320</v>
      </c>
      <c r="C33" s="14">
        <v>9360039981320</v>
      </c>
      <c r="D33" s="10" t="str">
        <f t="shared" si="2"/>
        <v>9360039981</v>
      </c>
      <c r="E33" s="3" t="s">
        <v>1</v>
      </c>
      <c r="F33" s="3" t="s">
        <v>63</v>
      </c>
      <c r="H33" s="3">
        <v>122.33999999999997</v>
      </c>
      <c r="I33" s="10">
        <f t="shared" si="3"/>
        <v>139.03269127173562</v>
      </c>
      <c r="J33" s="3">
        <v>26.398108001999997</v>
      </c>
      <c r="K33" s="3">
        <v>0</v>
      </c>
      <c r="L33" s="3">
        <f t="shared" si="4"/>
        <v>0</v>
      </c>
      <c r="M33" s="32"/>
      <c r="N33" s="11">
        <f t="shared" si="5"/>
        <v>95.941891997999974</v>
      </c>
      <c r="O33" s="3">
        <v>26.398108001999997</v>
      </c>
      <c r="P33" s="11">
        <f t="shared" si="6"/>
        <v>109.03269127173562</v>
      </c>
      <c r="Q33" s="12">
        <f t="shared" si="7"/>
        <v>109.03269127173562</v>
      </c>
      <c r="R33" s="13">
        <f t="shared" si="8"/>
        <v>109.03269127173562</v>
      </c>
      <c r="S33" s="3" t="s">
        <v>30</v>
      </c>
      <c r="T33" s="3" t="s">
        <v>33</v>
      </c>
      <c r="U33" s="10">
        <v>9360039900999</v>
      </c>
      <c r="V33" s="3">
        <v>0.1</v>
      </c>
      <c r="W33" s="3">
        <f t="shared" si="9"/>
        <v>0</v>
      </c>
      <c r="Y33" s="3">
        <v>0</v>
      </c>
      <c r="Z33" s="3">
        <v>0</v>
      </c>
      <c r="AA33" s="3">
        <v>5</v>
      </c>
    </row>
    <row r="34" spans="1:27" x14ac:dyDescent="0.3">
      <c r="A34" s="3" t="str">
        <f t="shared" si="0"/>
        <v>West9320089901320</v>
      </c>
      <c r="B34" s="3" t="str">
        <f t="shared" si="1"/>
        <v>Mah9320089901320</v>
      </c>
      <c r="C34" s="14">
        <v>9320089901320</v>
      </c>
      <c r="D34" s="10" t="str">
        <f t="shared" si="2"/>
        <v>9320089901</v>
      </c>
      <c r="E34" s="3" t="s">
        <v>1</v>
      </c>
      <c r="F34" s="3" t="s">
        <v>63</v>
      </c>
      <c r="H34" s="3">
        <v>62.62</v>
      </c>
      <c r="I34" s="10">
        <f t="shared" si="3"/>
        <v>81.9886224627747</v>
      </c>
      <c r="J34" s="3">
        <v>22.91293527773248</v>
      </c>
      <c r="K34" s="3">
        <v>0</v>
      </c>
      <c r="L34" s="3">
        <f t="shared" si="4"/>
        <v>0</v>
      </c>
      <c r="M34" s="32"/>
      <c r="N34" s="11">
        <f t="shared" si="5"/>
        <v>39.707064722267518</v>
      </c>
      <c r="O34" s="3">
        <v>22.91293527773248</v>
      </c>
      <c r="P34" s="11">
        <f t="shared" si="6"/>
        <v>51.988622462774693</v>
      </c>
      <c r="Q34" s="12">
        <f t="shared" si="7"/>
        <v>51.988622462774693</v>
      </c>
      <c r="R34" s="13">
        <f t="shared" si="8"/>
        <v>31.812152870329982</v>
      </c>
      <c r="S34" s="3" t="s">
        <v>31</v>
      </c>
      <c r="T34" s="3" t="s">
        <v>28</v>
      </c>
      <c r="U34" s="10">
        <v>9320089900999</v>
      </c>
      <c r="V34" s="3">
        <v>0.1</v>
      </c>
      <c r="W34" s="3">
        <f t="shared" si="9"/>
        <v>0</v>
      </c>
      <c r="Y34" s="3">
        <v>0</v>
      </c>
      <c r="Z34" s="3">
        <v>23</v>
      </c>
      <c r="AA34" s="3">
        <v>5</v>
      </c>
    </row>
    <row r="35" spans="1:27" ht="16.05" customHeight="1" x14ac:dyDescent="0.3">
      <c r="A35" s="3" t="str">
        <f t="shared" si="0"/>
        <v>West9432029901320</v>
      </c>
      <c r="B35" s="3" t="str">
        <f t="shared" si="1"/>
        <v>Mah9432029901320</v>
      </c>
      <c r="C35" s="14">
        <v>9432029901320</v>
      </c>
      <c r="D35" s="10" t="str">
        <f t="shared" si="2"/>
        <v>9432029901</v>
      </c>
      <c r="E35" s="3" t="s">
        <v>1</v>
      </c>
      <c r="F35" s="3" t="s">
        <v>63</v>
      </c>
      <c r="H35" s="3">
        <v>108.82000000000001</v>
      </c>
      <c r="I35" s="10">
        <f t="shared" si="3"/>
        <v>148.8695802654276</v>
      </c>
      <c r="J35" s="3">
        <v>21.929261802037519</v>
      </c>
      <c r="K35" s="3">
        <v>0</v>
      </c>
      <c r="L35" s="3">
        <f t="shared" si="4"/>
        <v>0</v>
      </c>
      <c r="M35" s="32"/>
      <c r="N35" s="11">
        <f t="shared" si="5"/>
        <v>86.890738197962492</v>
      </c>
      <c r="O35" s="3">
        <v>21.929261802037519</v>
      </c>
      <c r="P35" s="11">
        <f t="shared" si="6"/>
        <v>118.86958026542762</v>
      </c>
      <c r="Q35" s="12">
        <f t="shared" si="7"/>
        <v>118.86958026542762</v>
      </c>
      <c r="R35" s="13">
        <f t="shared" si="8"/>
        <v>34.940925816612058</v>
      </c>
      <c r="S35" s="3" t="s">
        <v>31</v>
      </c>
      <c r="T35" s="3" t="s">
        <v>35</v>
      </c>
      <c r="U35" s="10">
        <v>9432029900999</v>
      </c>
      <c r="V35" s="3">
        <v>0.1</v>
      </c>
      <c r="W35" s="3">
        <f t="shared" si="9"/>
        <v>0</v>
      </c>
      <c r="Y35" s="3">
        <v>0</v>
      </c>
      <c r="Z35" s="3">
        <v>48</v>
      </c>
      <c r="AA35" s="3">
        <v>5</v>
      </c>
    </row>
    <row r="36" spans="1:27" ht="16.05" customHeight="1" x14ac:dyDescent="0.3">
      <c r="A36" s="3" t="str">
        <f t="shared" si="0"/>
        <v>West9330239901320</v>
      </c>
      <c r="B36" s="3" t="str">
        <f t="shared" si="1"/>
        <v>Mah9330239901320</v>
      </c>
      <c r="C36" s="14">
        <v>9330239901320</v>
      </c>
      <c r="D36" s="10" t="str">
        <f t="shared" si="2"/>
        <v>9330239901</v>
      </c>
      <c r="E36" s="3" t="s">
        <v>1</v>
      </c>
      <c r="F36" s="3" t="s">
        <v>63</v>
      </c>
      <c r="H36" s="3">
        <v>39.159999999999997</v>
      </c>
      <c r="I36" s="10">
        <f t="shared" si="3"/>
        <v>58.845531350476797</v>
      </c>
      <c r="J36" s="3">
        <v>19.964132756369121</v>
      </c>
      <c r="K36" s="3">
        <v>0</v>
      </c>
      <c r="L36" s="3">
        <f t="shared" si="4"/>
        <v>0</v>
      </c>
      <c r="M36" s="32"/>
      <c r="N36" s="11">
        <f t="shared" si="5"/>
        <v>19.195867243630875</v>
      </c>
      <c r="O36" s="3">
        <v>19.964132756369121</v>
      </c>
      <c r="P36" s="11">
        <f t="shared" si="6"/>
        <v>28.845531350476797</v>
      </c>
      <c r="Q36" s="12">
        <f t="shared" si="7"/>
        <v>28.845531350476801</v>
      </c>
      <c r="R36" s="13">
        <f t="shared" si="8"/>
        <v>17.518926818935931</v>
      </c>
      <c r="S36" s="3" t="s">
        <v>31</v>
      </c>
      <c r="T36" s="3" t="s">
        <v>35</v>
      </c>
      <c r="U36" s="10">
        <v>9330239900999</v>
      </c>
      <c r="V36" s="3">
        <v>0.1</v>
      </c>
      <c r="W36" s="3">
        <f t="shared" si="9"/>
        <v>0</v>
      </c>
      <c r="Y36" s="3">
        <v>0</v>
      </c>
      <c r="Z36" s="3">
        <v>126.5</v>
      </c>
      <c r="AA36" s="3">
        <v>5</v>
      </c>
    </row>
    <row r="37" spans="1:27" ht="16.05" customHeight="1" x14ac:dyDescent="0.3">
      <c r="A37" s="3" t="str">
        <f t="shared" si="0"/>
        <v>West9360039981840</v>
      </c>
      <c r="B37" s="3" t="str">
        <f t="shared" si="1"/>
        <v>Mah9360039981840</v>
      </c>
      <c r="C37" s="10">
        <v>9360039981840</v>
      </c>
      <c r="D37" s="10" t="str">
        <f t="shared" si="2"/>
        <v>9360039981</v>
      </c>
      <c r="E37" s="3" t="s">
        <v>1</v>
      </c>
      <c r="F37" s="3" t="s">
        <v>63</v>
      </c>
      <c r="H37" s="3">
        <v>25.207999999999991</v>
      </c>
      <c r="I37" s="10">
        <f t="shared" si="3"/>
        <v>100.63685493504569</v>
      </c>
      <c r="J37" s="3">
        <v>7.5145432603999964</v>
      </c>
      <c r="K37" s="3">
        <v>0</v>
      </c>
      <c r="L37" s="3">
        <f t="shared" si="4"/>
        <v>0</v>
      </c>
      <c r="M37" s="32"/>
      <c r="N37" s="11">
        <f t="shared" si="5"/>
        <v>17.693456739599995</v>
      </c>
      <c r="O37" s="3">
        <v>7.5145432603999964</v>
      </c>
      <c r="P37" s="11">
        <f t="shared" si="6"/>
        <v>70.63685493504569</v>
      </c>
      <c r="Q37" s="12">
        <f t="shared" si="7"/>
        <v>70.636854935045704</v>
      </c>
      <c r="R37" s="13">
        <f t="shared" si="8"/>
        <v>70.636854935045704</v>
      </c>
      <c r="S37" s="3" t="s">
        <v>31</v>
      </c>
      <c r="T37" s="3" t="s">
        <v>33</v>
      </c>
      <c r="U37" s="10">
        <v>0</v>
      </c>
      <c r="V37" s="3">
        <v>0</v>
      </c>
      <c r="W37" s="3">
        <f t="shared" si="9"/>
        <v>0</v>
      </c>
      <c r="Y37" s="3">
        <v>0</v>
      </c>
      <c r="Z37" s="3">
        <v>80.5</v>
      </c>
      <c r="AA37" s="3">
        <v>5</v>
      </c>
    </row>
    <row r="38" spans="1:27" x14ac:dyDescent="0.3">
      <c r="A38" s="3" t="str">
        <f t="shared" si="0"/>
        <v>West9420139901320</v>
      </c>
      <c r="B38" s="3" t="str">
        <f t="shared" si="1"/>
        <v>Mah9420139901320</v>
      </c>
      <c r="C38" s="10">
        <v>9420139901320</v>
      </c>
      <c r="D38" s="10" t="str">
        <f t="shared" si="2"/>
        <v>9420139901</v>
      </c>
      <c r="E38" s="3" t="s">
        <v>1</v>
      </c>
      <c r="F38" s="3" t="s">
        <v>63</v>
      </c>
      <c r="H38" s="3">
        <v>16.7</v>
      </c>
      <c r="I38" s="10">
        <f t="shared" si="3"/>
        <v>69.373416459487785</v>
      </c>
      <c r="J38" s="3">
        <v>7.2217864647414398</v>
      </c>
      <c r="K38" s="3">
        <v>0</v>
      </c>
      <c r="L38" s="3">
        <f t="shared" si="4"/>
        <v>0</v>
      </c>
      <c r="M38" s="32"/>
      <c r="N38" s="11">
        <f t="shared" si="5"/>
        <v>9.4782135352585595</v>
      </c>
      <c r="O38" s="3">
        <v>7.2217864647414398</v>
      </c>
      <c r="P38" s="11">
        <f t="shared" si="6"/>
        <v>39.373416459487792</v>
      </c>
      <c r="Q38" s="12">
        <f t="shared" si="7"/>
        <v>39.373416459487792</v>
      </c>
      <c r="R38" s="13">
        <f t="shared" si="8"/>
        <v>3.4542911269476986</v>
      </c>
      <c r="S38" s="3" t="s">
        <v>31</v>
      </c>
      <c r="T38" s="3" t="s">
        <v>28</v>
      </c>
      <c r="U38" s="10">
        <v>9420139900999</v>
      </c>
      <c r="V38" s="3">
        <v>0.1</v>
      </c>
      <c r="W38" s="3">
        <f t="shared" si="9"/>
        <v>0</v>
      </c>
      <c r="Y38" s="3">
        <v>0</v>
      </c>
      <c r="Z38" s="3">
        <v>48</v>
      </c>
      <c r="AA38" s="3">
        <v>5</v>
      </c>
    </row>
    <row r="39" spans="1:27" x14ac:dyDescent="0.3">
      <c r="A39" s="3" t="str">
        <f t="shared" si="0"/>
        <v>West9320089900320</v>
      </c>
      <c r="B39" s="3" t="str">
        <f t="shared" si="1"/>
        <v>Mah9320089900320</v>
      </c>
      <c r="C39" s="10">
        <v>9320089900320</v>
      </c>
      <c r="D39" s="10" t="str">
        <f t="shared" si="2"/>
        <v>9320089900</v>
      </c>
      <c r="E39" s="3" t="s">
        <v>1</v>
      </c>
      <c r="F39" s="3" t="s">
        <v>63</v>
      </c>
      <c r="H39" s="3">
        <v>23.52</v>
      </c>
      <c r="I39" s="10">
        <f t="shared" si="3"/>
        <v>106.03967232452206</v>
      </c>
      <c r="J39" s="3">
        <v>6.654113357127259</v>
      </c>
      <c r="K39" s="3">
        <v>0</v>
      </c>
      <c r="L39" s="3">
        <f t="shared" si="4"/>
        <v>0</v>
      </c>
      <c r="M39" s="32"/>
      <c r="N39" s="11">
        <f t="shared" si="5"/>
        <v>16.865886642872741</v>
      </c>
      <c r="O39" s="3">
        <v>6.654113357127259</v>
      </c>
      <c r="P39" s="11">
        <f t="shared" si="6"/>
        <v>76.039672324522073</v>
      </c>
      <c r="Q39" s="12">
        <f t="shared" si="7"/>
        <v>76.039672324522058</v>
      </c>
      <c r="R39" s="13">
        <f t="shared" si="8"/>
        <v>49.657770810926209</v>
      </c>
      <c r="S39" s="3" t="s">
        <v>31</v>
      </c>
      <c r="T39" s="3" t="s">
        <v>28</v>
      </c>
      <c r="U39" s="10">
        <v>9320089900999</v>
      </c>
      <c r="V39" s="3">
        <v>0.1</v>
      </c>
      <c r="W39" s="3">
        <f t="shared" si="9"/>
        <v>0</v>
      </c>
      <c r="Y39" s="3">
        <v>0</v>
      </c>
      <c r="Z39" s="3">
        <v>0</v>
      </c>
      <c r="AA39" s="3">
        <v>5</v>
      </c>
    </row>
    <row r="40" spans="1:27" x14ac:dyDescent="0.3">
      <c r="A40" s="3" t="str">
        <f t="shared" si="0"/>
        <v>West9360039992840</v>
      </c>
      <c r="B40" s="3" t="str">
        <f t="shared" si="1"/>
        <v>Mah9360039992840</v>
      </c>
      <c r="C40" s="10">
        <v>9360039992840</v>
      </c>
      <c r="D40" s="10" t="str">
        <f t="shared" si="2"/>
        <v>9360039992</v>
      </c>
      <c r="E40" s="3" t="s">
        <v>1</v>
      </c>
      <c r="F40" s="3" t="s">
        <v>63</v>
      </c>
      <c r="H40" s="3">
        <v>21.7</v>
      </c>
      <c r="I40" s="10">
        <f t="shared" si="3"/>
        <v>114.30882420829577</v>
      </c>
      <c r="J40" s="3">
        <v>5.6950983837759983</v>
      </c>
      <c r="K40" s="3">
        <v>0</v>
      </c>
      <c r="L40" s="3">
        <f t="shared" si="4"/>
        <v>0</v>
      </c>
      <c r="M40" s="32"/>
      <c r="N40" s="11">
        <f t="shared" si="5"/>
        <v>16.004901616224</v>
      </c>
      <c r="O40" s="3">
        <v>5.6950983837759983</v>
      </c>
      <c r="P40" s="11">
        <f t="shared" si="6"/>
        <v>84.308824208295775</v>
      </c>
      <c r="Q40" s="12">
        <f t="shared" si="7"/>
        <v>84.308824208295775</v>
      </c>
      <c r="R40" s="13">
        <f t="shared" si="8"/>
        <v>84.308824208295775</v>
      </c>
      <c r="S40" s="3" t="s">
        <v>31</v>
      </c>
      <c r="T40" s="3" t="s">
        <v>33</v>
      </c>
      <c r="U40" s="10">
        <v>0</v>
      </c>
      <c r="V40" s="3">
        <v>0</v>
      </c>
      <c r="W40" s="3">
        <f t="shared" si="9"/>
        <v>0</v>
      </c>
      <c r="Y40" s="3">
        <v>0</v>
      </c>
      <c r="Z40" s="3">
        <v>3730</v>
      </c>
      <c r="AA40" s="3">
        <v>5</v>
      </c>
    </row>
    <row r="41" spans="1:27" x14ac:dyDescent="0.3">
      <c r="A41" s="3" t="str">
        <f t="shared" si="0"/>
        <v>West9432029900320</v>
      </c>
      <c r="B41" s="3" t="str">
        <f t="shared" si="1"/>
        <v>Mah9432029900320</v>
      </c>
      <c r="C41" s="10">
        <v>9432029900320</v>
      </c>
      <c r="D41" s="10" t="str">
        <f t="shared" si="2"/>
        <v>9432029900</v>
      </c>
      <c r="E41" s="3" t="s">
        <v>1</v>
      </c>
      <c r="F41" s="3" t="s">
        <v>63</v>
      </c>
      <c r="H41" s="3">
        <v>34.46</v>
      </c>
      <c r="I41" s="10">
        <f t="shared" si="3"/>
        <v>190.60983940610595</v>
      </c>
      <c r="J41" s="3">
        <v>5.4236444625370348</v>
      </c>
      <c r="K41" s="3">
        <v>0</v>
      </c>
      <c r="L41" s="3">
        <f t="shared" si="4"/>
        <v>0</v>
      </c>
      <c r="M41" s="32"/>
      <c r="N41" s="11">
        <f t="shared" si="5"/>
        <v>29.036355537462967</v>
      </c>
      <c r="O41" s="3">
        <v>5.4236444625370348</v>
      </c>
      <c r="P41" s="11">
        <f t="shared" si="6"/>
        <v>160.60983940610598</v>
      </c>
      <c r="Q41" s="12">
        <f t="shared" si="7"/>
        <v>160.60983940610595</v>
      </c>
      <c r="R41" s="13">
        <f t="shared" si="8"/>
        <v>44.067510562075888</v>
      </c>
      <c r="S41" s="3" t="s">
        <v>31</v>
      </c>
      <c r="T41" s="3" t="s">
        <v>35</v>
      </c>
      <c r="U41" s="10">
        <v>9432029900999</v>
      </c>
      <c r="V41" s="3">
        <v>0.1</v>
      </c>
      <c r="W41" s="3">
        <f t="shared" si="9"/>
        <v>0</v>
      </c>
      <c r="Y41" s="3">
        <v>0</v>
      </c>
      <c r="Z41" s="3">
        <v>9</v>
      </c>
      <c r="AA41" s="3">
        <v>5</v>
      </c>
    </row>
    <row r="42" spans="1:27" ht="16.05" customHeight="1" x14ac:dyDescent="0.3">
      <c r="A42" s="3" t="str">
        <f t="shared" si="0"/>
        <v>West9320099900320</v>
      </c>
      <c r="B42" s="3" t="str">
        <f t="shared" si="1"/>
        <v>Mah9320099900320</v>
      </c>
      <c r="C42" s="10">
        <v>9320099900320</v>
      </c>
      <c r="D42" s="10" t="str">
        <f t="shared" si="2"/>
        <v>9320099900</v>
      </c>
      <c r="E42" s="3" t="s">
        <v>1</v>
      </c>
      <c r="F42" s="3" t="s">
        <v>63</v>
      </c>
      <c r="H42" s="3">
        <v>6.76</v>
      </c>
      <c r="I42" s="10">
        <f t="shared" si="3"/>
        <v>37.606979328355109</v>
      </c>
      <c r="J42" s="3">
        <v>5.392616041541304</v>
      </c>
      <c r="K42" s="3">
        <v>5</v>
      </c>
      <c r="L42" s="3">
        <f t="shared" si="4"/>
        <v>0</v>
      </c>
      <c r="M42" s="32"/>
      <c r="N42" s="11">
        <f t="shared" si="5"/>
        <v>1.3673839584586958</v>
      </c>
      <c r="O42" s="3">
        <v>5.392616041541304</v>
      </c>
      <c r="P42" s="11">
        <f t="shared" si="6"/>
        <v>7.6069793283551128</v>
      </c>
      <c r="Q42" s="12">
        <f t="shared" si="7"/>
        <v>7.6069793283551119</v>
      </c>
      <c r="R42" s="13">
        <f t="shared" si="8"/>
        <v>17.971452330671681</v>
      </c>
      <c r="S42" s="3" t="s">
        <v>31</v>
      </c>
      <c r="T42" s="3" t="s">
        <v>28</v>
      </c>
      <c r="U42" s="10">
        <v>9320099900999</v>
      </c>
      <c r="V42" s="3">
        <v>0.1</v>
      </c>
      <c r="W42" s="3">
        <f t="shared" si="9"/>
        <v>0.5</v>
      </c>
      <c r="Y42" s="3">
        <v>0</v>
      </c>
      <c r="Z42" s="3">
        <v>650</v>
      </c>
      <c r="AA42" s="3">
        <v>5</v>
      </c>
    </row>
    <row r="43" spans="1:27" ht="16.05" customHeight="1" x14ac:dyDescent="0.3">
      <c r="A43" s="3" t="str">
        <f t="shared" si="0"/>
        <v>West9432029901310</v>
      </c>
      <c r="B43" s="3" t="str">
        <f t="shared" si="1"/>
        <v>Mah9432029901310</v>
      </c>
      <c r="C43" s="10">
        <v>9432029901310</v>
      </c>
      <c r="D43" s="10" t="str">
        <f t="shared" si="2"/>
        <v>9432029901</v>
      </c>
      <c r="E43" s="3" t="s">
        <v>1</v>
      </c>
      <c r="F43" s="3" t="s">
        <v>63</v>
      </c>
      <c r="H43" s="3">
        <v>31.56</v>
      </c>
      <c r="I43" s="10">
        <f t="shared" si="3"/>
        <v>178.78114585430743</v>
      </c>
      <c r="J43" s="3">
        <v>5.2958604525981032</v>
      </c>
      <c r="K43" s="3">
        <v>0</v>
      </c>
      <c r="L43" s="3">
        <f t="shared" si="4"/>
        <v>0</v>
      </c>
      <c r="M43" s="32"/>
      <c r="N43" s="11">
        <f t="shared" si="5"/>
        <v>26.264139547401896</v>
      </c>
      <c r="O43" s="3">
        <v>5.2958604525981032</v>
      </c>
      <c r="P43" s="11">
        <f t="shared" si="6"/>
        <v>148.78114585430743</v>
      </c>
      <c r="Q43" s="12">
        <f t="shared" si="7"/>
        <v>148.78114585430743</v>
      </c>
      <c r="R43" s="13">
        <f t="shared" si="8"/>
        <v>43.777640765882907</v>
      </c>
      <c r="S43" s="3" t="s">
        <v>31</v>
      </c>
      <c r="T43" s="3" t="s">
        <v>35</v>
      </c>
      <c r="U43" s="10">
        <v>9432029900999</v>
      </c>
      <c r="V43" s="3">
        <v>0.1</v>
      </c>
      <c r="W43" s="3">
        <f t="shared" si="9"/>
        <v>0</v>
      </c>
      <c r="Y43" s="3">
        <v>0</v>
      </c>
      <c r="Z43" s="3">
        <v>0</v>
      </c>
      <c r="AA43" s="3">
        <v>5</v>
      </c>
    </row>
    <row r="44" spans="1:27" ht="16.05" customHeight="1" x14ac:dyDescent="0.3">
      <c r="A44" s="3" t="str">
        <f t="shared" si="0"/>
        <v>West9330239900320</v>
      </c>
      <c r="B44" s="3" t="str">
        <f t="shared" si="1"/>
        <v>Mah9330239900320</v>
      </c>
      <c r="C44" s="10">
        <v>9330239900320</v>
      </c>
      <c r="D44" s="10" t="str">
        <f t="shared" si="2"/>
        <v>9330239900</v>
      </c>
      <c r="E44" s="3" t="s">
        <v>1</v>
      </c>
      <c r="F44" s="3" t="s">
        <v>63</v>
      </c>
      <c r="H44" s="3">
        <v>20.58</v>
      </c>
      <c r="I44" s="10">
        <f t="shared" si="3"/>
        <v>166.64255953369005</v>
      </c>
      <c r="J44" s="3">
        <v>3.704935892293352</v>
      </c>
      <c r="K44" s="3">
        <v>0</v>
      </c>
      <c r="L44" s="3">
        <f t="shared" si="4"/>
        <v>0</v>
      </c>
      <c r="M44" s="32"/>
      <c r="N44" s="11">
        <f t="shared" si="5"/>
        <v>16.875064107706645</v>
      </c>
      <c r="O44" s="3">
        <v>3.704935892293352</v>
      </c>
      <c r="P44" s="11">
        <f t="shared" si="6"/>
        <v>136.64255953369005</v>
      </c>
      <c r="Q44" s="12">
        <f t="shared" si="7"/>
        <v>136.64255953369005</v>
      </c>
      <c r="R44" s="13">
        <f t="shared" si="8"/>
        <v>49.457242370391903</v>
      </c>
      <c r="S44" s="3" t="s">
        <v>31</v>
      </c>
      <c r="T44" s="3" t="s">
        <v>35</v>
      </c>
      <c r="U44" s="10">
        <v>9330239900999</v>
      </c>
      <c r="V44" s="3">
        <v>0.1</v>
      </c>
      <c r="W44" s="3">
        <f t="shared" si="9"/>
        <v>0</v>
      </c>
      <c r="Y44" s="3">
        <v>0</v>
      </c>
      <c r="Z44" s="3">
        <v>207</v>
      </c>
      <c r="AA44" s="3">
        <v>5</v>
      </c>
    </row>
    <row r="45" spans="1:27" x14ac:dyDescent="0.3">
      <c r="A45" s="3" t="str">
        <f t="shared" si="0"/>
        <v>West9420139900320</v>
      </c>
      <c r="B45" s="3" t="str">
        <f t="shared" si="1"/>
        <v>Mah9420139900320</v>
      </c>
      <c r="C45" s="10">
        <v>9420139900320</v>
      </c>
      <c r="D45" s="10" t="str">
        <f t="shared" si="2"/>
        <v>9420139900</v>
      </c>
      <c r="E45" s="3" t="s">
        <v>1</v>
      </c>
      <c r="F45" s="3" t="s">
        <v>63</v>
      </c>
      <c r="H45" s="3">
        <v>13.219999999999999</v>
      </c>
      <c r="I45" s="10">
        <f t="shared" si="3"/>
        <v>116.05990591669135</v>
      </c>
      <c r="J45" s="3">
        <v>3.4172007711662489</v>
      </c>
      <c r="K45" s="3">
        <v>5</v>
      </c>
      <c r="L45" s="3">
        <f t="shared" si="4"/>
        <v>0</v>
      </c>
      <c r="M45" s="32"/>
      <c r="N45" s="11">
        <f t="shared" si="5"/>
        <v>9.8027992288337504</v>
      </c>
      <c r="O45" s="3">
        <v>3.4172007711662489</v>
      </c>
      <c r="P45" s="11">
        <f t="shared" si="6"/>
        <v>86.059905916691363</v>
      </c>
      <c r="Q45" s="12">
        <f t="shared" si="7"/>
        <v>86.059905916691349</v>
      </c>
      <c r="R45" s="13">
        <f t="shared" si="8"/>
        <v>20.904234494707751</v>
      </c>
      <c r="S45" s="3" t="s">
        <v>31</v>
      </c>
      <c r="T45" s="3" t="s">
        <v>28</v>
      </c>
      <c r="U45" s="10">
        <v>9420139900999</v>
      </c>
      <c r="V45" s="3">
        <v>0.1</v>
      </c>
      <c r="W45" s="3">
        <f t="shared" si="9"/>
        <v>0.5</v>
      </c>
      <c r="Y45" s="3">
        <v>0</v>
      </c>
      <c r="Z45" s="3">
        <v>2160</v>
      </c>
      <c r="AA45" s="3">
        <v>5</v>
      </c>
    </row>
    <row r="46" spans="1:27" x14ac:dyDescent="0.3">
      <c r="A46" s="3" t="str">
        <f t="shared" si="0"/>
        <v>West9320049901240</v>
      </c>
      <c r="B46" s="3" t="str">
        <f t="shared" si="1"/>
        <v>Mah9320049901240</v>
      </c>
      <c r="C46" s="10">
        <v>9320049901240</v>
      </c>
      <c r="D46" s="10" t="str">
        <f t="shared" si="2"/>
        <v>9320049901</v>
      </c>
      <c r="E46" s="3" t="s">
        <v>1</v>
      </c>
      <c r="F46" s="3" t="s">
        <v>63</v>
      </c>
      <c r="H46" s="3">
        <v>13.752000000000006</v>
      </c>
      <c r="I46" s="10">
        <f t="shared" si="3"/>
        <v>125.29422410245837</v>
      </c>
      <c r="J46" s="3">
        <v>3.2927295967181411</v>
      </c>
      <c r="K46" s="3">
        <v>0</v>
      </c>
      <c r="L46" s="3">
        <f t="shared" si="4"/>
        <v>0</v>
      </c>
      <c r="M46" s="32"/>
      <c r="N46" s="11">
        <f t="shared" si="5"/>
        <v>10.459270403281865</v>
      </c>
      <c r="O46" s="3">
        <v>3.2927295967181411</v>
      </c>
      <c r="P46" s="11">
        <f t="shared" si="6"/>
        <v>95.294224102458386</v>
      </c>
      <c r="Q46" s="12">
        <f t="shared" si="7"/>
        <v>95.294224102458386</v>
      </c>
      <c r="R46" s="13">
        <f t="shared" si="8"/>
        <v>95.294224102458386</v>
      </c>
      <c r="S46" s="3" t="s">
        <v>31</v>
      </c>
      <c r="T46" s="3" t="s">
        <v>28</v>
      </c>
      <c r="U46" s="10">
        <v>0</v>
      </c>
      <c r="V46" s="3">
        <v>0</v>
      </c>
      <c r="W46" s="3">
        <f t="shared" si="9"/>
        <v>0</v>
      </c>
      <c r="Y46" s="3">
        <v>0</v>
      </c>
      <c r="Z46" s="3">
        <v>103.5</v>
      </c>
      <c r="AA46" s="3">
        <v>5</v>
      </c>
    </row>
    <row r="47" spans="1:27" x14ac:dyDescent="0.3">
      <c r="A47" s="3" t="str">
        <f t="shared" si="0"/>
        <v>West9432029901840</v>
      </c>
      <c r="B47" s="3" t="str">
        <f t="shared" si="1"/>
        <v>Mah9432029901840</v>
      </c>
      <c r="C47" s="10">
        <v>9432029901840</v>
      </c>
      <c r="D47" s="10" t="str">
        <f t="shared" si="2"/>
        <v>9432029901</v>
      </c>
      <c r="E47" s="3" t="s">
        <v>1</v>
      </c>
      <c r="F47" s="3" t="s">
        <v>63</v>
      </c>
      <c r="H47" s="3">
        <v>3.04</v>
      </c>
      <c r="I47" s="10">
        <f t="shared" si="3"/>
        <v>32.326098781707927</v>
      </c>
      <c r="J47" s="3">
        <v>2.821249808579021</v>
      </c>
      <c r="K47" s="3">
        <v>5</v>
      </c>
      <c r="L47" s="3">
        <f t="shared" si="4"/>
        <v>0</v>
      </c>
      <c r="M47" s="32"/>
      <c r="N47" s="11">
        <f t="shared" si="5"/>
        <v>0.21875019142097907</v>
      </c>
      <c r="O47" s="3">
        <v>2.821249808579021</v>
      </c>
      <c r="P47" s="11">
        <f t="shared" si="6"/>
        <v>2.3260987817079233</v>
      </c>
      <c r="Q47" s="12">
        <f t="shared" si="7"/>
        <v>2.3260987817079233</v>
      </c>
      <c r="R47" s="13">
        <f t="shared" si="8"/>
        <v>45.487316805056096</v>
      </c>
      <c r="S47" s="3" t="s">
        <v>31</v>
      </c>
      <c r="T47" s="3" t="s">
        <v>35</v>
      </c>
      <c r="U47" s="10">
        <v>0</v>
      </c>
      <c r="V47" s="3">
        <v>0</v>
      </c>
      <c r="W47" s="3">
        <f t="shared" si="9"/>
        <v>0</v>
      </c>
      <c r="Y47" s="3">
        <v>0</v>
      </c>
      <c r="Z47" s="3">
        <v>20</v>
      </c>
      <c r="AA47" s="3">
        <v>5</v>
      </c>
    </row>
    <row r="48" spans="1:27" x14ac:dyDescent="0.3">
      <c r="A48" s="3" t="str">
        <f t="shared" si="0"/>
        <v>West9330239901310</v>
      </c>
      <c r="B48" s="3" t="str">
        <f t="shared" si="1"/>
        <v>Mah9330239901310</v>
      </c>
      <c r="C48" s="10">
        <v>9330239901310</v>
      </c>
      <c r="D48" s="10" t="str">
        <f t="shared" si="2"/>
        <v>9330239901</v>
      </c>
      <c r="E48" s="3" t="s">
        <v>1</v>
      </c>
      <c r="F48" s="3" t="s">
        <v>63</v>
      </c>
      <c r="H48" s="3">
        <v>7.1</v>
      </c>
      <c r="I48" s="10">
        <f t="shared" si="3"/>
        <v>83.501316375394651</v>
      </c>
      <c r="J48" s="3">
        <v>2.5508579893809284</v>
      </c>
      <c r="K48" s="3">
        <v>0</v>
      </c>
      <c r="L48" s="3">
        <f t="shared" si="4"/>
        <v>0</v>
      </c>
      <c r="M48" s="32"/>
      <c r="N48" s="11">
        <f t="shared" si="5"/>
        <v>4.5491420106190716</v>
      </c>
      <c r="O48" s="3">
        <v>2.5508579893809284</v>
      </c>
      <c r="P48" s="11">
        <f t="shared" si="6"/>
        <v>53.501316375394651</v>
      </c>
      <c r="Q48" s="12">
        <f t="shared" si="7"/>
        <v>53.501316375394651</v>
      </c>
      <c r="R48" s="13">
        <f t="shared" si="8"/>
        <v>36.938343606674806</v>
      </c>
      <c r="S48" s="3" t="s">
        <v>31</v>
      </c>
      <c r="T48" s="3" t="s">
        <v>35</v>
      </c>
      <c r="U48" s="10">
        <v>9330239900999</v>
      </c>
      <c r="V48" s="3">
        <v>0.1</v>
      </c>
      <c r="W48" s="3">
        <f t="shared" si="9"/>
        <v>0</v>
      </c>
      <c r="Y48" s="3">
        <v>0</v>
      </c>
      <c r="Z48" s="3">
        <v>299</v>
      </c>
      <c r="AA48" s="3">
        <v>5</v>
      </c>
    </row>
    <row r="49" spans="1:27" ht="16.05" customHeight="1" x14ac:dyDescent="0.3">
      <c r="A49" s="3" t="str">
        <f t="shared" si="0"/>
        <v>West9420139901310</v>
      </c>
      <c r="B49" s="3" t="str">
        <f t="shared" si="1"/>
        <v>Mah9420139901310</v>
      </c>
      <c r="C49" s="10">
        <v>9420139901310</v>
      </c>
      <c r="D49" s="10" t="str">
        <f t="shared" si="2"/>
        <v>9420139901</v>
      </c>
      <c r="E49" s="3" t="s">
        <v>1</v>
      </c>
      <c r="F49" s="3" t="s">
        <v>63</v>
      </c>
      <c r="H49" s="3">
        <v>7.82</v>
      </c>
      <c r="I49" s="10">
        <f t="shared" si="3"/>
        <v>92.769005675440894</v>
      </c>
      <c r="J49" s="3">
        <v>2.5288618573833284</v>
      </c>
      <c r="K49" s="3">
        <v>0</v>
      </c>
      <c r="L49" s="3">
        <f t="shared" si="4"/>
        <v>0</v>
      </c>
      <c r="M49" s="32"/>
      <c r="N49" s="11">
        <f t="shared" si="5"/>
        <v>5.2911381426166724</v>
      </c>
      <c r="O49" s="3">
        <v>2.5288618573833284</v>
      </c>
      <c r="P49" s="11">
        <f t="shared" si="6"/>
        <v>62.769005675440908</v>
      </c>
      <c r="Q49" s="12">
        <f t="shared" si="7"/>
        <v>62.769005675440908</v>
      </c>
      <c r="R49" s="13">
        <f t="shared" si="8"/>
        <v>7.9243561134415827</v>
      </c>
      <c r="S49" s="3" t="s">
        <v>31</v>
      </c>
      <c r="T49" s="3" t="s">
        <v>28</v>
      </c>
      <c r="U49" s="10">
        <v>9420139900999</v>
      </c>
      <c r="V49" s="3">
        <v>0.1</v>
      </c>
      <c r="W49" s="3">
        <f t="shared" si="9"/>
        <v>0</v>
      </c>
      <c r="Y49" s="3">
        <v>0</v>
      </c>
      <c r="Z49" s="3">
        <v>490</v>
      </c>
      <c r="AA49" s="3">
        <v>5</v>
      </c>
    </row>
    <row r="50" spans="1:27" ht="16.05" customHeight="1" x14ac:dyDescent="0.3">
      <c r="A50" s="3" t="str">
        <f t="shared" si="0"/>
        <v>West9320089902219</v>
      </c>
      <c r="B50" s="3" t="str">
        <f t="shared" si="1"/>
        <v>Mah9320089902219</v>
      </c>
      <c r="C50" s="10">
        <v>9320089902219</v>
      </c>
      <c r="D50" s="10" t="str">
        <f t="shared" si="2"/>
        <v>9320089902</v>
      </c>
      <c r="E50" s="3" t="s">
        <v>1</v>
      </c>
      <c r="F50" s="3" t="s">
        <v>63</v>
      </c>
      <c r="H50" s="3">
        <v>8.1705000000000005</v>
      </c>
      <c r="I50" s="10">
        <f t="shared" si="3"/>
        <v>100.55265936498709</v>
      </c>
      <c r="J50" s="3">
        <v>2.4376779445512131</v>
      </c>
      <c r="K50" s="3">
        <v>0</v>
      </c>
      <c r="L50" s="3">
        <f t="shared" si="4"/>
        <v>0</v>
      </c>
      <c r="M50" s="32"/>
      <c r="N50" s="11">
        <f t="shared" si="5"/>
        <v>5.7328220554487874</v>
      </c>
      <c r="O50" s="3">
        <v>2.4376779445512131</v>
      </c>
      <c r="P50" s="11">
        <f t="shared" si="6"/>
        <v>70.552659364987093</v>
      </c>
      <c r="Q50" s="12">
        <f t="shared" si="7"/>
        <v>70.552659364987079</v>
      </c>
      <c r="R50" s="13">
        <f t="shared" si="8"/>
        <v>61.197046460796265</v>
      </c>
      <c r="S50" s="3" t="s">
        <v>31</v>
      </c>
      <c r="T50" s="3" t="s">
        <v>28</v>
      </c>
      <c r="U50" s="10">
        <v>9320089900999</v>
      </c>
      <c r="V50" s="3">
        <v>0.1</v>
      </c>
      <c r="W50" s="3">
        <f t="shared" si="9"/>
        <v>0</v>
      </c>
      <c r="Y50" s="3">
        <v>0</v>
      </c>
      <c r="Z50" s="3">
        <v>0</v>
      </c>
      <c r="AA50" s="3">
        <v>5</v>
      </c>
    </row>
    <row r="51" spans="1:27" ht="16.05" customHeight="1" x14ac:dyDescent="0.3">
      <c r="A51" s="3" t="str">
        <f t="shared" si="0"/>
        <v>West9320099901310</v>
      </c>
      <c r="B51" s="3" t="str">
        <f t="shared" si="1"/>
        <v>Mah9320099901310</v>
      </c>
      <c r="C51" s="10">
        <v>9320099901310</v>
      </c>
      <c r="D51" s="10" t="str">
        <f t="shared" si="2"/>
        <v>9320099901</v>
      </c>
      <c r="E51" s="3" t="s">
        <v>1</v>
      </c>
      <c r="F51" s="3" t="s">
        <v>63</v>
      </c>
      <c r="H51" s="3">
        <v>1.1600000000000001</v>
      </c>
      <c r="I51" s="10">
        <f t="shared" si="3"/>
        <v>17.261906440145669</v>
      </c>
      <c r="J51" s="3">
        <v>2.0159998039999998</v>
      </c>
      <c r="K51" s="3">
        <v>5</v>
      </c>
      <c r="L51" s="3">
        <f t="shared" si="4"/>
        <v>0</v>
      </c>
      <c r="M51" s="32"/>
      <c r="N51" s="11">
        <f t="shared" si="5"/>
        <v>-0.85599980399999964</v>
      </c>
      <c r="O51" s="3">
        <v>2.0159998039999998</v>
      </c>
      <c r="P51" s="11">
        <f t="shared" si="6"/>
        <v>-12.738093559854329</v>
      </c>
      <c r="Q51" s="12">
        <f t="shared" si="7"/>
        <v>-12.738093559854331</v>
      </c>
      <c r="R51" s="13">
        <f t="shared" si="8"/>
        <v>10.747191543098038</v>
      </c>
      <c r="S51" s="3" t="s">
        <v>31</v>
      </c>
      <c r="T51" s="3" t="s">
        <v>28</v>
      </c>
      <c r="U51" s="10">
        <v>9320099900999</v>
      </c>
      <c r="V51" s="3">
        <v>0.1</v>
      </c>
      <c r="W51" s="3">
        <f t="shared" si="9"/>
        <v>0.5</v>
      </c>
      <c r="Y51" s="3">
        <v>0</v>
      </c>
      <c r="Z51" s="3">
        <v>27</v>
      </c>
      <c r="AA51" s="3">
        <v>5</v>
      </c>
    </row>
    <row r="52" spans="1:27" x14ac:dyDescent="0.3">
      <c r="A52" s="3" t="str">
        <f t="shared" si="0"/>
        <v>West9320049901210</v>
      </c>
      <c r="B52" s="3" t="str">
        <f t="shared" si="1"/>
        <v>Mah9320049901210</v>
      </c>
      <c r="C52" s="10">
        <v>9320049901210</v>
      </c>
      <c r="D52" s="10" t="str">
        <f t="shared" si="2"/>
        <v>9320049901</v>
      </c>
      <c r="E52" s="3" t="s">
        <v>1</v>
      </c>
      <c r="F52" s="3" t="s">
        <v>63</v>
      </c>
      <c r="H52" s="3">
        <v>7.416999999999998</v>
      </c>
      <c r="I52" s="10">
        <f t="shared" si="3"/>
        <v>117.6582224468096</v>
      </c>
      <c r="J52" s="3">
        <v>1.8911555467412509</v>
      </c>
      <c r="K52" s="3">
        <v>0</v>
      </c>
      <c r="L52" s="3">
        <f t="shared" si="4"/>
        <v>0</v>
      </c>
      <c r="M52" s="32"/>
      <c r="N52" s="11">
        <f t="shared" si="5"/>
        <v>5.5258444532587472</v>
      </c>
      <c r="O52" s="3">
        <v>1.8911555467412509</v>
      </c>
      <c r="P52" s="11">
        <f t="shared" si="6"/>
        <v>87.658222446809603</v>
      </c>
      <c r="Q52" s="12">
        <f t="shared" si="7"/>
        <v>87.658222446809617</v>
      </c>
      <c r="R52" s="13">
        <f t="shared" si="8"/>
        <v>87.658222446809617</v>
      </c>
      <c r="S52" s="3" t="s">
        <v>31</v>
      </c>
      <c r="T52" s="3" t="s">
        <v>28</v>
      </c>
      <c r="U52" s="10">
        <v>0</v>
      </c>
      <c r="V52" s="3">
        <v>0</v>
      </c>
      <c r="W52" s="3">
        <f t="shared" si="9"/>
        <v>0</v>
      </c>
      <c r="Y52" s="3">
        <v>0</v>
      </c>
      <c r="Z52" s="3">
        <v>0</v>
      </c>
      <c r="AA52" s="3">
        <v>5</v>
      </c>
    </row>
    <row r="53" spans="1:27" x14ac:dyDescent="0.3">
      <c r="A53" s="3" t="str">
        <f t="shared" si="0"/>
        <v>West9320049921210</v>
      </c>
      <c r="B53" s="3" t="str">
        <f t="shared" si="1"/>
        <v>Mah9320049921210</v>
      </c>
      <c r="C53" s="10">
        <v>9320049921210</v>
      </c>
      <c r="D53" s="10" t="str">
        <f t="shared" si="2"/>
        <v>9320049921</v>
      </c>
      <c r="E53" s="3" t="s">
        <v>1</v>
      </c>
      <c r="F53" s="3" t="s">
        <v>63</v>
      </c>
      <c r="H53" s="3">
        <v>8.6939999999999955</v>
      </c>
      <c r="I53" s="10">
        <f t="shared" si="3"/>
        <v>142.07298853897524</v>
      </c>
      <c r="J53" s="3">
        <v>1.8358169465017518</v>
      </c>
      <c r="K53" s="3">
        <v>0</v>
      </c>
      <c r="L53" s="3">
        <f t="shared" si="4"/>
        <v>0</v>
      </c>
      <c r="M53" s="32"/>
      <c r="N53" s="11">
        <f t="shared" si="5"/>
        <v>6.8581830534982435</v>
      </c>
      <c r="O53" s="3">
        <v>1.8358169465017518</v>
      </c>
      <c r="P53" s="11">
        <f t="shared" si="6"/>
        <v>112.07298853897522</v>
      </c>
      <c r="Q53" s="12">
        <f t="shared" si="7"/>
        <v>112.07298853897522</v>
      </c>
      <c r="R53" s="13">
        <f t="shared" si="8"/>
        <v>112.07298853897522</v>
      </c>
      <c r="S53" s="3" t="s">
        <v>31</v>
      </c>
      <c r="T53" s="3" t="s">
        <v>28</v>
      </c>
      <c r="U53" s="10">
        <v>0</v>
      </c>
      <c r="V53" s="3">
        <v>0</v>
      </c>
      <c r="W53" s="3">
        <f t="shared" si="9"/>
        <v>0</v>
      </c>
      <c r="Y53" s="3">
        <v>0</v>
      </c>
      <c r="Z53" s="3">
        <v>351</v>
      </c>
      <c r="AA53" s="3">
        <v>5</v>
      </c>
    </row>
    <row r="54" spans="1:27" x14ac:dyDescent="0.3">
      <c r="A54" s="3" t="str">
        <f t="shared" si="0"/>
        <v>West9320099901210</v>
      </c>
      <c r="B54" s="3" t="str">
        <f t="shared" si="1"/>
        <v>Mah9320099901210</v>
      </c>
      <c r="C54" s="10">
        <v>9320099901210</v>
      </c>
      <c r="D54" s="10" t="str">
        <f t="shared" si="2"/>
        <v>9320099901</v>
      </c>
      <c r="E54" s="3" t="s">
        <v>1</v>
      </c>
      <c r="F54" s="3" t="s">
        <v>63</v>
      </c>
      <c r="H54" s="3">
        <v>5.992</v>
      </c>
      <c r="I54" s="10">
        <f t="shared" si="3"/>
        <v>106.9292407544919</v>
      </c>
      <c r="J54" s="3">
        <v>1.6811117214675315</v>
      </c>
      <c r="K54" s="3">
        <v>0</v>
      </c>
      <c r="L54" s="3">
        <f t="shared" si="4"/>
        <v>0</v>
      </c>
      <c r="M54" s="32"/>
      <c r="N54" s="11">
        <f t="shared" si="5"/>
        <v>4.3108882785324685</v>
      </c>
      <c r="O54" s="3">
        <v>1.6811117214675315</v>
      </c>
      <c r="P54" s="11">
        <f t="shared" si="6"/>
        <v>76.9292407544919</v>
      </c>
      <c r="Q54" s="12">
        <f t="shared" si="7"/>
        <v>76.929240754491886</v>
      </c>
      <c r="R54" s="13">
        <f t="shared" si="8"/>
        <v>29.724229731147283</v>
      </c>
      <c r="S54" s="3" t="s">
        <v>31</v>
      </c>
      <c r="T54" s="3" t="s">
        <v>28</v>
      </c>
      <c r="U54" s="10">
        <v>0</v>
      </c>
      <c r="V54" s="3">
        <v>0</v>
      </c>
      <c r="W54" s="3">
        <f t="shared" si="9"/>
        <v>0</v>
      </c>
      <c r="Y54" s="3">
        <v>0</v>
      </c>
      <c r="Z54" s="3">
        <v>488</v>
      </c>
      <c r="AA54" s="3">
        <v>5</v>
      </c>
    </row>
    <row r="55" spans="1:27" x14ac:dyDescent="0.3">
      <c r="A55" s="3" t="str">
        <f t="shared" si="0"/>
        <v>West9432029900310</v>
      </c>
      <c r="B55" s="3" t="str">
        <f t="shared" si="1"/>
        <v>Mah9432029900310</v>
      </c>
      <c r="C55" s="10">
        <v>9432029900310</v>
      </c>
      <c r="D55" s="10" t="str">
        <f t="shared" si="2"/>
        <v>9432029900</v>
      </c>
      <c r="E55" s="3" t="s">
        <v>1</v>
      </c>
      <c r="F55" s="3" t="s">
        <v>63</v>
      </c>
      <c r="H55" s="3">
        <v>12.51</v>
      </c>
      <c r="I55" s="10">
        <f t="shared" si="3"/>
        <v>226.72662715226733</v>
      </c>
      <c r="J55" s="3">
        <v>1.6552974157197349</v>
      </c>
      <c r="K55" s="3">
        <v>0</v>
      </c>
      <c r="L55" s="3">
        <f t="shared" si="4"/>
        <v>0</v>
      </c>
      <c r="M55" s="32"/>
      <c r="N55" s="11">
        <f t="shared" si="5"/>
        <v>10.854702584280265</v>
      </c>
      <c r="O55" s="3">
        <v>1.6552974157197349</v>
      </c>
      <c r="P55" s="11">
        <f t="shared" si="6"/>
        <v>196.72662715226733</v>
      </c>
      <c r="Q55" s="12">
        <f t="shared" si="7"/>
        <v>196.72662715226733</v>
      </c>
      <c r="R55" s="13">
        <f t="shared" si="8"/>
        <v>63.07750694482106</v>
      </c>
      <c r="S55" s="3" t="s">
        <v>31</v>
      </c>
      <c r="T55" s="3" t="s">
        <v>35</v>
      </c>
      <c r="U55" s="10">
        <v>9432029900999</v>
      </c>
      <c r="V55" s="3">
        <v>0.1</v>
      </c>
      <c r="W55" s="3">
        <f t="shared" si="9"/>
        <v>0</v>
      </c>
      <c r="Y55" s="3">
        <v>0</v>
      </c>
      <c r="Z55" s="3">
        <v>243</v>
      </c>
      <c r="AA55" s="3">
        <v>5</v>
      </c>
    </row>
    <row r="56" spans="1:27" ht="16.05" customHeight="1" x14ac:dyDescent="0.3">
      <c r="A56" s="3" t="str">
        <f t="shared" si="0"/>
        <v>West9330239902219</v>
      </c>
      <c r="B56" s="3" t="str">
        <f t="shared" si="1"/>
        <v>Mah9330239902219</v>
      </c>
      <c r="C56" s="10">
        <v>9330239902219</v>
      </c>
      <c r="D56" s="10" t="str">
        <f t="shared" si="2"/>
        <v>9330239902</v>
      </c>
      <c r="E56" s="3" t="s">
        <v>1</v>
      </c>
      <c r="F56" s="3" t="s">
        <v>63</v>
      </c>
      <c r="H56" s="3">
        <v>1.5795000000000001</v>
      </c>
      <c r="I56" s="10">
        <f t="shared" si="3"/>
        <v>29.167152692460775</v>
      </c>
      <c r="J56" s="3">
        <v>1.6246014994891236</v>
      </c>
      <c r="K56" s="3">
        <v>25</v>
      </c>
      <c r="L56" s="3">
        <f t="shared" si="4"/>
        <v>0</v>
      </c>
      <c r="M56" s="32"/>
      <c r="N56" s="11">
        <f t="shared" si="5"/>
        <v>-4.5101499489123453E-2</v>
      </c>
      <c r="O56" s="3">
        <v>1.6246014994891236</v>
      </c>
      <c r="P56" s="11">
        <f t="shared" si="6"/>
        <v>-0.83284730753922465</v>
      </c>
      <c r="Q56" s="12">
        <f t="shared" si="7"/>
        <v>-0.83284730753922465</v>
      </c>
      <c r="R56" s="13">
        <f t="shared" si="8"/>
        <v>227.02142686726842</v>
      </c>
      <c r="S56" s="3" t="s">
        <v>31</v>
      </c>
      <c r="T56" s="3" t="s">
        <v>35</v>
      </c>
      <c r="U56" s="10">
        <v>9330239900999</v>
      </c>
      <c r="V56" s="3">
        <v>0.1</v>
      </c>
      <c r="W56" s="3">
        <f t="shared" si="9"/>
        <v>2.5</v>
      </c>
      <c r="Y56" s="3">
        <v>0</v>
      </c>
      <c r="Z56" s="3">
        <v>480</v>
      </c>
      <c r="AA56" s="3">
        <v>5</v>
      </c>
    </row>
    <row r="57" spans="1:27" x14ac:dyDescent="0.3">
      <c r="A57" s="3" t="str">
        <f t="shared" si="0"/>
        <v>West9320049901310</v>
      </c>
      <c r="B57" s="3" t="str">
        <f t="shared" si="1"/>
        <v>Mah9320049901310</v>
      </c>
      <c r="C57" s="10">
        <v>9320049901310</v>
      </c>
      <c r="D57" s="10" t="str">
        <f t="shared" si="2"/>
        <v>9320049901</v>
      </c>
      <c r="E57" s="3" t="s">
        <v>1</v>
      </c>
      <c r="F57" s="3" t="s">
        <v>63</v>
      </c>
      <c r="H57" s="3">
        <v>19.68</v>
      </c>
      <c r="I57" s="10">
        <f t="shared" si="3"/>
        <v>386.14879662038379</v>
      </c>
      <c r="J57" s="3">
        <v>1.5289442960000004</v>
      </c>
      <c r="K57" s="3">
        <v>0</v>
      </c>
      <c r="L57" s="3">
        <f t="shared" si="4"/>
        <v>0</v>
      </c>
      <c r="M57" s="32"/>
      <c r="N57" s="11">
        <f t="shared" si="5"/>
        <v>18.151055704000001</v>
      </c>
      <c r="O57" s="3">
        <v>1.5289442960000004</v>
      </c>
      <c r="P57" s="11">
        <f t="shared" si="6"/>
        <v>356.14879662038379</v>
      </c>
      <c r="Q57" s="12">
        <f t="shared" si="7"/>
        <v>356.14879662038385</v>
      </c>
      <c r="R57" s="13">
        <f t="shared" si="8"/>
        <v>356.14879662038385</v>
      </c>
      <c r="S57" s="3" t="s">
        <v>31</v>
      </c>
      <c r="T57" s="3" t="s">
        <v>28</v>
      </c>
      <c r="U57" s="10">
        <v>0</v>
      </c>
      <c r="V57" s="3">
        <v>0</v>
      </c>
      <c r="W57" s="3">
        <f t="shared" si="9"/>
        <v>0</v>
      </c>
      <c r="Y57" s="3">
        <v>0</v>
      </c>
      <c r="Z57" s="3">
        <v>352</v>
      </c>
      <c r="AA57" s="3">
        <v>5</v>
      </c>
    </row>
    <row r="58" spans="1:27" x14ac:dyDescent="0.3">
      <c r="A58" s="3" t="str">
        <f t="shared" si="0"/>
        <v>West9320049921240</v>
      </c>
      <c r="B58" s="3" t="str">
        <f t="shared" si="1"/>
        <v>Mah9320049921240</v>
      </c>
      <c r="C58" s="10">
        <v>9320049921240</v>
      </c>
      <c r="D58" s="10" t="str">
        <f t="shared" si="2"/>
        <v>9320049921</v>
      </c>
      <c r="E58" s="3" t="s">
        <v>1</v>
      </c>
      <c r="F58" s="3" t="s">
        <v>63</v>
      </c>
      <c r="H58" s="3">
        <v>12.805000000000003</v>
      </c>
      <c r="I58" s="10">
        <f t="shared" si="3"/>
        <v>269.91331569137935</v>
      </c>
      <c r="J58" s="3">
        <v>1.4232347115443527</v>
      </c>
      <c r="K58" s="3">
        <v>0</v>
      </c>
      <c r="L58" s="3">
        <f t="shared" si="4"/>
        <v>0</v>
      </c>
      <c r="M58" s="32"/>
      <c r="N58" s="11">
        <f t="shared" si="5"/>
        <v>11.38176528845565</v>
      </c>
      <c r="O58" s="3">
        <v>1.4232347115443527</v>
      </c>
      <c r="P58" s="11">
        <f t="shared" si="6"/>
        <v>239.91331569137935</v>
      </c>
      <c r="Q58" s="12">
        <f t="shared" si="7"/>
        <v>239.91331569137935</v>
      </c>
      <c r="R58" s="13">
        <f t="shared" si="8"/>
        <v>239.91331569137935</v>
      </c>
      <c r="S58" s="3" t="s">
        <v>31</v>
      </c>
      <c r="T58" s="3" t="s">
        <v>28</v>
      </c>
      <c r="U58" s="10">
        <v>0</v>
      </c>
      <c r="V58" s="3">
        <v>0</v>
      </c>
      <c r="W58" s="3">
        <f t="shared" si="9"/>
        <v>0</v>
      </c>
      <c r="Y58" s="3">
        <v>0</v>
      </c>
      <c r="Z58" s="3">
        <v>176</v>
      </c>
      <c r="AA58" s="3">
        <v>5</v>
      </c>
    </row>
    <row r="59" spans="1:27" x14ac:dyDescent="0.3">
      <c r="A59" s="3" t="str">
        <f t="shared" si="0"/>
        <v>West9320099902219</v>
      </c>
      <c r="B59" s="3" t="str">
        <f t="shared" si="1"/>
        <v>Mah9320099902219</v>
      </c>
      <c r="C59" s="10">
        <v>9320099902219</v>
      </c>
      <c r="D59" s="10" t="str">
        <f t="shared" si="2"/>
        <v>9320099902</v>
      </c>
      <c r="E59" s="3" t="s">
        <v>1</v>
      </c>
      <c r="F59" s="3" t="s">
        <v>63</v>
      </c>
      <c r="H59" s="3">
        <v>5.9864999999999995</v>
      </c>
      <c r="I59" s="10">
        <f t="shared" si="3"/>
        <v>135.19152335915715</v>
      </c>
      <c r="J59" s="3">
        <v>1.3284486744252313</v>
      </c>
      <c r="K59" s="3">
        <v>25</v>
      </c>
      <c r="L59" s="3">
        <f t="shared" si="4"/>
        <v>0</v>
      </c>
      <c r="M59" s="32"/>
      <c r="N59" s="11">
        <f t="shared" si="5"/>
        <v>4.6580513255747684</v>
      </c>
      <c r="O59" s="3">
        <v>1.3284486744252313</v>
      </c>
      <c r="P59" s="11">
        <f t="shared" si="6"/>
        <v>105.19152335915715</v>
      </c>
      <c r="Q59" s="12">
        <f t="shared" si="7"/>
        <v>105.19152335915713</v>
      </c>
      <c r="R59" s="13">
        <f t="shared" si="8"/>
        <v>105.19152335915713</v>
      </c>
      <c r="S59" s="3" t="s">
        <v>31</v>
      </c>
      <c r="T59" s="3" t="s">
        <v>28</v>
      </c>
      <c r="U59" s="10">
        <v>9320099900999</v>
      </c>
      <c r="V59" s="3">
        <v>0.1</v>
      </c>
      <c r="W59" s="3">
        <f t="shared" si="9"/>
        <v>2.5</v>
      </c>
      <c r="Y59" s="3">
        <v>0</v>
      </c>
      <c r="Z59" s="3">
        <v>64</v>
      </c>
      <c r="AA59" s="3">
        <v>5</v>
      </c>
    </row>
    <row r="60" spans="1:27" x14ac:dyDescent="0.3">
      <c r="A60" s="3" t="str">
        <f t="shared" si="0"/>
        <v>West9320089901210</v>
      </c>
      <c r="B60" s="3" t="str">
        <f t="shared" si="1"/>
        <v>Mah9320089901210</v>
      </c>
      <c r="C60" s="10">
        <v>9320089901210</v>
      </c>
      <c r="D60" s="10" t="str">
        <f t="shared" si="2"/>
        <v>9320089901</v>
      </c>
      <c r="E60" s="3" t="s">
        <v>1</v>
      </c>
      <c r="F60" s="3" t="s">
        <v>63</v>
      </c>
      <c r="H60" s="3">
        <v>3.9669999999999996</v>
      </c>
      <c r="I60" s="10">
        <f t="shared" si="3"/>
        <v>90.298002009454336</v>
      </c>
      <c r="J60" s="3">
        <v>1.3179693609116563</v>
      </c>
      <c r="K60" s="3">
        <v>0</v>
      </c>
      <c r="L60" s="3">
        <f t="shared" si="4"/>
        <v>0</v>
      </c>
      <c r="M60" s="32"/>
      <c r="N60" s="11">
        <f t="shared" si="5"/>
        <v>2.6490306390883434</v>
      </c>
      <c r="O60" s="3">
        <v>1.3179693609116563</v>
      </c>
      <c r="P60" s="11">
        <f t="shared" si="6"/>
        <v>60.298002009454343</v>
      </c>
      <c r="Q60" s="12">
        <f t="shared" si="7"/>
        <v>60.298002009454336</v>
      </c>
      <c r="R60" s="13">
        <f t="shared" si="8"/>
        <v>56.5397382176292</v>
      </c>
      <c r="S60" s="3" t="s">
        <v>31</v>
      </c>
      <c r="T60" s="3" t="s">
        <v>28</v>
      </c>
      <c r="U60" s="10">
        <v>0</v>
      </c>
      <c r="V60" s="3">
        <v>0</v>
      </c>
      <c r="W60" s="3">
        <f t="shared" si="9"/>
        <v>0</v>
      </c>
      <c r="Y60" s="3">
        <v>0</v>
      </c>
      <c r="Z60" s="3">
        <v>256.5</v>
      </c>
      <c r="AA60" s="3">
        <v>5</v>
      </c>
    </row>
    <row r="61" spans="1:27" ht="16.05" customHeight="1" x14ac:dyDescent="0.3">
      <c r="A61" s="3" t="str">
        <f t="shared" si="0"/>
        <v>West9320089901310</v>
      </c>
      <c r="B61" s="3" t="str">
        <f t="shared" si="1"/>
        <v>Mah9320089901310</v>
      </c>
      <c r="C61" s="10">
        <v>9320089901310</v>
      </c>
      <c r="D61" s="10" t="str">
        <f t="shared" si="2"/>
        <v>9320089901</v>
      </c>
      <c r="E61" s="3" t="s">
        <v>1</v>
      </c>
      <c r="F61" s="3" t="s">
        <v>63</v>
      </c>
      <c r="H61" s="3">
        <v>1.7000000000000002</v>
      </c>
      <c r="I61" s="10">
        <f t="shared" si="3"/>
        <v>45.535726808039165</v>
      </c>
      <c r="J61" s="3">
        <v>1.1199996919999999</v>
      </c>
      <c r="K61" s="3">
        <v>0</v>
      </c>
      <c r="L61" s="3">
        <f t="shared" si="4"/>
        <v>0</v>
      </c>
      <c r="M61" s="32"/>
      <c r="N61" s="11">
        <f t="shared" si="5"/>
        <v>0.58000030800000024</v>
      </c>
      <c r="O61" s="3">
        <v>1.1199996919999999</v>
      </c>
      <c r="P61" s="11">
        <f t="shared" si="6"/>
        <v>15.535726808039165</v>
      </c>
      <c r="Q61" s="12">
        <f t="shared" si="7"/>
        <v>15.535726808039165</v>
      </c>
      <c r="R61" s="13">
        <f t="shared" si="8"/>
        <v>65.473015604420794</v>
      </c>
      <c r="S61" s="3" t="s">
        <v>31</v>
      </c>
      <c r="T61" s="3" t="s">
        <v>28</v>
      </c>
      <c r="U61" s="10">
        <v>9320089900999</v>
      </c>
      <c r="V61" s="3">
        <v>0.1</v>
      </c>
      <c r="W61" s="3">
        <f t="shared" si="9"/>
        <v>0</v>
      </c>
      <c r="Y61" s="3">
        <v>0</v>
      </c>
      <c r="Z61" s="3">
        <v>283.5</v>
      </c>
      <c r="AA61" s="3">
        <v>5</v>
      </c>
    </row>
    <row r="62" spans="1:27" ht="16.05" customHeight="1" x14ac:dyDescent="0.3">
      <c r="A62" s="3" t="str">
        <f t="shared" si="0"/>
        <v>West9420139901840</v>
      </c>
      <c r="B62" s="3" t="str">
        <f t="shared" si="1"/>
        <v>Mah9420139901840</v>
      </c>
      <c r="C62" s="10">
        <v>9420139901840</v>
      </c>
      <c r="D62" s="10" t="str">
        <f t="shared" si="2"/>
        <v>9420139901</v>
      </c>
      <c r="E62" s="3" t="s">
        <v>1</v>
      </c>
      <c r="F62" s="3" t="s">
        <v>63</v>
      </c>
      <c r="H62" s="3">
        <v>9.7279999999999998</v>
      </c>
      <c r="I62" s="10">
        <f t="shared" si="3"/>
        <v>280.90456319804684</v>
      </c>
      <c r="J62" s="3">
        <v>1.0389293668905026</v>
      </c>
      <c r="K62" s="3">
        <v>0</v>
      </c>
      <c r="L62" s="3">
        <f t="shared" si="4"/>
        <v>0</v>
      </c>
      <c r="M62" s="32"/>
      <c r="N62" s="11">
        <f t="shared" si="5"/>
        <v>8.6890706331094965</v>
      </c>
      <c r="O62" s="3">
        <v>1.0389293668905026</v>
      </c>
      <c r="P62" s="11">
        <f t="shared" si="6"/>
        <v>250.90456319804684</v>
      </c>
      <c r="Q62" s="12">
        <f t="shared" si="7"/>
        <v>250.90456319804679</v>
      </c>
      <c r="R62" s="13">
        <f t="shared" si="8"/>
        <v>50.297723678272817</v>
      </c>
      <c r="S62" s="3" t="s">
        <v>31</v>
      </c>
      <c r="T62" s="3" t="s">
        <v>28</v>
      </c>
      <c r="U62" s="10">
        <v>0</v>
      </c>
      <c r="V62" s="3">
        <v>0</v>
      </c>
      <c r="W62" s="3">
        <f t="shared" si="9"/>
        <v>0</v>
      </c>
      <c r="Y62" s="3">
        <v>0</v>
      </c>
      <c r="Z62" s="3">
        <v>27</v>
      </c>
      <c r="AA62" s="3">
        <v>5</v>
      </c>
    </row>
    <row r="63" spans="1:27" ht="16.05" customHeight="1" x14ac:dyDescent="0.3">
      <c r="A63" s="3" t="str">
        <f t="shared" si="0"/>
        <v>West9330239901840</v>
      </c>
      <c r="B63" s="3" t="str">
        <f t="shared" si="1"/>
        <v>Mah9330239901840</v>
      </c>
      <c r="C63" s="10">
        <v>9330239901840</v>
      </c>
      <c r="D63" s="10" t="str">
        <f t="shared" si="2"/>
        <v>9330239901</v>
      </c>
      <c r="E63" s="3" t="s">
        <v>1</v>
      </c>
      <c r="F63" s="3" t="s">
        <v>63</v>
      </c>
      <c r="H63" s="3">
        <v>3.1360000000000001</v>
      </c>
      <c r="I63" s="10">
        <f t="shared" si="3"/>
        <v>96.902906562553682</v>
      </c>
      <c r="J63" s="3">
        <v>0.97086871113890272</v>
      </c>
      <c r="K63" s="3">
        <v>5</v>
      </c>
      <c r="L63" s="3">
        <f t="shared" si="4"/>
        <v>0</v>
      </c>
      <c r="M63" s="32"/>
      <c r="N63" s="11">
        <f t="shared" si="5"/>
        <v>2.1651312888610974</v>
      </c>
      <c r="O63" s="3">
        <v>0.97086871113890272</v>
      </c>
      <c r="P63" s="11">
        <f t="shared" si="6"/>
        <v>66.902906562553682</v>
      </c>
      <c r="Q63" s="12">
        <f t="shared" si="7"/>
        <v>66.902906562553667</v>
      </c>
      <c r="R63" s="13">
        <f t="shared" si="8"/>
        <v>21.476269672649831</v>
      </c>
      <c r="S63" s="3" t="s">
        <v>31</v>
      </c>
      <c r="T63" s="3" t="s">
        <v>35</v>
      </c>
      <c r="U63" s="10">
        <v>0</v>
      </c>
      <c r="V63" s="3">
        <v>0</v>
      </c>
      <c r="W63" s="3">
        <f t="shared" si="9"/>
        <v>0</v>
      </c>
      <c r="Y63" s="3">
        <v>0</v>
      </c>
      <c r="Z63" s="3">
        <v>1687.5</v>
      </c>
      <c r="AA63" s="3">
        <v>5</v>
      </c>
    </row>
    <row r="64" spans="1:27" x14ac:dyDescent="0.3">
      <c r="A64" s="3" t="str">
        <f t="shared" si="0"/>
        <v>West9432029901210</v>
      </c>
      <c r="B64" s="3" t="str">
        <f t="shared" si="1"/>
        <v>Mah9432029901210</v>
      </c>
      <c r="C64" s="10">
        <v>9432029901210</v>
      </c>
      <c r="D64" s="10" t="str">
        <f t="shared" si="2"/>
        <v>9432029901</v>
      </c>
      <c r="E64" s="3" t="s">
        <v>1</v>
      </c>
      <c r="F64" s="3" t="s">
        <v>63</v>
      </c>
      <c r="H64" s="3">
        <v>6.0400000000000009</v>
      </c>
      <c r="I64" s="10">
        <f t="shared" si="3"/>
        <v>193.24918197223496</v>
      </c>
      <c r="J64" s="3">
        <v>0.93764950594219798</v>
      </c>
      <c r="K64" s="3">
        <v>0</v>
      </c>
      <c r="L64" s="3">
        <f t="shared" si="4"/>
        <v>0</v>
      </c>
      <c r="M64" s="32"/>
      <c r="N64" s="11">
        <f t="shared" si="5"/>
        <v>5.1023504940578031</v>
      </c>
      <c r="O64" s="3">
        <v>0.93764950594219798</v>
      </c>
      <c r="P64" s="11">
        <f t="shared" si="6"/>
        <v>163.24918197223496</v>
      </c>
      <c r="Q64" s="12">
        <f t="shared" si="7"/>
        <v>163.24918197223496</v>
      </c>
      <c r="R64" s="13">
        <f t="shared" si="8"/>
        <v>66.700184019047626</v>
      </c>
      <c r="S64" s="3" t="s">
        <v>31</v>
      </c>
      <c r="T64" s="3" t="s">
        <v>35</v>
      </c>
      <c r="U64" s="10">
        <v>0</v>
      </c>
      <c r="V64" s="3">
        <v>0</v>
      </c>
      <c r="W64" s="3">
        <f t="shared" si="9"/>
        <v>0</v>
      </c>
      <c r="Y64" s="3">
        <v>0</v>
      </c>
      <c r="Z64" s="3">
        <v>2970</v>
      </c>
      <c r="AA64" s="3">
        <v>5</v>
      </c>
    </row>
    <row r="65" spans="1:27" x14ac:dyDescent="0.3">
      <c r="A65" s="3" t="str">
        <f t="shared" si="0"/>
        <v>West9320099999839</v>
      </c>
      <c r="B65" s="3" t="str">
        <f t="shared" si="1"/>
        <v>Mah9320099999839</v>
      </c>
      <c r="C65" s="10">
        <v>9320099999839</v>
      </c>
      <c r="D65" s="10" t="str">
        <f t="shared" si="2"/>
        <v>9320099999</v>
      </c>
      <c r="E65" s="3" t="s">
        <v>1</v>
      </c>
      <c r="F65" s="3" t="s">
        <v>63</v>
      </c>
      <c r="H65" s="3">
        <v>0.37440000000000001</v>
      </c>
      <c r="I65" s="10">
        <f t="shared" si="3"/>
        <v>12.3930455400697</v>
      </c>
      <c r="J65" s="3">
        <v>0.90631475238949466</v>
      </c>
      <c r="K65" s="3">
        <v>10</v>
      </c>
      <c r="L65" s="3">
        <f t="shared" si="4"/>
        <v>0</v>
      </c>
      <c r="M65" s="32"/>
      <c r="N65" s="11">
        <f t="shared" si="5"/>
        <v>-0.5319147523894947</v>
      </c>
      <c r="O65" s="3">
        <v>0.90631475238949466</v>
      </c>
      <c r="P65" s="11">
        <f t="shared" si="6"/>
        <v>-17.606954459930304</v>
      </c>
      <c r="Q65" s="12">
        <f t="shared" si="7"/>
        <v>-17.606954459930304</v>
      </c>
      <c r="R65" s="13">
        <f t="shared" si="8"/>
        <v>-17.606954459930304</v>
      </c>
      <c r="S65" s="3" t="s">
        <v>31</v>
      </c>
      <c r="T65" s="3" t="s">
        <v>28</v>
      </c>
      <c r="U65" s="10">
        <v>0</v>
      </c>
      <c r="V65" s="3">
        <v>0</v>
      </c>
      <c r="W65" s="3">
        <f t="shared" si="9"/>
        <v>0</v>
      </c>
      <c r="Y65" s="3">
        <v>0</v>
      </c>
      <c r="Z65" s="3">
        <v>18</v>
      </c>
      <c r="AA65" s="3">
        <v>5</v>
      </c>
    </row>
    <row r="66" spans="1:27" ht="15.6" x14ac:dyDescent="0.3">
      <c r="A66" s="3" t="str">
        <f t="shared" si="0"/>
        <v>West9432029900840</v>
      </c>
      <c r="B66" s="3" t="str">
        <f t="shared" si="1"/>
        <v>Mah9432029900840</v>
      </c>
      <c r="C66" s="10">
        <v>9432029900840</v>
      </c>
      <c r="D66" s="10" t="str">
        <f t="shared" si="2"/>
        <v>9432029900</v>
      </c>
      <c r="E66" s="3" t="s">
        <v>1</v>
      </c>
      <c r="F66" s="3" t="s">
        <v>63</v>
      </c>
      <c r="H66" s="3">
        <v>7.1959999999999997</v>
      </c>
      <c r="I66" s="10">
        <f t="shared" si="3"/>
        <v>260.03719982451821</v>
      </c>
      <c r="J66" s="3">
        <v>0.83018891199291112</v>
      </c>
      <c r="K66" s="3">
        <v>0</v>
      </c>
      <c r="L66" s="3">
        <f t="shared" si="4"/>
        <v>0</v>
      </c>
      <c r="N66" s="11">
        <f t="shared" si="5"/>
        <v>6.3658110880070886</v>
      </c>
      <c r="O66" s="3">
        <v>0.83018891199291112</v>
      </c>
      <c r="P66" s="11">
        <f t="shared" si="6"/>
        <v>230.03719982451821</v>
      </c>
      <c r="Q66" s="12">
        <f t="shared" si="7"/>
        <v>230.03719982451821</v>
      </c>
      <c r="R66" s="13">
        <f t="shared" si="8"/>
        <v>43.321758221941678</v>
      </c>
      <c r="S66" s="3" t="s">
        <v>31</v>
      </c>
      <c r="T66" s="3" t="s">
        <v>35</v>
      </c>
      <c r="U66" s="10">
        <v>0</v>
      </c>
      <c r="V66" s="3">
        <v>0</v>
      </c>
      <c r="W66" s="3">
        <f t="shared" si="9"/>
        <v>0</v>
      </c>
      <c r="Y66">
        <v>-86</v>
      </c>
      <c r="Z66" s="3">
        <v>64</v>
      </c>
      <c r="AA66" s="3">
        <v>5</v>
      </c>
    </row>
    <row r="67" spans="1:27" x14ac:dyDescent="0.3">
      <c r="A67" s="3" t="str">
        <f t="shared" si="0"/>
        <v>West9320099902839</v>
      </c>
      <c r="B67" s="3" t="str">
        <f t="shared" si="1"/>
        <v>Mah9320099902839</v>
      </c>
      <c r="C67" s="10">
        <v>9320099902839</v>
      </c>
      <c r="D67" s="10" t="str">
        <f t="shared" si="2"/>
        <v>9320099902</v>
      </c>
      <c r="E67" s="3" t="s">
        <v>1</v>
      </c>
      <c r="F67" s="3" t="s">
        <v>63</v>
      </c>
      <c r="H67" s="3">
        <v>2.8548</v>
      </c>
      <c r="I67" s="10">
        <f t="shared" si="3"/>
        <v>116.05089910720008</v>
      </c>
      <c r="J67" s="3">
        <v>0.73798652710900392</v>
      </c>
      <c r="K67" s="3">
        <v>5</v>
      </c>
      <c r="L67" s="3">
        <f t="shared" si="4"/>
        <v>0</v>
      </c>
      <c r="M67" s="32"/>
      <c r="N67" s="11">
        <f t="shared" si="5"/>
        <v>2.1168134728909962</v>
      </c>
      <c r="O67" s="3">
        <v>0.73798652710900392</v>
      </c>
      <c r="P67" s="11">
        <f t="shared" si="6"/>
        <v>86.050899107200095</v>
      </c>
      <c r="Q67" s="12">
        <f t="shared" si="7"/>
        <v>86.050899107200095</v>
      </c>
      <c r="R67" s="13">
        <f t="shared" si="8"/>
        <v>86.050899107200095</v>
      </c>
      <c r="S67" s="3" t="s">
        <v>31</v>
      </c>
      <c r="T67" s="3" t="s">
        <v>28</v>
      </c>
      <c r="U67" s="10">
        <v>0</v>
      </c>
      <c r="V67" s="3">
        <v>0</v>
      </c>
      <c r="W67" s="3">
        <f t="shared" si="9"/>
        <v>0</v>
      </c>
      <c r="Y67" s="3">
        <v>0</v>
      </c>
      <c r="Z67" s="3">
        <v>230</v>
      </c>
      <c r="AA67" s="3">
        <v>5</v>
      </c>
    </row>
    <row r="68" spans="1:27" x14ac:dyDescent="0.3">
      <c r="A68" s="3" t="str">
        <f t="shared" ref="A68:A131" si="10">_xlfn.CONCAT(F68,C68)</f>
        <v>West9330239901210</v>
      </c>
      <c r="B68" s="3" t="str">
        <f t="shared" ref="B68:B131" si="11">_xlfn.CONCAT(E68,C68)</f>
        <v>Mah9330239901210</v>
      </c>
      <c r="C68" s="10">
        <v>9330239901210</v>
      </c>
      <c r="D68" s="10" t="str">
        <f t="shared" ref="D68:D131" si="12">LEFT(C68,10)</f>
        <v>9330239901</v>
      </c>
      <c r="E68" s="3" t="s">
        <v>1</v>
      </c>
      <c r="F68" s="3" t="s">
        <v>63</v>
      </c>
      <c r="H68" s="10">
        <v>1.01</v>
      </c>
      <c r="I68" s="10">
        <f t="shared" ref="I68:I131" si="13">IFERROR(H68/J68*30,0)</f>
        <v>42.554558957500838</v>
      </c>
      <c r="J68" s="3">
        <v>0.71202711865162449</v>
      </c>
      <c r="K68" s="3">
        <v>5</v>
      </c>
      <c r="L68" s="3">
        <f t="shared" ref="L68:L131" si="14">M68*G68</f>
        <v>0</v>
      </c>
      <c r="N68" s="11">
        <f t="shared" ref="N68:N131" si="15">H68-J68+L68</f>
        <v>0.29797288134837552</v>
      </c>
      <c r="O68" s="3">
        <v>0.71202711865162449</v>
      </c>
      <c r="P68" s="11">
        <f t="shared" ref="P68:P131" si="16">IF(O68=0,9999,N68/O68*30)</f>
        <v>12.55455895750084</v>
      </c>
      <c r="Q68" s="12">
        <f t="shared" ref="Q68:Q131" si="17">IF(SUMIF($A:$A,$A68,$O:$O)=0,9999,SUMIF($A:$A,$A68,$N:$N)*30/SUMIF($A:$A,$A68,$O:$O))</f>
        <v>12.55455895750084</v>
      </c>
      <c r="R68" s="13">
        <f t="shared" ref="R68:R131" si="18">IF(SUMIF($C:$C,$C68,$O:$O)=0,9999,SUMIF($C:$C,$C68,$N:$N)*30/SUMIF($C:$C,$C68,$O:$O))</f>
        <v>20.210009489630661</v>
      </c>
      <c r="S68" s="3" t="s">
        <v>31</v>
      </c>
      <c r="T68" s="3" t="s">
        <v>35</v>
      </c>
      <c r="U68" s="10">
        <v>0</v>
      </c>
      <c r="V68" s="3">
        <v>0</v>
      </c>
      <c r="W68" s="3">
        <f t="shared" ref="W68:W131" si="19">IFERROR(K68*V68,0)</f>
        <v>0</v>
      </c>
      <c r="AA68" s="3">
        <v>5</v>
      </c>
    </row>
    <row r="69" spans="1:27" ht="16.05" customHeight="1" x14ac:dyDescent="0.3">
      <c r="A69" s="3" t="str">
        <f t="shared" si="10"/>
        <v>West9330239999839</v>
      </c>
      <c r="B69" s="3" t="str">
        <f t="shared" si="11"/>
        <v>Mah9330239999839</v>
      </c>
      <c r="C69" s="10">
        <v>9330239999839</v>
      </c>
      <c r="D69" s="10" t="str">
        <f t="shared" si="12"/>
        <v>9330239999</v>
      </c>
      <c r="E69" s="3" t="s">
        <v>1</v>
      </c>
      <c r="F69" s="3" t="s">
        <v>63</v>
      </c>
      <c r="H69" s="10">
        <v>3.51</v>
      </c>
      <c r="I69" s="10">
        <f t="shared" si="13"/>
        <v>151.3564829204434</v>
      </c>
      <c r="J69" s="3">
        <v>0.69570855485158301</v>
      </c>
      <c r="K69" s="3">
        <v>5</v>
      </c>
      <c r="L69" s="3">
        <f t="shared" si="14"/>
        <v>0</v>
      </c>
      <c r="N69" s="11">
        <f t="shared" si="15"/>
        <v>2.8142914451484167</v>
      </c>
      <c r="O69" s="3">
        <v>0.69570855485158301</v>
      </c>
      <c r="P69" s="11">
        <f t="shared" si="16"/>
        <v>121.3564829204434</v>
      </c>
      <c r="Q69" s="12">
        <f t="shared" si="17"/>
        <v>121.35648292044343</v>
      </c>
      <c r="R69" s="13">
        <f t="shared" si="18"/>
        <v>52.88637890990077</v>
      </c>
      <c r="S69" s="3" t="s">
        <v>31</v>
      </c>
      <c r="T69" s="3" t="s">
        <v>35</v>
      </c>
      <c r="U69" s="10">
        <v>0</v>
      </c>
      <c r="V69" s="3">
        <v>0</v>
      </c>
      <c r="W69" s="3">
        <f t="shared" si="19"/>
        <v>0</v>
      </c>
      <c r="AA69" s="3">
        <v>5</v>
      </c>
    </row>
    <row r="70" spans="1:27" x14ac:dyDescent="0.3">
      <c r="A70" s="3" t="str">
        <f t="shared" si="10"/>
        <v>West9320089999839</v>
      </c>
      <c r="B70" s="3" t="str">
        <f t="shared" si="11"/>
        <v>Mah9320089999839</v>
      </c>
      <c r="C70" s="10">
        <v>9320089999839</v>
      </c>
      <c r="D70" s="10" t="str">
        <f t="shared" si="12"/>
        <v>9320089999</v>
      </c>
      <c r="E70" s="3" t="s">
        <v>1</v>
      </c>
      <c r="F70" s="3" t="s">
        <v>63</v>
      </c>
      <c r="H70" s="10">
        <v>4.2626999999999997</v>
      </c>
      <c r="I70" s="10">
        <f t="shared" si="13"/>
        <v>184.89039160154314</v>
      </c>
      <c r="J70" s="3">
        <v>0.69165844094049</v>
      </c>
      <c r="K70" s="3">
        <v>10</v>
      </c>
      <c r="L70" s="3">
        <f t="shared" si="14"/>
        <v>0</v>
      </c>
      <c r="N70" s="11">
        <f t="shared" si="15"/>
        <v>3.5710415590595099</v>
      </c>
      <c r="O70" s="3">
        <v>0.69165844094049</v>
      </c>
      <c r="P70" s="11">
        <f t="shared" si="16"/>
        <v>154.89039160154314</v>
      </c>
      <c r="Q70" s="12">
        <f t="shared" si="17"/>
        <v>154.89039160154314</v>
      </c>
      <c r="R70" s="13">
        <f t="shared" si="18"/>
        <v>154.89039160154314</v>
      </c>
      <c r="S70" s="3" t="s">
        <v>31</v>
      </c>
      <c r="T70" s="3" t="s">
        <v>28</v>
      </c>
      <c r="U70" s="10">
        <v>0</v>
      </c>
      <c r="V70" s="3">
        <v>0</v>
      </c>
      <c r="W70" s="3">
        <f t="shared" si="19"/>
        <v>0</v>
      </c>
      <c r="AA70" s="3">
        <v>5</v>
      </c>
    </row>
    <row r="71" spans="1:27" x14ac:dyDescent="0.3">
      <c r="A71" s="3" t="str">
        <f t="shared" si="10"/>
        <v>West9320089902839</v>
      </c>
      <c r="B71" s="3" t="str">
        <f t="shared" si="11"/>
        <v>Mah9320089902839</v>
      </c>
      <c r="C71" s="10">
        <v>9320089902839</v>
      </c>
      <c r="D71" s="10" t="str">
        <f t="shared" si="12"/>
        <v>9320089902</v>
      </c>
      <c r="E71" s="3" t="s">
        <v>1</v>
      </c>
      <c r="F71" s="3" t="s">
        <v>63</v>
      </c>
      <c r="H71" s="3">
        <v>1.8251999999999999</v>
      </c>
      <c r="I71" s="10">
        <f t="shared" si="13"/>
        <v>85.619487311575242</v>
      </c>
      <c r="J71" s="3">
        <v>0.63952730528202217</v>
      </c>
      <c r="K71" s="3">
        <v>0</v>
      </c>
      <c r="L71" s="3">
        <f t="shared" si="14"/>
        <v>0</v>
      </c>
      <c r="N71" s="11">
        <f t="shared" si="15"/>
        <v>1.1856726947179776</v>
      </c>
      <c r="O71" s="3">
        <v>0.63952730528202217</v>
      </c>
      <c r="P71" s="11">
        <f t="shared" si="16"/>
        <v>55.619487311575227</v>
      </c>
      <c r="Q71" s="12">
        <f t="shared" si="17"/>
        <v>55.61948731157522</v>
      </c>
      <c r="R71" s="13">
        <f t="shared" si="18"/>
        <v>23.218371468264344</v>
      </c>
      <c r="S71" s="3" t="s">
        <v>31</v>
      </c>
      <c r="T71" s="3" t="s">
        <v>28</v>
      </c>
      <c r="U71" s="10">
        <v>0</v>
      </c>
      <c r="V71" s="3">
        <v>0</v>
      </c>
      <c r="W71" s="3">
        <f t="shared" si="19"/>
        <v>0</v>
      </c>
      <c r="AA71" s="3">
        <v>5</v>
      </c>
    </row>
    <row r="72" spans="1:27" x14ac:dyDescent="0.3">
      <c r="A72" s="3" t="str">
        <f t="shared" si="10"/>
        <v>West9330239900310</v>
      </c>
      <c r="B72" s="3" t="str">
        <f t="shared" si="11"/>
        <v>Mah9330239900310</v>
      </c>
      <c r="C72" s="10">
        <v>9330239900310</v>
      </c>
      <c r="D72" s="10" t="str">
        <f t="shared" si="12"/>
        <v>9330239900</v>
      </c>
      <c r="E72" s="3" t="s">
        <v>1</v>
      </c>
      <c r="F72" s="3" t="s">
        <v>63</v>
      </c>
      <c r="H72" s="3">
        <v>10.9</v>
      </c>
      <c r="I72" s="10">
        <f t="shared" si="13"/>
        <v>521.95321073946593</v>
      </c>
      <c r="J72" s="3">
        <v>0.62649293705221165</v>
      </c>
      <c r="K72" s="3">
        <v>0</v>
      </c>
      <c r="L72" s="3">
        <f t="shared" si="14"/>
        <v>0</v>
      </c>
      <c r="N72" s="11">
        <f t="shared" si="15"/>
        <v>10.27350706294779</v>
      </c>
      <c r="O72" s="3">
        <v>0.62649293705221165</v>
      </c>
      <c r="P72" s="11">
        <f t="shared" si="16"/>
        <v>491.95321073946599</v>
      </c>
      <c r="Q72" s="12">
        <f t="shared" si="17"/>
        <v>491.95321073946599</v>
      </c>
      <c r="R72" s="13">
        <f t="shared" si="18"/>
        <v>86.092170811049129</v>
      </c>
      <c r="S72" s="3" t="s">
        <v>31</v>
      </c>
      <c r="T72" s="3" t="s">
        <v>35</v>
      </c>
      <c r="U72" s="10">
        <v>9330239900999</v>
      </c>
      <c r="V72" s="3">
        <v>0.1</v>
      </c>
      <c r="W72" s="3">
        <f t="shared" si="19"/>
        <v>0</v>
      </c>
      <c r="AA72" s="3">
        <v>5</v>
      </c>
    </row>
    <row r="73" spans="1:27" ht="16.05" customHeight="1" x14ac:dyDescent="0.3">
      <c r="A73" s="3" t="str">
        <f t="shared" si="10"/>
        <v>West9330239902839</v>
      </c>
      <c r="B73" s="3" t="str">
        <f t="shared" si="11"/>
        <v>Mah9330239902839</v>
      </c>
      <c r="C73" s="10">
        <v>9330239902839</v>
      </c>
      <c r="D73" s="10" t="str">
        <f t="shared" si="12"/>
        <v>9330239902</v>
      </c>
      <c r="E73" s="3" t="s">
        <v>1</v>
      </c>
      <c r="F73" s="3" t="s">
        <v>63</v>
      </c>
      <c r="H73" s="3">
        <v>1.4039999999999999</v>
      </c>
      <c r="I73" s="10">
        <f t="shared" si="13"/>
        <v>67.307101189628298</v>
      </c>
      <c r="J73" s="3">
        <v>0.62578835301988145</v>
      </c>
      <c r="K73" s="3">
        <v>5</v>
      </c>
      <c r="L73" s="3">
        <f t="shared" si="14"/>
        <v>0</v>
      </c>
      <c r="N73" s="11">
        <f t="shared" si="15"/>
        <v>0.77821164698011847</v>
      </c>
      <c r="O73" s="3">
        <v>0.62578835301988145</v>
      </c>
      <c r="P73" s="11">
        <f t="shared" si="16"/>
        <v>37.307101189628298</v>
      </c>
      <c r="Q73" s="12">
        <f t="shared" si="17"/>
        <v>37.307101189628298</v>
      </c>
      <c r="R73" s="13">
        <f t="shared" si="18"/>
        <v>24.908924137972615</v>
      </c>
      <c r="S73" s="3" t="s">
        <v>31</v>
      </c>
      <c r="T73" s="3" t="s">
        <v>35</v>
      </c>
      <c r="U73" s="10">
        <v>0</v>
      </c>
      <c r="V73" s="3">
        <v>0</v>
      </c>
      <c r="W73" s="3">
        <f t="shared" si="19"/>
        <v>0</v>
      </c>
      <c r="AA73" s="3">
        <v>5</v>
      </c>
    </row>
    <row r="74" spans="1:27" ht="16.05" customHeight="1" x14ac:dyDescent="0.3">
      <c r="A74" s="3" t="str">
        <f t="shared" si="10"/>
        <v>West9420139901210</v>
      </c>
      <c r="B74" s="3" t="str">
        <f t="shared" si="11"/>
        <v>Mah9420139901210</v>
      </c>
      <c r="C74" s="10">
        <v>9420139901210</v>
      </c>
      <c r="D74" s="10" t="str">
        <f t="shared" si="12"/>
        <v>9420139901</v>
      </c>
      <c r="E74" s="3" t="s">
        <v>1</v>
      </c>
      <c r="F74" s="3" t="s">
        <v>63</v>
      </c>
      <c r="H74" s="3">
        <v>1.4570000000000003</v>
      </c>
      <c r="I74" s="10">
        <f t="shared" si="13"/>
        <v>73.178611979662563</v>
      </c>
      <c r="J74" s="3">
        <v>0.59730567193796569</v>
      </c>
      <c r="K74" s="3">
        <v>0</v>
      </c>
      <c r="L74" s="3">
        <f t="shared" si="14"/>
        <v>0</v>
      </c>
      <c r="N74" s="11">
        <f t="shared" si="15"/>
        <v>0.85969432806203461</v>
      </c>
      <c r="O74" s="3">
        <v>0.59730567193796569</v>
      </c>
      <c r="P74" s="11">
        <f t="shared" si="16"/>
        <v>43.178611979662556</v>
      </c>
      <c r="Q74" s="12">
        <f t="shared" si="17"/>
        <v>43.178611979662563</v>
      </c>
      <c r="R74" s="13">
        <f t="shared" si="18"/>
        <v>62.555831983232935</v>
      </c>
      <c r="S74" s="3" t="s">
        <v>31</v>
      </c>
      <c r="T74" s="3" t="s">
        <v>28</v>
      </c>
      <c r="U74" s="10">
        <v>0</v>
      </c>
      <c r="V74" s="3">
        <v>0</v>
      </c>
      <c r="W74" s="3">
        <f t="shared" si="19"/>
        <v>0</v>
      </c>
      <c r="AA74" s="3">
        <v>5</v>
      </c>
    </row>
    <row r="75" spans="1:27" x14ac:dyDescent="0.3">
      <c r="A75" s="3" t="str">
        <f t="shared" si="10"/>
        <v>West9432029902838</v>
      </c>
      <c r="B75" s="3" t="str">
        <f t="shared" si="11"/>
        <v>Mah9432029902838</v>
      </c>
      <c r="C75" s="10">
        <v>9432029902838</v>
      </c>
      <c r="D75" s="10" t="str">
        <f t="shared" si="12"/>
        <v>9432029902</v>
      </c>
      <c r="E75" s="3" t="s">
        <v>1</v>
      </c>
      <c r="F75" s="3" t="s">
        <v>63</v>
      </c>
      <c r="H75" s="3">
        <v>3.2375999999999996</v>
      </c>
      <c r="I75" s="10">
        <f t="shared" si="13"/>
        <v>174.1088941647551</v>
      </c>
      <c r="J75" s="3">
        <v>0.55785777323983277</v>
      </c>
      <c r="K75" s="3">
        <v>5</v>
      </c>
      <c r="L75" s="3">
        <f t="shared" si="14"/>
        <v>0</v>
      </c>
      <c r="N75" s="11">
        <f t="shared" si="15"/>
        <v>2.6797422267601667</v>
      </c>
      <c r="O75" s="3">
        <v>0.55785777323983277</v>
      </c>
      <c r="P75" s="11">
        <f t="shared" si="16"/>
        <v>144.10889416475507</v>
      </c>
      <c r="Q75" s="12">
        <f t="shared" si="17"/>
        <v>144.10889416475507</v>
      </c>
      <c r="R75" s="13">
        <f t="shared" si="18"/>
        <v>144.10889416475507</v>
      </c>
      <c r="S75" s="3" t="s">
        <v>31</v>
      </c>
      <c r="T75" s="3" t="s">
        <v>35</v>
      </c>
      <c r="U75" s="10">
        <v>0</v>
      </c>
      <c r="V75" s="3">
        <v>0</v>
      </c>
      <c r="W75" s="3">
        <f t="shared" si="19"/>
        <v>0</v>
      </c>
      <c r="AA75" s="3">
        <v>5</v>
      </c>
    </row>
    <row r="76" spans="1:27" x14ac:dyDescent="0.3">
      <c r="A76" s="3" t="str">
        <f t="shared" si="10"/>
        <v>West9432029999195</v>
      </c>
      <c r="B76" s="3" t="str">
        <f t="shared" si="11"/>
        <v>Mah9432029999195</v>
      </c>
      <c r="C76" s="10">
        <v>9432029999195</v>
      </c>
      <c r="D76" s="10" t="str">
        <f t="shared" si="12"/>
        <v>9432029999</v>
      </c>
      <c r="E76" s="3" t="s">
        <v>1</v>
      </c>
      <c r="F76" s="3" t="s">
        <v>63</v>
      </c>
      <c r="H76" s="3">
        <v>3.5245000000000002</v>
      </c>
      <c r="I76" s="10">
        <f t="shared" si="13"/>
        <v>208.40624629980931</v>
      </c>
      <c r="J76" s="3">
        <v>0.50735043635828281</v>
      </c>
      <c r="K76" s="3">
        <v>0</v>
      </c>
      <c r="L76" s="3">
        <f t="shared" si="14"/>
        <v>0</v>
      </c>
      <c r="N76" s="11">
        <f t="shared" si="15"/>
        <v>3.0171495636417172</v>
      </c>
      <c r="O76" s="3">
        <v>0.50735043635828281</v>
      </c>
      <c r="P76" s="11">
        <f t="shared" si="16"/>
        <v>178.40624629980928</v>
      </c>
      <c r="Q76" s="12">
        <f t="shared" si="17"/>
        <v>178.40624629980928</v>
      </c>
      <c r="R76" s="13">
        <f t="shared" si="18"/>
        <v>178.40624629980928</v>
      </c>
      <c r="S76" s="3" t="s">
        <v>31</v>
      </c>
      <c r="T76" s="3" t="s">
        <v>35</v>
      </c>
      <c r="U76" s="10">
        <v>0</v>
      </c>
      <c r="V76" s="3">
        <v>0</v>
      </c>
      <c r="W76" s="3">
        <f t="shared" si="19"/>
        <v>0</v>
      </c>
      <c r="AA76" s="3">
        <v>5</v>
      </c>
    </row>
    <row r="77" spans="1:27" x14ac:dyDescent="0.3">
      <c r="A77" s="3" t="str">
        <f t="shared" si="10"/>
        <v>West9432029900210</v>
      </c>
      <c r="B77" s="3" t="str">
        <f t="shared" si="11"/>
        <v>Mah9432029900210</v>
      </c>
      <c r="C77" s="10">
        <v>9432029900210</v>
      </c>
      <c r="D77" s="10" t="str">
        <f t="shared" si="12"/>
        <v>9432029900</v>
      </c>
      <c r="E77" s="3" t="s">
        <v>1</v>
      </c>
      <c r="F77" s="3" t="s">
        <v>63</v>
      </c>
      <c r="H77" s="3">
        <v>2.1550000000000002</v>
      </c>
      <c r="I77" s="10">
        <f t="shared" si="13"/>
        <v>153.46779272314947</v>
      </c>
      <c r="J77" s="3">
        <v>0.42126102716956609</v>
      </c>
      <c r="K77" s="3">
        <v>0</v>
      </c>
      <c r="L77" s="3">
        <f t="shared" si="14"/>
        <v>0</v>
      </c>
      <c r="N77" s="11">
        <f t="shared" si="15"/>
        <v>1.7337389728304342</v>
      </c>
      <c r="O77" s="3">
        <v>0.42126102716956609</v>
      </c>
      <c r="P77" s="11">
        <f t="shared" si="16"/>
        <v>123.46779272314949</v>
      </c>
      <c r="Q77" s="12">
        <f t="shared" si="17"/>
        <v>123.46779272314947</v>
      </c>
      <c r="R77" s="13">
        <f t="shared" si="18"/>
        <v>343.47422136245308</v>
      </c>
      <c r="S77" s="3" t="s">
        <v>31</v>
      </c>
      <c r="T77" s="3" t="s">
        <v>35</v>
      </c>
      <c r="U77" s="10">
        <v>0</v>
      </c>
      <c r="V77" s="3">
        <v>0</v>
      </c>
      <c r="W77" s="3">
        <f t="shared" si="19"/>
        <v>0</v>
      </c>
      <c r="AA77" s="3">
        <v>5</v>
      </c>
    </row>
    <row r="78" spans="1:27" x14ac:dyDescent="0.3">
      <c r="A78" s="3" t="str">
        <f t="shared" si="10"/>
        <v>West9420139900210</v>
      </c>
      <c r="B78" s="3" t="str">
        <f t="shared" si="11"/>
        <v>Mah9420139900210</v>
      </c>
      <c r="C78" s="10">
        <v>9420139900210</v>
      </c>
      <c r="D78" s="10" t="str">
        <f t="shared" si="12"/>
        <v>9420139900</v>
      </c>
      <c r="E78" s="3" t="s">
        <v>1</v>
      </c>
      <c r="F78" s="3" t="s">
        <v>63</v>
      </c>
      <c r="H78" s="3">
        <v>0.76200000000000001</v>
      </c>
      <c r="I78" s="10">
        <f t="shared" si="13"/>
        <v>58.165825065623324</v>
      </c>
      <c r="J78" s="3">
        <v>0.39301428242802533</v>
      </c>
      <c r="K78" s="3">
        <v>0</v>
      </c>
      <c r="L78" s="3">
        <f t="shared" si="14"/>
        <v>0</v>
      </c>
      <c r="N78" s="11">
        <f t="shared" si="15"/>
        <v>0.36898571757197468</v>
      </c>
      <c r="O78" s="3">
        <v>0.39301428242802533</v>
      </c>
      <c r="P78" s="11">
        <f t="shared" si="16"/>
        <v>28.165825065623324</v>
      </c>
      <c r="Q78" s="12">
        <f t="shared" si="17"/>
        <v>28.165825065623324</v>
      </c>
      <c r="R78" s="13">
        <f t="shared" si="18"/>
        <v>110.31179778736497</v>
      </c>
      <c r="S78" s="3" t="s">
        <v>31</v>
      </c>
      <c r="T78" s="3" t="s">
        <v>28</v>
      </c>
      <c r="U78" s="10">
        <v>0</v>
      </c>
      <c r="V78" s="3">
        <v>0</v>
      </c>
      <c r="W78" s="3">
        <f t="shared" si="19"/>
        <v>0</v>
      </c>
      <c r="AA78" s="3">
        <v>5</v>
      </c>
    </row>
    <row r="79" spans="1:27" x14ac:dyDescent="0.3">
      <c r="A79" s="3" t="str">
        <f t="shared" si="10"/>
        <v>West9432029902195</v>
      </c>
      <c r="B79" s="3" t="str">
        <f t="shared" si="11"/>
        <v>Mah9432029902195</v>
      </c>
      <c r="C79" s="10">
        <v>9432029902195</v>
      </c>
      <c r="D79" s="10" t="str">
        <f t="shared" si="12"/>
        <v>9432029902</v>
      </c>
      <c r="E79" s="3" t="s">
        <v>1</v>
      </c>
      <c r="F79" s="3" t="s">
        <v>63</v>
      </c>
      <c r="H79" s="3">
        <v>3.6840999999999999</v>
      </c>
      <c r="I79" s="10">
        <f t="shared" si="13"/>
        <v>282.05062733279067</v>
      </c>
      <c r="J79" s="3">
        <v>0.39185518233077449</v>
      </c>
      <c r="K79" s="3">
        <v>0</v>
      </c>
      <c r="L79" s="3">
        <f t="shared" si="14"/>
        <v>0</v>
      </c>
      <c r="N79" s="11">
        <f t="shared" si="15"/>
        <v>3.2922448176692254</v>
      </c>
      <c r="O79" s="3">
        <v>0.39185518233077449</v>
      </c>
      <c r="P79" s="11">
        <f t="shared" si="16"/>
        <v>252.05062733279064</v>
      </c>
      <c r="Q79" s="12">
        <f t="shared" si="17"/>
        <v>252.05062733279061</v>
      </c>
      <c r="R79" s="13">
        <f t="shared" si="18"/>
        <v>252.05062733279061</v>
      </c>
      <c r="S79" s="3" t="s">
        <v>31</v>
      </c>
      <c r="T79" s="3" t="s">
        <v>35</v>
      </c>
      <c r="U79" s="10">
        <v>0</v>
      </c>
      <c r="V79" s="3">
        <v>0</v>
      </c>
      <c r="W79" s="3">
        <f t="shared" si="19"/>
        <v>0</v>
      </c>
      <c r="AA79" s="3">
        <v>5</v>
      </c>
    </row>
    <row r="80" spans="1:27" x14ac:dyDescent="0.3">
      <c r="A80" s="3" t="str">
        <f t="shared" si="10"/>
        <v>West9320049900240</v>
      </c>
      <c r="B80" s="3" t="str">
        <f t="shared" si="11"/>
        <v>Mah9320049900240</v>
      </c>
      <c r="C80" s="10">
        <v>9320049900240</v>
      </c>
      <c r="D80" s="10" t="str">
        <f t="shared" si="12"/>
        <v>9320049900</v>
      </c>
      <c r="E80" s="3" t="s">
        <v>1</v>
      </c>
      <c r="F80" s="3" t="s">
        <v>63</v>
      </c>
      <c r="H80" s="3">
        <v>7.0159999999999991</v>
      </c>
      <c r="I80" s="10">
        <f t="shared" si="13"/>
        <v>690.28158853725779</v>
      </c>
      <c r="J80" s="3">
        <v>0.30491904100472667</v>
      </c>
      <c r="K80" s="3">
        <v>0</v>
      </c>
      <c r="L80" s="3">
        <f t="shared" si="14"/>
        <v>0</v>
      </c>
      <c r="N80" s="11">
        <f t="shared" si="15"/>
        <v>6.7110809589952725</v>
      </c>
      <c r="O80" s="3">
        <v>0.30491904100472667</v>
      </c>
      <c r="P80" s="11">
        <f t="shared" si="16"/>
        <v>660.28158853725779</v>
      </c>
      <c r="Q80" s="12">
        <f t="shared" si="17"/>
        <v>660.28158853725779</v>
      </c>
      <c r="R80" s="13">
        <f t="shared" si="18"/>
        <v>660.28158853725779</v>
      </c>
      <c r="S80" s="3" t="s">
        <v>31</v>
      </c>
      <c r="T80" s="3" t="s">
        <v>28</v>
      </c>
      <c r="U80" s="10">
        <v>0</v>
      </c>
      <c r="V80" s="3">
        <v>0</v>
      </c>
      <c r="W80" s="3">
        <f t="shared" si="19"/>
        <v>0</v>
      </c>
      <c r="AA80" s="3">
        <v>5</v>
      </c>
    </row>
    <row r="81" spans="1:27" x14ac:dyDescent="0.3">
      <c r="A81" s="3" t="str">
        <f t="shared" si="10"/>
        <v>West9420139902195</v>
      </c>
      <c r="B81" s="3" t="str">
        <f t="shared" si="11"/>
        <v>Mah9420139902195</v>
      </c>
      <c r="C81" s="10">
        <v>9420139902195</v>
      </c>
      <c r="D81" s="10" t="str">
        <f t="shared" si="12"/>
        <v>9420139902</v>
      </c>
      <c r="E81" s="3" t="s">
        <v>1</v>
      </c>
      <c r="F81" s="3" t="s">
        <v>63</v>
      </c>
      <c r="H81" s="3">
        <v>0.30210000000000004</v>
      </c>
      <c r="I81" s="10">
        <f t="shared" si="13"/>
        <v>32.863729938056842</v>
      </c>
      <c r="J81" s="3">
        <v>0.27577514838036898</v>
      </c>
      <c r="K81" s="3">
        <v>5</v>
      </c>
      <c r="L81" s="3">
        <f t="shared" si="14"/>
        <v>0</v>
      </c>
      <c r="N81" s="11">
        <f t="shared" si="15"/>
        <v>2.6324851619631051E-2</v>
      </c>
      <c r="O81" s="3">
        <v>0.27577514838036898</v>
      </c>
      <c r="P81" s="11">
        <f t="shared" si="16"/>
        <v>2.8637299380568457</v>
      </c>
      <c r="Q81" s="12">
        <f t="shared" si="17"/>
        <v>2.8637299380568457</v>
      </c>
      <c r="R81" s="13">
        <f t="shared" si="18"/>
        <v>2.8637299380568457</v>
      </c>
      <c r="S81" s="3" t="s">
        <v>31</v>
      </c>
      <c r="T81" s="3" t="s">
        <v>28</v>
      </c>
      <c r="U81" s="10">
        <v>0</v>
      </c>
      <c r="V81" s="3">
        <v>0</v>
      </c>
      <c r="W81" s="3">
        <f t="shared" si="19"/>
        <v>0</v>
      </c>
      <c r="AA81" s="3">
        <v>5</v>
      </c>
    </row>
    <row r="82" spans="1:27" ht="16.05" customHeight="1" x14ac:dyDescent="0.3">
      <c r="A82" s="3" t="str">
        <f t="shared" si="10"/>
        <v>West9320089900210</v>
      </c>
      <c r="B82" s="3" t="str">
        <f t="shared" si="11"/>
        <v>Mah9320089900210</v>
      </c>
      <c r="C82" s="10">
        <v>9320089900210</v>
      </c>
      <c r="D82" s="10" t="str">
        <f t="shared" si="12"/>
        <v>9320089900</v>
      </c>
      <c r="E82" s="3" t="s">
        <v>1</v>
      </c>
      <c r="F82" s="3" t="s">
        <v>63</v>
      </c>
      <c r="H82" s="3">
        <v>2.97</v>
      </c>
      <c r="I82" s="10">
        <f t="shared" si="13"/>
        <v>395.82029063937853</v>
      </c>
      <c r="J82" s="3">
        <v>0.22510215394990116</v>
      </c>
      <c r="K82" s="3">
        <v>0</v>
      </c>
      <c r="L82" s="3">
        <f t="shared" si="14"/>
        <v>0</v>
      </c>
      <c r="N82" s="11">
        <f t="shared" si="15"/>
        <v>2.7448978460500992</v>
      </c>
      <c r="O82" s="3">
        <v>0.22510215394990116</v>
      </c>
      <c r="P82" s="11">
        <f t="shared" si="16"/>
        <v>365.82029063937858</v>
      </c>
      <c r="Q82" s="12">
        <f t="shared" si="17"/>
        <v>365.82029063937853</v>
      </c>
      <c r="R82" s="13">
        <f t="shared" si="18"/>
        <v>36.265259284265305</v>
      </c>
      <c r="S82" s="3" t="s">
        <v>31</v>
      </c>
      <c r="T82" s="3" t="s">
        <v>28</v>
      </c>
      <c r="U82" s="10">
        <v>0</v>
      </c>
      <c r="V82" s="3">
        <v>0</v>
      </c>
      <c r="W82" s="3">
        <f t="shared" si="19"/>
        <v>0</v>
      </c>
      <c r="AA82" s="3">
        <v>5</v>
      </c>
    </row>
    <row r="83" spans="1:27" x14ac:dyDescent="0.3">
      <c r="A83" s="3" t="str">
        <f t="shared" si="10"/>
        <v>West9330239900840</v>
      </c>
      <c r="B83" s="3" t="str">
        <f t="shared" si="11"/>
        <v>Mah9330239900840</v>
      </c>
      <c r="C83" s="10">
        <v>9330239900840</v>
      </c>
      <c r="D83" s="10" t="str">
        <f t="shared" si="12"/>
        <v>9330239900</v>
      </c>
      <c r="E83" s="3" t="s">
        <v>1</v>
      </c>
      <c r="F83" s="3" t="s">
        <v>63</v>
      </c>
      <c r="H83" s="3">
        <v>0.43200000000000005</v>
      </c>
      <c r="I83" s="10">
        <f t="shared" si="13"/>
        <v>59.096677601773692</v>
      </c>
      <c r="J83" s="3">
        <v>0.21930166848518448</v>
      </c>
      <c r="K83" s="3">
        <v>5</v>
      </c>
      <c r="L83" s="3">
        <f t="shared" si="14"/>
        <v>0</v>
      </c>
      <c r="N83" s="11">
        <f t="shared" si="15"/>
        <v>0.21269833151481557</v>
      </c>
      <c r="O83" s="3">
        <v>0.21930166848518448</v>
      </c>
      <c r="P83" s="11">
        <f t="shared" si="16"/>
        <v>29.096677601773695</v>
      </c>
      <c r="Q83" s="12">
        <f t="shared" si="17"/>
        <v>29.096677601773692</v>
      </c>
      <c r="R83" s="13">
        <f t="shared" si="18"/>
        <v>10.604359305730044</v>
      </c>
      <c r="S83" s="3" t="s">
        <v>31</v>
      </c>
      <c r="T83" s="3" t="s">
        <v>35</v>
      </c>
      <c r="U83" s="10">
        <v>0</v>
      </c>
      <c r="V83" s="3">
        <v>0</v>
      </c>
      <c r="W83" s="3">
        <f t="shared" si="19"/>
        <v>0</v>
      </c>
      <c r="AA83" s="3">
        <v>5</v>
      </c>
    </row>
    <row r="84" spans="1:27" x14ac:dyDescent="0.3">
      <c r="A84" s="3" t="str">
        <f t="shared" si="10"/>
        <v>West9320049900210</v>
      </c>
      <c r="B84" s="3" t="str">
        <f t="shared" si="11"/>
        <v>Mah9320049900210</v>
      </c>
      <c r="C84" s="10">
        <v>9320049900210</v>
      </c>
      <c r="D84" s="10" t="str">
        <f t="shared" si="12"/>
        <v>9320049900</v>
      </c>
      <c r="E84" s="3" t="s">
        <v>1</v>
      </c>
      <c r="F84" s="3" t="s">
        <v>63</v>
      </c>
      <c r="H84" s="3">
        <v>3.2199999999999949</v>
      </c>
      <c r="I84" s="10">
        <f t="shared" si="13"/>
        <v>520.27337587241027</v>
      </c>
      <c r="J84" s="3">
        <v>0.18567161895997084</v>
      </c>
      <c r="K84" s="3">
        <v>0</v>
      </c>
      <c r="L84" s="3">
        <f t="shared" si="14"/>
        <v>0</v>
      </c>
      <c r="N84" s="11">
        <f t="shared" si="15"/>
        <v>3.0343283810400239</v>
      </c>
      <c r="O84" s="3">
        <v>0.18567161895997084</v>
      </c>
      <c r="P84" s="11">
        <f t="shared" si="16"/>
        <v>490.27337587241027</v>
      </c>
      <c r="Q84" s="12">
        <f t="shared" si="17"/>
        <v>490.27337587241021</v>
      </c>
      <c r="R84" s="13">
        <f t="shared" si="18"/>
        <v>490.27337587241021</v>
      </c>
      <c r="S84" s="3" t="s">
        <v>31</v>
      </c>
      <c r="T84" s="3" t="s">
        <v>28</v>
      </c>
      <c r="U84" s="10">
        <v>0</v>
      </c>
      <c r="V84" s="3">
        <v>0</v>
      </c>
      <c r="W84" s="3">
        <f t="shared" si="19"/>
        <v>0</v>
      </c>
      <c r="AA84" s="3">
        <v>5</v>
      </c>
    </row>
    <row r="85" spans="1:27" x14ac:dyDescent="0.3">
      <c r="A85" s="3" t="str">
        <f t="shared" si="10"/>
        <v>West9420139999195</v>
      </c>
      <c r="B85" s="3" t="str">
        <f t="shared" si="11"/>
        <v>Mah9420139999195</v>
      </c>
      <c r="C85" s="10">
        <v>9420139999195</v>
      </c>
      <c r="D85" s="10" t="str">
        <f t="shared" si="12"/>
        <v>9420139999</v>
      </c>
      <c r="E85" s="3" t="s">
        <v>1</v>
      </c>
      <c r="F85" s="3" t="s">
        <v>63</v>
      </c>
      <c r="H85" s="3">
        <v>2.4623999999999997</v>
      </c>
      <c r="I85" s="10">
        <f t="shared" si="13"/>
        <v>405.97604884796669</v>
      </c>
      <c r="J85" s="3">
        <v>0.18196147336678031</v>
      </c>
      <c r="K85" s="3">
        <v>0</v>
      </c>
      <c r="L85" s="3">
        <f t="shared" si="14"/>
        <v>0</v>
      </c>
      <c r="N85" s="11">
        <f t="shared" si="15"/>
        <v>2.2804385266332194</v>
      </c>
      <c r="O85" s="3">
        <v>0.18196147336678031</v>
      </c>
      <c r="P85" s="11">
        <f t="shared" si="16"/>
        <v>375.97604884796669</v>
      </c>
      <c r="Q85" s="12">
        <f t="shared" si="17"/>
        <v>375.97604884796669</v>
      </c>
      <c r="R85" s="13">
        <f t="shared" si="18"/>
        <v>375.97604884796669</v>
      </c>
      <c r="S85" s="3" t="s">
        <v>31</v>
      </c>
      <c r="T85" s="3" t="s">
        <v>28</v>
      </c>
      <c r="U85" s="10">
        <v>0</v>
      </c>
      <c r="V85" s="3">
        <v>0</v>
      </c>
      <c r="W85" s="3">
        <f t="shared" si="19"/>
        <v>0</v>
      </c>
      <c r="AA85" s="3">
        <v>5</v>
      </c>
    </row>
    <row r="86" spans="1:27" x14ac:dyDescent="0.3">
      <c r="A86" s="3" t="str">
        <f t="shared" si="10"/>
        <v>West9320099900210</v>
      </c>
      <c r="B86" s="3" t="str">
        <f t="shared" si="11"/>
        <v>Mah9320099900210</v>
      </c>
      <c r="C86" s="10">
        <v>9320099900210</v>
      </c>
      <c r="D86" s="10" t="str">
        <f t="shared" si="12"/>
        <v>9320099900</v>
      </c>
      <c r="E86" s="3" t="s">
        <v>1</v>
      </c>
      <c r="F86" s="3" t="s">
        <v>63</v>
      </c>
      <c r="H86" s="3">
        <v>5.327</v>
      </c>
      <c r="I86" s="10">
        <f t="shared" si="13"/>
        <v>898.61819462195524</v>
      </c>
      <c r="J86" s="3">
        <v>0.17783971096560244</v>
      </c>
      <c r="K86" s="3">
        <v>0</v>
      </c>
      <c r="L86" s="3">
        <f t="shared" si="14"/>
        <v>0</v>
      </c>
      <c r="N86" s="11">
        <f t="shared" si="15"/>
        <v>5.1491602890343975</v>
      </c>
      <c r="O86" s="3">
        <v>0.17783971096560244</v>
      </c>
      <c r="P86" s="11">
        <f t="shared" si="16"/>
        <v>868.61819462195524</v>
      </c>
      <c r="Q86" s="12">
        <f t="shared" si="17"/>
        <v>868.61819462195524</v>
      </c>
      <c r="R86" s="13">
        <f t="shared" si="18"/>
        <v>28.658286020871561</v>
      </c>
      <c r="S86" s="3" t="s">
        <v>31</v>
      </c>
      <c r="T86" s="3" t="s">
        <v>28</v>
      </c>
      <c r="U86" s="10">
        <v>0</v>
      </c>
      <c r="V86" s="3">
        <v>0</v>
      </c>
      <c r="W86" s="3">
        <f t="shared" si="19"/>
        <v>0</v>
      </c>
      <c r="AA86" s="3">
        <v>5</v>
      </c>
    </row>
    <row r="87" spans="1:27" ht="16.05" customHeight="1" x14ac:dyDescent="0.3">
      <c r="A87" s="3" t="str">
        <f t="shared" si="10"/>
        <v>West9320099900310</v>
      </c>
      <c r="B87" s="3" t="str">
        <f t="shared" si="11"/>
        <v>Mah9320099900310</v>
      </c>
      <c r="C87" s="10">
        <v>9320099900310</v>
      </c>
      <c r="D87" s="10" t="str">
        <f t="shared" si="12"/>
        <v>9320099900</v>
      </c>
      <c r="E87" s="3" t="s">
        <v>1</v>
      </c>
      <c r="F87" s="3" t="s">
        <v>63</v>
      </c>
      <c r="H87" s="3">
        <v>0.48000000000000004</v>
      </c>
      <c r="I87" s="10">
        <f t="shared" si="13"/>
        <v>85.714335714314899</v>
      </c>
      <c r="J87" s="3">
        <v>0.16799990199999998</v>
      </c>
      <c r="K87" s="3">
        <v>0</v>
      </c>
      <c r="L87" s="3">
        <f t="shared" si="14"/>
        <v>0</v>
      </c>
      <c r="N87" s="11">
        <f t="shared" si="15"/>
        <v>0.31200009800000006</v>
      </c>
      <c r="O87" s="3">
        <v>0.16799990199999998</v>
      </c>
      <c r="P87" s="11">
        <f t="shared" si="16"/>
        <v>55.714335714314899</v>
      </c>
      <c r="Q87" s="12">
        <f t="shared" si="17"/>
        <v>55.714335714314892</v>
      </c>
      <c r="R87" s="13">
        <f t="shared" si="18"/>
        <v>124.33472921467568</v>
      </c>
      <c r="S87" s="3" t="s">
        <v>31</v>
      </c>
      <c r="T87" s="3" t="s">
        <v>28</v>
      </c>
      <c r="U87" s="10">
        <v>9320099900999</v>
      </c>
      <c r="V87" s="3">
        <v>0.1</v>
      </c>
      <c r="W87" s="3">
        <f t="shared" si="19"/>
        <v>0</v>
      </c>
      <c r="AA87" s="3">
        <v>5</v>
      </c>
    </row>
    <row r="88" spans="1:27" x14ac:dyDescent="0.3">
      <c r="A88" s="3" t="str">
        <f t="shared" si="10"/>
        <v>West9330239900210</v>
      </c>
      <c r="B88" s="3" t="str">
        <f t="shared" si="11"/>
        <v>Mah9330239900210</v>
      </c>
      <c r="C88" s="10">
        <v>9330239900210</v>
      </c>
      <c r="D88" s="10" t="str">
        <f t="shared" si="12"/>
        <v>9330239900</v>
      </c>
      <c r="E88" s="3" t="s">
        <v>1</v>
      </c>
      <c r="F88" s="3" t="s">
        <v>63</v>
      </c>
      <c r="H88" s="3">
        <v>1.278</v>
      </c>
      <c r="I88" s="10">
        <f t="shared" si="13"/>
        <v>688.72211103594259</v>
      </c>
      <c r="J88" s="3">
        <v>5.5668315835440255E-2</v>
      </c>
      <c r="K88" s="3">
        <v>0</v>
      </c>
      <c r="L88" s="3">
        <f t="shared" si="14"/>
        <v>0</v>
      </c>
      <c r="N88" s="11">
        <f t="shared" si="15"/>
        <v>1.2223316841645597</v>
      </c>
      <c r="O88" s="3">
        <v>5.5668315835440255E-2</v>
      </c>
      <c r="P88" s="11">
        <f t="shared" si="16"/>
        <v>658.72211103594248</v>
      </c>
      <c r="Q88" s="12">
        <f t="shared" si="17"/>
        <v>658.72211103594259</v>
      </c>
      <c r="R88" s="13">
        <f t="shared" si="18"/>
        <v>66.324218176236982</v>
      </c>
      <c r="S88" s="3" t="s">
        <v>31</v>
      </c>
      <c r="T88" s="3" t="s">
        <v>35</v>
      </c>
      <c r="U88" s="10">
        <v>0</v>
      </c>
      <c r="V88" s="3">
        <v>0</v>
      </c>
      <c r="W88" s="3">
        <f t="shared" si="19"/>
        <v>0</v>
      </c>
      <c r="AA88" s="3">
        <v>5</v>
      </c>
    </row>
    <row r="89" spans="1:27" x14ac:dyDescent="0.3">
      <c r="A89" s="3" t="str">
        <f t="shared" si="10"/>
        <v>West9432029999838</v>
      </c>
      <c r="B89" s="3" t="str">
        <f t="shared" si="11"/>
        <v>Mah9432029999838</v>
      </c>
      <c r="C89" s="10">
        <v>9432029999838</v>
      </c>
      <c r="D89" s="10" t="str">
        <f t="shared" si="12"/>
        <v>9432029999</v>
      </c>
      <c r="E89" s="3" t="s">
        <v>1</v>
      </c>
      <c r="F89" s="3" t="s">
        <v>63</v>
      </c>
      <c r="H89" s="3">
        <v>0</v>
      </c>
      <c r="I89" s="10">
        <f t="shared" si="13"/>
        <v>0</v>
      </c>
      <c r="J89" s="3">
        <v>0</v>
      </c>
      <c r="K89" s="3">
        <v>0</v>
      </c>
      <c r="L89" s="3">
        <f t="shared" si="14"/>
        <v>0</v>
      </c>
      <c r="N89" s="11">
        <f t="shared" si="15"/>
        <v>0</v>
      </c>
      <c r="O89" s="3">
        <v>0</v>
      </c>
      <c r="P89" s="11">
        <f t="shared" si="16"/>
        <v>9999</v>
      </c>
      <c r="Q89" s="12">
        <f t="shared" si="17"/>
        <v>9999</v>
      </c>
      <c r="R89" s="13">
        <f t="shared" si="18"/>
        <v>9999</v>
      </c>
      <c r="S89" s="3" t="s">
        <v>31</v>
      </c>
      <c r="T89" s="3" t="s">
        <v>35</v>
      </c>
      <c r="U89" s="10" t="s">
        <v>72</v>
      </c>
      <c r="V89" s="3" t="s">
        <v>72</v>
      </c>
      <c r="W89" s="3">
        <f t="shared" si="19"/>
        <v>0</v>
      </c>
      <c r="AA89" s="3">
        <v>5</v>
      </c>
    </row>
    <row r="90" spans="1:27" x14ac:dyDescent="0.3">
      <c r="A90" s="3" t="str">
        <f t="shared" si="10"/>
        <v>West9432029902319</v>
      </c>
      <c r="B90" s="3" t="str">
        <f t="shared" si="11"/>
        <v>Mah9432029902319</v>
      </c>
      <c r="C90" s="10">
        <v>9432029902319</v>
      </c>
      <c r="D90" s="10" t="str">
        <f t="shared" si="12"/>
        <v>9432029902</v>
      </c>
      <c r="E90" s="3" t="s">
        <v>1</v>
      </c>
      <c r="F90" s="3" t="s">
        <v>63</v>
      </c>
      <c r="H90" s="3">
        <v>0</v>
      </c>
      <c r="I90" s="10">
        <f t="shared" si="13"/>
        <v>0</v>
      </c>
      <c r="J90" s="3">
        <v>0</v>
      </c>
      <c r="K90" s="3">
        <v>0</v>
      </c>
      <c r="L90" s="3">
        <f t="shared" si="14"/>
        <v>0</v>
      </c>
      <c r="N90" s="11">
        <f t="shared" si="15"/>
        <v>0</v>
      </c>
      <c r="O90" s="3">
        <v>0</v>
      </c>
      <c r="P90" s="11">
        <f t="shared" si="16"/>
        <v>9999</v>
      </c>
      <c r="Q90" s="12">
        <f t="shared" si="17"/>
        <v>9999</v>
      </c>
      <c r="R90" s="13">
        <f t="shared" si="18"/>
        <v>9999</v>
      </c>
      <c r="S90" s="3" t="s">
        <v>31</v>
      </c>
      <c r="T90" s="3" t="s">
        <v>35</v>
      </c>
      <c r="U90" s="10" t="s">
        <v>72</v>
      </c>
      <c r="V90" s="3" t="s">
        <v>72</v>
      </c>
      <c r="W90" s="3">
        <f t="shared" si="19"/>
        <v>0</v>
      </c>
      <c r="AA90" s="3">
        <v>5</v>
      </c>
    </row>
    <row r="91" spans="1:27" x14ac:dyDescent="0.3">
      <c r="A91" s="3" t="str">
        <f t="shared" si="10"/>
        <v>West9420139900840</v>
      </c>
      <c r="B91" s="3" t="str">
        <f t="shared" si="11"/>
        <v>Mah9420139900840</v>
      </c>
      <c r="C91" s="10">
        <v>9420139900840</v>
      </c>
      <c r="D91" s="10" t="str">
        <f t="shared" si="12"/>
        <v>9420139900</v>
      </c>
      <c r="E91" s="3" t="s">
        <v>1</v>
      </c>
      <c r="F91" s="3" t="s">
        <v>63</v>
      </c>
      <c r="H91" s="3">
        <v>0</v>
      </c>
      <c r="I91" s="10">
        <f t="shared" si="13"/>
        <v>0</v>
      </c>
      <c r="J91" s="3">
        <v>0</v>
      </c>
      <c r="K91" s="3">
        <v>0</v>
      </c>
      <c r="L91" s="3">
        <f t="shared" si="14"/>
        <v>0</v>
      </c>
      <c r="N91" s="11">
        <f t="shared" si="15"/>
        <v>0</v>
      </c>
      <c r="O91" s="3">
        <v>0</v>
      </c>
      <c r="P91" s="11">
        <f t="shared" si="16"/>
        <v>9999</v>
      </c>
      <c r="Q91" s="12">
        <f t="shared" si="17"/>
        <v>9999</v>
      </c>
      <c r="R91" s="13">
        <f t="shared" si="18"/>
        <v>-30.000000000000004</v>
      </c>
      <c r="S91" s="3" t="s">
        <v>31</v>
      </c>
      <c r="T91" s="3" t="s">
        <v>28</v>
      </c>
      <c r="U91" s="10">
        <v>0</v>
      </c>
      <c r="V91" s="3">
        <v>0</v>
      </c>
      <c r="W91" s="3">
        <f t="shared" si="19"/>
        <v>0</v>
      </c>
      <c r="AA91" s="3">
        <v>5</v>
      </c>
    </row>
    <row r="92" spans="1:27" ht="16.05" customHeight="1" x14ac:dyDescent="0.3">
      <c r="A92" s="3" t="str">
        <f t="shared" si="10"/>
        <v>West9320089900310</v>
      </c>
      <c r="B92" s="3" t="str">
        <f t="shared" si="11"/>
        <v>Mah9320089900310</v>
      </c>
      <c r="C92" s="10">
        <v>9320089900310</v>
      </c>
      <c r="D92" s="10" t="str">
        <f t="shared" si="12"/>
        <v>9320089900</v>
      </c>
      <c r="E92" s="3" t="s">
        <v>1</v>
      </c>
      <c r="F92" s="3" t="s">
        <v>63</v>
      </c>
      <c r="H92" s="3">
        <v>0</v>
      </c>
      <c r="I92" s="10">
        <f t="shared" si="13"/>
        <v>0</v>
      </c>
      <c r="J92" s="3">
        <v>0</v>
      </c>
      <c r="K92" s="3">
        <v>5</v>
      </c>
      <c r="L92" s="3">
        <f t="shared" si="14"/>
        <v>0</v>
      </c>
      <c r="N92" s="11">
        <f t="shared" si="15"/>
        <v>0</v>
      </c>
      <c r="O92" s="3">
        <v>0</v>
      </c>
      <c r="P92" s="11">
        <f t="shared" si="16"/>
        <v>9999</v>
      </c>
      <c r="Q92" s="12">
        <f t="shared" si="17"/>
        <v>9999</v>
      </c>
      <c r="R92" s="13">
        <f t="shared" si="18"/>
        <v>-29.999999999999996</v>
      </c>
      <c r="S92" s="3" t="s">
        <v>31</v>
      </c>
      <c r="T92" s="3" t="s">
        <v>28</v>
      </c>
      <c r="U92" s="10">
        <v>9320089900999</v>
      </c>
      <c r="V92" s="3">
        <v>0.1</v>
      </c>
      <c r="W92" s="3">
        <f t="shared" si="19"/>
        <v>0.5</v>
      </c>
      <c r="AA92" s="3">
        <v>5</v>
      </c>
    </row>
    <row r="93" spans="1:27" x14ac:dyDescent="0.3">
      <c r="A93" s="3" t="str">
        <f t="shared" si="10"/>
        <v>West9320099901840</v>
      </c>
      <c r="B93" s="3" t="str">
        <f t="shared" si="11"/>
        <v>Mah9320099901840</v>
      </c>
      <c r="C93" s="10">
        <v>9320099901840</v>
      </c>
      <c r="D93" s="10" t="str">
        <f t="shared" si="12"/>
        <v>9320099901</v>
      </c>
      <c r="E93" s="3" t="s">
        <v>1</v>
      </c>
      <c r="F93" s="3" t="s">
        <v>63</v>
      </c>
      <c r="H93" s="3">
        <v>0</v>
      </c>
      <c r="I93" s="10">
        <f t="shared" si="13"/>
        <v>0</v>
      </c>
      <c r="J93" s="3">
        <v>0</v>
      </c>
      <c r="K93" s="3">
        <v>0</v>
      </c>
      <c r="L93" s="3">
        <f t="shared" si="14"/>
        <v>0</v>
      </c>
      <c r="N93" s="11">
        <f t="shared" si="15"/>
        <v>0</v>
      </c>
      <c r="O93" s="3">
        <v>0</v>
      </c>
      <c r="P93" s="11">
        <f t="shared" si="16"/>
        <v>9999</v>
      </c>
      <c r="Q93" s="12">
        <f t="shared" si="17"/>
        <v>9999</v>
      </c>
      <c r="R93" s="13">
        <f t="shared" si="18"/>
        <v>-29.999999999999996</v>
      </c>
      <c r="S93" s="3" t="s">
        <v>31</v>
      </c>
      <c r="T93" s="3" t="s">
        <v>28</v>
      </c>
      <c r="U93" s="10">
        <v>0</v>
      </c>
      <c r="V93" s="3">
        <v>0</v>
      </c>
      <c r="W93" s="3">
        <f t="shared" si="19"/>
        <v>0</v>
      </c>
      <c r="AA93" s="3">
        <v>5</v>
      </c>
    </row>
    <row r="94" spans="1:27" ht="16.05" customHeight="1" x14ac:dyDescent="0.3">
      <c r="A94" s="3" t="str">
        <f t="shared" si="10"/>
        <v>West9432029902295</v>
      </c>
      <c r="B94" s="3" t="str">
        <f t="shared" si="11"/>
        <v>Mah9432029902295</v>
      </c>
      <c r="C94" s="10">
        <v>9432029902295</v>
      </c>
      <c r="D94" s="10" t="str">
        <f t="shared" si="12"/>
        <v>9432029902</v>
      </c>
      <c r="E94" s="3" t="s">
        <v>1</v>
      </c>
      <c r="F94" s="3" t="s">
        <v>63</v>
      </c>
      <c r="H94" s="3">
        <v>0</v>
      </c>
      <c r="I94" s="10">
        <f t="shared" si="13"/>
        <v>0</v>
      </c>
      <c r="J94" s="3">
        <v>0</v>
      </c>
      <c r="K94" s="3">
        <v>0</v>
      </c>
      <c r="L94" s="3">
        <f t="shared" si="14"/>
        <v>0</v>
      </c>
      <c r="N94" s="11">
        <f t="shared" si="15"/>
        <v>0</v>
      </c>
      <c r="O94" s="3">
        <v>0</v>
      </c>
      <c r="P94" s="11">
        <f t="shared" si="16"/>
        <v>9999</v>
      </c>
      <c r="Q94" s="12">
        <f t="shared" si="17"/>
        <v>9999</v>
      </c>
      <c r="R94" s="13">
        <f t="shared" si="18"/>
        <v>9999</v>
      </c>
      <c r="S94" s="3" t="s">
        <v>31</v>
      </c>
      <c r="T94" s="3" t="s">
        <v>35</v>
      </c>
      <c r="U94" s="10" t="s">
        <v>72</v>
      </c>
      <c r="V94" s="3" t="s">
        <v>72</v>
      </c>
      <c r="W94" s="3">
        <f t="shared" si="19"/>
        <v>0</v>
      </c>
      <c r="AA94" s="3">
        <v>5</v>
      </c>
    </row>
    <row r="95" spans="1:27" x14ac:dyDescent="0.3">
      <c r="A95" s="3" t="str">
        <f t="shared" si="10"/>
        <v>West9320089901840</v>
      </c>
      <c r="B95" s="3" t="str">
        <f t="shared" si="11"/>
        <v>Mah9320089901840</v>
      </c>
      <c r="C95" s="10">
        <v>9320089901840</v>
      </c>
      <c r="D95" s="10" t="str">
        <f t="shared" si="12"/>
        <v>9320089901</v>
      </c>
      <c r="E95" s="3" t="s">
        <v>1</v>
      </c>
      <c r="F95" s="3" t="s">
        <v>63</v>
      </c>
      <c r="H95" s="3">
        <v>0</v>
      </c>
      <c r="I95" s="10">
        <f t="shared" si="13"/>
        <v>0</v>
      </c>
      <c r="J95" s="3">
        <v>0</v>
      </c>
      <c r="K95" s="3">
        <v>0</v>
      </c>
      <c r="L95" s="3">
        <f t="shared" si="14"/>
        <v>0</v>
      </c>
      <c r="N95" s="11">
        <f t="shared" si="15"/>
        <v>0</v>
      </c>
      <c r="O95" s="3">
        <v>0</v>
      </c>
      <c r="P95" s="11">
        <f t="shared" si="16"/>
        <v>9999</v>
      </c>
      <c r="Q95" s="12">
        <f t="shared" si="17"/>
        <v>9999</v>
      </c>
      <c r="R95" s="13">
        <f t="shared" si="18"/>
        <v>-30</v>
      </c>
      <c r="S95" s="3" t="s">
        <v>31</v>
      </c>
      <c r="T95" s="3" t="s">
        <v>28</v>
      </c>
      <c r="U95" s="10">
        <v>0</v>
      </c>
      <c r="V95" s="3">
        <v>0</v>
      </c>
      <c r="W95" s="3">
        <f t="shared" si="19"/>
        <v>0</v>
      </c>
      <c r="AA95" s="3">
        <v>5</v>
      </c>
    </row>
    <row r="96" spans="1:27" ht="16.05" customHeight="1" x14ac:dyDescent="0.3">
      <c r="A96" s="3" t="str">
        <f t="shared" si="10"/>
        <v>West9420139900310</v>
      </c>
      <c r="B96" s="3" t="str">
        <f t="shared" si="11"/>
        <v>Mah9420139900310</v>
      </c>
      <c r="C96" s="10">
        <v>9420139900310</v>
      </c>
      <c r="D96" s="10" t="str">
        <f t="shared" si="12"/>
        <v>9420139900</v>
      </c>
      <c r="E96" s="3" t="s">
        <v>1</v>
      </c>
      <c r="F96" s="3" t="s">
        <v>63</v>
      </c>
      <c r="H96" s="3">
        <v>0</v>
      </c>
      <c r="I96" s="10">
        <f t="shared" si="13"/>
        <v>0</v>
      </c>
      <c r="J96" s="3">
        <v>0</v>
      </c>
      <c r="K96" s="3">
        <v>0</v>
      </c>
      <c r="L96" s="3">
        <f t="shared" si="14"/>
        <v>0</v>
      </c>
      <c r="N96" s="11">
        <f t="shared" si="15"/>
        <v>0</v>
      </c>
      <c r="O96" s="3">
        <v>0</v>
      </c>
      <c r="P96" s="11">
        <f t="shared" si="16"/>
        <v>9999</v>
      </c>
      <c r="Q96" s="12">
        <f t="shared" si="17"/>
        <v>9999</v>
      </c>
      <c r="R96" s="13">
        <f t="shared" si="18"/>
        <v>-29.999999999999996</v>
      </c>
      <c r="S96" s="3" t="s">
        <v>31</v>
      </c>
      <c r="T96" s="3" t="s">
        <v>28</v>
      </c>
      <c r="U96" s="10">
        <v>9420139900999</v>
      </c>
      <c r="V96" s="3">
        <v>0.1</v>
      </c>
      <c r="W96" s="3">
        <f t="shared" si="19"/>
        <v>0</v>
      </c>
      <c r="AA96" s="3">
        <v>5</v>
      </c>
    </row>
    <row r="97" spans="1:27" x14ac:dyDescent="0.3">
      <c r="A97" s="3" t="str">
        <f t="shared" si="10"/>
        <v>West9320089900840</v>
      </c>
      <c r="B97" s="3" t="str">
        <f t="shared" si="11"/>
        <v>Mah9320089900840</v>
      </c>
      <c r="C97" s="10">
        <v>9320089900840</v>
      </c>
      <c r="D97" s="10" t="str">
        <f t="shared" si="12"/>
        <v>9320089900</v>
      </c>
      <c r="E97" s="3" t="s">
        <v>1</v>
      </c>
      <c r="F97" s="3" t="s">
        <v>63</v>
      </c>
      <c r="H97" s="3">
        <v>0</v>
      </c>
      <c r="I97" s="10">
        <f t="shared" si="13"/>
        <v>0</v>
      </c>
      <c r="J97" s="3">
        <v>0</v>
      </c>
      <c r="K97" s="3">
        <v>0</v>
      </c>
      <c r="L97" s="3">
        <f t="shared" si="14"/>
        <v>0</v>
      </c>
      <c r="N97" s="11">
        <f t="shared" si="15"/>
        <v>0</v>
      </c>
      <c r="O97" s="3">
        <v>0</v>
      </c>
      <c r="P97" s="11">
        <f t="shared" si="16"/>
        <v>9999</v>
      </c>
      <c r="Q97" s="12">
        <f t="shared" si="17"/>
        <v>9999</v>
      </c>
      <c r="R97" s="13">
        <f t="shared" si="18"/>
        <v>-29.999999999999996</v>
      </c>
      <c r="S97" s="3" t="s">
        <v>31</v>
      </c>
      <c r="T97" s="3" t="s">
        <v>28</v>
      </c>
      <c r="U97" s="10">
        <v>0</v>
      </c>
      <c r="V97" s="3">
        <v>0</v>
      </c>
      <c r="W97" s="3">
        <f t="shared" si="19"/>
        <v>0</v>
      </c>
      <c r="AA97" s="3">
        <v>5</v>
      </c>
    </row>
    <row r="98" spans="1:27" x14ac:dyDescent="0.3">
      <c r="A98" s="3" t="str">
        <f t="shared" si="10"/>
        <v>West9320099900840</v>
      </c>
      <c r="B98" s="3" t="str">
        <f t="shared" si="11"/>
        <v>Mah9320099900840</v>
      </c>
      <c r="C98" s="10">
        <v>9320099900840</v>
      </c>
      <c r="D98" s="10" t="str">
        <f t="shared" si="12"/>
        <v>9320099900</v>
      </c>
      <c r="E98" s="3" t="s">
        <v>1</v>
      </c>
      <c r="F98" s="3" t="s">
        <v>63</v>
      </c>
      <c r="H98" s="3">
        <v>0</v>
      </c>
      <c r="I98" s="10">
        <f t="shared" si="13"/>
        <v>0</v>
      </c>
      <c r="J98" s="3">
        <v>0</v>
      </c>
      <c r="K98" s="3">
        <v>0</v>
      </c>
      <c r="L98" s="3">
        <f t="shared" si="14"/>
        <v>0</v>
      </c>
      <c r="N98" s="11">
        <f t="shared" si="15"/>
        <v>0</v>
      </c>
      <c r="O98" s="3">
        <v>0</v>
      </c>
      <c r="P98" s="11">
        <f t="shared" si="16"/>
        <v>9999</v>
      </c>
      <c r="Q98" s="12">
        <f t="shared" si="17"/>
        <v>9999</v>
      </c>
      <c r="R98" s="13">
        <f t="shared" si="18"/>
        <v>-29.999999999999996</v>
      </c>
      <c r="S98" s="3" t="s">
        <v>31</v>
      </c>
      <c r="T98" s="3" t="s">
        <v>28</v>
      </c>
      <c r="U98" s="10">
        <v>0</v>
      </c>
      <c r="V98" s="3">
        <v>0</v>
      </c>
      <c r="W98" s="3">
        <f t="shared" si="19"/>
        <v>0</v>
      </c>
      <c r="AA98" s="3">
        <v>5</v>
      </c>
    </row>
    <row r="99" spans="1:27" x14ac:dyDescent="0.3">
      <c r="A99" s="3" t="str">
        <f t="shared" si="10"/>
        <v>North9430109900320</v>
      </c>
      <c r="B99" s="3" t="str">
        <f t="shared" si="11"/>
        <v>Pan9430109900320</v>
      </c>
      <c r="C99" s="10">
        <v>9430109900320</v>
      </c>
      <c r="D99" s="10" t="str">
        <f t="shared" si="12"/>
        <v>9430109900</v>
      </c>
      <c r="E99" s="3" t="s">
        <v>2</v>
      </c>
      <c r="F99" s="3" t="s">
        <v>64</v>
      </c>
      <c r="H99" s="3">
        <v>855.66499999999985</v>
      </c>
      <c r="I99" s="10">
        <f t="shared" si="13"/>
        <v>34.987339552465748</v>
      </c>
      <c r="J99" s="3">
        <v>733.69253931143487</v>
      </c>
      <c r="K99" s="3">
        <v>486.00000000000006</v>
      </c>
      <c r="L99" s="3">
        <f t="shared" si="14"/>
        <v>0</v>
      </c>
      <c r="N99" s="11">
        <f t="shared" si="15"/>
        <v>121.97246068856498</v>
      </c>
      <c r="O99" s="3">
        <v>733.69253931143487</v>
      </c>
      <c r="P99" s="11">
        <f t="shared" si="16"/>
        <v>4.9873395524657473</v>
      </c>
      <c r="Q99" s="12">
        <f t="shared" si="17"/>
        <v>1.9093405818387081</v>
      </c>
      <c r="R99" s="13">
        <f t="shared" si="18"/>
        <v>-4.5713762747685207</v>
      </c>
      <c r="S99" s="3" t="s">
        <v>29</v>
      </c>
      <c r="T99" s="3" t="s">
        <v>35</v>
      </c>
      <c r="U99" s="10">
        <v>0</v>
      </c>
      <c r="V99" s="3">
        <v>0</v>
      </c>
      <c r="W99" s="3">
        <f t="shared" si="19"/>
        <v>0</v>
      </c>
      <c r="AA99" s="3">
        <v>5.4</v>
      </c>
    </row>
    <row r="100" spans="1:27" x14ac:dyDescent="0.3">
      <c r="A100" s="3" t="str">
        <f t="shared" si="10"/>
        <v>North9430109901320</v>
      </c>
      <c r="B100" s="3" t="str">
        <f t="shared" si="11"/>
        <v>Pan9430109901320</v>
      </c>
      <c r="C100" s="10">
        <v>9430109901320</v>
      </c>
      <c r="D100" s="10" t="str">
        <f t="shared" si="12"/>
        <v>9430109901</v>
      </c>
      <c r="E100" s="3" t="s">
        <v>2</v>
      </c>
      <c r="F100" s="3" t="s">
        <v>64</v>
      </c>
      <c r="H100" s="3">
        <v>174.92013999999998</v>
      </c>
      <c r="I100" s="10">
        <f t="shared" si="13"/>
        <v>40.397713486437823</v>
      </c>
      <c r="J100" s="3">
        <v>129.89854492041255</v>
      </c>
      <c r="K100" s="3">
        <v>59.400000000000006</v>
      </c>
      <c r="L100" s="3">
        <f t="shared" si="14"/>
        <v>0</v>
      </c>
      <c r="N100" s="11">
        <f t="shared" si="15"/>
        <v>45.021595079587428</v>
      </c>
      <c r="O100" s="3">
        <v>129.89854492041255</v>
      </c>
      <c r="P100" s="11">
        <f t="shared" si="16"/>
        <v>10.397713486437821</v>
      </c>
      <c r="Q100" s="12">
        <f t="shared" si="17"/>
        <v>10.091970294568583</v>
      </c>
      <c r="R100" s="13">
        <f t="shared" si="18"/>
        <v>-2.4897770966686847</v>
      </c>
      <c r="S100" s="3" t="s">
        <v>29</v>
      </c>
      <c r="T100" s="3" t="s">
        <v>35</v>
      </c>
      <c r="U100" s="10">
        <v>0</v>
      </c>
      <c r="V100" s="3">
        <v>0</v>
      </c>
      <c r="W100" s="3">
        <f t="shared" si="19"/>
        <v>0</v>
      </c>
      <c r="AA100" s="3">
        <v>5.4</v>
      </c>
    </row>
    <row r="101" spans="1:27" x14ac:dyDescent="0.3">
      <c r="A101" s="3" t="str">
        <f t="shared" si="10"/>
        <v>North9430109900310</v>
      </c>
      <c r="B101" s="3" t="str">
        <f t="shared" si="11"/>
        <v>Pan9430109900310</v>
      </c>
      <c r="C101" s="10">
        <v>9430109900310</v>
      </c>
      <c r="D101" s="10" t="str">
        <f t="shared" si="12"/>
        <v>9430109900</v>
      </c>
      <c r="E101" s="3" t="s">
        <v>2</v>
      </c>
      <c r="F101" s="3" t="s">
        <v>64</v>
      </c>
      <c r="H101" s="3">
        <v>60.170000000000009</v>
      </c>
      <c r="I101" s="10">
        <f t="shared" si="13"/>
        <v>15.842206639081404</v>
      </c>
      <c r="J101" s="3">
        <v>113.94246023448332</v>
      </c>
      <c r="K101" s="3">
        <v>156.60000000000002</v>
      </c>
      <c r="L101" s="3">
        <f t="shared" si="14"/>
        <v>0</v>
      </c>
      <c r="N101" s="11">
        <f t="shared" si="15"/>
        <v>-53.772460234483312</v>
      </c>
      <c r="O101" s="3">
        <v>113.94246023448332</v>
      </c>
      <c r="P101" s="11">
        <f t="shared" si="16"/>
        <v>-14.157793360918598</v>
      </c>
      <c r="Q101" s="12">
        <f t="shared" si="17"/>
        <v>-9.4734624669206386</v>
      </c>
      <c r="R101" s="13">
        <f t="shared" si="18"/>
        <v>2.5620483154508742</v>
      </c>
      <c r="S101" s="3" t="s">
        <v>30</v>
      </c>
      <c r="T101" s="3" t="s">
        <v>35</v>
      </c>
      <c r="U101" s="10">
        <v>0</v>
      </c>
      <c r="V101" s="3">
        <v>0</v>
      </c>
      <c r="W101" s="3">
        <f t="shared" si="19"/>
        <v>0</v>
      </c>
      <c r="AA101" s="3">
        <v>5.4</v>
      </c>
    </row>
    <row r="102" spans="1:27" x14ac:dyDescent="0.3">
      <c r="A102" s="3" t="str">
        <f t="shared" si="10"/>
        <v>North9100209900320</v>
      </c>
      <c r="B102" s="3" t="str">
        <f t="shared" si="11"/>
        <v>Pan9100209900320</v>
      </c>
      <c r="C102" s="10">
        <v>9100209900320</v>
      </c>
      <c r="D102" s="10" t="str">
        <f t="shared" si="12"/>
        <v>9100209900</v>
      </c>
      <c r="E102" s="3" t="s">
        <v>2</v>
      </c>
      <c r="F102" s="3" t="s">
        <v>64</v>
      </c>
      <c r="H102" s="3">
        <v>75.525999999999996</v>
      </c>
      <c r="I102" s="10">
        <f t="shared" si="13"/>
        <v>38.634676764299378</v>
      </c>
      <c r="J102" s="3">
        <v>58.646278156355862</v>
      </c>
      <c r="K102" s="3">
        <v>0</v>
      </c>
      <c r="L102" s="3">
        <f t="shared" si="14"/>
        <v>0</v>
      </c>
      <c r="N102" s="11">
        <f t="shared" si="15"/>
        <v>16.879721843644134</v>
      </c>
      <c r="O102" s="3">
        <v>58.646278156355862</v>
      </c>
      <c r="P102" s="11">
        <f t="shared" si="16"/>
        <v>8.6346767642993765</v>
      </c>
      <c r="Q102" s="12">
        <f t="shared" si="17"/>
        <v>17.728962038897954</v>
      </c>
      <c r="R102" s="13">
        <f t="shared" si="18"/>
        <v>30.495213785322278</v>
      </c>
      <c r="S102" s="3" t="s">
        <v>30</v>
      </c>
      <c r="T102" s="3" t="s">
        <v>34</v>
      </c>
      <c r="U102" s="10">
        <v>0</v>
      </c>
      <c r="V102" s="3">
        <v>0</v>
      </c>
      <c r="W102" s="3">
        <f t="shared" si="19"/>
        <v>0</v>
      </c>
      <c r="AA102" s="3">
        <v>5.4</v>
      </c>
    </row>
    <row r="103" spans="1:27" x14ac:dyDescent="0.3">
      <c r="A103" s="3" t="str">
        <f t="shared" si="10"/>
        <v>North9410069900820</v>
      </c>
      <c r="B103" s="3" t="str">
        <f t="shared" si="11"/>
        <v>Pan9410069900820</v>
      </c>
      <c r="C103" s="10">
        <v>9410069900820</v>
      </c>
      <c r="D103" s="10" t="str">
        <f t="shared" si="12"/>
        <v>9410069900</v>
      </c>
      <c r="E103" s="3" t="s">
        <v>2</v>
      </c>
      <c r="F103" s="3" t="s">
        <v>64</v>
      </c>
      <c r="H103" s="3">
        <v>35.44</v>
      </c>
      <c r="I103" s="10">
        <f t="shared" si="13"/>
        <v>20.517874008847858</v>
      </c>
      <c r="J103" s="3">
        <v>51.818234167025281</v>
      </c>
      <c r="K103" s="3">
        <v>26.999999999999986</v>
      </c>
      <c r="L103" s="3">
        <f t="shared" si="14"/>
        <v>0</v>
      </c>
      <c r="N103" s="11">
        <f t="shared" si="15"/>
        <v>-16.378234167025283</v>
      </c>
      <c r="O103" s="3">
        <v>51.818234167025281</v>
      </c>
      <c r="P103" s="11">
        <f t="shared" si="16"/>
        <v>-9.4821259911521452</v>
      </c>
      <c r="Q103" s="12">
        <f t="shared" si="17"/>
        <v>-8.9177118233268402</v>
      </c>
      <c r="R103" s="13">
        <f t="shared" si="18"/>
        <v>-3.8159946426130387</v>
      </c>
      <c r="S103" s="3" t="s">
        <v>29</v>
      </c>
      <c r="T103" s="3" t="s">
        <v>32</v>
      </c>
      <c r="U103" s="10">
        <v>0</v>
      </c>
      <c r="V103" s="3">
        <v>0</v>
      </c>
      <c r="W103" s="3">
        <f t="shared" si="19"/>
        <v>0</v>
      </c>
      <c r="AA103" s="3">
        <v>5.4</v>
      </c>
    </row>
    <row r="104" spans="1:27" ht="16.05" customHeight="1" x14ac:dyDescent="0.3">
      <c r="A104" s="3" t="str">
        <f t="shared" si="10"/>
        <v>North9430109900250</v>
      </c>
      <c r="B104" s="3" t="str">
        <f t="shared" si="11"/>
        <v>Pan9430109900250</v>
      </c>
      <c r="C104" s="10">
        <v>9430109900250</v>
      </c>
      <c r="D104" s="10" t="str">
        <f t="shared" si="12"/>
        <v>9430109900</v>
      </c>
      <c r="E104" s="3" t="s">
        <v>2</v>
      </c>
      <c r="F104" s="3" t="s">
        <v>64</v>
      </c>
      <c r="H104" s="3">
        <v>55.704999999999977</v>
      </c>
      <c r="I104" s="10">
        <f t="shared" si="13"/>
        <v>34.392167410526014</v>
      </c>
      <c r="J104" s="3">
        <v>48.591005622068757</v>
      </c>
      <c r="K104" s="3">
        <v>27</v>
      </c>
      <c r="L104" s="3">
        <f t="shared" si="14"/>
        <v>0</v>
      </c>
      <c r="N104" s="11">
        <f t="shared" si="15"/>
        <v>7.1139943779312205</v>
      </c>
      <c r="O104" s="3">
        <v>48.591005622068757</v>
      </c>
      <c r="P104" s="11">
        <f t="shared" si="16"/>
        <v>4.392167410526012</v>
      </c>
      <c r="Q104" s="12">
        <f t="shared" si="17"/>
        <v>7.4593305057888841</v>
      </c>
      <c r="R104" s="13">
        <f t="shared" si="18"/>
        <v>2.3570648481173837</v>
      </c>
      <c r="S104" s="3" t="s">
        <v>30</v>
      </c>
      <c r="T104" s="3" t="s">
        <v>35</v>
      </c>
      <c r="U104" s="10">
        <v>0</v>
      </c>
      <c r="V104" s="3">
        <v>0</v>
      </c>
      <c r="W104" s="3">
        <f t="shared" si="19"/>
        <v>0</v>
      </c>
      <c r="AA104" s="3">
        <v>5.4</v>
      </c>
    </row>
    <row r="105" spans="1:27" x14ac:dyDescent="0.3">
      <c r="A105" s="3" t="str">
        <f t="shared" si="10"/>
        <v>North9100209901320</v>
      </c>
      <c r="B105" s="3" t="str">
        <f t="shared" si="11"/>
        <v>Pan9100209901320</v>
      </c>
      <c r="C105" s="10">
        <v>9100209901320</v>
      </c>
      <c r="D105" s="10" t="str">
        <f t="shared" si="12"/>
        <v>9100209901</v>
      </c>
      <c r="E105" s="3" t="s">
        <v>2</v>
      </c>
      <c r="F105" s="3" t="s">
        <v>64</v>
      </c>
      <c r="H105" s="3">
        <v>60.519999999999996</v>
      </c>
      <c r="I105" s="10">
        <f t="shared" si="13"/>
        <v>43.438763826009215</v>
      </c>
      <c r="J105" s="3">
        <v>41.796769523006056</v>
      </c>
      <c r="K105" s="3">
        <v>26.999999999999986</v>
      </c>
      <c r="L105" s="3">
        <f t="shared" si="14"/>
        <v>0</v>
      </c>
      <c r="N105" s="11">
        <f t="shared" si="15"/>
        <v>18.72323047699394</v>
      </c>
      <c r="O105" s="3">
        <v>41.796769523006056</v>
      </c>
      <c r="P105" s="11">
        <f t="shared" si="16"/>
        <v>13.438763826009215</v>
      </c>
      <c r="Q105" s="12">
        <f t="shared" si="17"/>
        <v>13.230310217367489</v>
      </c>
      <c r="R105" s="13">
        <f t="shared" si="18"/>
        <v>22.609197898113969</v>
      </c>
      <c r="S105" s="3" t="s">
        <v>31</v>
      </c>
      <c r="T105" s="3" t="s">
        <v>34</v>
      </c>
      <c r="U105" s="10">
        <v>0</v>
      </c>
      <c r="V105" s="3">
        <v>0</v>
      </c>
      <c r="W105" s="3">
        <f t="shared" si="19"/>
        <v>0</v>
      </c>
      <c r="AA105" s="3">
        <v>5.4</v>
      </c>
    </row>
    <row r="106" spans="1:27" x14ac:dyDescent="0.3">
      <c r="A106" s="3" t="str">
        <f t="shared" si="10"/>
        <v>North9430109901310</v>
      </c>
      <c r="B106" s="3" t="str">
        <f t="shared" si="11"/>
        <v>Pan9430109901310</v>
      </c>
      <c r="C106" s="10">
        <v>9430109901310</v>
      </c>
      <c r="D106" s="10" t="str">
        <f t="shared" si="12"/>
        <v>9430109901</v>
      </c>
      <c r="E106" s="3" t="s">
        <v>2</v>
      </c>
      <c r="F106" s="3" t="s">
        <v>64</v>
      </c>
      <c r="H106" s="3">
        <v>37.030000000000008</v>
      </c>
      <c r="I106" s="10">
        <f t="shared" si="13"/>
        <v>43.84851150880521</v>
      </c>
      <c r="J106" s="3">
        <v>25.334953497267989</v>
      </c>
      <c r="K106" s="3">
        <v>0</v>
      </c>
      <c r="L106" s="3">
        <f t="shared" si="14"/>
        <v>0</v>
      </c>
      <c r="N106" s="11">
        <f t="shared" si="15"/>
        <v>11.695046502732019</v>
      </c>
      <c r="O106" s="3">
        <v>25.334953497267989</v>
      </c>
      <c r="P106" s="11">
        <f t="shared" si="16"/>
        <v>13.848511508805212</v>
      </c>
      <c r="Q106" s="12">
        <f t="shared" si="17"/>
        <v>25.215064072689596</v>
      </c>
      <c r="R106" s="13">
        <f t="shared" si="18"/>
        <v>5.4137783376715598</v>
      </c>
      <c r="S106" s="3" t="s">
        <v>30</v>
      </c>
      <c r="T106" s="3" t="s">
        <v>35</v>
      </c>
      <c r="U106" s="10">
        <v>0</v>
      </c>
      <c r="V106" s="3">
        <v>0</v>
      </c>
      <c r="W106" s="3">
        <f t="shared" si="19"/>
        <v>0</v>
      </c>
      <c r="AA106" s="3">
        <v>5.4</v>
      </c>
    </row>
    <row r="107" spans="1:27" x14ac:dyDescent="0.3">
      <c r="A107" s="3" t="str">
        <f t="shared" si="10"/>
        <v>North9430109901250</v>
      </c>
      <c r="B107" s="3" t="str">
        <f t="shared" si="11"/>
        <v>Pan9430109901250</v>
      </c>
      <c r="C107" s="10">
        <v>9430109901250</v>
      </c>
      <c r="D107" s="10" t="str">
        <f t="shared" si="12"/>
        <v>9430109901</v>
      </c>
      <c r="E107" s="3" t="s">
        <v>2</v>
      </c>
      <c r="F107" s="3" t="s">
        <v>64</v>
      </c>
      <c r="H107" s="3">
        <v>9.5799999999999983</v>
      </c>
      <c r="I107" s="10">
        <f t="shared" si="13"/>
        <v>25.034233814636387</v>
      </c>
      <c r="J107" s="3">
        <v>11.480279449653864</v>
      </c>
      <c r="K107" s="3">
        <v>10.8</v>
      </c>
      <c r="L107" s="3">
        <f t="shared" si="14"/>
        <v>0</v>
      </c>
      <c r="N107" s="11">
        <f t="shared" si="15"/>
        <v>-1.9002794496538655</v>
      </c>
      <c r="O107" s="3">
        <v>11.480279449653864</v>
      </c>
      <c r="P107" s="11">
        <f t="shared" si="16"/>
        <v>-4.9657661853636146</v>
      </c>
      <c r="Q107" s="12">
        <f t="shared" si="17"/>
        <v>-0.15067149236004096</v>
      </c>
      <c r="R107" s="13">
        <f t="shared" si="18"/>
        <v>17.653824107204038</v>
      </c>
      <c r="S107" s="3" t="s">
        <v>31</v>
      </c>
      <c r="T107" s="3" t="s">
        <v>35</v>
      </c>
      <c r="U107" s="10">
        <v>0</v>
      </c>
      <c r="V107" s="3">
        <v>0</v>
      </c>
      <c r="W107" s="3">
        <f t="shared" si="19"/>
        <v>0</v>
      </c>
      <c r="AA107" s="3">
        <v>5.4</v>
      </c>
    </row>
    <row r="108" spans="1:27" x14ac:dyDescent="0.3">
      <c r="A108" s="3" t="str">
        <f t="shared" si="10"/>
        <v>North9430109900220</v>
      </c>
      <c r="B108" s="3" t="str">
        <f t="shared" si="11"/>
        <v>Pan9430109900220</v>
      </c>
      <c r="C108" s="10">
        <v>9430109900220</v>
      </c>
      <c r="D108" s="10" t="str">
        <f t="shared" si="12"/>
        <v>9430109900</v>
      </c>
      <c r="E108" s="3" t="s">
        <v>2</v>
      </c>
      <c r="F108" s="3" t="s">
        <v>64</v>
      </c>
      <c r="H108" s="3">
        <v>18.023999999999997</v>
      </c>
      <c r="I108" s="10">
        <f t="shared" si="13"/>
        <v>54.150742183623926</v>
      </c>
      <c r="J108" s="3">
        <v>9.985458706483298</v>
      </c>
      <c r="K108" s="3">
        <v>0</v>
      </c>
      <c r="L108" s="3">
        <f t="shared" si="14"/>
        <v>0</v>
      </c>
      <c r="N108" s="11">
        <f t="shared" si="15"/>
        <v>8.0385412935166993</v>
      </c>
      <c r="O108" s="3">
        <v>9.985458706483298</v>
      </c>
      <c r="P108" s="11">
        <f t="shared" si="16"/>
        <v>24.150742183623926</v>
      </c>
      <c r="Q108" s="12">
        <f t="shared" si="17"/>
        <v>13.177292342361158</v>
      </c>
      <c r="R108" s="13">
        <f t="shared" si="18"/>
        <v>4.5783076811390186</v>
      </c>
      <c r="S108" s="3" t="s">
        <v>31</v>
      </c>
      <c r="T108" s="3" t="s">
        <v>35</v>
      </c>
      <c r="U108" s="10">
        <v>0</v>
      </c>
      <c r="V108" s="3">
        <v>0</v>
      </c>
      <c r="W108" s="3">
        <f t="shared" si="19"/>
        <v>0</v>
      </c>
      <c r="AA108" s="3">
        <v>5.4</v>
      </c>
    </row>
    <row r="109" spans="1:27" x14ac:dyDescent="0.3">
      <c r="A109" s="3" t="str">
        <f t="shared" si="10"/>
        <v>North9410069900850</v>
      </c>
      <c r="B109" s="3" t="str">
        <f t="shared" si="11"/>
        <v>Pan9410069900850</v>
      </c>
      <c r="C109" s="10">
        <v>9410069900850</v>
      </c>
      <c r="D109" s="10" t="str">
        <f t="shared" si="12"/>
        <v>9410069900</v>
      </c>
      <c r="E109" s="3" t="s">
        <v>2</v>
      </c>
      <c r="F109" s="3" t="s">
        <v>64</v>
      </c>
      <c r="H109" s="3">
        <v>5.6849999999999996</v>
      </c>
      <c r="I109" s="10">
        <f t="shared" si="13"/>
        <v>20.430202585494552</v>
      </c>
      <c r="J109" s="3">
        <v>8.3479348423637525</v>
      </c>
      <c r="K109" s="3">
        <v>5.4</v>
      </c>
      <c r="L109" s="3">
        <f t="shared" si="14"/>
        <v>0</v>
      </c>
      <c r="N109" s="11">
        <f t="shared" si="15"/>
        <v>-2.6629348423637529</v>
      </c>
      <c r="O109" s="3">
        <v>8.3479348423637525</v>
      </c>
      <c r="P109" s="11">
        <f t="shared" si="16"/>
        <v>-9.5697974145054481</v>
      </c>
      <c r="Q109" s="12">
        <f t="shared" si="17"/>
        <v>10.24366858116626</v>
      </c>
      <c r="R109" s="13">
        <f t="shared" si="18"/>
        <v>-1.3080659328217683</v>
      </c>
      <c r="S109" s="3" t="s">
        <v>30</v>
      </c>
      <c r="T109" s="3" t="s">
        <v>32</v>
      </c>
      <c r="U109" s="10">
        <v>0</v>
      </c>
      <c r="V109" s="3">
        <v>0</v>
      </c>
      <c r="W109" s="3">
        <f t="shared" si="19"/>
        <v>0</v>
      </c>
      <c r="AA109" s="3">
        <v>5.4</v>
      </c>
    </row>
    <row r="110" spans="1:27" x14ac:dyDescent="0.3">
      <c r="A110" s="3" t="str">
        <f t="shared" si="10"/>
        <v>North9410069900210</v>
      </c>
      <c r="B110" s="3" t="str">
        <f t="shared" si="11"/>
        <v>Pan9410069900210</v>
      </c>
      <c r="C110" s="10">
        <v>9410069900210</v>
      </c>
      <c r="D110" s="10" t="str">
        <f t="shared" si="12"/>
        <v>9410069900</v>
      </c>
      <c r="E110" s="3" t="s">
        <v>2</v>
      </c>
      <c r="F110" s="3" t="s">
        <v>64</v>
      </c>
      <c r="H110" s="3">
        <v>5.8260000000000005</v>
      </c>
      <c r="I110" s="10">
        <f t="shared" si="13"/>
        <v>25.566360244872797</v>
      </c>
      <c r="J110" s="3">
        <v>6.8363270456165637</v>
      </c>
      <c r="K110" s="3">
        <v>10.8</v>
      </c>
      <c r="L110" s="3">
        <f t="shared" si="14"/>
        <v>0</v>
      </c>
      <c r="N110" s="11">
        <f t="shared" si="15"/>
        <v>-1.0103270456165632</v>
      </c>
      <c r="O110" s="3">
        <v>6.8363270456165637</v>
      </c>
      <c r="P110" s="11">
        <f t="shared" si="16"/>
        <v>-4.4336397551272029</v>
      </c>
      <c r="Q110" s="12">
        <f t="shared" si="17"/>
        <v>3.8226484900334365</v>
      </c>
      <c r="R110" s="13">
        <f t="shared" si="18"/>
        <v>1.6261161680536202</v>
      </c>
      <c r="S110" s="3" t="s">
        <v>30</v>
      </c>
      <c r="T110" s="3" t="s">
        <v>32</v>
      </c>
      <c r="U110" s="10">
        <v>0</v>
      </c>
      <c r="V110" s="3">
        <v>0</v>
      </c>
      <c r="W110" s="3">
        <f t="shared" si="19"/>
        <v>0</v>
      </c>
      <c r="AA110" s="3">
        <v>5.4</v>
      </c>
    </row>
    <row r="111" spans="1:27" ht="16.05" customHeight="1" x14ac:dyDescent="0.3">
      <c r="A111" s="3" t="str">
        <f t="shared" si="10"/>
        <v>North9418009900820</v>
      </c>
      <c r="B111" s="3" t="str">
        <f t="shared" si="11"/>
        <v>Pan9418009900820</v>
      </c>
      <c r="C111" s="10">
        <v>9418009900820</v>
      </c>
      <c r="D111" s="10" t="str">
        <f t="shared" si="12"/>
        <v>9418009900</v>
      </c>
      <c r="E111" s="3" t="s">
        <v>2</v>
      </c>
      <c r="F111" s="3" t="s">
        <v>64</v>
      </c>
      <c r="H111" s="3">
        <v>2.9200000000000004</v>
      </c>
      <c r="I111" s="10">
        <f t="shared" si="13"/>
        <v>14.084910440103831</v>
      </c>
      <c r="J111" s="3">
        <v>6.2194218679997686</v>
      </c>
      <c r="K111" s="3">
        <v>21.6</v>
      </c>
      <c r="L111" s="3">
        <f t="shared" si="14"/>
        <v>0</v>
      </c>
      <c r="N111" s="11">
        <f t="shared" si="15"/>
        <v>-3.2994218679997682</v>
      </c>
      <c r="O111" s="3">
        <v>6.2194218679997686</v>
      </c>
      <c r="P111" s="11">
        <f t="shared" si="16"/>
        <v>-15.915089559896169</v>
      </c>
      <c r="Q111" s="12">
        <f t="shared" si="17"/>
        <v>-9.2206561829093499</v>
      </c>
      <c r="R111" s="13">
        <f t="shared" si="18"/>
        <v>-10.9001806663038</v>
      </c>
      <c r="S111" s="3" t="s">
        <v>31</v>
      </c>
      <c r="T111" s="3" t="s">
        <v>32</v>
      </c>
      <c r="U111" s="10">
        <v>0</v>
      </c>
      <c r="V111" s="3">
        <v>0</v>
      </c>
      <c r="W111" s="3">
        <f t="shared" si="19"/>
        <v>0</v>
      </c>
      <c r="AA111" s="3">
        <v>5.4</v>
      </c>
    </row>
    <row r="112" spans="1:27" x14ac:dyDescent="0.3">
      <c r="A112" s="3" t="str">
        <f t="shared" si="10"/>
        <v>North9430109900210</v>
      </c>
      <c r="B112" s="3" t="str">
        <f t="shared" si="11"/>
        <v>Pan9430109900210</v>
      </c>
      <c r="C112" s="10">
        <v>9430109900210</v>
      </c>
      <c r="D112" s="10" t="str">
        <f t="shared" si="12"/>
        <v>9430109900</v>
      </c>
      <c r="E112" s="3" t="s">
        <v>2</v>
      </c>
      <c r="F112" s="3" t="s">
        <v>64</v>
      </c>
      <c r="H112" s="3">
        <v>11.811</v>
      </c>
      <c r="I112" s="10">
        <f t="shared" si="13"/>
        <v>59.989847699332216</v>
      </c>
      <c r="J112" s="3">
        <v>5.9064994092982879</v>
      </c>
      <c r="K112" s="3">
        <v>5.4</v>
      </c>
      <c r="L112" s="3">
        <f t="shared" si="14"/>
        <v>0</v>
      </c>
      <c r="N112" s="11">
        <f t="shared" si="15"/>
        <v>5.9045005907017121</v>
      </c>
      <c r="O112" s="3">
        <v>5.9064994092982879</v>
      </c>
      <c r="P112" s="11">
        <f t="shared" si="16"/>
        <v>29.989847699332216</v>
      </c>
      <c r="Q112" s="12">
        <f t="shared" si="17"/>
        <v>28.36810013081276</v>
      </c>
      <c r="R112" s="13">
        <f t="shared" si="18"/>
        <v>25.085366989368765</v>
      </c>
      <c r="S112" s="3" t="s">
        <v>31</v>
      </c>
      <c r="T112" s="3" t="s">
        <v>35</v>
      </c>
      <c r="U112" s="10">
        <v>0</v>
      </c>
      <c r="V112" s="3">
        <v>0</v>
      </c>
      <c r="W112" s="3">
        <f t="shared" si="19"/>
        <v>0</v>
      </c>
      <c r="AA112" s="3">
        <v>5.4</v>
      </c>
    </row>
    <row r="113" spans="1:27" x14ac:dyDescent="0.3">
      <c r="A113" s="3" t="str">
        <f t="shared" si="10"/>
        <v>North9410069900810</v>
      </c>
      <c r="B113" s="3" t="str">
        <f t="shared" si="11"/>
        <v>Pan9410069900810</v>
      </c>
      <c r="C113" s="10">
        <v>9410069900810</v>
      </c>
      <c r="D113" s="10" t="str">
        <f t="shared" si="12"/>
        <v>9410069900</v>
      </c>
      <c r="E113" s="3" t="s">
        <v>2</v>
      </c>
      <c r="F113" s="3" t="s">
        <v>64</v>
      </c>
      <c r="H113" s="3">
        <v>10.129999999999999</v>
      </c>
      <c r="I113" s="10">
        <f t="shared" si="13"/>
        <v>53.99574320620529</v>
      </c>
      <c r="J113" s="3">
        <v>5.628221447743222</v>
      </c>
      <c r="K113" s="3">
        <v>0</v>
      </c>
      <c r="L113" s="3">
        <f t="shared" si="14"/>
        <v>0</v>
      </c>
      <c r="N113" s="11">
        <f t="shared" si="15"/>
        <v>4.501778552256777</v>
      </c>
      <c r="O113" s="3">
        <v>5.628221447743222</v>
      </c>
      <c r="P113" s="11">
        <f t="shared" si="16"/>
        <v>23.99574320620529</v>
      </c>
      <c r="Q113" s="12">
        <f t="shared" si="17"/>
        <v>22.26224956954713</v>
      </c>
      <c r="R113" s="13">
        <f t="shared" si="18"/>
        <v>1.1109202985663422</v>
      </c>
      <c r="S113" s="3" t="s">
        <v>30</v>
      </c>
      <c r="T113" s="3" t="s">
        <v>32</v>
      </c>
      <c r="U113" s="10">
        <v>0</v>
      </c>
      <c r="V113" s="3">
        <v>0</v>
      </c>
      <c r="W113" s="3">
        <f t="shared" si="19"/>
        <v>0</v>
      </c>
      <c r="AA113" s="3">
        <v>5.4</v>
      </c>
    </row>
    <row r="114" spans="1:27" ht="16.05" customHeight="1" x14ac:dyDescent="0.3">
      <c r="A114" s="3" t="str">
        <f t="shared" si="10"/>
        <v>North9430109902320</v>
      </c>
      <c r="B114" s="3" t="str">
        <f t="shared" si="11"/>
        <v>Pan9430109902320</v>
      </c>
      <c r="C114" s="10">
        <v>9430109902320</v>
      </c>
      <c r="D114" s="10" t="str">
        <f t="shared" si="12"/>
        <v>9430109902</v>
      </c>
      <c r="E114" s="3" t="s">
        <v>2</v>
      </c>
      <c r="F114" s="3" t="s">
        <v>64</v>
      </c>
      <c r="H114" s="3">
        <v>6.3399999999999981</v>
      </c>
      <c r="I114" s="10">
        <f t="shared" si="13"/>
        <v>40.986995036981568</v>
      </c>
      <c r="J114" s="3">
        <v>4.6404963288571688</v>
      </c>
      <c r="K114" s="3">
        <v>0</v>
      </c>
      <c r="L114" s="3">
        <f t="shared" si="14"/>
        <v>0</v>
      </c>
      <c r="N114" s="11">
        <f t="shared" si="15"/>
        <v>1.6995036711428293</v>
      </c>
      <c r="O114" s="3">
        <v>4.6404963288571688</v>
      </c>
      <c r="P114" s="11">
        <f t="shared" si="16"/>
        <v>10.986995036981563</v>
      </c>
      <c r="Q114" s="12">
        <f t="shared" si="17"/>
        <v>43.569716643667221</v>
      </c>
      <c r="R114" s="13">
        <f t="shared" si="18"/>
        <v>22.447350601553385</v>
      </c>
      <c r="S114" s="3" t="s">
        <v>31</v>
      </c>
      <c r="T114" s="3" t="s">
        <v>35</v>
      </c>
      <c r="U114" s="10">
        <v>0</v>
      </c>
      <c r="V114" s="3">
        <v>0</v>
      </c>
      <c r="W114" s="3">
        <f t="shared" si="19"/>
        <v>0</v>
      </c>
      <c r="AA114" s="3">
        <v>5.4</v>
      </c>
    </row>
    <row r="115" spans="1:27" x14ac:dyDescent="0.3">
      <c r="A115" s="3" t="str">
        <f t="shared" si="10"/>
        <v>North9430109901220</v>
      </c>
      <c r="B115" s="3" t="str">
        <f t="shared" si="11"/>
        <v>Pan9430109901220</v>
      </c>
      <c r="C115" s="10">
        <v>9430109901220</v>
      </c>
      <c r="D115" s="10" t="str">
        <f t="shared" si="12"/>
        <v>9430109901</v>
      </c>
      <c r="E115" s="3" t="s">
        <v>2</v>
      </c>
      <c r="F115" s="3" t="s">
        <v>64</v>
      </c>
      <c r="H115" s="3">
        <v>4.6839999999999984</v>
      </c>
      <c r="I115" s="10">
        <f t="shared" si="13"/>
        <v>55.52362110268254</v>
      </c>
      <c r="J115" s="3">
        <v>2.530814763326215</v>
      </c>
      <c r="K115" s="3">
        <v>0</v>
      </c>
      <c r="L115" s="3">
        <f t="shared" si="14"/>
        <v>0</v>
      </c>
      <c r="N115" s="11">
        <f t="shared" si="15"/>
        <v>2.1531852366737834</v>
      </c>
      <c r="O115" s="3">
        <v>2.530814763326215</v>
      </c>
      <c r="P115" s="11">
        <f t="shared" si="16"/>
        <v>25.52362110268254</v>
      </c>
      <c r="Q115" s="12">
        <f t="shared" si="17"/>
        <v>47.681954337112273</v>
      </c>
      <c r="R115" s="13">
        <f t="shared" si="18"/>
        <v>38.878687367972503</v>
      </c>
      <c r="S115" s="3" t="s">
        <v>31</v>
      </c>
      <c r="T115" s="3" t="s">
        <v>35</v>
      </c>
      <c r="U115" s="10">
        <v>0</v>
      </c>
      <c r="V115" s="3">
        <v>0</v>
      </c>
      <c r="W115" s="3">
        <f t="shared" si="19"/>
        <v>0</v>
      </c>
      <c r="AA115" s="3">
        <v>5.4</v>
      </c>
    </row>
    <row r="116" spans="1:27" x14ac:dyDescent="0.3">
      <c r="A116" s="3" t="str">
        <f t="shared" si="10"/>
        <v>North9430109902310</v>
      </c>
      <c r="B116" s="3" t="str">
        <f t="shared" si="11"/>
        <v>Pan9430109902310</v>
      </c>
      <c r="C116" s="10">
        <v>9430109902310</v>
      </c>
      <c r="D116" s="10" t="str">
        <f t="shared" si="12"/>
        <v>9430109902</v>
      </c>
      <c r="E116" s="3" t="s">
        <v>2</v>
      </c>
      <c r="F116" s="3" t="s">
        <v>64</v>
      </c>
      <c r="H116" s="3">
        <v>7.3599999999999977</v>
      </c>
      <c r="I116" s="10">
        <f t="shared" si="13"/>
        <v>87.650326253514962</v>
      </c>
      <c r="J116" s="3">
        <v>2.5191007203027427</v>
      </c>
      <c r="K116" s="3">
        <v>0</v>
      </c>
      <c r="L116" s="3">
        <f t="shared" si="14"/>
        <v>0</v>
      </c>
      <c r="N116" s="11">
        <f t="shared" si="15"/>
        <v>4.840899279697255</v>
      </c>
      <c r="O116" s="3">
        <v>2.5191007203027427</v>
      </c>
      <c r="P116" s="11">
        <f t="shared" si="16"/>
        <v>57.650326253514955</v>
      </c>
      <c r="Q116" s="12">
        <f t="shared" si="17"/>
        <v>71.059873449365213</v>
      </c>
      <c r="R116" s="13">
        <f t="shared" si="18"/>
        <v>50.205707423478124</v>
      </c>
      <c r="S116" s="3" t="s">
        <v>31</v>
      </c>
      <c r="T116" s="3" t="s">
        <v>35</v>
      </c>
      <c r="U116" s="10">
        <v>0</v>
      </c>
      <c r="V116" s="3">
        <v>0</v>
      </c>
      <c r="W116" s="3">
        <f t="shared" si="19"/>
        <v>0</v>
      </c>
      <c r="AA116" s="3">
        <v>5.4</v>
      </c>
    </row>
    <row r="117" spans="1:27" ht="16.05" customHeight="1" x14ac:dyDescent="0.3">
      <c r="A117" s="3" t="str">
        <f t="shared" si="10"/>
        <v>North9430109902250</v>
      </c>
      <c r="B117" s="3" t="str">
        <f t="shared" si="11"/>
        <v>Pan9430109902250</v>
      </c>
      <c r="C117" s="10">
        <v>9430109902250</v>
      </c>
      <c r="D117" s="10" t="str">
        <f t="shared" si="12"/>
        <v>9430109902</v>
      </c>
      <c r="E117" s="3" t="s">
        <v>2</v>
      </c>
      <c r="F117" s="3" t="s">
        <v>64</v>
      </c>
      <c r="H117" s="3">
        <v>3.8850000000000007</v>
      </c>
      <c r="I117" s="10">
        <f t="shared" si="13"/>
        <v>64.411516795359518</v>
      </c>
      <c r="J117" s="3">
        <v>1.8094590191112652</v>
      </c>
      <c r="K117" s="3">
        <v>0</v>
      </c>
      <c r="L117" s="3">
        <f t="shared" si="14"/>
        <v>0</v>
      </c>
      <c r="N117" s="11">
        <f t="shared" si="15"/>
        <v>2.0755409808887357</v>
      </c>
      <c r="O117" s="3">
        <v>1.8094590191112652</v>
      </c>
      <c r="P117" s="11">
        <f t="shared" si="16"/>
        <v>34.411516795359525</v>
      </c>
      <c r="Q117" s="12">
        <f t="shared" si="17"/>
        <v>43.364468936799454</v>
      </c>
      <c r="R117" s="13">
        <f t="shared" si="18"/>
        <v>23.704826150757036</v>
      </c>
      <c r="S117" s="3" t="s">
        <v>31</v>
      </c>
      <c r="T117" s="3" t="s">
        <v>35</v>
      </c>
      <c r="U117" s="10">
        <v>0</v>
      </c>
      <c r="V117" s="3">
        <v>0</v>
      </c>
      <c r="W117" s="3">
        <f t="shared" si="19"/>
        <v>0</v>
      </c>
      <c r="AA117" s="3">
        <v>5.4</v>
      </c>
    </row>
    <row r="118" spans="1:27" ht="16.05" customHeight="1" x14ac:dyDescent="0.3">
      <c r="A118" s="3" t="str">
        <f t="shared" si="10"/>
        <v>North9430109901210</v>
      </c>
      <c r="B118" s="3" t="str">
        <f t="shared" si="11"/>
        <v>Pan9430109901210</v>
      </c>
      <c r="C118" s="10">
        <v>9430109901210</v>
      </c>
      <c r="D118" s="10" t="str">
        <f t="shared" si="12"/>
        <v>9430109901</v>
      </c>
      <c r="E118" s="3" t="s">
        <v>2</v>
      </c>
      <c r="F118" s="3" t="s">
        <v>64</v>
      </c>
      <c r="H118" s="3">
        <v>5.3940000000000001</v>
      </c>
      <c r="I118" s="10">
        <f t="shared" si="13"/>
        <v>123.6388463110537</v>
      </c>
      <c r="J118" s="3">
        <v>1.3088119537518912</v>
      </c>
      <c r="K118" s="3">
        <v>0</v>
      </c>
      <c r="L118" s="3">
        <f t="shared" si="14"/>
        <v>0</v>
      </c>
      <c r="N118" s="11">
        <f t="shared" si="15"/>
        <v>4.0851880462481089</v>
      </c>
      <c r="O118" s="3">
        <v>1.3088119537518912</v>
      </c>
      <c r="P118" s="11">
        <f t="shared" si="16"/>
        <v>93.638846311053697</v>
      </c>
      <c r="Q118" s="12">
        <f t="shared" si="17"/>
        <v>100.4947518520808</v>
      </c>
      <c r="R118" s="13">
        <f t="shared" si="18"/>
        <v>34.909154797449432</v>
      </c>
      <c r="S118" s="3" t="s">
        <v>31</v>
      </c>
      <c r="T118" s="3" t="s">
        <v>35</v>
      </c>
      <c r="U118" s="10">
        <v>0</v>
      </c>
      <c r="V118" s="3">
        <v>0</v>
      </c>
      <c r="W118" s="3">
        <f t="shared" si="19"/>
        <v>0</v>
      </c>
      <c r="AA118" s="3">
        <v>5.4</v>
      </c>
    </row>
    <row r="119" spans="1:27" x14ac:dyDescent="0.3">
      <c r="A119" s="3" t="str">
        <f t="shared" si="10"/>
        <v>North9418009900810</v>
      </c>
      <c r="B119" s="3" t="str">
        <f t="shared" si="11"/>
        <v>Pan9418009900810</v>
      </c>
      <c r="C119" s="10">
        <v>9418009900810</v>
      </c>
      <c r="D119" s="10" t="str">
        <f t="shared" si="12"/>
        <v>9418009900</v>
      </c>
      <c r="E119" s="3" t="s">
        <v>2</v>
      </c>
      <c r="F119" s="3" t="s">
        <v>64</v>
      </c>
      <c r="H119" s="3">
        <v>0</v>
      </c>
      <c r="I119" s="10">
        <f t="shared" si="13"/>
        <v>0</v>
      </c>
      <c r="J119" s="3">
        <v>0.40644238285442641</v>
      </c>
      <c r="K119" s="3">
        <v>0</v>
      </c>
      <c r="L119" s="3">
        <f t="shared" si="14"/>
        <v>0</v>
      </c>
      <c r="N119" s="11">
        <f t="shared" si="15"/>
        <v>-0.40644238285442641</v>
      </c>
      <c r="O119" s="3">
        <v>0.40644238285442641</v>
      </c>
      <c r="P119" s="11">
        <f t="shared" si="16"/>
        <v>-30</v>
      </c>
      <c r="Q119" s="12">
        <f t="shared" si="17"/>
        <v>-30</v>
      </c>
      <c r="R119" s="13">
        <f t="shared" si="18"/>
        <v>-30</v>
      </c>
      <c r="S119" s="3" t="s">
        <v>31</v>
      </c>
      <c r="T119" s="3" t="s">
        <v>32</v>
      </c>
      <c r="U119" s="10">
        <v>0</v>
      </c>
      <c r="V119" s="3">
        <v>0</v>
      </c>
      <c r="W119" s="3">
        <f t="shared" si="19"/>
        <v>0</v>
      </c>
      <c r="AA119" s="3">
        <v>5.4</v>
      </c>
    </row>
    <row r="120" spans="1:27" x14ac:dyDescent="0.3">
      <c r="A120" s="3" t="str">
        <f t="shared" si="10"/>
        <v>North9430109902220</v>
      </c>
      <c r="B120" s="3" t="str">
        <f t="shared" si="11"/>
        <v>Pan9430109902220</v>
      </c>
      <c r="C120" s="10">
        <v>9430109902220</v>
      </c>
      <c r="D120" s="10" t="str">
        <f t="shared" si="12"/>
        <v>9430109902</v>
      </c>
      <c r="E120" s="3" t="s">
        <v>2</v>
      </c>
      <c r="F120" s="3" t="s">
        <v>64</v>
      </c>
      <c r="H120" s="3">
        <v>0.84200000000000008</v>
      </c>
      <c r="I120" s="10">
        <f t="shared" si="13"/>
        <v>62.943772845872658</v>
      </c>
      <c r="J120" s="3">
        <v>0.40131054841362829</v>
      </c>
      <c r="K120" s="3">
        <v>0</v>
      </c>
      <c r="L120" s="3">
        <f t="shared" si="14"/>
        <v>0</v>
      </c>
      <c r="N120" s="11">
        <f t="shared" si="15"/>
        <v>0.44068945158637179</v>
      </c>
      <c r="O120" s="3">
        <v>0.40131054841362829</v>
      </c>
      <c r="P120" s="11">
        <f t="shared" si="16"/>
        <v>32.943772845872658</v>
      </c>
      <c r="Q120" s="12">
        <f t="shared" si="17"/>
        <v>71.367881210217718</v>
      </c>
      <c r="R120" s="13">
        <f t="shared" si="18"/>
        <v>105.45285077529311</v>
      </c>
      <c r="S120" s="3" t="s">
        <v>31</v>
      </c>
      <c r="T120" s="3" t="s">
        <v>35</v>
      </c>
      <c r="U120" s="10">
        <v>0</v>
      </c>
      <c r="V120" s="3">
        <v>0</v>
      </c>
      <c r="W120" s="3">
        <f t="shared" si="19"/>
        <v>0</v>
      </c>
      <c r="AA120" s="3">
        <v>5.4</v>
      </c>
    </row>
    <row r="121" spans="1:27" x14ac:dyDescent="0.3">
      <c r="A121" s="3" t="str">
        <f t="shared" si="10"/>
        <v>North9418009900210</v>
      </c>
      <c r="B121" s="3" t="str">
        <f t="shared" si="11"/>
        <v>Pan9418009900210</v>
      </c>
      <c r="C121" s="10">
        <v>9418009900210</v>
      </c>
      <c r="D121" s="10" t="str">
        <f t="shared" si="12"/>
        <v>9418009900</v>
      </c>
      <c r="E121" s="3" t="s">
        <v>2</v>
      </c>
      <c r="F121" s="3" t="s">
        <v>64</v>
      </c>
      <c r="H121" s="3">
        <v>1.3650000000000002</v>
      </c>
      <c r="I121" s="10">
        <f t="shared" si="13"/>
        <v>121.03206890753562</v>
      </c>
      <c r="J121" s="3">
        <v>0.33834008101839863</v>
      </c>
      <c r="K121" s="3">
        <v>0</v>
      </c>
      <c r="L121" s="3">
        <f t="shared" si="14"/>
        <v>0</v>
      </c>
      <c r="N121" s="11">
        <f t="shared" si="15"/>
        <v>1.0266599189816015</v>
      </c>
      <c r="O121" s="3">
        <v>0.33834008101839863</v>
      </c>
      <c r="P121" s="11">
        <f t="shared" si="16"/>
        <v>91.032068907535603</v>
      </c>
      <c r="Q121" s="12">
        <f t="shared" si="17"/>
        <v>126.31272440431485</v>
      </c>
      <c r="R121" s="13">
        <f t="shared" si="18"/>
        <v>106.73502077445265</v>
      </c>
      <c r="S121" s="3" t="s">
        <v>31</v>
      </c>
      <c r="T121" s="3" t="s">
        <v>32</v>
      </c>
      <c r="U121" s="10">
        <v>0</v>
      </c>
      <c r="V121" s="3">
        <v>0</v>
      </c>
      <c r="W121" s="3">
        <f t="shared" si="19"/>
        <v>0</v>
      </c>
      <c r="AA121" s="3">
        <v>5.4</v>
      </c>
    </row>
    <row r="122" spans="1:27" x14ac:dyDescent="0.3">
      <c r="A122" s="3" t="str">
        <f t="shared" si="10"/>
        <v>North9430109902210</v>
      </c>
      <c r="B122" s="3" t="str">
        <f t="shared" si="11"/>
        <v>Pan9430109902210</v>
      </c>
      <c r="C122" s="10">
        <v>9430109902210</v>
      </c>
      <c r="D122" s="10" t="str">
        <f t="shared" si="12"/>
        <v>9430109902</v>
      </c>
      <c r="E122" s="3" t="s">
        <v>2</v>
      </c>
      <c r="F122" s="3" t="s">
        <v>64</v>
      </c>
      <c r="H122" s="3">
        <v>0.75100000000000011</v>
      </c>
      <c r="I122" s="10">
        <f t="shared" si="13"/>
        <v>118.00548227196468</v>
      </c>
      <c r="J122" s="3">
        <v>0.19092333310477558</v>
      </c>
      <c r="K122" s="3">
        <v>0</v>
      </c>
      <c r="L122" s="3">
        <f t="shared" si="14"/>
        <v>0</v>
      </c>
      <c r="N122" s="11">
        <f t="shared" si="15"/>
        <v>0.56007666689522451</v>
      </c>
      <c r="O122" s="3">
        <v>0.19092333310477558</v>
      </c>
      <c r="P122" s="11">
        <f t="shared" si="16"/>
        <v>88.005482271964681</v>
      </c>
      <c r="Q122" s="12">
        <f t="shared" si="17"/>
        <v>160.7571977072771</v>
      </c>
      <c r="R122" s="13">
        <f t="shared" si="18"/>
        <v>190.89251081833569</v>
      </c>
      <c r="S122" s="3" t="s">
        <v>31</v>
      </c>
      <c r="T122" s="3" t="s">
        <v>35</v>
      </c>
      <c r="U122" s="10">
        <v>0</v>
      </c>
      <c r="V122" s="3">
        <v>0</v>
      </c>
      <c r="W122" s="3">
        <f t="shared" si="19"/>
        <v>0</v>
      </c>
      <c r="AA122" s="3">
        <v>5.4</v>
      </c>
    </row>
    <row r="123" spans="1:27" x14ac:dyDescent="0.3">
      <c r="A123" s="3" t="str">
        <f t="shared" si="10"/>
        <v>North9418009900850</v>
      </c>
      <c r="B123" s="3" t="str">
        <f t="shared" si="11"/>
        <v>Pan9418009900850</v>
      </c>
      <c r="C123" s="10">
        <v>9418009900850</v>
      </c>
      <c r="D123" s="10" t="str">
        <f t="shared" si="12"/>
        <v>9418009900</v>
      </c>
      <c r="E123" s="3" t="s">
        <v>2</v>
      </c>
      <c r="F123" s="3" t="s">
        <v>64</v>
      </c>
      <c r="H123" s="3">
        <v>0</v>
      </c>
      <c r="I123" s="10">
        <f t="shared" si="13"/>
        <v>0</v>
      </c>
      <c r="J123" s="3">
        <v>0.18578277375433896</v>
      </c>
      <c r="K123" s="3">
        <v>0</v>
      </c>
      <c r="L123" s="3">
        <f t="shared" si="14"/>
        <v>0</v>
      </c>
      <c r="N123" s="11">
        <f t="shared" si="15"/>
        <v>-0.18578277375433896</v>
      </c>
      <c r="O123" s="3">
        <v>0.18578277375433896</v>
      </c>
      <c r="P123" s="11">
        <f t="shared" si="16"/>
        <v>-30</v>
      </c>
      <c r="Q123" s="12">
        <f t="shared" si="17"/>
        <v>-30</v>
      </c>
      <c r="R123" s="13">
        <f t="shared" si="18"/>
        <v>-29.999999999999996</v>
      </c>
      <c r="S123" s="3" t="s">
        <v>31</v>
      </c>
      <c r="T123" s="3" t="s">
        <v>32</v>
      </c>
      <c r="U123" s="10">
        <v>0</v>
      </c>
      <c r="V123" s="3">
        <v>0</v>
      </c>
      <c r="W123" s="3">
        <f t="shared" si="19"/>
        <v>0</v>
      </c>
      <c r="AA123" s="3">
        <v>5.4</v>
      </c>
    </row>
    <row r="124" spans="1:27" ht="16.05" customHeight="1" x14ac:dyDescent="0.3">
      <c r="A124" s="3" t="str">
        <f t="shared" si="10"/>
        <v>North9430119901210</v>
      </c>
      <c r="B124" s="3" t="str">
        <f t="shared" si="11"/>
        <v>Pan9430119901210</v>
      </c>
      <c r="C124" s="10">
        <v>9430119901210</v>
      </c>
      <c r="D124" s="10" t="str">
        <f t="shared" si="12"/>
        <v>9430119901</v>
      </c>
      <c r="E124" s="3" t="s">
        <v>2</v>
      </c>
      <c r="F124" s="3" t="s">
        <v>64</v>
      </c>
      <c r="H124" s="3">
        <v>5.5120000000000005</v>
      </c>
      <c r="I124" s="10">
        <f t="shared" si="13"/>
        <v>0</v>
      </c>
      <c r="J124" s="3">
        <v>0</v>
      </c>
      <c r="K124" s="3">
        <v>0</v>
      </c>
      <c r="L124" s="3">
        <f t="shared" si="14"/>
        <v>0</v>
      </c>
      <c r="N124" s="11">
        <f t="shared" si="15"/>
        <v>5.5120000000000005</v>
      </c>
      <c r="O124" s="3">
        <v>0</v>
      </c>
      <c r="P124" s="11">
        <f t="shared" si="16"/>
        <v>9999</v>
      </c>
      <c r="Q124" s="12">
        <f t="shared" si="17"/>
        <v>9999</v>
      </c>
      <c r="R124" s="13">
        <f t="shared" si="18"/>
        <v>9999</v>
      </c>
      <c r="S124" s="3" t="s">
        <v>31</v>
      </c>
      <c r="T124" s="3" t="s">
        <v>35</v>
      </c>
      <c r="U124" s="10">
        <v>0</v>
      </c>
      <c r="V124" s="3">
        <v>0</v>
      </c>
      <c r="W124" s="3">
        <f t="shared" si="19"/>
        <v>0</v>
      </c>
      <c r="AA124" s="3">
        <v>5.4</v>
      </c>
    </row>
    <row r="125" spans="1:27" x14ac:dyDescent="0.3">
      <c r="A125" s="3" t="str">
        <f t="shared" si="10"/>
        <v>North9430119900210</v>
      </c>
      <c r="B125" s="3" t="str">
        <f t="shared" si="11"/>
        <v>Pan9430119900210</v>
      </c>
      <c r="C125" s="10">
        <v>9430119900210</v>
      </c>
      <c r="D125" s="10" t="str">
        <f t="shared" si="12"/>
        <v>9430119900</v>
      </c>
      <c r="E125" s="3" t="s">
        <v>2</v>
      </c>
      <c r="F125" s="3" t="s">
        <v>64</v>
      </c>
      <c r="H125" s="3">
        <v>1.5790000000000004</v>
      </c>
      <c r="I125" s="10">
        <f t="shared" si="13"/>
        <v>0</v>
      </c>
      <c r="J125" s="3">
        <v>0</v>
      </c>
      <c r="K125" s="3">
        <v>0</v>
      </c>
      <c r="L125" s="3">
        <f t="shared" si="14"/>
        <v>0</v>
      </c>
      <c r="N125" s="11">
        <f t="shared" si="15"/>
        <v>1.5790000000000004</v>
      </c>
      <c r="O125" s="3">
        <v>0</v>
      </c>
      <c r="P125" s="11">
        <f t="shared" si="16"/>
        <v>9999</v>
      </c>
      <c r="Q125" s="12">
        <f t="shared" si="17"/>
        <v>9999</v>
      </c>
      <c r="R125" s="13">
        <f t="shared" si="18"/>
        <v>2808.4139598508455</v>
      </c>
      <c r="S125" s="3" t="s">
        <v>31</v>
      </c>
      <c r="T125" s="3" t="s">
        <v>35</v>
      </c>
      <c r="U125" s="10">
        <v>0</v>
      </c>
      <c r="V125" s="3">
        <v>0</v>
      </c>
      <c r="W125" s="3">
        <f t="shared" si="19"/>
        <v>0</v>
      </c>
      <c r="AA125" s="3">
        <v>5.4</v>
      </c>
    </row>
    <row r="126" spans="1:27" x14ac:dyDescent="0.3">
      <c r="A126" s="3" t="str">
        <f t="shared" si="10"/>
        <v>North9430119901320</v>
      </c>
      <c r="B126" s="3" t="str">
        <f t="shared" si="11"/>
        <v>Pan9430119901320</v>
      </c>
      <c r="C126" s="10">
        <v>9430119901320</v>
      </c>
      <c r="D126" s="10" t="str">
        <f t="shared" si="12"/>
        <v>9430119901</v>
      </c>
      <c r="E126" s="3" t="s">
        <v>2</v>
      </c>
      <c r="F126" s="3" t="s">
        <v>64</v>
      </c>
      <c r="H126" s="3">
        <v>0</v>
      </c>
      <c r="I126" s="10">
        <f t="shared" si="13"/>
        <v>0</v>
      </c>
      <c r="J126" s="3">
        <v>0</v>
      </c>
      <c r="K126" s="3">
        <v>0</v>
      </c>
      <c r="L126" s="3">
        <f t="shared" si="14"/>
        <v>0</v>
      </c>
      <c r="N126" s="11">
        <f t="shared" si="15"/>
        <v>0</v>
      </c>
      <c r="O126" s="3">
        <v>0</v>
      </c>
      <c r="P126" s="11">
        <f t="shared" si="16"/>
        <v>9999</v>
      </c>
      <c r="Q126" s="12">
        <f t="shared" si="17"/>
        <v>9999</v>
      </c>
      <c r="R126" s="13">
        <f t="shared" si="18"/>
        <v>154.21910285373258</v>
      </c>
      <c r="S126" s="3" t="s">
        <v>31</v>
      </c>
      <c r="T126" s="3" t="s">
        <v>35</v>
      </c>
      <c r="U126" s="10">
        <v>0</v>
      </c>
      <c r="V126" s="3">
        <v>0</v>
      </c>
      <c r="W126" s="3">
        <f t="shared" si="19"/>
        <v>0</v>
      </c>
      <c r="AA126" s="3">
        <v>5.4</v>
      </c>
    </row>
    <row r="127" spans="1:27" x14ac:dyDescent="0.3">
      <c r="A127" s="3" t="str">
        <f t="shared" si="10"/>
        <v>North9430119901250</v>
      </c>
      <c r="B127" s="3" t="str">
        <f t="shared" si="11"/>
        <v>Pan9430119901250</v>
      </c>
      <c r="C127" s="10">
        <v>9430119901250</v>
      </c>
      <c r="D127" s="10" t="str">
        <f t="shared" si="12"/>
        <v>9430119901</v>
      </c>
      <c r="E127" s="3" t="s">
        <v>2</v>
      </c>
      <c r="F127" s="3" t="s">
        <v>64</v>
      </c>
      <c r="H127" s="3">
        <v>1.0699999999999998</v>
      </c>
      <c r="I127" s="10">
        <f t="shared" si="13"/>
        <v>0</v>
      </c>
      <c r="J127" s="3">
        <v>0</v>
      </c>
      <c r="K127" s="3">
        <v>0</v>
      </c>
      <c r="L127" s="3">
        <f t="shared" si="14"/>
        <v>0</v>
      </c>
      <c r="N127" s="11">
        <f t="shared" si="15"/>
        <v>1.0699999999999998</v>
      </c>
      <c r="O127" s="3">
        <v>0</v>
      </c>
      <c r="P127" s="11">
        <f t="shared" si="16"/>
        <v>9999</v>
      </c>
      <c r="Q127" s="12">
        <f t="shared" si="17"/>
        <v>9999</v>
      </c>
      <c r="R127" s="13">
        <f t="shared" si="18"/>
        <v>9999</v>
      </c>
      <c r="S127" s="3" t="s">
        <v>31</v>
      </c>
      <c r="T127" s="3" t="s">
        <v>35</v>
      </c>
      <c r="U127" s="10">
        <v>0</v>
      </c>
      <c r="V127" s="3">
        <v>0</v>
      </c>
      <c r="W127" s="3">
        <f t="shared" si="19"/>
        <v>0</v>
      </c>
      <c r="AA127" s="3">
        <v>5.4</v>
      </c>
    </row>
    <row r="128" spans="1:27" ht="16.05" customHeight="1" x14ac:dyDescent="0.3">
      <c r="A128" s="3" t="str">
        <f t="shared" si="10"/>
        <v>North9430119902310</v>
      </c>
      <c r="B128" s="3" t="str">
        <f t="shared" si="11"/>
        <v>Pan9430119902310</v>
      </c>
      <c r="C128" s="10">
        <v>9430119902310</v>
      </c>
      <c r="D128" s="10" t="str">
        <f t="shared" si="12"/>
        <v>9430119902</v>
      </c>
      <c r="E128" s="3" t="s">
        <v>2</v>
      </c>
      <c r="F128" s="3" t="s">
        <v>64</v>
      </c>
      <c r="H128" s="3">
        <v>1.1100000000000001</v>
      </c>
      <c r="I128" s="10">
        <f t="shared" si="13"/>
        <v>0</v>
      </c>
      <c r="J128" s="3">
        <v>0</v>
      </c>
      <c r="K128" s="3">
        <v>0</v>
      </c>
      <c r="L128" s="3">
        <f t="shared" si="14"/>
        <v>0</v>
      </c>
      <c r="N128" s="11">
        <f t="shared" si="15"/>
        <v>1.1100000000000001</v>
      </c>
      <c r="O128" s="3">
        <v>0</v>
      </c>
      <c r="P128" s="11">
        <f t="shared" si="16"/>
        <v>9999</v>
      </c>
      <c r="Q128" s="12">
        <f t="shared" si="17"/>
        <v>9999</v>
      </c>
      <c r="R128" s="13">
        <f t="shared" si="18"/>
        <v>9999</v>
      </c>
      <c r="S128" s="3" t="s">
        <v>31</v>
      </c>
      <c r="T128" s="3" t="s">
        <v>35</v>
      </c>
      <c r="U128" s="10">
        <v>0</v>
      </c>
      <c r="V128" s="3">
        <v>0</v>
      </c>
      <c r="W128" s="3">
        <f t="shared" si="19"/>
        <v>0</v>
      </c>
      <c r="AA128" s="3">
        <v>5.4</v>
      </c>
    </row>
    <row r="129" spans="1:27" x14ac:dyDescent="0.3">
      <c r="A129" s="3" t="str">
        <f t="shared" si="10"/>
        <v>North9430119902320</v>
      </c>
      <c r="B129" s="3" t="str">
        <f t="shared" si="11"/>
        <v>Pan9430119902320</v>
      </c>
      <c r="C129" s="10">
        <v>9430119902320</v>
      </c>
      <c r="D129" s="10" t="str">
        <f t="shared" si="12"/>
        <v>9430119902</v>
      </c>
      <c r="E129" s="3" t="s">
        <v>2</v>
      </c>
      <c r="F129" s="3" t="s">
        <v>64</v>
      </c>
      <c r="H129" s="3">
        <v>6.8199999999999994</v>
      </c>
      <c r="I129" s="10">
        <f t="shared" si="13"/>
        <v>0</v>
      </c>
      <c r="J129" s="3">
        <v>0</v>
      </c>
      <c r="K129" s="3">
        <v>0</v>
      </c>
      <c r="L129" s="3">
        <f t="shared" si="14"/>
        <v>0</v>
      </c>
      <c r="N129" s="11">
        <f t="shared" si="15"/>
        <v>6.8199999999999994</v>
      </c>
      <c r="O129" s="3">
        <v>0</v>
      </c>
      <c r="P129" s="11">
        <f t="shared" si="16"/>
        <v>9999</v>
      </c>
      <c r="Q129" s="12">
        <f t="shared" si="17"/>
        <v>9999</v>
      </c>
      <c r="R129" s="13">
        <f t="shared" si="18"/>
        <v>9999</v>
      </c>
      <c r="S129" s="3" t="s">
        <v>31</v>
      </c>
      <c r="T129" s="3" t="s">
        <v>35</v>
      </c>
      <c r="U129" s="10">
        <v>0</v>
      </c>
      <c r="V129" s="3">
        <v>0</v>
      </c>
      <c r="W129" s="3">
        <f t="shared" si="19"/>
        <v>0</v>
      </c>
      <c r="AA129" s="3">
        <v>5.4</v>
      </c>
    </row>
    <row r="130" spans="1:27" x14ac:dyDescent="0.3">
      <c r="A130" s="3" t="str">
        <f t="shared" si="10"/>
        <v>North9430119900220</v>
      </c>
      <c r="B130" s="3" t="str">
        <f t="shared" si="11"/>
        <v>Pan9430119900220</v>
      </c>
      <c r="C130" s="10">
        <v>9430119900220</v>
      </c>
      <c r="D130" s="10" t="str">
        <f t="shared" si="12"/>
        <v>9430119900</v>
      </c>
      <c r="E130" s="3" t="s">
        <v>2</v>
      </c>
      <c r="F130" s="3" t="s">
        <v>64</v>
      </c>
      <c r="H130" s="3">
        <v>1.3080000000000003</v>
      </c>
      <c r="I130" s="10">
        <f t="shared" si="13"/>
        <v>0</v>
      </c>
      <c r="J130" s="3">
        <v>0</v>
      </c>
      <c r="K130" s="3">
        <v>0</v>
      </c>
      <c r="L130" s="3">
        <f t="shared" si="14"/>
        <v>0</v>
      </c>
      <c r="N130" s="11">
        <f t="shared" si="15"/>
        <v>1.3080000000000003</v>
      </c>
      <c r="O130" s="3">
        <v>0</v>
      </c>
      <c r="P130" s="11">
        <f t="shared" si="16"/>
        <v>9999</v>
      </c>
      <c r="Q130" s="12">
        <f t="shared" si="17"/>
        <v>9999</v>
      </c>
      <c r="R130" s="13">
        <f t="shared" si="18"/>
        <v>1507.1861279617206</v>
      </c>
      <c r="S130" s="3" t="s">
        <v>31</v>
      </c>
      <c r="T130" s="3" t="s">
        <v>35</v>
      </c>
      <c r="U130" s="10">
        <v>0</v>
      </c>
      <c r="V130" s="3">
        <v>0</v>
      </c>
      <c r="W130" s="3">
        <f t="shared" si="19"/>
        <v>0</v>
      </c>
      <c r="AA130" s="3">
        <v>5.4</v>
      </c>
    </row>
    <row r="131" spans="1:27" x14ac:dyDescent="0.3">
      <c r="A131" s="3" t="str">
        <f t="shared" si="10"/>
        <v>North9430119900250</v>
      </c>
      <c r="B131" s="3" t="str">
        <f t="shared" si="11"/>
        <v>Pan9430119900250</v>
      </c>
      <c r="C131" s="10">
        <v>9430119900250</v>
      </c>
      <c r="D131" s="10" t="str">
        <f t="shared" si="12"/>
        <v>9430119900</v>
      </c>
      <c r="E131" s="3" t="s">
        <v>2</v>
      </c>
      <c r="F131" s="3" t="s">
        <v>64</v>
      </c>
      <c r="H131" s="3">
        <v>0.31</v>
      </c>
      <c r="I131" s="10">
        <f t="shared" si="13"/>
        <v>0</v>
      </c>
      <c r="J131" s="3">
        <v>0</v>
      </c>
      <c r="K131" s="3">
        <v>0</v>
      </c>
      <c r="L131" s="3">
        <f t="shared" si="14"/>
        <v>0</v>
      </c>
      <c r="N131" s="11">
        <f t="shared" si="15"/>
        <v>0.31</v>
      </c>
      <c r="O131" s="3">
        <v>0</v>
      </c>
      <c r="P131" s="11">
        <f t="shared" si="16"/>
        <v>9999</v>
      </c>
      <c r="Q131" s="12">
        <f t="shared" si="17"/>
        <v>9999</v>
      </c>
      <c r="R131" s="13">
        <f t="shared" si="18"/>
        <v>115.61189076937448</v>
      </c>
      <c r="S131" s="3" t="s">
        <v>31</v>
      </c>
      <c r="T131" s="3" t="s">
        <v>35</v>
      </c>
      <c r="U131" s="10">
        <v>0</v>
      </c>
      <c r="V131" s="3">
        <v>0</v>
      </c>
      <c r="W131" s="3">
        <f t="shared" si="19"/>
        <v>0</v>
      </c>
      <c r="AA131" s="3">
        <v>5.4</v>
      </c>
    </row>
    <row r="132" spans="1:27" x14ac:dyDescent="0.3">
      <c r="A132" s="3" t="str">
        <f t="shared" ref="A132:A195" si="20">_xlfn.CONCAT(F132,C132)</f>
        <v>North9430119900310</v>
      </c>
      <c r="B132" s="3" t="str">
        <f t="shared" ref="B132:B195" si="21">_xlfn.CONCAT(E132,C132)</f>
        <v>Pan9430119900310</v>
      </c>
      <c r="C132" s="10">
        <v>9430119900310</v>
      </c>
      <c r="D132" s="10" t="str">
        <f t="shared" ref="D132:D195" si="22">LEFT(C132,10)</f>
        <v>9430119900</v>
      </c>
      <c r="E132" s="3" t="s">
        <v>2</v>
      </c>
      <c r="F132" s="3" t="s">
        <v>64</v>
      </c>
      <c r="H132" s="3">
        <v>0</v>
      </c>
      <c r="I132" s="10">
        <f t="shared" ref="I132:I195" si="23">IFERROR(H132/J132*30,0)</f>
        <v>0</v>
      </c>
      <c r="J132" s="3">
        <v>0</v>
      </c>
      <c r="K132" s="3">
        <v>0</v>
      </c>
      <c r="L132" s="3">
        <f t="shared" ref="L132:L195" si="24">M132*G132</f>
        <v>0</v>
      </c>
      <c r="N132" s="11">
        <f t="shared" ref="N132:N195" si="25">H132-J132+L132</f>
        <v>0</v>
      </c>
      <c r="O132" s="3">
        <v>0</v>
      </c>
      <c r="P132" s="11">
        <f t="shared" ref="P132:P195" si="26">IF(O132=0,9999,N132/O132*30)</f>
        <v>9999</v>
      </c>
      <c r="Q132" s="12">
        <f t="shared" ref="Q132:Q195" si="27">IF(SUMIF($A:$A,$A132,$O:$O)=0,9999,SUMIF($A:$A,$A132,$N:$N)*30/SUMIF($A:$A,$A132,$O:$O))</f>
        <v>9999</v>
      </c>
      <c r="R132" s="13">
        <f t="shared" ref="R132:R195" si="28">IF(SUMIF($C:$C,$C132,$O:$O)=0,9999,SUMIF($C:$C,$C132,$N:$N)*30/SUMIF($C:$C,$C132,$O:$O))</f>
        <v>58.484369693341321</v>
      </c>
      <c r="S132" s="3" t="s">
        <v>31</v>
      </c>
      <c r="T132" s="3" t="s">
        <v>35</v>
      </c>
      <c r="U132" s="10">
        <v>0</v>
      </c>
      <c r="V132" s="3">
        <v>0</v>
      </c>
      <c r="W132" s="3">
        <f t="shared" ref="W132:W195" si="29">IFERROR(K132*V132,0)</f>
        <v>0</v>
      </c>
      <c r="AA132" s="3">
        <v>5.4</v>
      </c>
    </row>
    <row r="133" spans="1:27" ht="16.05" customHeight="1" x14ac:dyDescent="0.3">
      <c r="A133" s="3" t="str">
        <f t="shared" si="20"/>
        <v>North9430119900320</v>
      </c>
      <c r="B133" s="3" t="str">
        <f t="shared" si="21"/>
        <v>Pan9430119900320</v>
      </c>
      <c r="C133" s="10">
        <v>9430119900320</v>
      </c>
      <c r="D133" s="10" t="str">
        <f t="shared" si="22"/>
        <v>9430119900</v>
      </c>
      <c r="E133" s="3" t="s">
        <v>2</v>
      </c>
      <c r="F133" s="3" t="s">
        <v>64</v>
      </c>
      <c r="H133" s="3">
        <v>0.06</v>
      </c>
      <c r="I133" s="10">
        <f t="shared" si="23"/>
        <v>0</v>
      </c>
      <c r="J133" s="3">
        <v>0</v>
      </c>
      <c r="K133" s="3">
        <v>0</v>
      </c>
      <c r="L133" s="3">
        <f t="shared" si="24"/>
        <v>0</v>
      </c>
      <c r="N133" s="11">
        <f t="shared" si="25"/>
        <v>0.06</v>
      </c>
      <c r="O133" s="3">
        <v>0</v>
      </c>
      <c r="P133" s="11">
        <f t="shared" si="26"/>
        <v>9999</v>
      </c>
      <c r="Q133" s="12">
        <f t="shared" si="27"/>
        <v>9999</v>
      </c>
      <c r="R133" s="13">
        <f t="shared" si="28"/>
        <v>20.328406414680188</v>
      </c>
      <c r="S133" s="3" t="s">
        <v>31</v>
      </c>
      <c r="T133" s="3" t="s">
        <v>35</v>
      </c>
      <c r="U133" s="10">
        <v>0</v>
      </c>
      <c r="V133" s="3">
        <v>0</v>
      </c>
      <c r="W133" s="3">
        <f t="shared" si="29"/>
        <v>0</v>
      </c>
      <c r="AA133" s="3">
        <v>5.4</v>
      </c>
    </row>
    <row r="134" spans="1:27" x14ac:dyDescent="0.3">
      <c r="A134" s="3" t="str">
        <f t="shared" si="20"/>
        <v>North9430119901220</v>
      </c>
      <c r="B134" s="3" t="str">
        <f t="shared" si="21"/>
        <v>Pan9430119901220</v>
      </c>
      <c r="C134" s="10">
        <v>9430119901220</v>
      </c>
      <c r="D134" s="10" t="str">
        <f t="shared" si="22"/>
        <v>9430119901</v>
      </c>
      <c r="E134" s="3" t="s">
        <v>2</v>
      </c>
      <c r="F134" s="3" t="s">
        <v>64</v>
      </c>
      <c r="H134" s="3">
        <v>3.7600000000000007</v>
      </c>
      <c r="I134" s="10">
        <f t="shared" si="23"/>
        <v>0</v>
      </c>
      <c r="J134" s="3">
        <v>0</v>
      </c>
      <c r="K134" s="3">
        <v>0</v>
      </c>
      <c r="L134" s="3">
        <f t="shared" si="24"/>
        <v>0</v>
      </c>
      <c r="N134" s="11">
        <f t="shared" si="25"/>
        <v>3.7600000000000007</v>
      </c>
      <c r="O134" s="3">
        <v>0</v>
      </c>
      <c r="P134" s="11">
        <f t="shared" si="26"/>
        <v>9999</v>
      </c>
      <c r="Q134" s="12">
        <f t="shared" si="27"/>
        <v>9999</v>
      </c>
      <c r="R134" s="13">
        <f t="shared" si="28"/>
        <v>9999</v>
      </c>
      <c r="S134" s="3" t="s">
        <v>31</v>
      </c>
      <c r="T134" s="3" t="s">
        <v>35</v>
      </c>
      <c r="U134" s="10">
        <v>0</v>
      </c>
      <c r="V134" s="3">
        <v>0</v>
      </c>
      <c r="W134" s="3">
        <f t="shared" si="29"/>
        <v>0</v>
      </c>
      <c r="AA134" s="3">
        <v>5.4</v>
      </c>
    </row>
    <row r="135" spans="1:27" x14ac:dyDescent="0.3">
      <c r="A135" s="3" t="str">
        <f t="shared" si="20"/>
        <v>North9430119901310</v>
      </c>
      <c r="B135" s="3" t="str">
        <f t="shared" si="21"/>
        <v>Pan9430119901310</v>
      </c>
      <c r="C135" s="10">
        <v>9430119901310</v>
      </c>
      <c r="D135" s="10" t="str">
        <f t="shared" si="22"/>
        <v>9430119901</v>
      </c>
      <c r="E135" s="3" t="s">
        <v>2</v>
      </c>
      <c r="F135" s="3" t="s">
        <v>64</v>
      </c>
      <c r="H135" s="3">
        <v>1.08</v>
      </c>
      <c r="I135" s="10">
        <f t="shared" si="23"/>
        <v>0</v>
      </c>
      <c r="J135" s="3">
        <v>0</v>
      </c>
      <c r="K135" s="3">
        <v>0</v>
      </c>
      <c r="L135" s="3">
        <f t="shared" si="24"/>
        <v>0</v>
      </c>
      <c r="N135" s="11">
        <f t="shared" si="25"/>
        <v>1.08</v>
      </c>
      <c r="O135" s="3">
        <v>0</v>
      </c>
      <c r="P135" s="11">
        <f t="shared" si="26"/>
        <v>9999</v>
      </c>
      <c r="Q135" s="12">
        <f t="shared" si="27"/>
        <v>9999</v>
      </c>
      <c r="R135" s="13">
        <f t="shared" si="28"/>
        <v>1841.6460679754766</v>
      </c>
      <c r="S135" s="3" t="s">
        <v>31</v>
      </c>
      <c r="T135" s="3" t="s">
        <v>35</v>
      </c>
      <c r="U135" s="10">
        <v>0</v>
      </c>
      <c r="V135" s="3">
        <v>0</v>
      </c>
      <c r="W135" s="3">
        <f t="shared" si="29"/>
        <v>0</v>
      </c>
      <c r="AA135" s="3">
        <v>5.4</v>
      </c>
    </row>
    <row r="136" spans="1:27" x14ac:dyDescent="0.3">
      <c r="A136" s="3" t="str">
        <f t="shared" si="20"/>
        <v>North9430119902250</v>
      </c>
      <c r="B136" s="3" t="str">
        <f t="shared" si="21"/>
        <v>Pan9430119902250</v>
      </c>
      <c r="C136" s="10">
        <v>9430119902250</v>
      </c>
      <c r="D136" s="10" t="str">
        <f t="shared" si="22"/>
        <v>9430119902</v>
      </c>
      <c r="E136" s="3" t="s">
        <v>2</v>
      </c>
      <c r="F136" s="3" t="s">
        <v>64</v>
      </c>
      <c r="H136" s="3">
        <v>0.76</v>
      </c>
      <c r="I136" s="10">
        <f t="shared" si="23"/>
        <v>0</v>
      </c>
      <c r="J136" s="3">
        <v>0</v>
      </c>
      <c r="K136" s="3">
        <v>0</v>
      </c>
      <c r="L136" s="3">
        <f t="shared" si="24"/>
        <v>0</v>
      </c>
      <c r="N136" s="11">
        <f t="shared" si="25"/>
        <v>0.76</v>
      </c>
      <c r="O136" s="3">
        <v>0</v>
      </c>
      <c r="P136" s="11">
        <f t="shared" si="26"/>
        <v>9999</v>
      </c>
      <c r="Q136" s="12">
        <f t="shared" si="27"/>
        <v>9999</v>
      </c>
      <c r="R136" s="13">
        <f t="shared" si="28"/>
        <v>9999</v>
      </c>
      <c r="S136" s="3" t="s">
        <v>31</v>
      </c>
      <c r="T136" s="3" t="s">
        <v>35</v>
      </c>
      <c r="U136" s="10">
        <v>0</v>
      </c>
      <c r="V136" s="3">
        <v>0</v>
      </c>
      <c r="W136" s="3">
        <f t="shared" si="29"/>
        <v>0</v>
      </c>
      <c r="AA136" s="3">
        <v>5.4</v>
      </c>
    </row>
    <row r="137" spans="1:27" x14ac:dyDescent="0.3">
      <c r="A137" s="3" t="str">
        <f t="shared" si="20"/>
        <v>North9430119902220</v>
      </c>
      <c r="B137" s="3" t="str">
        <f t="shared" si="21"/>
        <v>Pan9430119902220</v>
      </c>
      <c r="C137" s="10">
        <v>9430119902220</v>
      </c>
      <c r="D137" s="10" t="str">
        <f t="shared" si="22"/>
        <v>9430119902</v>
      </c>
      <c r="E137" s="3" t="s">
        <v>2</v>
      </c>
      <c r="F137" s="3" t="s">
        <v>64</v>
      </c>
      <c r="H137" s="3">
        <v>1.8920000000000003</v>
      </c>
      <c r="I137" s="10">
        <f t="shared" si="23"/>
        <v>0</v>
      </c>
      <c r="J137" s="3">
        <v>0</v>
      </c>
      <c r="K137" s="3">
        <v>0</v>
      </c>
      <c r="L137" s="3">
        <f t="shared" si="24"/>
        <v>0</v>
      </c>
      <c r="N137" s="11">
        <f t="shared" si="25"/>
        <v>1.8920000000000003</v>
      </c>
      <c r="O137" s="3">
        <v>0</v>
      </c>
      <c r="P137" s="11">
        <f t="shared" si="26"/>
        <v>9999</v>
      </c>
      <c r="Q137" s="12">
        <f t="shared" si="27"/>
        <v>9999</v>
      </c>
      <c r="R137" s="13">
        <f t="shared" si="28"/>
        <v>9999</v>
      </c>
      <c r="S137" s="3" t="s">
        <v>31</v>
      </c>
      <c r="T137" s="3" t="s">
        <v>35</v>
      </c>
      <c r="U137" s="10">
        <v>0</v>
      </c>
      <c r="V137" s="3">
        <v>0</v>
      </c>
      <c r="W137" s="3">
        <f t="shared" si="29"/>
        <v>0</v>
      </c>
      <c r="AA137" s="3">
        <v>5.4</v>
      </c>
    </row>
    <row r="138" spans="1:27" x14ac:dyDescent="0.3">
      <c r="A138" s="3" t="str">
        <f t="shared" si="20"/>
        <v>North9430119902210</v>
      </c>
      <c r="B138" s="3" t="str">
        <f t="shared" si="21"/>
        <v>Pan9430119902210</v>
      </c>
      <c r="C138" s="10">
        <v>9430119902210</v>
      </c>
      <c r="D138" s="10" t="str">
        <f t="shared" si="22"/>
        <v>9430119902</v>
      </c>
      <c r="E138" s="3" t="s">
        <v>2</v>
      </c>
      <c r="F138" s="3" t="s">
        <v>64</v>
      </c>
      <c r="H138" s="3">
        <v>1.2230000000000001</v>
      </c>
      <c r="I138" s="10">
        <f t="shared" si="23"/>
        <v>0</v>
      </c>
      <c r="J138" s="3">
        <v>0</v>
      </c>
      <c r="K138" s="3">
        <v>0</v>
      </c>
      <c r="L138" s="3">
        <f t="shared" si="24"/>
        <v>0</v>
      </c>
      <c r="N138" s="11">
        <f t="shared" si="25"/>
        <v>1.2230000000000001</v>
      </c>
      <c r="O138" s="3">
        <v>0</v>
      </c>
      <c r="P138" s="11">
        <f t="shared" si="26"/>
        <v>9999</v>
      </c>
      <c r="Q138" s="12">
        <f t="shared" si="27"/>
        <v>9999</v>
      </c>
      <c r="R138" s="13">
        <f t="shared" si="28"/>
        <v>9999</v>
      </c>
      <c r="S138" s="3" t="s">
        <v>31</v>
      </c>
      <c r="T138" s="3" t="s">
        <v>35</v>
      </c>
      <c r="U138" s="10">
        <v>0</v>
      </c>
      <c r="V138" s="3">
        <v>0</v>
      </c>
      <c r="W138" s="3">
        <f t="shared" si="29"/>
        <v>0</v>
      </c>
      <c r="AA138" s="3">
        <v>5.4</v>
      </c>
    </row>
    <row r="139" spans="1:27" x14ac:dyDescent="0.3">
      <c r="A139" s="3" t="str">
        <f t="shared" si="20"/>
        <v>East9430119900320</v>
      </c>
      <c r="B139" s="3" t="str">
        <f t="shared" si="21"/>
        <v>KGP9430119900320</v>
      </c>
      <c r="C139" s="10">
        <v>9430119900320</v>
      </c>
      <c r="D139" s="10" t="str">
        <f t="shared" si="22"/>
        <v>9430119900</v>
      </c>
      <c r="E139" s="3" t="s">
        <v>6</v>
      </c>
      <c r="F139" s="3" t="s">
        <v>66</v>
      </c>
      <c r="H139" s="3">
        <v>0.22</v>
      </c>
      <c r="I139" s="10">
        <f t="shared" si="23"/>
        <v>0</v>
      </c>
      <c r="J139" s="3">
        <v>0</v>
      </c>
      <c r="K139" s="3">
        <v>0</v>
      </c>
      <c r="L139" s="3">
        <f t="shared" si="24"/>
        <v>0</v>
      </c>
      <c r="N139" s="11">
        <f t="shared" si="25"/>
        <v>0.22</v>
      </c>
      <c r="O139" s="3">
        <v>0</v>
      </c>
      <c r="P139" s="11">
        <f t="shared" si="26"/>
        <v>9999</v>
      </c>
      <c r="Q139" s="12">
        <f t="shared" si="27"/>
        <v>9999</v>
      </c>
      <c r="R139" s="13">
        <f t="shared" si="28"/>
        <v>20.328406414680188</v>
      </c>
      <c r="S139" s="3" t="s">
        <v>31</v>
      </c>
      <c r="T139" s="3" t="s">
        <v>35</v>
      </c>
      <c r="U139" s="10">
        <v>0</v>
      </c>
      <c r="V139" s="3">
        <v>0</v>
      </c>
      <c r="W139" s="3">
        <f t="shared" si="29"/>
        <v>0</v>
      </c>
      <c r="AA139" s="3">
        <v>5.4</v>
      </c>
    </row>
    <row r="140" spans="1:27" x14ac:dyDescent="0.3">
      <c r="A140" s="3" t="str">
        <f t="shared" si="20"/>
        <v>East9430119901210</v>
      </c>
      <c r="B140" s="3" t="str">
        <f t="shared" si="21"/>
        <v>KGP9430119901210</v>
      </c>
      <c r="C140" s="10">
        <v>9430119901210</v>
      </c>
      <c r="D140" s="10" t="str">
        <f t="shared" si="22"/>
        <v>9430119901</v>
      </c>
      <c r="E140" s="3" t="s">
        <v>6</v>
      </c>
      <c r="F140" s="3" t="s">
        <v>66</v>
      </c>
      <c r="H140" s="3">
        <v>2.5770000000000004</v>
      </c>
      <c r="I140" s="10">
        <f t="shared" si="23"/>
        <v>0</v>
      </c>
      <c r="J140" s="3">
        <v>0</v>
      </c>
      <c r="K140" s="3">
        <v>0</v>
      </c>
      <c r="L140" s="3">
        <f t="shared" si="24"/>
        <v>0</v>
      </c>
      <c r="N140" s="11">
        <f t="shared" si="25"/>
        <v>2.5770000000000004</v>
      </c>
      <c r="O140" s="3">
        <v>0</v>
      </c>
      <c r="P140" s="11">
        <f t="shared" si="26"/>
        <v>9999</v>
      </c>
      <c r="Q140" s="12">
        <f t="shared" si="27"/>
        <v>9999</v>
      </c>
      <c r="R140" s="13">
        <f t="shared" si="28"/>
        <v>9999</v>
      </c>
      <c r="S140" s="3" t="s">
        <v>31</v>
      </c>
      <c r="T140" s="3" t="s">
        <v>35</v>
      </c>
      <c r="U140" s="10">
        <v>0</v>
      </c>
      <c r="V140" s="3">
        <v>0</v>
      </c>
      <c r="W140" s="3">
        <f t="shared" si="29"/>
        <v>0</v>
      </c>
      <c r="AA140" s="3">
        <v>5.4</v>
      </c>
    </row>
    <row r="141" spans="1:27" x14ac:dyDescent="0.3">
      <c r="A141" s="3" t="str">
        <f t="shared" si="20"/>
        <v>East9430119902250</v>
      </c>
      <c r="B141" s="3" t="str">
        <f t="shared" si="21"/>
        <v>KGP9430119902250</v>
      </c>
      <c r="C141" s="10">
        <v>9430119902250</v>
      </c>
      <c r="D141" s="10" t="str">
        <f t="shared" si="22"/>
        <v>9430119902</v>
      </c>
      <c r="E141" s="3" t="s">
        <v>6</v>
      </c>
      <c r="F141" s="3" t="s">
        <v>66</v>
      </c>
      <c r="H141" s="3">
        <v>2.855</v>
      </c>
      <c r="I141" s="10">
        <f t="shared" si="23"/>
        <v>0</v>
      </c>
      <c r="J141" s="3">
        <v>0</v>
      </c>
      <c r="K141" s="3">
        <v>0</v>
      </c>
      <c r="L141" s="3">
        <f t="shared" si="24"/>
        <v>0</v>
      </c>
      <c r="N141" s="11">
        <f t="shared" si="25"/>
        <v>2.855</v>
      </c>
      <c r="O141" s="3">
        <v>0</v>
      </c>
      <c r="P141" s="11">
        <f t="shared" si="26"/>
        <v>9999</v>
      </c>
      <c r="Q141" s="12">
        <f t="shared" si="27"/>
        <v>9999</v>
      </c>
      <c r="R141" s="13">
        <f t="shared" si="28"/>
        <v>9999</v>
      </c>
      <c r="S141" s="3" t="s">
        <v>31</v>
      </c>
      <c r="T141" s="3" t="s">
        <v>35</v>
      </c>
      <c r="U141" s="10">
        <v>0</v>
      </c>
      <c r="V141" s="3">
        <v>0</v>
      </c>
      <c r="W141" s="3">
        <f t="shared" si="29"/>
        <v>0</v>
      </c>
      <c r="AA141" s="3">
        <v>5.4</v>
      </c>
    </row>
    <row r="142" spans="1:27" x14ac:dyDescent="0.3">
      <c r="A142" s="3" t="str">
        <f t="shared" si="20"/>
        <v>East9430119902310</v>
      </c>
      <c r="B142" s="3" t="str">
        <f t="shared" si="21"/>
        <v>KGP9430119902310</v>
      </c>
      <c r="C142" s="10">
        <v>9430119902310</v>
      </c>
      <c r="D142" s="10" t="str">
        <f t="shared" si="22"/>
        <v>9430119902</v>
      </c>
      <c r="E142" s="3" t="s">
        <v>6</v>
      </c>
      <c r="F142" s="3" t="s">
        <v>66</v>
      </c>
      <c r="H142" s="3">
        <v>0.16999999999999998</v>
      </c>
      <c r="I142" s="10">
        <f t="shared" si="23"/>
        <v>0</v>
      </c>
      <c r="J142" s="3">
        <v>0</v>
      </c>
      <c r="K142" s="3">
        <v>0</v>
      </c>
      <c r="L142" s="3">
        <f t="shared" si="24"/>
        <v>0</v>
      </c>
      <c r="N142" s="11">
        <f t="shared" si="25"/>
        <v>0.16999999999999998</v>
      </c>
      <c r="O142" s="3">
        <v>0</v>
      </c>
      <c r="P142" s="11">
        <f t="shared" si="26"/>
        <v>9999</v>
      </c>
      <c r="Q142" s="12">
        <f t="shared" si="27"/>
        <v>9999</v>
      </c>
      <c r="R142" s="13">
        <f t="shared" si="28"/>
        <v>9999</v>
      </c>
      <c r="S142" s="3" t="s">
        <v>31</v>
      </c>
      <c r="T142" s="3" t="s">
        <v>35</v>
      </c>
      <c r="U142" s="10">
        <v>0</v>
      </c>
      <c r="V142" s="3">
        <v>0</v>
      </c>
      <c r="W142" s="3">
        <f t="shared" si="29"/>
        <v>0</v>
      </c>
      <c r="AA142" s="3">
        <v>5.4</v>
      </c>
    </row>
    <row r="143" spans="1:27" x14ac:dyDescent="0.3">
      <c r="A143" s="3" t="str">
        <f t="shared" si="20"/>
        <v>East9430119901220</v>
      </c>
      <c r="B143" s="3" t="str">
        <f t="shared" si="21"/>
        <v>KGP9430119901220</v>
      </c>
      <c r="C143" s="10">
        <v>9430119901220</v>
      </c>
      <c r="D143" s="10" t="str">
        <f t="shared" si="22"/>
        <v>9430119901</v>
      </c>
      <c r="E143" s="3" t="s">
        <v>6</v>
      </c>
      <c r="F143" s="3" t="s">
        <v>66</v>
      </c>
      <c r="H143" s="3">
        <v>1.9720000000000004</v>
      </c>
      <c r="I143" s="10">
        <f t="shared" si="23"/>
        <v>0</v>
      </c>
      <c r="J143" s="3">
        <v>0</v>
      </c>
      <c r="K143" s="3">
        <v>0</v>
      </c>
      <c r="L143" s="3">
        <f t="shared" si="24"/>
        <v>0</v>
      </c>
      <c r="N143" s="11">
        <f t="shared" si="25"/>
        <v>1.9720000000000004</v>
      </c>
      <c r="O143" s="3">
        <v>0</v>
      </c>
      <c r="P143" s="11">
        <f t="shared" si="26"/>
        <v>9999</v>
      </c>
      <c r="Q143" s="12">
        <f t="shared" si="27"/>
        <v>9999</v>
      </c>
      <c r="R143" s="13">
        <f t="shared" si="28"/>
        <v>9999</v>
      </c>
      <c r="S143" s="3" t="s">
        <v>31</v>
      </c>
      <c r="T143" s="3" t="s">
        <v>35</v>
      </c>
      <c r="U143" s="10">
        <v>0</v>
      </c>
      <c r="V143" s="3">
        <v>0</v>
      </c>
      <c r="W143" s="3">
        <f t="shared" si="29"/>
        <v>0</v>
      </c>
      <c r="AA143" s="3">
        <v>5.4</v>
      </c>
    </row>
    <row r="144" spans="1:27" x14ac:dyDescent="0.3">
      <c r="A144" s="3" t="str">
        <f t="shared" si="20"/>
        <v>East9430119900250</v>
      </c>
      <c r="B144" s="3" t="str">
        <f t="shared" si="21"/>
        <v>KGP9430119900250</v>
      </c>
      <c r="C144" s="10">
        <v>9430119900250</v>
      </c>
      <c r="D144" s="10" t="str">
        <f t="shared" si="22"/>
        <v>9430119900</v>
      </c>
      <c r="E144" s="3" t="s">
        <v>6</v>
      </c>
      <c r="F144" s="3" t="s">
        <v>66</v>
      </c>
      <c r="H144" s="3">
        <v>6.5000000000000002E-2</v>
      </c>
      <c r="I144" s="10">
        <f t="shared" si="23"/>
        <v>0</v>
      </c>
      <c r="J144" s="3">
        <v>0</v>
      </c>
      <c r="K144" s="3">
        <v>0</v>
      </c>
      <c r="L144" s="3">
        <f t="shared" si="24"/>
        <v>0</v>
      </c>
      <c r="N144" s="11">
        <f t="shared" si="25"/>
        <v>6.5000000000000002E-2</v>
      </c>
      <c r="O144" s="3">
        <v>0</v>
      </c>
      <c r="P144" s="11">
        <f t="shared" si="26"/>
        <v>9999</v>
      </c>
      <c r="Q144" s="12">
        <f t="shared" si="27"/>
        <v>9999</v>
      </c>
      <c r="R144" s="13">
        <f t="shared" si="28"/>
        <v>115.61189076937448</v>
      </c>
      <c r="S144" s="3" t="s">
        <v>31</v>
      </c>
      <c r="T144" s="3" t="s">
        <v>35</v>
      </c>
      <c r="U144" s="10">
        <v>0</v>
      </c>
      <c r="V144" s="3">
        <v>0</v>
      </c>
      <c r="W144" s="3">
        <f t="shared" si="29"/>
        <v>0</v>
      </c>
      <c r="AA144" s="3">
        <v>5.4</v>
      </c>
    </row>
    <row r="145" spans="1:27" x14ac:dyDescent="0.3">
      <c r="A145" s="3" t="str">
        <f t="shared" si="20"/>
        <v>East9430119901250</v>
      </c>
      <c r="B145" s="3" t="str">
        <f t="shared" si="21"/>
        <v>KGP9430119901250</v>
      </c>
      <c r="C145" s="10">
        <v>9430119901250</v>
      </c>
      <c r="D145" s="10" t="str">
        <f t="shared" si="22"/>
        <v>9430119901</v>
      </c>
      <c r="E145" s="3" t="s">
        <v>6</v>
      </c>
      <c r="F145" s="3" t="s">
        <v>66</v>
      </c>
      <c r="H145" s="3">
        <v>0.93500000000000005</v>
      </c>
      <c r="I145" s="10">
        <f t="shared" si="23"/>
        <v>0</v>
      </c>
      <c r="J145" s="3">
        <v>0</v>
      </c>
      <c r="K145" s="3">
        <v>0</v>
      </c>
      <c r="L145" s="3">
        <f t="shared" si="24"/>
        <v>0</v>
      </c>
      <c r="N145" s="11">
        <f t="shared" si="25"/>
        <v>0.93500000000000005</v>
      </c>
      <c r="O145" s="3">
        <v>0</v>
      </c>
      <c r="P145" s="11">
        <f t="shared" si="26"/>
        <v>9999</v>
      </c>
      <c r="Q145" s="12">
        <f t="shared" si="27"/>
        <v>9999</v>
      </c>
      <c r="R145" s="13">
        <f t="shared" si="28"/>
        <v>9999</v>
      </c>
      <c r="S145" s="3" t="s">
        <v>31</v>
      </c>
      <c r="T145" s="3" t="s">
        <v>35</v>
      </c>
      <c r="U145" s="10">
        <v>0</v>
      </c>
      <c r="V145" s="3">
        <v>0</v>
      </c>
      <c r="W145" s="3">
        <f t="shared" si="29"/>
        <v>0</v>
      </c>
      <c r="AA145" s="3">
        <v>5.4</v>
      </c>
    </row>
    <row r="146" spans="1:27" x14ac:dyDescent="0.3">
      <c r="A146" s="3" t="str">
        <f t="shared" si="20"/>
        <v>East9430119900310</v>
      </c>
      <c r="B146" s="3" t="str">
        <f t="shared" si="21"/>
        <v>KGP9430119900310</v>
      </c>
      <c r="C146" s="10">
        <v>9430119900310</v>
      </c>
      <c r="D146" s="10" t="str">
        <f t="shared" si="22"/>
        <v>9430119900</v>
      </c>
      <c r="E146" s="3" t="s">
        <v>6</v>
      </c>
      <c r="F146" s="3" t="s">
        <v>66</v>
      </c>
      <c r="H146" s="3">
        <v>0.01</v>
      </c>
      <c r="I146" s="10">
        <f t="shared" si="23"/>
        <v>0</v>
      </c>
      <c r="J146" s="3">
        <v>0</v>
      </c>
      <c r="K146" s="3">
        <v>0</v>
      </c>
      <c r="L146" s="3">
        <f t="shared" si="24"/>
        <v>0</v>
      </c>
      <c r="N146" s="11">
        <f t="shared" si="25"/>
        <v>0.01</v>
      </c>
      <c r="O146" s="3">
        <v>0</v>
      </c>
      <c r="P146" s="11">
        <f t="shared" si="26"/>
        <v>9999</v>
      </c>
      <c r="Q146" s="12">
        <f t="shared" si="27"/>
        <v>9999</v>
      </c>
      <c r="R146" s="13">
        <f t="shared" si="28"/>
        <v>58.484369693341321</v>
      </c>
      <c r="S146" s="3" t="s">
        <v>31</v>
      </c>
      <c r="T146" s="3" t="s">
        <v>35</v>
      </c>
      <c r="U146" s="10">
        <v>0</v>
      </c>
      <c r="V146" s="3">
        <v>0</v>
      </c>
      <c r="W146" s="3">
        <f t="shared" si="29"/>
        <v>0</v>
      </c>
      <c r="AA146" s="3">
        <v>5.4</v>
      </c>
    </row>
    <row r="147" spans="1:27" ht="16.05" customHeight="1" x14ac:dyDescent="0.3">
      <c r="A147" s="3" t="str">
        <f t="shared" si="20"/>
        <v>East9430119901310</v>
      </c>
      <c r="B147" s="3" t="str">
        <f t="shared" si="21"/>
        <v>KGP9430119901310</v>
      </c>
      <c r="C147" s="10">
        <v>9430119901310</v>
      </c>
      <c r="D147" s="10" t="str">
        <f t="shared" si="22"/>
        <v>9430119901</v>
      </c>
      <c r="E147" s="3" t="s">
        <v>6</v>
      </c>
      <c r="F147" s="3" t="s">
        <v>66</v>
      </c>
      <c r="H147" s="3">
        <v>0.09</v>
      </c>
      <c r="I147" s="10">
        <f t="shared" si="23"/>
        <v>0</v>
      </c>
      <c r="J147" s="3">
        <v>0</v>
      </c>
      <c r="K147" s="3">
        <v>0</v>
      </c>
      <c r="L147" s="3">
        <f t="shared" si="24"/>
        <v>0</v>
      </c>
      <c r="N147" s="11">
        <f t="shared" si="25"/>
        <v>0.09</v>
      </c>
      <c r="O147" s="3">
        <v>0</v>
      </c>
      <c r="P147" s="11">
        <f t="shared" si="26"/>
        <v>9999</v>
      </c>
      <c r="Q147" s="12">
        <f t="shared" si="27"/>
        <v>9999</v>
      </c>
      <c r="R147" s="13">
        <f t="shared" si="28"/>
        <v>1841.6460679754766</v>
      </c>
      <c r="S147" s="3" t="s">
        <v>31</v>
      </c>
      <c r="T147" s="3" t="s">
        <v>35</v>
      </c>
      <c r="U147" s="10">
        <v>0</v>
      </c>
      <c r="V147" s="3">
        <v>0</v>
      </c>
      <c r="W147" s="3">
        <f t="shared" si="29"/>
        <v>0</v>
      </c>
      <c r="AA147" s="3">
        <v>5.4</v>
      </c>
    </row>
    <row r="148" spans="1:27" x14ac:dyDescent="0.3">
      <c r="A148" s="3" t="str">
        <f t="shared" si="20"/>
        <v>East9430119901320</v>
      </c>
      <c r="B148" s="3" t="str">
        <f t="shared" si="21"/>
        <v>KGP9430119901320</v>
      </c>
      <c r="C148" s="10">
        <v>9430119901320</v>
      </c>
      <c r="D148" s="10" t="str">
        <f t="shared" si="22"/>
        <v>9430119901</v>
      </c>
      <c r="E148" s="3" t="s">
        <v>6</v>
      </c>
      <c r="F148" s="3" t="s">
        <v>66</v>
      </c>
      <c r="H148" s="3">
        <v>0</v>
      </c>
      <c r="I148" s="10">
        <f t="shared" si="23"/>
        <v>0</v>
      </c>
      <c r="J148" s="3">
        <v>0</v>
      </c>
      <c r="K148" s="3">
        <v>0</v>
      </c>
      <c r="L148" s="3">
        <f t="shared" si="24"/>
        <v>0</v>
      </c>
      <c r="N148" s="11">
        <f t="shared" si="25"/>
        <v>0</v>
      </c>
      <c r="O148" s="3">
        <v>0</v>
      </c>
      <c r="P148" s="11">
        <f t="shared" si="26"/>
        <v>9999</v>
      </c>
      <c r="Q148" s="12">
        <f t="shared" si="27"/>
        <v>9999</v>
      </c>
      <c r="R148" s="13">
        <f t="shared" si="28"/>
        <v>154.21910285373258</v>
      </c>
      <c r="S148" s="3" t="s">
        <v>31</v>
      </c>
      <c r="T148" s="3" t="s">
        <v>35</v>
      </c>
      <c r="U148" s="10">
        <v>0</v>
      </c>
      <c r="V148" s="3">
        <v>0</v>
      </c>
      <c r="W148" s="3">
        <f t="shared" si="29"/>
        <v>0</v>
      </c>
      <c r="AA148" s="3">
        <v>5.4</v>
      </c>
    </row>
    <row r="149" spans="1:27" x14ac:dyDescent="0.3">
      <c r="A149" s="3" t="str">
        <f t="shared" si="20"/>
        <v>East9430119902220</v>
      </c>
      <c r="B149" s="3" t="str">
        <f t="shared" si="21"/>
        <v>KGP9430119902220</v>
      </c>
      <c r="C149" s="10">
        <v>9430119902220</v>
      </c>
      <c r="D149" s="10" t="str">
        <f t="shared" si="22"/>
        <v>9430119902</v>
      </c>
      <c r="E149" s="3" t="s">
        <v>6</v>
      </c>
      <c r="F149" s="3" t="s">
        <v>66</v>
      </c>
      <c r="H149" s="3">
        <v>2.964</v>
      </c>
      <c r="I149" s="10">
        <f t="shared" si="23"/>
        <v>0</v>
      </c>
      <c r="J149" s="3">
        <v>0</v>
      </c>
      <c r="K149" s="3">
        <v>0</v>
      </c>
      <c r="L149" s="3">
        <f t="shared" si="24"/>
        <v>0</v>
      </c>
      <c r="N149" s="11">
        <f t="shared" si="25"/>
        <v>2.964</v>
      </c>
      <c r="O149" s="3">
        <v>0</v>
      </c>
      <c r="P149" s="11">
        <f t="shared" si="26"/>
        <v>9999</v>
      </c>
      <c r="Q149" s="12">
        <f t="shared" si="27"/>
        <v>9999</v>
      </c>
      <c r="R149" s="13">
        <f t="shared" si="28"/>
        <v>9999</v>
      </c>
      <c r="S149" s="3" t="s">
        <v>31</v>
      </c>
      <c r="T149" s="3" t="s">
        <v>35</v>
      </c>
      <c r="U149" s="10">
        <v>0</v>
      </c>
      <c r="V149" s="3">
        <v>0</v>
      </c>
      <c r="W149" s="3">
        <f t="shared" si="29"/>
        <v>0</v>
      </c>
      <c r="AA149" s="3">
        <v>5.4</v>
      </c>
    </row>
    <row r="150" spans="1:27" x14ac:dyDescent="0.3">
      <c r="A150" s="3" t="str">
        <f t="shared" si="20"/>
        <v>East9430119902210</v>
      </c>
      <c r="B150" s="3" t="str">
        <f t="shared" si="21"/>
        <v>KGP9430119902210</v>
      </c>
      <c r="C150" s="10">
        <v>9430119902210</v>
      </c>
      <c r="D150" s="10" t="str">
        <f t="shared" si="22"/>
        <v>9430119902</v>
      </c>
      <c r="E150" s="3" t="s">
        <v>6</v>
      </c>
      <c r="F150" s="3" t="s">
        <v>66</v>
      </c>
      <c r="H150" s="3">
        <v>4.6430000000000007</v>
      </c>
      <c r="I150" s="10">
        <f t="shared" si="23"/>
        <v>0</v>
      </c>
      <c r="J150" s="3">
        <v>0</v>
      </c>
      <c r="K150" s="3">
        <v>0</v>
      </c>
      <c r="L150" s="3">
        <f t="shared" si="24"/>
        <v>0</v>
      </c>
      <c r="N150" s="11">
        <f t="shared" si="25"/>
        <v>4.6430000000000007</v>
      </c>
      <c r="O150" s="3">
        <v>0</v>
      </c>
      <c r="P150" s="11">
        <f t="shared" si="26"/>
        <v>9999</v>
      </c>
      <c r="Q150" s="12">
        <f t="shared" si="27"/>
        <v>9999</v>
      </c>
      <c r="R150" s="13">
        <f t="shared" si="28"/>
        <v>9999</v>
      </c>
      <c r="S150" s="3" t="s">
        <v>31</v>
      </c>
      <c r="T150" s="3" t="s">
        <v>35</v>
      </c>
      <c r="U150" s="10">
        <v>0</v>
      </c>
      <c r="V150" s="3">
        <v>0</v>
      </c>
      <c r="W150" s="3">
        <f t="shared" si="29"/>
        <v>0</v>
      </c>
      <c r="AA150" s="3">
        <v>5.4</v>
      </c>
    </row>
    <row r="151" spans="1:27" x14ac:dyDescent="0.3">
      <c r="A151" s="3" t="str">
        <f t="shared" si="20"/>
        <v>East9430119902320</v>
      </c>
      <c r="B151" s="3" t="str">
        <f t="shared" si="21"/>
        <v>KGP9430119902320</v>
      </c>
      <c r="C151" s="10">
        <v>9430119902320</v>
      </c>
      <c r="D151" s="10" t="str">
        <f t="shared" si="22"/>
        <v>9430119902</v>
      </c>
      <c r="E151" s="3" t="s">
        <v>6</v>
      </c>
      <c r="F151" s="3" t="s">
        <v>66</v>
      </c>
      <c r="H151" s="3">
        <v>1.4200000000000002</v>
      </c>
      <c r="I151" s="10">
        <f t="shared" si="23"/>
        <v>0</v>
      </c>
      <c r="J151" s="3">
        <v>0</v>
      </c>
      <c r="K151" s="3">
        <v>0</v>
      </c>
      <c r="L151" s="3">
        <f t="shared" si="24"/>
        <v>0</v>
      </c>
      <c r="N151" s="11">
        <f t="shared" si="25"/>
        <v>1.4200000000000002</v>
      </c>
      <c r="O151" s="3">
        <v>0</v>
      </c>
      <c r="P151" s="11">
        <f t="shared" si="26"/>
        <v>9999</v>
      </c>
      <c r="Q151" s="12">
        <f t="shared" si="27"/>
        <v>9999</v>
      </c>
      <c r="R151" s="13">
        <f t="shared" si="28"/>
        <v>9999</v>
      </c>
      <c r="S151" s="3" t="s">
        <v>31</v>
      </c>
      <c r="T151" s="3" t="s">
        <v>35</v>
      </c>
      <c r="U151" s="10">
        <v>0</v>
      </c>
      <c r="V151" s="3">
        <v>0</v>
      </c>
      <c r="W151" s="3">
        <f t="shared" si="29"/>
        <v>0</v>
      </c>
      <c r="AA151" s="3">
        <v>5.4</v>
      </c>
    </row>
    <row r="152" spans="1:27" x14ac:dyDescent="0.3">
      <c r="A152" s="3" t="str">
        <f t="shared" si="20"/>
        <v>East9430119900210</v>
      </c>
      <c r="B152" s="3" t="str">
        <f t="shared" si="21"/>
        <v>KGP9430119900210</v>
      </c>
      <c r="C152" s="10">
        <v>9430119900210</v>
      </c>
      <c r="D152" s="10" t="str">
        <f t="shared" si="22"/>
        <v>9430119900</v>
      </c>
      <c r="E152" s="3" t="s">
        <v>6</v>
      </c>
      <c r="F152" s="3" t="s">
        <v>66</v>
      </c>
      <c r="H152" s="3">
        <v>1.5430000000000001</v>
      </c>
      <c r="I152" s="10">
        <f t="shared" si="23"/>
        <v>0</v>
      </c>
      <c r="J152" s="3">
        <v>0</v>
      </c>
      <c r="K152" s="3">
        <v>0</v>
      </c>
      <c r="L152" s="3">
        <f t="shared" si="24"/>
        <v>0</v>
      </c>
      <c r="N152" s="11">
        <f t="shared" si="25"/>
        <v>1.5430000000000001</v>
      </c>
      <c r="O152" s="3">
        <v>0</v>
      </c>
      <c r="P152" s="11">
        <f t="shared" si="26"/>
        <v>9999</v>
      </c>
      <c r="Q152" s="12">
        <f t="shared" si="27"/>
        <v>9999</v>
      </c>
      <c r="R152" s="13">
        <f t="shared" si="28"/>
        <v>2808.4139598508455</v>
      </c>
      <c r="S152" s="3" t="s">
        <v>31</v>
      </c>
      <c r="T152" s="3" t="s">
        <v>35</v>
      </c>
      <c r="U152" s="10">
        <v>0</v>
      </c>
      <c r="V152" s="3">
        <v>0</v>
      </c>
      <c r="W152" s="3">
        <f t="shared" si="29"/>
        <v>0</v>
      </c>
      <c r="AA152" s="3">
        <v>5.4</v>
      </c>
    </row>
    <row r="153" spans="1:27" x14ac:dyDescent="0.3">
      <c r="A153" s="3" t="str">
        <f t="shared" si="20"/>
        <v>East9430119900220</v>
      </c>
      <c r="B153" s="3" t="str">
        <f t="shared" si="21"/>
        <v>KGP9430119900220</v>
      </c>
      <c r="C153" s="10">
        <v>9430119900220</v>
      </c>
      <c r="D153" s="10" t="str">
        <f t="shared" si="22"/>
        <v>9430119900</v>
      </c>
      <c r="E153" s="3" t="s">
        <v>6</v>
      </c>
      <c r="F153" s="3" t="s">
        <v>66</v>
      </c>
      <c r="H153" s="3">
        <v>1.5620000000000003</v>
      </c>
      <c r="I153" s="10">
        <f t="shared" si="23"/>
        <v>0</v>
      </c>
      <c r="J153" s="3">
        <v>0</v>
      </c>
      <c r="K153" s="3">
        <v>0</v>
      </c>
      <c r="L153" s="3">
        <f t="shared" si="24"/>
        <v>0</v>
      </c>
      <c r="N153" s="11">
        <f t="shared" si="25"/>
        <v>1.5620000000000003</v>
      </c>
      <c r="O153" s="3">
        <v>0</v>
      </c>
      <c r="P153" s="11">
        <f t="shared" si="26"/>
        <v>9999</v>
      </c>
      <c r="Q153" s="12">
        <f t="shared" si="27"/>
        <v>9999</v>
      </c>
      <c r="R153" s="13">
        <f t="shared" si="28"/>
        <v>1507.1861279617206</v>
      </c>
      <c r="S153" s="3" t="s">
        <v>31</v>
      </c>
      <c r="T153" s="3" t="s">
        <v>35</v>
      </c>
      <c r="U153" s="10">
        <v>0</v>
      </c>
      <c r="V153" s="3">
        <v>0</v>
      </c>
      <c r="W153" s="3">
        <f t="shared" si="29"/>
        <v>0</v>
      </c>
      <c r="AA153" s="3">
        <v>5.4</v>
      </c>
    </row>
    <row r="154" spans="1:27" ht="15.6" x14ac:dyDescent="0.3">
      <c r="A154" s="3" t="str">
        <f t="shared" si="20"/>
        <v>West9430109900320</v>
      </c>
      <c r="B154" s="3" t="str">
        <f t="shared" si="21"/>
        <v>Mah9430109900320</v>
      </c>
      <c r="C154" s="10">
        <v>9430109900320</v>
      </c>
      <c r="D154" s="10" t="str">
        <f t="shared" si="22"/>
        <v>9430109900</v>
      </c>
      <c r="E154" s="3" t="s">
        <v>1</v>
      </c>
      <c r="F154" s="3" t="s">
        <v>63</v>
      </c>
      <c r="G154"/>
      <c r="H154" s="3">
        <v>377.49140000000006</v>
      </c>
      <c r="I154" s="10">
        <f t="shared" si="23"/>
        <v>14.702342460317864</v>
      </c>
      <c r="J154" s="3">
        <v>770.26786925728857</v>
      </c>
      <c r="K154" s="3">
        <v>1028.5</v>
      </c>
      <c r="L154" s="3">
        <f t="shared" si="24"/>
        <v>0</v>
      </c>
      <c r="M154" s="32"/>
      <c r="N154" s="11">
        <f t="shared" si="25"/>
        <v>-392.77646925728851</v>
      </c>
      <c r="O154" s="3">
        <v>770.26786925728857</v>
      </c>
      <c r="P154" s="11">
        <f t="shared" si="26"/>
        <v>-15.297657539682136</v>
      </c>
      <c r="Q154" s="12">
        <f t="shared" si="27"/>
        <v>-15.297657539682138</v>
      </c>
      <c r="R154" s="13">
        <f t="shared" si="28"/>
        <v>-4.5713762747685207</v>
      </c>
      <c r="S154" s="3" t="s">
        <v>29</v>
      </c>
      <c r="T154" s="3" t="s">
        <v>35</v>
      </c>
      <c r="U154" s="10">
        <v>0</v>
      </c>
      <c r="V154" s="3">
        <v>0</v>
      </c>
      <c r="W154" s="3">
        <f t="shared" si="29"/>
        <v>0</v>
      </c>
      <c r="Y154" s="3">
        <v>12</v>
      </c>
      <c r="Z154" s="3">
        <v>24</v>
      </c>
      <c r="AA154">
        <v>5.5</v>
      </c>
    </row>
    <row r="155" spans="1:27" ht="15.6" x14ac:dyDescent="0.3">
      <c r="A155" s="3" t="str">
        <f t="shared" si="20"/>
        <v>West9430109901320</v>
      </c>
      <c r="B155" s="3" t="str">
        <f t="shared" si="21"/>
        <v>Mah9430109901320</v>
      </c>
      <c r="C155" s="10">
        <v>9430109901320</v>
      </c>
      <c r="D155" s="10" t="str">
        <f t="shared" si="22"/>
        <v>9430109901</v>
      </c>
      <c r="E155" s="3" t="s">
        <v>1</v>
      </c>
      <c r="F155" s="3" t="s">
        <v>63</v>
      </c>
      <c r="G155"/>
      <c r="H155" s="3">
        <v>216.54944</v>
      </c>
      <c r="I155" s="10">
        <f t="shared" si="23"/>
        <v>20.253412094514051</v>
      </c>
      <c r="J155" s="3">
        <v>320.75993761859382</v>
      </c>
      <c r="K155" s="3">
        <v>363</v>
      </c>
      <c r="L155" s="3">
        <f t="shared" si="24"/>
        <v>0</v>
      </c>
      <c r="M155" s="32"/>
      <c r="N155" s="11">
        <f t="shared" si="25"/>
        <v>-104.21049761859382</v>
      </c>
      <c r="O155" s="3">
        <v>320.75993761859382</v>
      </c>
      <c r="P155" s="11">
        <f t="shared" si="26"/>
        <v>-9.746587905485951</v>
      </c>
      <c r="Q155" s="12">
        <f t="shared" si="27"/>
        <v>-9.746587905485951</v>
      </c>
      <c r="R155" s="13">
        <f t="shared" si="28"/>
        <v>-2.4897770966686847</v>
      </c>
      <c r="S155" s="3" t="s">
        <v>29</v>
      </c>
      <c r="T155" s="3" t="s">
        <v>35</v>
      </c>
      <c r="U155" s="10">
        <v>0</v>
      </c>
      <c r="V155" s="3">
        <v>0</v>
      </c>
      <c r="W155" s="3">
        <f t="shared" si="29"/>
        <v>0</v>
      </c>
      <c r="Y155" s="3">
        <v>0</v>
      </c>
      <c r="Z155" s="3">
        <v>0</v>
      </c>
      <c r="AA155">
        <v>5.5</v>
      </c>
    </row>
    <row r="156" spans="1:27" ht="15.6" x14ac:dyDescent="0.3">
      <c r="A156" s="3" t="str">
        <f t="shared" si="20"/>
        <v>West9430109900310</v>
      </c>
      <c r="B156" s="3" t="str">
        <f t="shared" si="21"/>
        <v>Mah9430109900310</v>
      </c>
      <c r="C156" s="10">
        <v>9430109900310</v>
      </c>
      <c r="D156" s="10" t="str">
        <f t="shared" si="22"/>
        <v>9430109900</v>
      </c>
      <c r="E156" s="3" t="s">
        <v>1</v>
      </c>
      <c r="F156" s="3" t="s">
        <v>63</v>
      </c>
      <c r="G156"/>
      <c r="H156" s="3">
        <v>131.19999999999999</v>
      </c>
      <c r="I156" s="10">
        <f t="shared" si="23"/>
        <v>27.192538949526739</v>
      </c>
      <c r="J156" s="3">
        <v>144.74558654878757</v>
      </c>
      <c r="K156" s="3">
        <v>143</v>
      </c>
      <c r="L156" s="3">
        <f t="shared" si="24"/>
        <v>0</v>
      </c>
      <c r="M156" s="32"/>
      <c r="N156" s="11">
        <f t="shared" si="25"/>
        <v>-13.545586548787583</v>
      </c>
      <c r="O156" s="3">
        <v>144.74558654878757</v>
      </c>
      <c r="P156" s="11">
        <f t="shared" si="26"/>
        <v>-2.8074610504732611</v>
      </c>
      <c r="Q156" s="12">
        <f t="shared" si="27"/>
        <v>-2.8074610504732611</v>
      </c>
      <c r="R156" s="13">
        <f t="shared" si="28"/>
        <v>2.5620483154508742</v>
      </c>
      <c r="S156" s="3" t="s">
        <v>30</v>
      </c>
      <c r="T156" s="3" t="s">
        <v>35</v>
      </c>
      <c r="U156" s="10">
        <v>0</v>
      </c>
      <c r="V156" s="3">
        <v>0</v>
      </c>
      <c r="W156" s="3">
        <f t="shared" si="29"/>
        <v>0</v>
      </c>
      <c r="Y156" s="3">
        <v>12</v>
      </c>
      <c r="Z156" s="3">
        <v>24</v>
      </c>
      <c r="AA156">
        <v>5.5</v>
      </c>
    </row>
    <row r="157" spans="1:27" ht="15.6" x14ac:dyDescent="0.3">
      <c r="A157" s="3" t="str">
        <f t="shared" si="20"/>
        <v>West9430109900250</v>
      </c>
      <c r="B157" s="3" t="str">
        <f t="shared" si="21"/>
        <v>Mah9430109900250</v>
      </c>
      <c r="C157" s="14">
        <v>9430109900250</v>
      </c>
      <c r="D157" s="10" t="str">
        <f t="shared" si="22"/>
        <v>9430109900</v>
      </c>
      <c r="E157" s="3" t="s">
        <v>1</v>
      </c>
      <c r="F157" s="3" t="s">
        <v>63</v>
      </c>
      <c r="G157"/>
      <c r="H157" s="3">
        <v>45.22</v>
      </c>
      <c r="I157" s="10">
        <f t="shared" si="23"/>
        <v>23.949338043371533</v>
      </c>
      <c r="J157" s="3">
        <v>56.644571868468269</v>
      </c>
      <c r="K157" s="3">
        <v>55</v>
      </c>
      <c r="L157" s="3">
        <f t="shared" si="24"/>
        <v>0</v>
      </c>
      <c r="M157" s="32"/>
      <c r="N157" s="11">
        <f t="shared" si="25"/>
        <v>-11.42457186846827</v>
      </c>
      <c r="O157" s="3">
        <v>56.644571868468269</v>
      </c>
      <c r="P157" s="11">
        <f t="shared" si="26"/>
        <v>-6.0506619566284678</v>
      </c>
      <c r="Q157" s="12">
        <f t="shared" si="27"/>
        <v>-6.0506619566284687</v>
      </c>
      <c r="R157" s="13">
        <f t="shared" si="28"/>
        <v>2.3570648481173837</v>
      </c>
      <c r="S157" s="3" t="s">
        <v>30</v>
      </c>
      <c r="T157" s="3" t="s">
        <v>35</v>
      </c>
      <c r="U157" s="10">
        <v>0</v>
      </c>
      <c r="V157" s="3">
        <v>0</v>
      </c>
      <c r="W157" s="3">
        <f t="shared" si="29"/>
        <v>0</v>
      </c>
      <c r="Y157" s="3">
        <v>12</v>
      </c>
      <c r="Z157" s="3">
        <v>24</v>
      </c>
      <c r="AA157" s="3">
        <v>5.5</v>
      </c>
    </row>
    <row r="158" spans="1:27" ht="15.6" x14ac:dyDescent="0.3">
      <c r="A158" s="3" t="str">
        <f t="shared" si="20"/>
        <v>West9430109901310</v>
      </c>
      <c r="B158" s="3" t="str">
        <f t="shared" si="21"/>
        <v>Mah9430109901310</v>
      </c>
      <c r="C158" s="14">
        <v>9430109901310</v>
      </c>
      <c r="D158" s="10" t="str">
        <f t="shared" si="22"/>
        <v>9430109901</v>
      </c>
      <c r="E158" s="3" t="s">
        <v>1</v>
      </c>
      <c r="F158" s="3" t="s">
        <v>63</v>
      </c>
      <c r="G158"/>
      <c r="H158" s="3">
        <v>51.289999999999985</v>
      </c>
      <c r="I158" s="10">
        <f t="shared" si="23"/>
        <v>29.953865173660692</v>
      </c>
      <c r="J158" s="3">
        <v>51.368996658001365</v>
      </c>
      <c r="K158" s="3">
        <v>38.5</v>
      </c>
      <c r="L158" s="3">
        <f t="shared" si="24"/>
        <v>0</v>
      </c>
      <c r="M158" s="32"/>
      <c r="N158" s="11">
        <f t="shared" si="25"/>
        <v>-7.8996658001379672E-2</v>
      </c>
      <c r="O158" s="3">
        <v>51.368996658001365</v>
      </c>
      <c r="P158" s="11">
        <f t="shared" si="26"/>
        <v>-4.6134826339308078E-2</v>
      </c>
      <c r="Q158" s="12">
        <f t="shared" si="27"/>
        <v>-4.6134826339308078E-2</v>
      </c>
      <c r="R158" s="13">
        <f t="shared" si="28"/>
        <v>5.4137783376715598</v>
      </c>
      <c r="S158" s="3" t="s">
        <v>30</v>
      </c>
      <c r="T158" s="3" t="s">
        <v>35</v>
      </c>
      <c r="U158" s="10">
        <v>0</v>
      </c>
      <c r="V158" s="3">
        <v>0</v>
      </c>
      <c r="W158" s="3">
        <f t="shared" si="29"/>
        <v>0</v>
      </c>
      <c r="Y158" s="3">
        <v>0</v>
      </c>
      <c r="Z158" s="3">
        <v>12</v>
      </c>
      <c r="AA158">
        <v>5.5</v>
      </c>
    </row>
    <row r="159" spans="1:27" ht="15.6" x14ac:dyDescent="0.3">
      <c r="A159" s="3" t="str">
        <f t="shared" si="20"/>
        <v>West9100209900320</v>
      </c>
      <c r="B159" s="3" t="str">
        <f t="shared" si="21"/>
        <v>Mah9100209900320</v>
      </c>
      <c r="C159" s="14">
        <v>9100209900320</v>
      </c>
      <c r="D159" s="10" t="str">
        <f t="shared" si="22"/>
        <v>9100209900</v>
      </c>
      <c r="E159" s="3" t="s">
        <v>1</v>
      </c>
      <c r="F159" s="3" t="s">
        <v>63</v>
      </c>
      <c r="G159"/>
      <c r="H159" s="3">
        <v>132.58999999999997</v>
      </c>
      <c r="I159" s="10">
        <f t="shared" si="23"/>
        <v>84.430026990077508</v>
      </c>
      <c r="J159" s="3">
        <v>47.112385744795176</v>
      </c>
      <c r="K159" s="3">
        <v>0</v>
      </c>
      <c r="L159" s="3">
        <f t="shared" si="24"/>
        <v>0</v>
      </c>
      <c r="M159" s="32"/>
      <c r="N159" s="11">
        <f t="shared" si="25"/>
        <v>85.477614255204799</v>
      </c>
      <c r="O159" s="3">
        <v>47.112385744795176</v>
      </c>
      <c r="P159" s="11">
        <f t="shared" si="26"/>
        <v>54.430026990077501</v>
      </c>
      <c r="Q159" s="12">
        <f t="shared" si="27"/>
        <v>54.430026990077501</v>
      </c>
      <c r="R159" s="13">
        <f t="shared" si="28"/>
        <v>30.495213785322278</v>
      </c>
      <c r="S159" s="3" t="s">
        <v>30</v>
      </c>
      <c r="T159" s="3" t="s">
        <v>34</v>
      </c>
      <c r="U159" s="10">
        <v>0</v>
      </c>
      <c r="V159" s="3">
        <v>0</v>
      </c>
      <c r="W159" s="3">
        <f t="shared" si="29"/>
        <v>0</v>
      </c>
      <c r="Y159" s="3">
        <v>0</v>
      </c>
      <c r="Z159" s="3">
        <v>12</v>
      </c>
      <c r="AA159" s="3">
        <v>5.5</v>
      </c>
    </row>
    <row r="160" spans="1:27" x14ac:dyDescent="0.3">
      <c r="A160" s="3" t="str">
        <f t="shared" si="20"/>
        <v>West9100209901320</v>
      </c>
      <c r="B160" s="3" t="str">
        <f t="shared" si="21"/>
        <v>Mah9100209901320</v>
      </c>
      <c r="C160" s="14">
        <v>9100209901320</v>
      </c>
      <c r="D160" s="10" t="str">
        <f t="shared" si="22"/>
        <v>9100209901</v>
      </c>
      <c r="E160" s="3" t="s">
        <v>1</v>
      </c>
      <c r="F160" s="3" t="s">
        <v>63</v>
      </c>
      <c r="H160" s="3">
        <v>58.490000000000009</v>
      </c>
      <c r="I160" s="10">
        <f t="shared" si="23"/>
        <v>49.004151191161988</v>
      </c>
      <c r="J160" s="3">
        <v>35.807170563061696</v>
      </c>
      <c r="K160" s="3">
        <v>11</v>
      </c>
      <c r="L160" s="3">
        <f t="shared" si="24"/>
        <v>0</v>
      </c>
      <c r="M160" s="32"/>
      <c r="N160" s="11">
        <f t="shared" si="25"/>
        <v>22.682829436938313</v>
      </c>
      <c r="O160" s="3">
        <v>35.807170563061696</v>
      </c>
      <c r="P160" s="11">
        <f t="shared" si="26"/>
        <v>19.004151191161988</v>
      </c>
      <c r="Q160" s="12">
        <f t="shared" si="27"/>
        <v>19.004151191161988</v>
      </c>
      <c r="R160" s="13">
        <f t="shared" si="28"/>
        <v>22.609197898113969</v>
      </c>
      <c r="S160" s="3" t="s">
        <v>31</v>
      </c>
      <c r="T160" s="3" t="s">
        <v>34</v>
      </c>
      <c r="U160" s="10">
        <v>0</v>
      </c>
      <c r="V160" s="3">
        <v>0</v>
      </c>
      <c r="W160" s="3">
        <f t="shared" si="29"/>
        <v>0</v>
      </c>
      <c r="Y160" s="3">
        <v>0</v>
      </c>
      <c r="Z160" s="3">
        <v>0</v>
      </c>
      <c r="AA160" s="3">
        <v>5.5</v>
      </c>
    </row>
    <row r="161" spans="1:27" x14ac:dyDescent="0.3">
      <c r="A161" s="3" t="str">
        <f t="shared" si="20"/>
        <v>West9410069900820</v>
      </c>
      <c r="B161" s="3" t="str">
        <f t="shared" si="21"/>
        <v>Mah9410069900820</v>
      </c>
      <c r="C161" s="14">
        <v>9410069900820</v>
      </c>
      <c r="D161" s="10" t="str">
        <f t="shared" si="22"/>
        <v>9410069900</v>
      </c>
      <c r="E161" s="3" t="s">
        <v>1</v>
      </c>
      <c r="F161" s="3" t="s">
        <v>63</v>
      </c>
      <c r="H161" s="3">
        <v>29.259999999999991</v>
      </c>
      <c r="I161" s="10">
        <f t="shared" si="23"/>
        <v>42.264073148016386</v>
      </c>
      <c r="J161" s="3">
        <v>20.769413230139609</v>
      </c>
      <c r="K161" s="3">
        <v>22</v>
      </c>
      <c r="L161" s="3">
        <f t="shared" si="24"/>
        <v>0</v>
      </c>
      <c r="M161" s="32"/>
      <c r="N161" s="11">
        <f t="shared" si="25"/>
        <v>8.4905867698603821</v>
      </c>
      <c r="O161" s="3">
        <v>20.769413230139609</v>
      </c>
      <c r="P161" s="11">
        <f t="shared" si="26"/>
        <v>12.264073148016386</v>
      </c>
      <c r="Q161" s="12">
        <f t="shared" si="27"/>
        <v>12.264073148016386</v>
      </c>
      <c r="R161" s="13">
        <f t="shared" si="28"/>
        <v>-3.8159946426130387</v>
      </c>
      <c r="S161" s="3" t="s">
        <v>29</v>
      </c>
      <c r="T161" s="3" t="s">
        <v>32</v>
      </c>
      <c r="U161" s="10">
        <v>0</v>
      </c>
      <c r="V161" s="3">
        <v>0</v>
      </c>
      <c r="W161" s="3">
        <f t="shared" si="29"/>
        <v>0</v>
      </c>
      <c r="Y161" s="3">
        <v>0</v>
      </c>
      <c r="Z161" s="3">
        <v>54</v>
      </c>
      <c r="AA161" s="3">
        <v>5.5</v>
      </c>
    </row>
    <row r="162" spans="1:27" x14ac:dyDescent="0.3">
      <c r="A162" s="3" t="str">
        <f t="shared" si="20"/>
        <v>West9430109901250</v>
      </c>
      <c r="B162" s="3" t="str">
        <f t="shared" si="21"/>
        <v>Mah9430109901250</v>
      </c>
      <c r="C162" s="14">
        <v>9430109901250</v>
      </c>
      <c r="D162" s="10" t="str">
        <f t="shared" si="22"/>
        <v>9430109901</v>
      </c>
      <c r="E162" s="3" t="s">
        <v>1</v>
      </c>
      <c r="F162" s="3" t="s">
        <v>63</v>
      </c>
      <c r="H162" s="3">
        <v>23.5</v>
      </c>
      <c r="I162" s="10">
        <f t="shared" si="23"/>
        <v>39.540004595470911</v>
      </c>
      <c r="J162" s="3">
        <v>17.83004345125326</v>
      </c>
      <c r="K162" s="3">
        <v>11</v>
      </c>
      <c r="L162" s="3">
        <f t="shared" si="24"/>
        <v>0</v>
      </c>
      <c r="M162" s="32"/>
      <c r="N162" s="11">
        <f t="shared" si="25"/>
        <v>5.6699565487467396</v>
      </c>
      <c r="O162" s="3">
        <v>17.83004345125326</v>
      </c>
      <c r="P162" s="11">
        <f t="shared" si="26"/>
        <v>9.5400045954709132</v>
      </c>
      <c r="Q162" s="12">
        <f t="shared" si="27"/>
        <v>9.5400045954709149</v>
      </c>
      <c r="R162" s="13">
        <f t="shared" si="28"/>
        <v>17.653824107204038</v>
      </c>
      <c r="S162" s="3" t="s">
        <v>31</v>
      </c>
      <c r="T162" s="3" t="s">
        <v>35</v>
      </c>
      <c r="U162" s="10">
        <v>0</v>
      </c>
      <c r="V162" s="3">
        <v>0</v>
      </c>
      <c r="W162" s="3">
        <f t="shared" si="29"/>
        <v>0</v>
      </c>
      <c r="Y162" s="3">
        <v>0</v>
      </c>
      <c r="Z162" s="3">
        <v>2754</v>
      </c>
      <c r="AA162" s="3">
        <v>5.5</v>
      </c>
    </row>
    <row r="163" spans="1:27" x14ac:dyDescent="0.3">
      <c r="A163" s="3" t="str">
        <f t="shared" si="20"/>
        <v>West9430109900220</v>
      </c>
      <c r="B163" s="3" t="str">
        <f t="shared" si="21"/>
        <v>Mah9430109900220</v>
      </c>
      <c r="C163" s="14">
        <v>9430109900220</v>
      </c>
      <c r="D163" s="10" t="str">
        <f t="shared" si="22"/>
        <v>9430109900</v>
      </c>
      <c r="E163" s="3" t="s">
        <v>1</v>
      </c>
      <c r="F163" s="3" t="s">
        <v>63</v>
      </c>
      <c r="H163" s="3">
        <v>12.695999999999998</v>
      </c>
      <c r="I163" s="10">
        <f t="shared" si="23"/>
        <v>27.158831732167126</v>
      </c>
      <c r="J163" s="3">
        <v>14.02416730425421</v>
      </c>
      <c r="K163" s="3">
        <v>16.5</v>
      </c>
      <c r="L163" s="3">
        <f t="shared" si="24"/>
        <v>0</v>
      </c>
      <c r="M163" s="32"/>
      <c r="N163" s="11">
        <f t="shared" si="25"/>
        <v>-1.3281673042542117</v>
      </c>
      <c r="O163" s="3">
        <v>14.02416730425421</v>
      </c>
      <c r="P163" s="11">
        <f t="shared" si="26"/>
        <v>-2.8411682678328734</v>
      </c>
      <c r="Q163" s="12">
        <f t="shared" si="27"/>
        <v>-2.8411682678328734</v>
      </c>
      <c r="R163" s="13">
        <f t="shared" si="28"/>
        <v>4.5783076811390186</v>
      </c>
      <c r="S163" s="3" t="s">
        <v>31</v>
      </c>
      <c r="T163" s="3" t="s">
        <v>35</v>
      </c>
      <c r="U163" s="10">
        <v>0</v>
      </c>
      <c r="V163" s="3">
        <v>0</v>
      </c>
      <c r="W163" s="3">
        <f t="shared" si="29"/>
        <v>0</v>
      </c>
      <c r="Y163" s="3">
        <v>-1.675402927503455E-9</v>
      </c>
      <c r="Z163" s="3">
        <v>444</v>
      </c>
      <c r="AA163" s="3">
        <v>5.5</v>
      </c>
    </row>
    <row r="164" spans="1:27" x14ac:dyDescent="0.3">
      <c r="A164" s="3" t="str">
        <f t="shared" si="20"/>
        <v>West9410069900850</v>
      </c>
      <c r="B164" s="3" t="str">
        <f t="shared" si="21"/>
        <v>Mah9410069900850</v>
      </c>
      <c r="C164" s="14">
        <v>9410069900850</v>
      </c>
      <c r="D164" s="10" t="str">
        <f t="shared" si="22"/>
        <v>9410069900</v>
      </c>
      <c r="E164" s="3" t="s">
        <v>1</v>
      </c>
      <c r="F164" s="3" t="s">
        <v>63</v>
      </c>
      <c r="H164" s="3">
        <v>11.75</v>
      </c>
      <c r="I164" s="10">
        <f t="shared" si="23"/>
        <v>43.112242638703513</v>
      </c>
      <c r="J164" s="3">
        <v>8.1763317894195389</v>
      </c>
      <c r="K164" s="3">
        <v>11</v>
      </c>
      <c r="L164" s="3">
        <f t="shared" si="24"/>
        <v>0</v>
      </c>
      <c r="M164" s="32"/>
      <c r="N164" s="11">
        <f t="shared" si="25"/>
        <v>3.5736682105804611</v>
      </c>
      <c r="O164" s="3">
        <v>8.1763317894195389</v>
      </c>
      <c r="P164" s="11">
        <f t="shared" si="26"/>
        <v>13.11224263870351</v>
      </c>
      <c r="Q164" s="12">
        <f t="shared" si="27"/>
        <v>13.112242638703508</v>
      </c>
      <c r="R164" s="13">
        <f t="shared" si="28"/>
        <v>-1.3080659328217683</v>
      </c>
      <c r="S164" s="3" t="s">
        <v>30</v>
      </c>
      <c r="T164" s="3" t="s">
        <v>32</v>
      </c>
      <c r="U164" s="10">
        <v>0</v>
      </c>
      <c r="V164" s="3">
        <v>0</v>
      </c>
      <c r="W164" s="3">
        <f t="shared" si="29"/>
        <v>0</v>
      </c>
      <c r="Y164" s="3">
        <v>0</v>
      </c>
      <c r="Z164" s="3">
        <v>13</v>
      </c>
      <c r="AA164" s="3">
        <v>5.5</v>
      </c>
    </row>
    <row r="165" spans="1:27" x14ac:dyDescent="0.3">
      <c r="A165" s="3" t="str">
        <f t="shared" si="20"/>
        <v>West9430109900210</v>
      </c>
      <c r="B165" s="3" t="str">
        <f t="shared" si="21"/>
        <v>Mah9430109900210</v>
      </c>
      <c r="C165" s="10">
        <v>9430109900210</v>
      </c>
      <c r="D165" s="10" t="str">
        <f t="shared" si="22"/>
        <v>9430109900</v>
      </c>
      <c r="E165" s="3" t="s">
        <v>1</v>
      </c>
      <c r="F165" s="3" t="s">
        <v>63</v>
      </c>
      <c r="H165" s="3">
        <v>9.4990000000000023</v>
      </c>
      <c r="I165" s="10">
        <f t="shared" si="23"/>
        <v>36.864305727451445</v>
      </c>
      <c r="J165" s="3">
        <v>7.7302418796888874</v>
      </c>
      <c r="K165" s="3">
        <v>11</v>
      </c>
      <c r="L165" s="3">
        <f t="shared" si="24"/>
        <v>0</v>
      </c>
      <c r="M165" s="32"/>
      <c r="N165" s="11">
        <f t="shared" si="25"/>
        <v>1.7687581203111149</v>
      </c>
      <c r="O165" s="3">
        <v>7.7302418796888874</v>
      </c>
      <c r="P165" s="11">
        <f t="shared" si="26"/>
        <v>6.8643057274514447</v>
      </c>
      <c r="Q165" s="12">
        <f t="shared" si="27"/>
        <v>6.8643057274514439</v>
      </c>
      <c r="R165" s="13">
        <f t="shared" si="28"/>
        <v>25.085366989368765</v>
      </c>
      <c r="S165" s="3" t="s">
        <v>31</v>
      </c>
      <c r="T165" s="3" t="s">
        <v>35</v>
      </c>
      <c r="U165" s="10">
        <v>0</v>
      </c>
      <c r="V165" s="3">
        <v>0</v>
      </c>
      <c r="W165" s="3">
        <f t="shared" si="29"/>
        <v>0</v>
      </c>
      <c r="Y165" s="3">
        <v>0</v>
      </c>
      <c r="Z165" s="3">
        <v>0</v>
      </c>
      <c r="AA165" s="3">
        <v>5.5</v>
      </c>
    </row>
    <row r="166" spans="1:27" x14ac:dyDescent="0.3">
      <c r="A166" s="3" t="str">
        <f t="shared" si="20"/>
        <v>West9430119900320</v>
      </c>
      <c r="B166" s="3" t="str">
        <f t="shared" si="21"/>
        <v>Mah9430119900320</v>
      </c>
      <c r="C166" s="10">
        <v>9430119900320</v>
      </c>
      <c r="D166" s="10" t="str">
        <f t="shared" si="22"/>
        <v>9430119900</v>
      </c>
      <c r="E166" s="3" t="s">
        <v>1</v>
      </c>
      <c r="F166" s="3" t="s">
        <v>63</v>
      </c>
      <c r="H166" s="3">
        <v>7.9599999999999991</v>
      </c>
      <c r="I166" s="10">
        <f t="shared" si="23"/>
        <v>48.150734983275754</v>
      </c>
      <c r="J166" s="3">
        <v>4.9594258547235599</v>
      </c>
      <c r="K166" s="3">
        <v>5.5</v>
      </c>
      <c r="L166" s="3">
        <f t="shared" si="24"/>
        <v>0</v>
      </c>
      <c r="M166" s="32"/>
      <c r="N166" s="11">
        <f t="shared" si="25"/>
        <v>3.0005741452764392</v>
      </c>
      <c r="O166" s="3">
        <v>4.9594258547235599</v>
      </c>
      <c r="P166" s="11">
        <f t="shared" si="26"/>
        <v>18.150734983275754</v>
      </c>
      <c r="Q166" s="12">
        <f t="shared" si="27"/>
        <v>18.150734983275754</v>
      </c>
      <c r="R166" s="13">
        <f t="shared" si="28"/>
        <v>20.328406414680188</v>
      </c>
      <c r="S166" s="3" t="s">
        <v>31</v>
      </c>
      <c r="T166" s="3" t="s">
        <v>35</v>
      </c>
      <c r="U166" s="10">
        <v>0</v>
      </c>
      <c r="V166" s="3">
        <v>0</v>
      </c>
      <c r="W166" s="3">
        <f t="shared" si="29"/>
        <v>0</v>
      </c>
      <c r="Y166" s="3">
        <v>0</v>
      </c>
      <c r="Z166" s="3">
        <v>247</v>
      </c>
      <c r="AA166" s="3">
        <v>5.5</v>
      </c>
    </row>
    <row r="167" spans="1:27" x14ac:dyDescent="0.3">
      <c r="A167" s="3" t="str">
        <f t="shared" si="20"/>
        <v>West9410069900810</v>
      </c>
      <c r="B167" s="3" t="str">
        <f t="shared" si="21"/>
        <v>Mah9410069900810</v>
      </c>
      <c r="C167" s="10">
        <v>9410069900810</v>
      </c>
      <c r="D167" s="10" t="str">
        <f t="shared" si="22"/>
        <v>9410069900</v>
      </c>
      <c r="E167" s="3" t="s">
        <v>1</v>
      </c>
      <c r="F167" s="3" t="s">
        <v>63</v>
      </c>
      <c r="H167" s="3">
        <v>3.9899999999999998</v>
      </c>
      <c r="I167" s="10">
        <f t="shared" si="23"/>
        <v>27.984054411314869</v>
      </c>
      <c r="J167" s="3">
        <v>4.2774359369313322</v>
      </c>
      <c r="K167" s="3">
        <v>5.5</v>
      </c>
      <c r="L167" s="3">
        <f t="shared" si="24"/>
        <v>0</v>
      </c>
      <c r="M167" s="32"/>
      <c r="N167" s="11">
        <f t="shared" si="25"/>
        <v>-0.2874359369313324</v>
      </c>
      <c r="O167" s="3">
        <v>4.2774359369313322</v>
      </c>
      <c r="P167" s="11">
        <f t="shared" si="26"/>
        <v>-2.0159455886851316</v>
      </c>
      <c r="Q167" s="12">
        <f t="shared" si="27"/>
        <v>-2.0159455886851316</v>
      </c>
      <c r="R167" s="13">
        <f t="shared" si="28"/>
        <v>1.1109202985663422</v>
      </c>
      <c r="S167" s="3" t="s">
        <v>30</v>
      </c>
      <c r="T167" s="3" t="s">
        <v>32</v>
      </c>
      <c r="U167" s="10">
        <v>0</v>
      </c>
      <c r="V167" s="3">
        <v>0</v>
      </c>
      <c r="W167" s="3">
        <f t="shared" si="29"/>
        <v>0</v>
      </c>
      <c r="Y167" s="3">
        <v>0</v>
      </c>
      <c r="Z167" s="3">
        <v>0</v>
      </c>
      <c r="AA167" s="3">
        <v>5.5</v>
      </c>
    </row>
    <row r="168" spans="1:27" x14ac:dyDescent="0.3">
      <c r="A168" s="3" t="str">
        <f t="shared" si="20"/>
        <v>West9410069900210</v>
      </c>
      <c r="B168" s="3" t="str">
        <f t="shared" si="21"/>
        <v>Mah9410069900210</v>
      </c>
      <c r="C168" s="10">
        <v>9410069900210</v>
      </c>
      <c r="D168" s="10" t="str">
        <f t="shared" si="22"/>
        <v>9410069900</v>
      </c>
      <c r="E168" s="3" t="s">
        <v>1</v>
      </c>
      <c r="F168" s="3" t="s">
        <v>63</v>
      </c>
      <c r="H168" s="3">
        <v>5.5660000000000007</v>
      </c>
      <c r="I168" s="10">
        <f t="shared" si="23"/>
        <v>41.42494023464873</v>
      </c>
      <c r="J168" s="3">
        <v>4.0309050309826224</v>
      </c>
      <c r="K168" s="3">
        <v>5.5</v>
      </c>
      <c r="L168" s="3">
        <f t="shared" si="24"/>
        <v>0</v>
      </c>
      <c r="M168" s="32"/>
      <c r="N168" s="11">
        <f t="shared" si="25"/>
        <v>1.5350949690173783</v>
      </c>
      <c r="O168" s="3">
        <v>4.0309050309826224</v>
      </c>
      <c r="P168" s="11">
        <f t="shared" si="26"/>
        <v>11.42494023464873</v>
      </c>
      <c r="Q168" s="12">
        <f t="shared" si="27"/>
        <v>11.42494023464873</v>
      </c>
      <c r="R168" s="13">
        <f t="shared" si="28"/>
        <v>1.6261161680536202</v>
      </c>
      <c r="S168" s="3" t="s">
        <v>30</v>
      </c>
      <c r="T168" s="3" t="s">
        <v>32</v>
      </c>
      <c r="U168" s="10">
        <v>0</v>
      </c>
      <c r="V168" s="3">
        <v>0</v>
      </c>
      <c r="W168" s="3">
        <f t="shared" si="29"/>
        <v>0</v>
      </c>
      <c r="Y168" s="3">
        <v>0</v>
      </c>
      <c r="Z168" s="3">
        <v>23</v>
      </c>
      <c r="AA168" s="3">
        <v>5.5</v>
      </c>
    </row>
    <row r="169" spans="1:27" x14ac:dyDescent="0.3">
      <c r="A169" s="3" t="str">
        <f t="shared" si="20"/>
        <v>West9430109901220</v>
      </c>
      <c r="B169" s="3" t="str">
        <f t="shared" si="21"/>
        <v>Mah9430109901220</v>
      </c>
      <c r="C169" s="10">
        <v>9430109901220</v>
      </c>
      <c r="D169" s="10" t="str">
        <f t="shared" si="22"/>
        <v>9430109901</v>
      </c>
      <c r="E169" s="3" t="s">
        <v>1</v>
      </c>
      <c r="F169" s="3" t="s">
        <v>63</v>
      </c>
      <c r="H169" s="3">
        <v>10.148</v>
      </c>
      <c r="I169" s="10">
        <f t="shared" si="23"/>
        <v>83.750711527534804</v>
      </c>
      <c r="J169" s="3">
        <v>3.6350735945677184</v>
      </c>
      <c r="K169" s="3">
        <v>0</v>
      </c>
      <c r="L169" s="3">
        <f t="shared" si="24"/>
        <v>0</v>
      </c>
      <c r="M169" s="32"/>
      <c r="N169" s="11">
        <f t="shared" si="25"/>
        <v>6.5129264054322817</v>
      </c>
      <c r="O169" s="3">
        <v>3.6350735945677184</v>
      </c>
      <c r="P169" s="11">
        <f t="shared" si="26"/>
        <v>53.750711527534804</v>
      </c>
      <c r="Q169" s="12">
        <f t="shared" si="27"/>
        <v>53.750711527534811</v>
      </c>
      <c r="R169" s="13">
        <f t="shared" si="28"/>
        <v>38.878687367972503</v>
      </c>
      <c r="S169" s="3" t="s">
        <v>31</v>
      </c>
      <c r="T169" s="3" t="s">
        <v>35</v>
      </c>
      <c r="U169" s="10">
        <v>0</v>
      </c>
      <c r="V169" s="3">
        <v>0</v>
      </c>
      <c r="W169" s="3">
        <f t="shared" si="29"/>
        <v>0</v>
      </c>
      <c r="Y169" s="3">
        <v>0</v>
      </c>
      <c r="Z169" s="3">
        <v>0</v>
      </c>
      <c r="AA169" s="3">
        <v>5.5</v>
      </c>
    </row>
    <row r="170" spans="1:27" x14ac:dyDescent="0.3">
      <c r="A170" s="3" t="str">
        <f t="shared" si="20"/>
        <v>West9430119900310</v>
      </c>
      <c r="B170" s="3" t="str">
        <f t="shared" si="21"/>
        <v>Mah9430119900310</v>
      </c>
      <c r="C170" s="10">
        <v>9430119900310</v>
      </c>
      <c r="D170" s="10" t="str">
        <f t="shared" si="22"/>
        <v>9430119900</v>
      </c>
      <c r="E170" s="3" t="s">
        <v>1</v>
      </c>
      <c r="F170" s="3" t="s">
        <v>63</v>
      </c>
      <c r="H170" s="3">
        <v>7.4499999999999993</v>
      </c>
      <c r="I170" s="10">
        <f t="shared" si="23"/>
        <v>86.623988727384074</v>
      </c>
      <c r="J170" s="3">
        <v>2.5801167007372618</v>
      </c>
      <c r="K170" s="3">
        <v>0</v>
      </c>
      <c r="L170" s="3">
        <f t="shared" si="24"/>
        <v>0</v>
      </c>
      <c r="M170" s="32"/>
      <c r="N170" s="11">
        <f t="shared" si="25"/>
        <v>4.869883299262737</v>
      </c>
      <c r="O170" s="3">
        <v>2.5801167007372618</v>
      </c>
      <c r="P170" s="11">
        <f t="shared" si="26"/>
        <v>56.623988727384081</v>
      </c>
      <c r="Q170" s="12">
        <f t="shared" si="27"/>
        <v>56.623988727384074</v>
      </c>
      <c r="R170" s="13">
        <f t="shared" si="28"/>
        <v>58.484369693341321</v>
      </c>
      <c r="S170" s="3" t="s">
        <v>31</v>
      </c>
      <c r="T170" s="3" t="s">
        <v>35</v>
      </c>
      <c r="U170" s="10">
        <v>0</v>
      </c>
      <c r="V170" s="3">
        <v>0</v>
      </c>
      <c r="W170" s="3">
        <f t="shared" si="29"/>
        <v>0</v>
      </c>
      <c r="Y170" s="3">
        <v>0</v>
      </c>
      <c r="Z170" s="3">
        <v>44</v>
      </c>
      <c r="AA170" s="3">
        <v>5.5</v>
      </c>
    </row>
    <row r="171" spans="1:27" x14ac:dyDescent="0.3">
      <c r="A171" s="3" t="str">
        <f t="shared" si="20"/>
        <v>West9430109901210</v>
      </c>
      <c r="B171" s="3" t="str">
        <f t="shared" si="21"/>
        <v>Mah9430109901210</v>
      </c>
      <c r="C171" s="10">
        <v>9430109901210</v>
      </c>
      <c r="D171" s="10" t="str">
        <f t="shared" si="22"/>
        <v>9430109901</v>
      </c>
      <c r="E171" s="3" t="s">
        <v>1</v>
      </c>
      <c r="F171" s="3" t="s">
        <v>63</v>
      </c>
      <c r="H171" s="3">
        <v>6.3289999999999997</v>
      </c>
      <c r="I171" s="10">
        <f t="shared" si="23"/>
        <v>76.358196951514884</v>
      </c>
      <c r="J171" s="3">
        <v>2.4865699765090268</v>
      </c>
      <c r="K171" s="3">
        <v>0</v>
      </c>
      <c r="L171" s="3">
        <f t="shared" si="24"/>
        <v>0</v>
      </c>
      <c r="M171" s="32"/>
      <c r="N171" s="11">
        <f t="shared" si="25"/>
        <v>3.842430023490973</v>
      </c>
      <c r="O171" s="3">
        <v>2.4865699765090268</v>
      </c>
      <c r="P171" s="11">
        <f t="shared" si="26"/>
        <v>46.358196951514884</v>
      </c>
      <c r="Q171" s="12">
        <f t="shared" si="27"/>
        <v>46.358196951514877</v>
      </c>
      <c r="R171" s="13">
        <f t="shared" si="28"/>
        <v>34.909154797449432</v>
      </c>
      <c r="S171" s="3" t="s">
        <v>31</v>
      </c>
      <c r="T171" s="3" t="s">
        <v>35</v>
      </c>
      <c r="U171" s="10">
        <v>0</v>
      </c>
      <c r="V171" s="3">
        <v>0</v>
      </c>
      <c r="W171" s="3">
        <f t="shared" si="29"/>
        <v>0</v>
      </c>
      <c r="Y171" s="3">
        <v>0</v>
      </c>
      <c r="Z171" s="3">
        <v>156</v>
      </c>
      <c r="AA171" s="3">
        <v>5.5</v>
      </c>
    </row>
    <row r="172" spans="1:27" x14ac:dyDescent="0.3">
      <c r="A172" s="3" t="str">
        <f t="shared" si="20"/>
        <v>West9418009900820</v>
      </c>
      <c r="B172" s="3" t="str">
        <f t="shared" si="21"/>
        <v>Mah9418009900820</v>
      </c>
      <c r="C172" s="10">
        <v>9418009900820</v>
      </c>
      <c r="D172" s="10" t="str">
        <f t="shared" si="22"/>
        <v>9418009900</v>
      </c>
      <c r="E172" s="3" t="s">
        <v>1</v>
      </c>
      <c r="F172" s="3" t="s">
        <v>63</v>
      </c>
      <c r="H172" s="3">
        <v>0.92000000000000015</v>
      </c>
      <c r="I172" s="10">
        <f t="shared" si="23"/>
        <v>14.345361657868184</v>
      </c>
      <c r="J172" s="3">
        <v>1.9239668304118271</v>
      </c>
      <c r="K172" s="3">
        <v>0</v>
      </c>
      <c r="L172" s="3">
        <f t="shared" si="24"/>
        <v>0</v>
      </c>
      <c r="M172" s="32"/>
      <c r="N172" s="11">
        <f t="shared" si="25"/>
        <v>-1.003966830411827</v>
      </c>
      <c r="O172" s="3">
        <v>1.9239668304118271</v>
      </c>
      <c r="P172" s="11">
        <f t="shared" si="26"/>
        <v>-15.654638342131815</v>
      </c>
      <c r="Q172" s="12">
        <f t="shared" si="27"/>
        <v>-15.654638342131816</v>
      </c>
      <c r="R172" s="13">
        <f t="shared" si="28"/>
        <v>-10.9001806663038</v>
      </c>
      <c r="S172" s="3" t="s">
        <v>31</v>
      </c>
      <c r="T172" s="3" t="s">
        <v>32</v>
      </c>
      <c r="U172" s="10">
        <v>0</v>
      </c>
      <c r="V172" s="3">
        <v>0</v>
      </c>
      <c r="W172" s="3">
        <f t="shared" si="29"/>
        <v>0</v>
      </c>
      <c r="Y172" s="3">
        <v>0</v>
      </c>
      <c r="Z172" s="3">
        <v>75</v>
      </c>
      <c r="AA172" s="3">
        <v>5.5</v>
      </c>
    </row>
    <row r="173" spans="1:27" x14ac:dyDescent="0.3">
      <c r="A173" s="3" t="str">
        <f t="shared" si="20"/>
        <v>West9430109902320</v>
      </c>
      <c r="B173" s="3" t="str">
        <f t="shared" si="21"/>
        <v>Mah9430109902320</v>
      </c>
      <c r="C173" s="10">
        <v>9430109902320</v>
      </c>
      <c r="D173" s="10" t="str">
        <f t="shared" si="22"/>
        <v>9430109902</v>
      </c>
      <c r="E173" s="3" t="s">
        <v>1</v>
      </c>
      <c r="F173" s="3" t="s">
        <v>63</v>
      </c>
      <c r="H173" s="3">
        <v>5.0600000000000005</v>
      </c>
      <c r="I173" s="10">
        <f t="shared" si="23"/>
        <v>91.718486056813958</v>
      </c>
      <c r="J173" s="3">
        <v>1.6550643880664282</v>
      </c>
      <c r="K173" s="3">
        <v>0</v>
      </c>
      <c r="L173" s="3">
        <f t="shared" si="24"/>
        <v>0</v>
      </c>
      <c r="M173" s="32"/>
      <c r="N173" s="11">
        <f t="shared" si="25"/>
        <v>3.4049356119335723</v>
      </c>
      <c r="O173" s="3">
        <v>1.6550643880664282</v>
      </c>
      <c r="P173" s="11">
        <f t="shared" si="26"/>
        <v>61.718486056813958</v>
      </c>
      <c r="Q173" s="12">
        <f t="shared" si="27"/>
        <v>61.718486056813951</v>
      </c>
      <c r="R173" s="13">
        <f t="shared" si="28"/>
        <v>22.447350601553385</v>
      </c>
      <c r="S173" s="3" t="s">
        <v>31</v>
      </c>
      <c r="T173" s="3" t="s">
        <v>35</v>
      </c>
      <c r="U173" s="10">
        <v>0</v>
      </c>
      <c r="V173" s="3">
        <v>0</v>
      </c>
      <c r="W173" s="3">
        <f t="shared" si="29"/>
        <v>0</v>
      </c>
      <c r="Y173" s="3">
        <v>0</v>
      </c>
      <c r="Z173" s="3">
        <v>0</v>
      </c>
      <c r="AA173" s="3">
        <v>5.5</v>
      </c>
    </row>
    <row r="174" spans="1:27" x14ac:dyDescent="0.3">
      <c r="A174" s="3" t="str">
        <f t="shared" si="20"/>
        <v>West9430119900250</v>
      </c>
      <c r="B174" s="3" t="str">
        <f t="shared" si="21"/>
        <v>Mah9430119900250</v>
      </c>
      <c r="C174" s="10">
        <v>9430119900250</v>
      </c>
      <c r="D174" s="10" t="str">
        <f t="shared" si="22"/>
        <v>9430119900</v>
      </c>
      <c r="E174" s="3" t="s">
        <v>1</v>
      </c>
      <c r="F174" s="3" t="s">
        <v>63</v>
      </c>
      <c r="H174" s="3">
        <v>4.8950000000000005</v>
      </c>
      <c r="I174" s="10">
        <f t="shared" si="23"/>
        <v>120.19733647826108</v>
      </c>
      <c r="J174" s="3">
        <v>1.2217408829733871</v>
      </c>
      <c r="K174" s="3">
        <v>0</v>
      </c>
      <c r="L174" s="3">
        <f t="shared" si="24"/>
        <v>0</v>
      </c>
      <c r="M174" s="32"/>
      <c r="N174" s="11">
        <f t="shared" si="25"/>
        <v>3.6732591170266131</v>
      </c>
      <c r="O174" s="3">
        <v>1.2217408829733871</v>
      </c>
      <c r="P174" s="11">
        <f t="shared" si="26"/>
        <v>90.197336478261079</v>
      </c>
      <c r="Q174" s="12">
        <f t="shared" si="27"/>
        <v>90.197336478261093</v>
      </c>
      <c r="R174" s="13">
        <f t="shared" si="28"/>
        <v>115.61189076937448</v>
      </c>
      <c r="S174" s="3" t="s">
        <v>31</v>
      </c>
      <c r="T174" s="3" t="s">
        <v>35</v>
      </c>
      <c r="U174" s="10">
        <v>0</v>
      </c>
      <c r="V174" s="3">
        <v>0</v>
      </c>
      <c r="W174" s="3">
        <f t="shared" si="29"/>
        <v>0</v>
      </c>
      <c r="Y174" s="3">
        <v>0</v>
      </c>
      <c r="Z174" s="3">
        <v>108</v>
      </c>
      <c r="AA174" s="3">
        <v>5.5</v>
      </c>
    </row>
    <row r="175" spans="1:27" ht="15.6" x14ac:dyDescent="0.3">
      <c r="A175" s="3" t="str">
        <f t="shared" si="20"/>
        <v>West9430119901320</v>
      </c>
      <c r="B175" s="3" t="str">
        <f t="shared" si="21"/>
        <v>Mah9430119901320</v>
      </c>
      <c r="C175" s="10">
        <v>9430119901320</v>
      </c>
      <c r="D175" s="10" t="str">
        <f t="shared" si="22"/>
        <v>9430119901</v>
      </c>
      <c r="E175" s="3" t="s">
        <v>1</v>
      </c>
      <c r="F175" s="3" t="s">
        <v>63</v>
      </c>
      <c r="H175" s="3">
        <v>4.4800000000000004</v>
      </c>
      <c r="I175" s="10">
        <f t="shared" si="23"/>
        <v>177.86671999670733</v>
      </c>
      <c r="J175" s="3">
        <v>0.75562196234623336</v>
      </c>
      <c r="K175" s="3">
        <v>0</v>
      </c>
      <c r="L175" s="3">
        <f t="shared" si="24"/>
        <v>0</v>
      </c>
      <c r="N175" s="11">
        <f t="shared" si="25"/>
        <v>3.724378037653767</v>
      </c>
      <c r="O175" s="3">
        <v>0.75562196234623336</v>
      </c>
      <c r="P175" s="11">
        <f t="shared" si="26"/>
        <v>147.86671999670733</v>
      </c>
      <c r="Q175" s="12">
        <f t="shared" si="27"/>
        <v>147.86671999670733</v>
      </c>
      <c r="R175" s="13">
        <f t="shared" si="28"/>
        <v>154.21910285373258</v>
      </c>
      <c r="S175" s="3" t="s">
        <v>31</v>
      </c>
      <c r="T175" s="3" t="s">
        <v>35</v>
      </c>
      <c r="U175" s="10">
        <v>0</v>
      </c>
      <c r="V175" s="3">
        <v>0</v>
      </c>
      <c r="W175" s="3">
        <f t="shared" si="29"/>
        <v>0</v>
      </c>
      <c r="Y175">
        <v>6</v>
      </c>
      <c r="Z175" s="3">
        <v>300</v>
      </c>
      <c r="AA175" s="3">
        <v>5.5</v>
      </c>
    </row>
    <row r="176" spans="1:27" ht="15.6" x14ac:dyDescent="0.3">
      <c r="A176" s="3" t="str">
        <f t="shared" si="20"/>
        <v>West9430109902310</v>
      </c>
      <c r="B176" s="3" t="str">
        <f t="shared" si="21"/>
        <v>Mah9430109902310</v>
      </c>
      <c r="C176" s="10">
        <v>9430109902310</v>
      </c>
      <c r="D176" s="10" t="str">
        <f t="shared" si="22"/>
        <v>9430109902</v>
      </c>
      <c r="E176" s="3" t="s">
        <v>1</v>
      </c>
      <c r="F176" s="3" t="s">
        <v>63</v>
      </c>
      <c r="H176" s="3">
        <v>3.2500000000000004</v>
      </c>
      <c r="I176" s="10">
        <f t="shared" si="23"/>
        <v>133.21119643669169</v>
      </c>
      <c r="J176" s="3">
        <v>0.73192045870060674</v>
      </c>
      <c r="K176" s="3">
        <v>0</v>
      </c>
      <c r="L176" s="3">
        <f t="shared" si="24"/>
        <v>0</v>
      </c>
      <c r="N176" s="11">
        <f t="shared" si="25"/>
        <v>2.5180795412993939</v>
      </c>
      <c r="O176" s="3">
        <v>0.73192045870060674</v>
      </c>
      <c r="P176" s="11">
        <f t="shared" si="26"/>
        <v>103.21119643669171</v>
      </c>
      <c r="Q176" s="12">
        <f t="shared" si="27"/>
        <v>103.21119643669171</v>
      </c>
      <c r="R176" s="13">
        <f t="shared" si="28"/>
        <v>50.205707423478124</v>
      </c>
      <c r="S176" s="3" t="s">
        <v>31</v>
      </c>
      <c r="T176" s="3" t="s">
        <v>35</v>
      </c>
      <c r="U176" s="10">
        <v>0</v>
      </c>
      <c r="V176" s="3">
        <v>0</v>
      </c>
      <c r="W176" s="3">
        <f t="shared" si="29"/>
        <v>0</v>
      </c>
      <c r="Y176">
        <v>1</v>
      </c>
      <c r="Z176" s="3">
        <v>9</v>
      </c>
      <c r="AA176" s="3">
        <v>5.5</v>
      </c>
    </row>
    <row r="177" spans="1:27" x14ac:dyDescent="0.3">
      <c r="A177" s="3" t="str">
        <f t="shared" si="20"/>
        <v>West9430109902250</v>
      </c>
      <c r="B177" s="3" t="str">
        <f t="shared" si="21"/>
        <v>Mah9430109902250</v>
      </c>
      <c r="C177" s="10">
        <v>9430109902250</v>
      </c>
      <c r="D177" s="10" t="str">
        <f t="shared" si="22"/>
        <v>9430109902</v>
      </c>
      <c r="E177" s="3" t="s">
        <v>1</v>
      </c>
      <c r="F177" s="3" t="s">
        <v>63</v>
      </c>
      <c r="H177" s="3">
        <v>1.4750000000000003</v>
      </c>
      <c r="I177" s="10">
        <f t="shared" si="23"/>
        <v>61.240916330283994</v>
      </c>
      <c r="J177" s="3">
        <v>0.72255613814383968</v>
      </c>
      <c r="K177" s="3">
        <v>0</v>
      </c>
      <c r="L177" s="3">
        <f t="shared" si="24"/>
        <v>0</v>
      </c>
      <c r="N177" s="11">
        <f t="shared" si="25"/>
        <v>0.75244386185616063</v>
      </c>
      <c r="O177" s="3">
        <v>0.72255613814383968</v>
      </c>
      <c r="P177" s="11">
        <f t="shared" si="26"/>
        <v>31.240916330283994</v>
      </c>
      <c r="Q177" s="12">
        <f t="shared" si="27"/>
        <v>31.240916330283994</v>
      </c>
      <c r="R177" s="13">
        <f t="shared" si="28"/>
        <v>23.704826150757036</v>
      </c>
      <c r="S177" s="3" t="s">
        <v>31</v>
      </c>
      <c r="T177" s="3" t="s">
        <v>35</v>
      </c>
      <c r="U177" s="10">
        <v>0</v>
      </c>
      <c r="V177" s="3">
        <v>0</v>
      </c>
      <c r="W177" s="3">
        <f t="shared" si="29"/>
        <v>0</v>
      </c>
      <c r="AA177" s="3">
        <v>5.5</v>
      </c>
    </row>
    <row r="178" spans="1:27" x14ac:dyDescent="0.3">
      <c r="A178" s="3" t="str">
        <f t="shared" si="20"/>
        <v>West9418009900850</v>
      </c>
      <c r="B178" s="3" t="str">
        <f t="shared" si="21"/>
        <v>Mah9418009900850</v>
      </c>
      <c r="C178" s="10">
        <v>9418009900850</v>
      </c>
      <c r="D178" s="10" t="str">
        <f t="shared" si="22"/>
        <v>9418009900</v>
      </c>
      <c r="E178" s="3" t="s">
        <v>1</v>
      </c>
      <c r="F178" s="3" t="s">
        <v>63</v>
      </c>
      <c r="H178" s="3">
        <v>0</v>
      </c>
      <c r="I178" s="10">
        <f t="shared" si="23"/>
        <v>0</v>
      </c>
      <c r="J178" s="3">
        <v>0.44409474629430634</v>
      </c>
      <c r="K178" s="3">
        <v>5.5</v>
      </c>
      <c r="L178" s="3">
        <f t="shared" si="24"/>
        <v>0</v>
      </c>
      <c r="N178" s="11">
        <f t="shared" si="25"/>
        <v>-0.44409474629430634</v>
      </c>
      <c r="O178" s="3">
        <v>0.44409474629430634</v>
      </c>
      <c r="P178" s="11">
        <f t="shared" si="26"/>
        <v>-30</v>
      </c>
      <c r="Q178" s="12">
        <f t="shared" si="27"/>
        <v>-30</v>
      </c>
      <c r="R178" s="13">
        <f t="shared" si="28"/>
        <v>-29.999999999999996</v>
      </c>
      <c r="S178" s="3" t="s">
        <v>31</v>
      </c>
      <c r="T178" s="3" t="s">
        <v>32</v>
      </c>
      <c r="U178" s="10">
        <v>0</v>
      </c>
      <c r="V178" s="3">
        <v>0</v>
      </c>
      <c r="W178" s="3">
        <f t="shared" si="29"/>
        <v>0</v>
      </c>
      <c r="AA178" s="3">
        <v>5.5</v>
      </c>
    </row>
    <row r="179" spans="1:27" x14ac:dyDescent="0.3">
      <c r="A179" s="3" t="str">
        <f t="shared" si="20"/>
        <v>West9418009900210</v>
      </c>
      <c r="B179" s="3" t="str">
        <f t="shared" si="21"/>
        <v>Mah9418009900210</v>
      </c>
      <c r="C179" s="10">
        <v>9418009900210</v>
      </c>
      <c r="D179" s="10" t="str">
        <f t="shared" si="22"/>
        <v>9418009900</v>
      </c>
      <c r="E179" s="3" t="s">
        <v>1</v>
      </c>
      <c r="F179" s="3" t="s">
        <v>63</v>
      </c>
      <c r="H179" s="3">
        <v>1.0130000000000003</v>
      </c>
      <c r="I179" s="10">
        <f t="shared" si="23"/>
        <v>75.823904232280725</v>
      </c>
      <c r="J179" s="3">
        <v>0.40079708777462281</v>
      </c>
      <c r="K179" s="3">
        <v>0</v>
      </c>
      <c r="L179" s="3">
        <f t="shared" si="24"/>
        <v>0</v>
      </c>
      <c r="N179" s="11">
        <f t="shared" si="25"/>
        <v>0.61220291222537759</v>
      </c>
      <c r="O179" s="3">
        <v>0.40079708777462281</v>
      </c>
      <c r="P179" s="11">
        <f t="shared" si="26"/>
        <v>45.823904232280725</v>
      </c>
      <c r="Q179" s="12">
        <f t="shared" si="27"/>
        <v>45.823904232280725</v>
      </c>
      <c r="R179" s="13">
        <f t="shared" si="28"/>
        <v>106.73502077445265</v>
      </c>
      <c r="S179" s="3" t="s">
        <v>31</v>
      </c>
      <c r="T179" s="3" t="s">
        <v>32</v>
      </c>
      <c r="U179" s="10">
        <v>0</v>
      </c>
      <c r="V179" s="3">
        <v>0</v>
      </c>
      <c r="W179" s="3">
        <f t="shared" si="29"/>
        <v>0</v>
      </c>
      <c r="AA179" s="3">
        <v>5.5</v>
      </c>
    </row>
    <row r="180" spans="1:27" ht="16.05" customHeight="1" x14ac:dyDescent="0.3">
      <c r="A180" s="3" t="str">
        <f t="shared" si="20"/>
        <v>West9418009900810</v>
      </c>
      <c r="B180" s="3" t="str">
        <f t="shared" si="21"/>
        <v>Mah9418009900810</v>
      </c>
      <c r="C180" s="10">
        <v>9418009900810</v>
      </c>
      <c r="D180" s="10" t="str">
        <f t="shared" si="22"/>
        <v>9418009900</v>
      </c>
      <c r="E180" s="3" t="s">
        <v>1</v>
      </c>
      <c r="F180" s="3" t="s">
        <v>63</v>
      </c>
      <c r="H180" s="3">
        <v>0</v>
      </c>
      <c r="I180" s="10">
        <f t="shared" si="23"/>
        <v>0</v>
      </c>
      <c r="J180" s="3">
        <v>0.32577704343031727</v>
      </c>
      <c r="K180" s="3">
        <v>5.5</v>
      </c>
      <c r="L180" s="3">
        <f t="shared" si="24"/>
        <v>0</v>
      </c>
      <c r="N180" s="11">
        <f t="shared" si="25"/>
        <v>-0.32577704343031727</v>
      </c>
      <c r="O180" s="3">
        <v>0.32577704343031727</v>
      </c>
      <c r="P180" s="11">
        <f t="shared" si="26"/>
        <v>-30</v>
      </c>
      <c r="Q180" s="12">
        <f t="shared" si="27"/>
        <v>-30</v>
      </c>
      <c r="R180" s="13">
        <f t="shared" si="28"/>
        <v>-30</v>
      </c>
      <c r="S180" s="3" t="s">
        <v>31</v>
      </c>
      <c r="T180" s="3" t="s">
        <v>32</v>
      </c>
      <c r="U180" s="10">
        <v>0</v>
      </c>
      <c r="V180" s="3">
        <v>0</v>
      </c>
      <c r="W180" s="3">
        <f t="shared" si="29"/>
        <v>0</v>
      </c>
      <c r="AA180" s="3">
        <v>5.5</v>
      </c>
    </row>
    <row r="181" spans="1:27" ht="16.05" customHeight="1" x14ac:dyDescent="0.3">
      <c r="A181" s="3" t="str">
        <f t="shared" si="20"/>
        <v>West9430109902210</v>
      </c>
      <c r="B181" s="3" t="str">
        <f t="shared" si="21"/>
        <v>Mah9430109902210</v>
      </c>
      <c r="C181" s="10">
        <v>9430109902210</v>
      </c>
      <c r="D181" s="10" t="str">
        <f t="shared" si="22"/>
        <v>9430109902</v>
      </c>
      <c r="E181" s="3" t="s">
        <v>1</v>
      </c>
      <c r="F181" s="3" t="s">
        <v>63</v>
      </c>
      <c r="H181" s="3">
        <v>1.3670000000000002</v>
      </c>
      <c r="I181" s="10">
        <f t="shared" si="23"/>
        <v>231.35036802830234</v>
      </c>
      <c r="J181" s="3">
        <v>0.17726360389875426</v>
      </c>
      <c r="K181" s="3">
        <v>0</v>
      </c>
      <c r="L181" s="3">
        <f t="shared" si="24"/>
        <v>0</v>
      </c>
      <c r="N181" s="11">
        <f t="shared" si="25"/>
        <v>1.1897363961012459</v>
      </c>
      <c r="O181" s="3">
        <v>0.17726360389875426</v>
      </c>
      <c r="P181" s="11">
        <f t="shared" si="26"/>
        <v>201.35036802830231</v>
      </c>
      <c r="Q181" s="12">
        <f t="shared" si="27"/>
        <v>201.35036802830234</v>
      </c>
      <c r="R181" s="13">
        <f t="shared" si="28"/>
        <v>190.89251081833569</v>
      </c>
      <c r="S181" s="3" t="s">
        <v>31</v>
      </c>
      <c r="T181" s="3" t="s">
        <v>35</v>
      </c>
      <c r="U181" s="10">
        <v>0</v>
      </c>
      <c r="V181" s="3">
        <v>0</v>
      </c>
      <c r="W181" s="3">
        <f t="shared" si="29"/>
        <v>0</v>
      </c>
      <c r="AA181" s="3">
        <v>5.5</v>
      </c>
    </row>
    <row r="182" spans="1:27" ht="16.05" customHeight="1" x14ac:dyDescent="0.3">
      <c r="A182" s="3" t="str">
        <f t="shared" si="20"/>
        <v>West9430109902220</v>
      </c>
      <c r="B182" s="3" t="str">
        <f t="shared" si="21"/>
        <v>Mah9430109902220</v>
      </c>
      <c r="C182" s="10">
        <v>9430109902220</v>
      </c>
      <c r="D182" s="10" t="str">
        <f t="shared" si="22"/>
        <v>9430109902</v>
      </c>
      <c r="E182" s="3" t="s">
        <v>1</v>
      </c>
      <c r="F182" s="3" t="s">
        <v>63</v>
      </c>
      <c r="H182" s="3">
        <v>1.6360000000000001</v>
      </c>
      <c r="I182" s="10">
        <f t="shared" si="23"/>
        <v>446.14740000184452</v>
      </c>
      <c r="J182" s="3">
        <v>0.110008485984222</v>
      </c>
      <c r="K182" s="3">
        <v>0</v>
      </c>
      <c r="L182" s="3">
        <f t="shared" si="24"/>
        <v>0</v>
      </c>
      <c r="N182" s="11">
        <f t="shared" si="25"/>
        <v>1.525991514015778</v>
      </c>
      <c r="O182" s="3">
        <v>0.110008485984222</v>
      </c>
      <c r="P182" s="11">
        <f t="shared" si="26"/>
        <v>416.14740000184452</v>
      </c>
      <c r="Q182" s="12">
        <f t="shared" si="27"/>
        <v>416.14740000184452</v>
      </c>
      <c r="R182" s="13">
        <f t="shared" si="28"/>
        <v>105.45285077529311</v>
      </c>
      <c r="S182" s="3" t="s">
        <v>31</v>
      </c>
      <c r="T182" s="3" t="s">
        <v>35</v>
      </c>
      <c r="U182" s="10">
        <v>0</v>
      </c>
      <c r="V182" s="3">
        <v>0</v>
      </c>
      <c r="W182" s="3">
        <f t="shared" si="29"/>
        <v>0</v>
      </c>
      <c r="AA182" s="3">
        <v>5.5</v>
      </c>
    </row>
    <row r="183" spans="1:27" x14ac:dyDescent="0.3">
      <c r="A183" s="3" t="str">
        <f t="shared" si="20"/>
        <v>West9430119900210</v>
      </c>
      <c r="B183" s="3" t="str">
        <f t="shared" si="21"/>
        <v>Mah9430119900210</v>
      </c>
      <c r="C183" s="10">
        <v>9430119900210</v>
      </c>
      <c r="D183" s="10" t="str">
        <f t="shared" si="22"/>
        <v>9430119900</v>
      </c>
      <c r="E183" s="3" t="s">
        <v>1</v>
      </c>
      <c r="F183" s="3" t="s">
        <v>63</v>
      </c>
      <c r="H183" s="3">
        <v>5.4790000000000001</v>
      </c>
      <c r="I183" s="10">
        <f t="shared" si="23"/>
        <v>1586.5813187127912</v>
      </c>
      <c r="J183" s="3">
        <v>0.10360011054041338</v>
      </c>
      <c r="K183" s="3">
        <v>0</v>
      </c>
      <c r="L183" s="3">
        <f t="shared" si="24"/>
        <v>0</v>
      </c>
      <c r="N183" s="11">
        <f t="shared" si="25"/>
        <v>5.3753998894595867</v>
      </c>
      <c r="O183" s="3">
        <v>0.10360011054041338</v>
      </c>
      <c r="P183" s="11">
        <f t="shared" si="26"/>
        <v>1556.5813187127912</v>
      </c>
      <c r="Q183" s="12">
        <f t="shared" si="27"/>
        <v>1556.5813187127912</v>
      </c>
      <c r="R183" s="13">
        <f t="shared" si="28"/>
        <v>2808.4139598508455</v>
      </c>
      <c r="S183" s="3" t="s">
        <v>31</v>
      </c>
      <c r="T183" s="3" t="s">
        <v>35</v>
      </c>
      <c r="U183" s="10">
        <v>0</v>
      </c>
      <c r="V183" s="3">
        <v>0</v>
      </c>
      <c r="W183" s="3">
        <f t="shared" si="29"/>
        <v>0</v>
      </c>
      <c r="AA183" s="3">
        <v>5.5</v>
      </c>
    </row>
    <row r="184" spans="1:27" x14ac:dyDescent="0.3">
      <c r="A184" s="3" t="str">
        <f t="shared" si="20"/>
        <v>West9430119900220</v>
      </c>
      <c r="B184" s="3" t="str">
        <f t="shared" si="21"/>
        <v>Mah9430119900220</v>
      </c>
      <c r="C184" s="10">
        <v>9430119900220</v>
      </c>
      <c r="D184" s="10" t="str">
        <f t="shared" si="22"/>
        <v>9430119900</v>
      </c>
      <c r="E184" s="3" t="s">
        <v>1</v>
      </c>
      <c r="F184" s="3" t="s">
        <v>63</v>
      </c>
      <c r="H184" s="3">
        <v>1.71</v>
      </c>
      <c r="I184" s="10">
        <f t="shared" si="23"/>
        <v>511.3587033722165</v>
      </c>
      <c r="J184" s="3">
        <v>0.1003209677701699</v>
      </c>
      <c r="K184" s="3">
        <v>0</v>
      </c>
      <c r="L184" s="3">
        <f t="shared" si="24"/>
        <v>0</v>
      </c>
      <c r="N184" s="11">
        <f t="shared" si="25"/>
        <v>1.60967903222983</v>
      </c>
      <c r="O184" s="3">
        <v>0.1003209677701699</v>
      </c>
      <c r="P184" s="11">
        <f t="shared" si="26"/>
        <v>481.3587033722165</v>
      </c>
      <c r="Q184" s="12">
        <f t="shared" si="27"/>
        <v>481.35870337221644</v>
      </c>
      <c r="R184" s="13">
        <f t="shared" si="28"/>
        <v>1507.1861279617206</v>
      </c>
      <c r="S184" s="3" t="s">
        <v>31</v>
      </c>
      <c r="T184" s="3" t="s">
        <v>35</v>
      </c>
      <c r="U184" s="10">
        <v>0</v>
      </c>
      <c r="V184" s="3">
        <v>0</v>
      </c>
      <c r="W184" s="3">
        <f t="shared" si="29"/>
        <v>0</v>
      </c>
      <c r="AA184" s="3">
        <v>5.5</v>
      </c>
    </row>
    <row r="185" spans="1:27" x14ac:dyDescent="0.3">
      <c r="A185" s="3" t="str">
        <f t="shared" si="20"/>
        <v>West9430119901310</v>
      </c>
      <c r="B185" s="3" t="str">
        <f t="shared" si="21"/>
        <v>Mah9430119901310</v>
      </c>
      <c r="C185" s="10">
        <v>9430119901310</v>
      </c>
      <c r="D185" s="10" t="str">
        <f t="shared" si="22"/>
        <v>9430119901</v>
      </c>
      <c r="E185" s="3" t="s">
        <v>1</v>
      </c>
      <c r="F185" s="3" t="s">
        <v>63</v>
      </c>
      <c r="H185" s="3">
        <v>7.0000000000000007E-2</v>
      </c>
      <c r="I185" s="10">
        <f t="shared" si="23"/>
        <v>86.765049508796935</v>
      </c>
      <c r="J185" s="3">
        <v>2.4203293974805896E-2</v>
      </c>
      <c r="K185" s="3">
        <v>0</v>
      </c>
      <c r="L185" s="3">
        <f t="shared" si="24"/>
        <v>0</v>
      </c>
      <c r="N185" s="11">
        <f t="shared" si="25"/>
        <v>4.579670602519411E-2</v>
      </c>
      <c r="O185" s="3">
        <v>2.4203293974805896E-2</v>
      </c>
      <c r="P185" s="11">
        <f t="shared" si="26"/>
        <v>56.765049508796942</v>
      </c>
      <c r="Q185" s="12">
        <f t="shared" si="27"/>
        <v>56.765049508796935</v>
      </c>
      <c r="R185" s="13">
        <f t="shared" si="28"/>
        <v>1841.6460679754766</v>
      </c>
      <c r="S185" s="3" t="s">
        <v>31</v>
      </c>
      <c r="T185" s="3" t="s">
        <v>35</v>
      </c>
      <c r="U185" s="10">
        <v>0</v>
      </c>
      <c r="V185" s="3">
        <v>0</v>
      </c>
      <c r="W185" s="3">
        <f t="shared" si="29"/>
        <v>0</v>
      </c>
      <c r="AA185" s="3">
        <v>5.5</v>
      </c>
    </row>
    <row r="186" spans="1:27" x14ac:dyDescent="0.3">
      <c r="A186" s="3" t="str">
        <f t="shared" si="20"/>
        <v>West9430119902220</v>
      </c>
      <c r="B186" s="3" t="str">
        <f t="shared" si="21"/>
        <v>Mah9430119902220</v>
      </c>
      <c r="C186" s="10">
        <v>9430119902220</v>
      </c>
      <c r="D186" s="10" t="str">
        <f t="shared" si="22"/>
        <v>9430119902</v>
      </c>
      <c r="E186" s="3" t="s">
        <v>1</v>
      </c>
      <c r="F186" s="3" t="s">
        <v>63</v>
      </c>
      <c r="H186" s="3">
        <v>1.8200000000000003</v>
      </c>
      <c r="I186" s="10">
        <f t="shared" si="23"/>
        <v>0</v>
      </c>
      <c r="J186" s="3">
        <v>0</v>
      </c>
      <c r="K186" s="3">
        <v>0</v>
      </c>
      <c r="L186" s="3">
        <f t="shared" si="24"/>
        <v>0</v>
      </c>
      <c r="N186" s="11">
        <f t="shared" si="25"/>
        <v>1.8200000000000003</v>
      </c>
      <c r="O186" s="3">
        <v>0</v>
      </c>
      <c r="P186" s="11">
        <f t="shared" si="26"/>
        <v>9999</v>
      </c>
      <c r="Q186" s="12">
        <f t="shared" si="27"/>
        <v>9999</v>
      </c>
      <c r="R186" s="13">
        <f t="shared" si="28"/>
        <v>9999</v>
      </c>
      <c r="S186" s="3" t="s">
        <v>31</v>
      </c>
      <c r="T186" s="3" t="s">
        <v>35</v>
      </c>
      <c r="U186" s="10">
        <v>0</v>
      </c>
      <c r="V186" s="3">
        <v>0</v>
      </c>
      <c r="W186" s="3">
        <f t="shared" si="29"/>
        <v>0</v>
      </c>
      <c r="AA186" s="3">
        <v>5.5</v>
      </c>
    </row>
    <row r="187" spans="1:27" x14ac:dyDescent="0.3">
      <c r="A187" s="3" t="str">
        <f t="shared" si="20"/>
        <v>West9430119902250</v>
      </c>
      <c r="B187" s="3" t="str">
        <f t="shared" si="21"/>
        <v>Mah9430119902250</v>
      </c>
      <c r="C187" s="10">
        <v>9430119902250</v>
      </c>
      <c r="D187" s="10" t="str">
        <f t="shared" si="22"/>
        <v>9430119902</v>
      </c>
      <c r="E187" s="3" t="s">
        <v>1</v>
      </c>
      <c r="F187" s="3" t="s">
        <v>63</v>
      </c>
      <c r="H187" s="3">
        <v>0.55000000000000004</v>
      </c>
      <c r="I187" s="10">
        <f t="shared" si="23"/>
        <v>0</v>
      </c>
      <c r="J187" s="3">
        <v>0</v>
      </c>
      <c r="K187" s="3">
        <v>0</v>
      </c>
      <c r="L187" s="3">
        <f t="shared" si="24"/>
        <v>0</v>
      </c>
      <c r="N187" s="11">
        <f t="shared" si="25"/>
        <v>0.55000000000000004</v>
      </c>
      <c r="O187" s="3">
        <v>0</v>
      </c>
      <c r="P187" s="11">
        <f t="shared" si="26"/>
        <v>9999</v>
      </c>
      <c r="Q187" s="12">
        <f t="shared" si="27"/>
        <v>9999</v>
      </c>
      <c r="R187" s="13">
        <f t="shared" si="28"/>
        <v>9999</v>
      </c>
      <c r="S187" s="3" t="s">
        <v>31</v>
      </c>
      <c r="T187" s="3" t="s">
        <v>35</v>
      </c>
      <c r="U187" s="10">
        <v>0</v>
      </c>
      <c r="V187" s="3">
        <v>0</v>
      </c>
      <c r="W187" s="3">
        <f t="shared" si="29"/>
        <v>0</v>
      </c>
      <c r="AA187" s="3">
        <v>5.5</v>
      </c>
    </row>
    <row r="188" spans="1:27" x14ac:dyDescent="0.3">
      <c r="A188" s="3" t="str">
        <f t="shared" si="20"/>
        <v>West9430119902210</v>
      </c>
      <c r="B188" s="3" t="str">
        <f t="shared" si="21"/>
        <v>Mah9430119902210</v>
      </c>
      <c r="C188" s="10">
        <v>9430119902210</v>
      </c>
      <c r="D188" s="10" t="str">
        <f t="shared" si="22"/>
        <v>9430119902</v>
      </c>
      <c r="E188" s="3" t="s">
        <v>1</v>
      </c>
      <c r="F188" s="3" t="s">
        <v>63</v>
      </c>
      <c r="H188" s="3">
        <v>2.39</v>
      </c>
      <c r="I188" s="10">
        <f t="shared" si="23"/>
        <v>0</v>
      </c>
      <c r="J188" s="3">
        <v>0</v>
      </c>
      <c r="K188" s="3">
        <v>0</v>
      </c>
      <c r="L188" s="3">
        <f t="shared" si="24"/>
        <v>0</v>
      </c>
      <c r="N188" s="11">
        <f t="shared" si="25"/>
        <v>2.39</v>
      </c>
      <c r="O188" s="3">
        <v>0</v>
      </c>
      <c r="P188" s="11">
        <f t="shared" si="26"/>
        <v>9999</v>
      </c>
      <c r="Q188" s="12">
        <f t="shared" si="27"/>
        <v>9999</v>
      </c>
      <c r="R188" s="13">
        <f t="shared" si="28"/>
        <v>9999</v>
      </c>
      <c r="S188" s="3" t="s">
        <v>31</v>
      </c>
      <c r="T188" s="3" t="s">
        <v>35</v>
      </c>
      <c r="U188" s="10">
        <v>0</v>
      </c>
      <c r="V188" s="3">
        <v>0</v>
      </c>
      <c r="W188" s="3">
        <f t="shared" si="29"/>
        <v>0</v>
      </c>
      <c r="AA188" s="3">
        <v>5.5</v>
      </c>
    </row>
    <row r="189" spans="1:27" x14ac:dyDescent="0.3">
      <c r="A189" s="3" t="str">
        <f t="shared" si="20"/>
        <v>West9430119902310</v>
      </c>
      <c r="B189" s="3" t="str">
        <f t="shared" si="21"/>
        <v>Mah9430119902310</v>
      </c>
      <c r="C189" s="10">
        <v>9430119902310</v>
      </c>
      <c r="D189" s="10" t="str">
        <f t="shared" si="22"/>
        <v>9430119902</v>
      </c>
      <c r="E189" s="3" t="s">
        <v>1</v>
      </c>
      <c r="F189" s="3" t="s">
        <v>63</v>
      </c>
      <c r="H189" s="3">
        <v>1.2800000000000002</v>
      </c>
      <c r="I189" s="10">
        <f t="shared" si="23"/>
        <v>0</v>
      </c>
      <c r="J189" s="3">
        <v>0</v>
      </c>
      <c r="K189" s="3">
        <v>0</v>
      </c>
      <c r="L189" s="3">
        <f t="shared" si="24"/>
        <v>0</v>
      </c>
      <c r="N189" s="11">
        <f t="shared" si="25"/>
        <v>1.2800000000000002</v>
      </c>
      <c r="O189" s="3">
        <v>0</v>
      </c>
      <c r="P189" s="11">
        <f t="shared" si="26"/>
        <v>9999</v>
      </c>
      <c r="Q189" s="12">
        <f t="shared" si="27"/>
        <v>9999</v>
      </c>
      <c r="R189" s="13">
        <f t="shared" si="28"/>
        <v>9999</v>
      </c>
      <c r="S189" s="3" t="s">
        <v>31</v>
      </c>
      <c r="T189" s="3" t="s">
        <v>35</v>
      </c>
      <c r="U189" s="10">
        <v>0</v>
      </c>
      <c r="V189" s="3">
        <v>0</v>
      </c>
      <c r="W189" s="3">
        <f t="shared" si="29"/>
        <v>0</v>
      </c>
      <c r="AA189" s="3">
        <v>5.5</v>
      </c>
    </row>
    <row r="190" spans="1:27" x14ac:dyDescent="0.3">
      <c r="A190" s="3" t="str">
        <f t="shared" si="20"/>
        <v>West9430119901210</v>
      </c>
      <c r="B190" s="3" t="str">
        <f t="shared" si="21"/>
        <v>Mah9430119901210</v>
      </c>
      <c r="C190" s="10">
        <v>9430119901210</v>
      </c>
      <c r="D190" s="10" t="str">
        <f t="shared" si="22"/>
        <v>9430119901</v>
      </c>
      <c r="E190" s="3" t="s">
        <v>1</v>
      </c>
      <c r="F190" s="3" t="s">
        <v>63</v>
      </c>
      <c r="H190" s="3">
        <v>3.9299999999999997</v>
      </c>
      <c r="I190" s="10">
        <f t="shared" si="23"/>
        <v>0</v>
      </c>
      <c r="J190" s="3">
        <v>0</v>
      </c>
      <c r="K190" s="3">
        <v>0</v>
      </c>
      <c r="L190" s="3">
        <f t="shared" si="24"/>
        <v>0</v>
      </c>
      <c r="N190" s="11">
        <f t="shared" si="25"/>
        <v>3.9299999999999997</v>
      </c>
      <c r="O190" s="3">
        <v>0</v>
      </c>
      <c r="P190" s="11">
        <f t="shared" si="26"/>
        <v>9999</v>
      </c>
      <c r="Q190" s="12">
        <f t="shared" si="27"/>
        <v>9999</v>
      </c>
      <c r="R190" s="13">
        <f t="shared" si="28"/>
        <v>9999</v>
      </c>
      <c r="S190" s="3" t="s">
        <v>31</v>
      </c>
      <c r="T190" s="3" t="s">
        <v>35</v>
      </c>
      <c r="U190" s="10">
        <v>0</v>
      </c>
      <c r="V190" s="3">
        <v>0</v>
      </c>
      <c r="W190" s="3">
        <f t="shared" si="29"/>
        <v>0</v>
      </c>
      <c r="AA190" s="3">
        <v>5.5</v>
      </c>
    </row>
    <row r="191" spans="1:27" x14ac:dyDescent="0.3">
      <c r="A191" s="3" t="str">
        <f t="shared" si="20"/>
        <v>West9430119902320</v>
      </c>
      <c r="B191" s="3" t="str">
        <f t="shared" si="21"/>
        <v>Mah9430119902320</v>
      </c>
      <c r="C191" s="10">
        <v>9430119902320</v>
      </c>
      <c r="D191" s="10" t="str">
        <f t="shared" si="22"/>
        <v>9430119902</v>
      </c>
      <c r="E191" s="3" t="s">
        <v>1</v>
      </c>
      <c r="F191" s="3" t="s">
        <v>63</v>
      </c>
      <c r="H191" s="3">
        <v>4.6780000000000008</v>
      </c>
      <c r="I191" s="10">
        <f t="shared" si="23"/>
        <v>0</v>
      </c>
      <c r="J191" s="3">
        <v>0</v>
      </c>
      <c r="K191" s="3">
        <v>0</v>
      </c>
      <c r="L191" s="3">
        <f t="shared" si="24"/>
        <v>0</v>
      </c>
      <c r="N191" s="11">
        <f t="shared" si="25"/>
        <v>4.6780000000000008</v>
      </c>
      <c r="O191" s="3">
        <v>0</v>
      </c>
      <c r="P191" s="11">
        <f t="shared" si="26"/>
        <v>9999</v>
      </c>
      <c r="Q191" s="12">
        <f t="shared" si="27"/>
        <v>9999</v>
      </c>
      <c r="R191" s="13">
        <f t="shared" si="28"/>
        <v>9999</v>
      </c>
      <c r="S191" s="3" t="s">
        <v>31</v>
      </c>
      <c r="T191" s="3" t="s">
        <v>35</v>
      </c>
      <c r="U191" s="10">
        <v>0</v>
      </c>
      <c r="V191" s="3">
        <v>0</v>
      </c>
      <c r="W191" s="3">
        <f t="shared" si="29"/>
        <v>0</v>
      </c>
      <c r="AA191" s="3">
        <v>5.5</v>
      </c>
    </row>
    <row r="192" spans="1:27" x14ac:dyDescent="0.3">
      <c r="A192" s="3" t="str">
        <f t="shared" si="20"/>
        <v>West9430119901220</v>
      </c>
      <c r="B192" s="3" t="str">
        <f t="shared" si="21"/>
        <v>Mah9430119901220</v>
      </c>
      <c r="C192" s="10">
        <v>9430119901220</v>
      </c>
      <c r="D192" s="10" t="str">
        <f t="shared" si="22"/>
        <v>9430119901</v>
      </c>
      <c r="E192" s="3" t="s">
        <v>1</v>
      </c>
      <c r="F192" s="3" t="s">
        <v>63</v>
      </c>
      <c r="H192" s="3">
        <v>1.2800000000000002</v>
      </c>
      <c r="I192" s="10">
        <f t="shared" si="23"/>
        <v>0</v>
      </c>
      <c r="J192" s="3">
        <v>0</v>
      </c>
      <c r="K192" s="3">
        <v>0</v>
      </c>
      <c r="L192" s="3">
        <f t="shared" si="24"/>
        <v>0</v>
      </c>
      <c r="N192" s="11">
        <f t="shared" si="25"/>
        <v>1.2800000000000002</v>
      </c>
      <c r="O192" s="3">
        <v>0</v>
      </c>
      <c r="P192" s="11">
        <f t="shared" si="26"/>
        <v>9999</v>
      </c>
      <c r="Q192" s="12">
        <f t="shared" si="27"/>
        <v>9999</v>
      </c>
      <c r="R192" s="13">
        <f t="shared" si="28"/>
        <v>9999</v>
      </c>
      <c r="S192" s="3" t="s">
        <v>31</v>
      </c>
      <c r="T192" s="3" t="s">
        <v>35</v>
      </c>
      <c r="U192" s="10">
        <v>0</v>
      </c>
      <c r="V192" s="3">
        <v>0</v>
      </c>
      <c r="W192" s="3">
        <f t="shared" si="29"/>
        <v>0</v>
      </c>
      <c r="AA192" s="3">
        <v>5.5</v>
      </c>
    </row>
    <row r="193" spans="1:27" x14ac:dyDescent="0.3">
      <c r="A193" s="3" t="str">
        <f t="shared" si="20"/>
        <v>West9430119901250</v>
      </c>
      <c r="B193" s="3" t="str">
        <f t="shared" si="21"/>
        <v>Mah9430119901250</v>
      </c>
      <c r="C193" s="10">
        <v>9430119901250</v>
      </c>
      <c r="D193" s="10" t="str">
        <f t="shared" si="22"/>
        <v>9430119901</v>
      </c>
      <c r="E193" s="3" t="s">
        <v>1</v>
      </c>
      <c r="F193" s="3" t="s">
        <v>63</v>
      </c>
      <c r="H193" s="3">
        <v>0.35000000000000003</v>
      </c>
      <c r="I193" s="10">
        <f t="shared" si="23"/>
        <v>0</v>
      </c>
      <c r="J193" s="3">
        <v>0</v>
      </c>
      <c r="K193" s="3">
        <v>0</v>
      </c>
      <c r="L193" s="3">
        <f t="shared" si="24"/>
        <v>0</v>
      </c>
      <c r="N193" s="11">
        <f t="shared" si="25"/>
        <v>0.35000000000000003</v>
      </c>
      <c r="O193" s="3">
        <v>0</v>
      </c>
      <c r="P193" s="11">
        <f t="shared" si="26"/>
        <v>9999</v>
      </c>
      <c r="Q193" s="12">
        <f t="shared" si="27"/>
        <v>9999</v>
      </c>
      <c r="R193" s="13">
        <f t="shared" si="28"/>
        <v>9999</v>
      </c>
      <c r="S193" s="3" t="s">
        <v>31</v>
      </c>
      <c r="T193" s="3" t="s">
        <v>35</v>
      </c>
      <c r="U193" s="10">
        <v>0</v>
      </c>
      <c r="V193" s="3">
        <v>0</v>
      </c>
      <c r="W193" s="3">
        <f t="shared" si="29"/>
        <v>0</v>
      </c>
      <c r="AA193" s="3">
        <v>5.5</v>
      </c>
    </row>
    <row r="194" spans="1:27" x14ac:dyDescent="0.3">
      <c r="A194" s="3" t="str">
        <f t="shared" si="20"/>
        <v>North9430109900320</v>
      </c>
      <c r="B194" s="3" t="str">
        <f t="shared" si="21"/>
        <v>Lud9430109900320</v>
      </c>
      <c r="C194" s="10">
        <v>9430109900320</v>
      </c>
      <c r="D194" s="10" t="str">
        <f t="shared" si="22"/>
        <v>9430109900</v>
      </c>
      <c r="E194" s="3" t="s">
        <v>3</v>
      </c>
      <c r="F194" s="3" t="s">
        <v>64</v>
      </c>
      <c r="H194" s="3">
        <v>440.12200000000001</v>
      </c>
      <c r="I194" s="10">
        <f t="shared" si="23"/>
        <v>27.248806158597613</v>
      </c>
      <c r="J194" s="3">
        <v>484.55921052651138</v>
      </c>
      <c r="K194" s="3">
        <v>445.5</v>
      </c>
      <c r="L194" s="3">
        <f t="shared" si="24"/>
        <v>0</v>
      </c>
      <c r="N194" s="11">
        <f t="shared" si="25"/>
        <v>-44.437210526511365</v>
      </c>
      <c r="O194" s="3">
        <v>484.55921052651138</v>
      </c>
      <c r="P194" s="11">
        <f t="shared" si="26"/>
        <v>-2.7511938414023875</v>
      </c>
      <c r="Q194" s="12">
        <f t="shared" si="27"/>
        <v>1.9093405818387081</v>
      </c>
      <c r="R194" s="13">
        <f t="shared" si="28"/>
        <v>-4.5713762747685207</v>
      </c>
      <c r="S194" s="3" t="s">
        <v>29</v>
      </c>
      <c r="T194" s="3" t="s">
        <v>35</v>
      </c>
      <c r="U194" s="10">
        <v>0</v>
      </c>
      <c r="V194" s="3">
        <v>0</v>
      </c>
      <c r="W194" s="3">
        <f t="shared" si="29"/>
        <v>0</v>
      </c>
      <c r="AA194" s="3">
        <v>5.5</v>
      </c>
    </row>
    <row r="195" spans="1:27" x14ac:dyDescent="0.3">
      <c r="A195" s="3" t="str">
        <f t="shared" si="20"/>
        <v>North9430109901320</v>
      </c>
      <c r="B195" s="3" t="str">
        <f t="shared" si="21"/>
        <v>Lud9430109901320</v>
      </c>
      <c r="C195" s="10">
        <v>9430109901320</v>
      </c>
      <c r="D195" s="10" t="str">
        <f t="shared" si="22"/>
        <v>9430109901</v>
      </c>
      <c r="E195" s="3" t="s">
        <v>3</v>
      </c>
      <c r="F195" s="3" t="s">
        <v>64</v>
      </c>
      <c r="H195" s="3">
        <v>144.19199999999998</v>
      </c>
      <c r="I195" s="10">
        <f t="shared" si="23"/>
        <v>39.727227335905013</v>
      </c>
      <c r="J195" s="3">
        <v>108.88653173362609</v>
      </c>
      <c r="K195" s="3">
        <v>55</v>
      </c>
      <c r="L195" s="3">
        <f t="shared" si="24"/>
        <v>0</v>
      </c>
      <c r="N195" s="11">
        <f t="shared" si="25"/>
        <v>35.305468266373893</v>
      </c>
      <c r="O195" s="3">
        <v>108.88653173362609</v>
      </c>
      <c r="P195" s="11">
        <f t="shared" si="26"/>
        <v>9.7272273359050168</v>
      </c>
      <c r="Q195" s="12">
        <f t="shared" si="27"/>
        <v>10.091970294568583</v>
      </c>
      <c r="R195" s="13">
        <f t="shared" si="28"/>
        <v>-2.4897770966686847</v>
      </c>
      <c r="S195" s="3" t="s">
        <v>29</v>
      </c>
      <c r="T195" s="3" t="s">
        <v>35</v>
      </c>
      <c r="U195" s="10">
        <v>0</v>
      </c>
      <c r="V195" s="3">
        <v>0</v>
      </c>
      <c r="W195" s="3">
        <f t="shared" si="29"/>
        <v>0</v>
      </c>
      <c r="AA195" s="3">
        <v>5.5</v>
      </c>
    </row>
    <row r="196" spans="1:27" x14ac:dyDescent="0.3">
      <c r="A196" s="3" t="str">
        <f t="shared" ref="A196:A259" si="30">_xlfn.CONCAT(F196,C196)</f>
        <v>North9430109900310</v>
      </c>
      <c r="B196" s="3" t="str">
        <f t="shared" ref="B196:B259" si="31">_xlfn.CONCAT(E196,C196)</f>
        <v>Lud9430109900310</v>
      </c>
      <c r="C196" s="10">
        <v>9430109900310</v>
      </c>
      <c r="D196" s="10" t="str">
        <f t="shared" ref="D196:D259" si="32">LEFT(C196,10)</f>
        <v>9430109900</v>
      </c>
      <c r="E196" s="3" t="s">
        <v>3</v>
      </c>
      <c r="F196" s="3" t="s">
        <v>64</v>
      </c>
      <c r="H196" s="3">
        <v>60.829999999999991</v>
      </c>
      <c r="I196" s="10">
        <f t="shared" ref="I196:I259" si="33">IFERROR(H196/J196*30,0)</f>
        <v>29.011896128862602</v>
      </c>
      <c r="J196" s="3">
        <v>62.901783182123367</v>
      </c>
      <c r="K196" s="3">
        <v>60.5</v>
      </c>
      <c r="L196" s="3">
        <f t="shared" ref="L196:L259" si="34">M196*G196</f>
        <v>0</v>
      </c>
      <c r="N196" s="11">
        <f t="shared" ref="N196:N259" si="35">H196-J196+L196</f>
        <v>-2.0717831821233759</v>
      </c>
      <c r="O196" s="3">
        <v>62.901783182123367</v>
      </c>
      <c r="P196" s="11">
        <f t="shared" ref="P196:P259" si="36">IF(O196=0,9999,N196/O196*30)</f>
        <v>-0.98810387113739639</v>
      </c>
      <c r="Q196" s="12">
        <f t="shared" ref="Q196:Q259" si="37">IF(SUMIF($A:$A,$A196,$O:$O)=0,9999,SUMIF($A:$A,$A196,$N:$N)*30/SUMIF($A:$A,$A196,$O:$O))</f>
        <v>-9.4734624669206386</v>
      </c>
      <c r="R196" s="13">
        <f t="shared" ref="R196:R259" si="38">IF(SUMIF($C:$C,$C196,$O:$O)=0,9999,SUMIF($C:$C,$C196,$N:$N)*30/SUMIF($C:$C,$C196,$O:$O))</f>
        <v>2.5620483154508742</v>
      </c>
      <c r="S196" s="3" t="s">
        <v>30</v>
      </c>
      <c r="T196" s="3" t="s">
        <v>35</v>
      </c>
      <c r="U196" s="10">
        <v>0</v>
      </c>
      <c r="V196" s="3">
        <v>0</v>
      </c>
      <c r="W196" s="3">
        <f t="shared" ref="W196:W259" si="39">IFERROR(K196*V196,0)</f>
        <v>0</v>
      </c>
      <c r="AA196" s="3">
        <v>5.5</v>
      </c>
    </row>
    <row r="197" spans="1:27" x14ac:dyDescent="0.3">
      <c r="A197" s="3" t="str">
        <f t="shared" si="30"/>
        <v>North9100209900320</v>
      </c>
      <c r="B197" s="3" t="str">
        <f t="shared" si="31"/>
        <v>Lud9100209900320</v>
      </c>
      <c r="C197" s="10">
        <v>9100209900320</v>
      </c>
      <c r="D197" s="10" t="str">
        <f t="shared" si="32"/>
        <v>9100209900</v>
      </c>
      <c r="E197" s="3" t="s">
        <v>3</v>
      </c>
      <c r="F197" s="3" t="s">
        <v>64</v>
      </c>
      <c r="H197" s="3">
        <v>85.185999999999979</v>
      </c>
      <c r="I197" s="10">
        <f t="shared" si="33"/>
        <v>60.31704532368029</v>
      </c>
      <c r="J197" s="3">
        <v>42.369117822100719</v>
      </c>
      <c r="K197" s="3">
        <v>22</v>
      </c>
      <c r="L197" s="3">
        <f t="shared" si="34"/>
        <v>0</v>
      </c>
      <c r="N197" s="11">
        <f t="shared" si="35"/>
        <v>42.816882177899259</v>
      </c>
      <c r="O197" s="3">
        <v>42.369117822100719</v>
      </c>
      <c r="P197" s="11">
        <f t="shared" si="36"/>
        <v>30.317045323680286</v>
      </c>
      <c r="Q197" s="12">
        <f t="shared" si="37"/>
        <v>17.728962038897954</v>
      </c>
      <c r="R197" s="13">
        <f t="shared" si="38"/>
        <v>30.495213785322278</v>
      </c>
      <c r="S197" s="3" t="s">
        <v>30</v>
      </c>
      <c r="T197" s="3" t="s">
        <v>34</v>
      </c>
      <c r="U197" s="10">
        <v>0</v>
      </c>
      <c r="V197" s="3">
        <v>0</v>
      </c>
      <c r="W197" s="3">
        <f t="shared" si="39"/>
        <v>0</v>
      </c>
      <c r="AA197" s="3">
        <v>5.5</v>
      </c>
    </row>
    <row r="198" spans="1:27" x14ac:dyDescent="0.3">
      <c r="A198" s="3" t="str">
        <f t="shared" si="30"/>
        <v>North9410069900820</v>
      </c>
      <c r="B198" s="3" t="str">
        <f t="shared" si="31"/>
        <v>Lud9410069900820</v>
      </c>
      <c r="C198" s="10">
        <v>9410069900820</v>
      </c>
      <c r="D198" s="10" t="str">
        <f t="shared" si="32"/>
        <v>9410069900</v>
      </c>
      <c r="E198" s="3" t="s">
        <v>3</v>
      </c>
      <c r="F198" s="3" t="s">
        <v>64</v>
      </c>
      <c r="H198" s="3">
        <v>24.540000000000003</v>
      </c>
      <c r="I198" s="10">
        <f t="shared" si="33"/>
        <v>21.95447131491014</v>
      </c>
      <c r="J198" s="3">
        <v>33.533032494388415</v>
      </c>
      <c r="K198" s="3">
        <v>126.5</v>
      </c>
      <c r="L198" s="3">
        <f t="shared" si="34"/>
        <v>0</v>
      </c>
      <c r="N198" s="11">
        <f t="shared" si="35"/>
        <v>-8.9930324943884123</v>
      </c>
      <c r="O198" s="3">
        <v>33.533032494388415</v>
      </c>
      <c r="P198" s="11">
        <f t="shared" si="36"/>
        <v>-8.0455286850898595</v>
      </c>
      <c r="Q198" s="12">
        <f t="shared" si="37"/>
        <v>-8.9177118233268402</v>
      </c>
      <c r="R198" s="13">
        <f t="shared" si="38"/>
        <v>-3.8159946426130387</v>
      </c>
      <c r="S198" s="3" t="s">
        <v>29</v>
      </c>
      <c r="T198" s="3" t="s">
        <v>32</v>
      </c>
      <c r="U198" s="10">
        <v>0</v>
      </c>
      <c r="V198" s="3">
        <v>0</v>
      </c>
      <c r="W198" s="3">
        <f t="shared" si="39"/>
        <v>0</v>
      </c>
      <c r="AA198" s="3">
        <v>5.5</v>
      </c>
    </row>
    <row r="199" spans="1:27" ht="16.05" customHeight="1" x14ac:dyDescent="0.3">
      <c r="A199" s="3" t="str">
        <f t="shared" si="30"/>
        <v>North9430109900250</v>
      </c>
      <c r="B199" s="3" t="str">
        <f t="shared" si="31"/>
        <v>Lud9430109900250</v>
      </c>
      <c r="C199" s="10">
        <v>9430109900250</v>
      </c>
      <c r="D199" s="10" t="str">
        <f t="shared" si="32"/>
        <v>9430109900</v>
      </c>
      <c r="E199" s="3" t="s">
        <v>3</v>
      </c>
      <c r="F199" s="3" t="s">
        <v>64</v>
      </c>
      <c r="H199" s="3">
        <v>36.910000000000004</v>
      </c>
      <c r="I199" s="10">
        <f t="shared" si="33"/>
        <v>43.285295084380436</v>
      </c>
      <c r="J199" s="3">
        <v>25.581435862720294</v>
      </c>
      <c r="K199" s="3">
        <v>11</v>
      </c>
      <c r="L199" s="3">
        <f t="shared" si="34"/>
        <v>0</v>
      </c>
      <c r="N199" s="11">
        <f t="shared" si="35"/>
        <v>11.328564137279709</v>
      </c>
      <c r="O199" s="3">
        <v>25.581435862720294</v>
      </c>
      <c r="P199" s="11">
        <f t="shared" si="36"/>
        <v>13.285295084380435</v>
      </c>
      <c r="Q199" s="12">
        <f t="shared" si="37"/>
        <v>7.4593305057888841</v>
      </c>
      <c r="R199" s="13">
        <f t="shared" si="38"/>
        <v>2.3570648481173837</v>
      </c>
      <c r="S199" s="3" t="s">
        <v>30</v>
      </c>
      <c r="T199" s="3" t="s">
        <v>35</v>
      </c>
      <c r="U199" s="10">
        <v>0</v>
      </c>
      <c r="V199" s="3">
        <v>0</v>
      </c>
      <c r="W199" s="3">
        <f t="shared" si="39"/>
        <v>0</v>
      </c>
      <c r="AA199" s="3">
        <v>5.5</v>
      </c>
    </row>
    <row r="200" spans="1:27" x14ac:dyDescent="0.3">
      <c r="A200" s="3" t="str">
        <f t="shared" si="30"/>
        <v>North9430109901310</v>
      </c>
      <c r="B200" s="3" t="str">
        <f t="shared" si="31"/>
        <v>Lud9430109901310</v>
      </c>
      <c r="C200" s="10">
        <v>9430109901310</v>
      </c>
      <c r="D200" s="10" t="str">
        <f t="shared" si="32"/>
        <v>9430109901</v>
      </c>
      <c r="E200" s="3" t="s">
        <v>3</v>
      </c>
      <c r="F200" s="3" t="s">
        <v>64</v>
      </c>
      <c r="H200" s="3">
        <v>35.629999999999995</v>
      </c>
      <c r="I200" s="10">
        <f t="shared" si="33"/>
        <v>75.57586935688154</v>
      </c>
      <c r="J200" s="3">
        <v>14.143403299173183</v>
      </c>
      <c r="K200" s="3">
        <v>0</v>
      </c>
      <c r="L200" s="3">
        <f t="shared" si="34"/>
        <v>0</v>
      </c>
      <c r="N200" s="11">
        <f t="shared" si="35"/>
        <v>21.486596700826812</v>
      </c>
      <c r="O200" s="3">
        <v>14.143403299173183</v>
      </c>
      <c r="P200" s="11">
        <f t="shared" si="36"/>
        <v>45.57586935688154</v>
      </c>
      <c r="Q200" s="12">
        <f t="shared" si="37"/>
        <v>25.215064072689596</v>
      </c>
      <c r="R200" s="13">
        <f t="shared" si="38"/>
        <v>5.4137783376715598</v>
      </c>
      <c r="S200" s="3" t="s">
        <v>30</v>
      </c>
      <c r="T200" s="3" t="s">
        <v>35</v>
      </c>
      <c r="U200" s="10">
        <v>0</v>
      </c>
      <c r="V200" s="3">
        <v>0</v>
      </c>
      <c r="W200" s="3">
        <f t="shared" si="39"/>
        <v>0</v>
      </c>
      <c r="AA200" s="3">
        <v>5.5</v>
      </c>
    </row>
    <row r="201" spans="1:27" x14ac:dyDescent="0.3">
      <c r="A201" s="3" t="str">
        <f t="shared" si="30"/>
        <v>North9430109900220</v>
      </c>
      <c r="B201" s="3" t="str">
        <f t="shared" si="31"/>
        <v>Lud9430109900220</v>
      </c>
      <c r="C201" s="10">
        <v>9430109900220</v>
      </c>
      <c r="D201" s="10" t="str">
        <f t="shared" si="32"/>
        <v>9430109900</v>
      </c>
      <c r="E201" s="3" t="s">
        <v>3</v>
      </c>
      <c r="F201" s="3" t="s">
        <v>64</v>
      </c>
      <c r="H201" s="3">
        <v>3.8080000000000007</v>
      </c>
      <c r="I201" s="10">
        <f t="shared" si="33"/>
        <v>22.038627501365958</v>
      </c>
      <c r="J201" s="3">
        <v>5.1836258856373609</v>
      </c>
      <c r="K201" s="3">
        <v>5.5</v>
      </c>
      <c r="L201" s="3">
        <f t="shared" si="34"/>
        <v>0</v>
      </c>
      <c r="N201" s="11">
        <f t="shared" si="35"/>
        <v>-1.3756258856373602</v>
      </c>
      <c r="O201" s="3">
        <v>5.1836258856373609</v>
      </c>
      <c r="P201" s="11">
        <f t="shared" si="36"/>
        <v>-7.9613724986340406</v>
      </c>
      <c r="Q201" s="12">
        <f t="shared" si="37"/>
        <v>13.177292342361158</v>
      </c>
      <c r="R201" s="13">
        <f t="shared" si="38"/>
        <v>4.5783076811390186</v>
      </c>
      <c r="S201" s="3" t="s">
        <v>31</v>
      </c>
      <c r="T201" s="3" t="s">
        <v>35</v>
      </c>
      <c r="U201" s="10">
        <v>0</v>
      </c>
      <c r="V201" s="3">
        <v>0</v>
      </c>
      <c r="W201" s="3">
        <f t="shared" si="39"/>
        <v>0</v>
      </c>
      <c r="AA201" s="3">
        <v>5.5</v>
      </c>
    </row>
    <row r="202" spans="1:27" x14ac:dyDescent="0.3">
      <c r="A202" s="3" t="str">
        <f t="shared" si="30"/>
        <v>North9430109901250</v>
      </c>
      <c r="B202" s="3" t="str">
        <f t="shared" si="31"/>
        <v>Lud9430109901250</v>
      </c>
      <c r="C202" s="10">
        <v>9430109901250</v>
      </c>
      <c r="D202" s="10" t="str">
        <f t="shared" si="32"/>
        <v>9430109901</v>
      </c>
      <c r="E202" s="3" t="s">
        <v>3</v>
      </c>
      <c r="F202" s="3" t="s">
        <v>64</v>
      </c>
      <c r="H202" s="3">
        <v>6.4849999999999994</v>
      </c>
      <c r="I202" s="10">
        <f t="shared" si="33"/>
        <v>41.69691855369139</v>
      </c>
      <c r="J202" s="3">
        <v>4.6658124088830695</v>
      </c>
      <c r="K202" s="3">
        <v>5.5</v>
      </c>
      <c r="L202" s="3">
        <f t="shared" si="34"/>
        <v>0</v>
      </c>
      <c r="N202" s="11">
        <f t="shared" si="35"/>
        <v>1.81918759111693</v>
      </c>
      <c r="O202" s="3">
        <v>4.6658124088830695</v>
      </c>
      <c r="P202" s="11">
        <f t="shared" si="36"/>
        <v>11.696918553691392</v>
      </c>
      <c r="Q202" s="12">
        <f t="shared" si="37"/>
        <v>-0.15067149236004096</v>
      </c>
      <c r="R202" s="13">
        <f t="shared" si="38"/>
        <v>17.653824107204038</v>
      </c>
      <c r="S202" s="3" t="s">
        <v>31</v>
      </c>
      <c r="T202" s="3" t="s">
        <v>35</v>
      </c>
      <c r="U202" s="10">
        <v>0</v>
      </c>
      <c r="V202" s="3">
        <v>0</v>
      </c>
      <c r="W202" s="3">
        <f t="shared" si="39"/>
        <v>0</v>
      </c>
      <c r="AA202" s="3">
        <v>5.5</v>
      </c>
    </row>
    <row r="203" spans="1:27" ht="16.05" customHeight="1" x14ac:dyDescent="0.3">
      <c r="A203" s="3" t="str">
        <f t="shared" si="30"/>
        <v>North9100209901320</v>
      </c>
      <c r="B203" s="3" t="str">
        <f t="shared" si="31"/>
        <v>Lud9100209901320</v>
      </c>
      <c r="C203" s="10">
        <v>9100209901320</v>
      </c>
      <c r="D203" s="10" t="str">
        <f t="shared" si="32"/>
        <v>9100209901</v>
      </c>
      <c r="E203" s="3" t="s">
        <v>3</v>
      </c>
      <c r="F203" s="3" t="s">
        <v>64</v>
      </c>
      <c r="H203" s="3">
        <v>5.4859999999999998</v>
      </c>
      <c r="I203" s="10">
        <f t="shared" si="33"/>
        <v>41.056807190296588</v>
      </c>
      <c r="J203" s="3">
        <v>4.0085922716098832</v>
      </c>
      <c r="K203" s="3">
        <v>0</v>
      </c>
      <c r="L203" s="3">
        <f t="shared" si="34"/>
        <v>0</v>
      </c>
      <c r="N203" s="11">
        <f t="shared" si="35"/>
        <v>1.4774077283901166</v>
      </c>
      <c r="O203" s="3">
        <v>4.0085922716098832</v>
      </c>
      <c r="P203" s="11">
        <f t="shared" si="36"/>
        <v>11.05680719029659</v>
      </c>
      <c r="Q203" s="12">
        <f t="shared" si="37"/>
        <v>13.230310217367489</v>
      </c>
      <c r="R203" s="13">
        <f t="shared" si="38"/>
        <v>22.609197898113969</v>
      </c>
      <c r="S203" s="3" t="s">
        <v>31</v>
      </c>
      <c r="T203" s="3" t="s">
        <v>34</v>
      </c>
      <c r="U203" s="10">
        <v>0</v>
      </c>
      <c r="V203" s="3">
        <v>0</v>
      </c>
      <c r="W203" s="3">
        <f t="shared" si="39"/>
        <v>0</v>
      </c>
      <c r="AA203" s="3">
        <v>5.5</v>
      </c>
    </row>
    <row r="204" spans="1:27" ht="16.05" customHeight="1" x14ac:dyDescent="0.3">
      <c r="A204" s="3" t="str">
        <f t="shared" si="30"/>
        <v>North9410069900850</v>
      </c>
      <c r="B204" s="3" t="str">
        <f t="shared" si="31"/>
        <v>Lud9410069900850</v>
      </c>
      <c r="C204" s="10">
        <v>9410069900850</v>
      </c>
      <c r="D204" s="10" t="str">
        <f t="shared" si="32"/>
        <v>9410069900</v>
      </c>
      <c r="E204" s="3" t="s">
        <v>3</v>
      </c>
      <c r="F204" s="3" t="s">
        <v>64</v>
      </c>
      <c r="H204" s="3">
        <v>10.42</v>
      </c>
      <c r="I204" s="10">
        <f t="shared" si="33"/>
        <v>85.464001165319615</v>
      </c>
      <c r="J204" s="3">
        <v>3.6576803769731501</v>
      </c>
      <c r="K204" s="3">
        <v>5.5</v>
      </c>
      <c r="L204" s="3">
        <f t="shared" si="34"/>
        <v>0</v>
      </c>
      <c r="N204" s="11">
        <f t="shared" si="35"/>
        <v>6.7623196230268494</v>
      </c>
      <c r="O204" s="3">
        <v>3.6576803769731501</v>
      </c>
      <c r="P204" s="11">
        <f t="shared" si="36"/>
        <v>55.464001165319615</v>
      </c>
      <c r="Q204" s="12">
        <f t="shared" si="37"/>
        <v>10.24366858116626</v>
      </c>
      <c r="R204" s="13">
        <f t="shared" si="38"/>
        <v>-1.3080659328217683</v>
      </c>
      <c r="S204" s="3" t="s">
        <v>30</v>
      </c>
      <c r="T204" s="3" t="s">
        <v>32</v>
      </c>
      <c r="U204" s="10">
        <v>0</v>
      </c>
      <c r="V204" s="3">
        <v>0</v>
      </c>
      <c r="W204" s="3">
        <f t="shared" si="39"/>
        <v>0</v>
      </c>
      <c r="AA204" s="3">
        <v>5.5</v>
      </c>
    </row>
    <row r="205" spans="1:27" ht="16.05" customHeight="1" x14ac:dyDescent="0.3">
      <c r="A205" s="3" t="str">
        <f t="shared" si="30"/>
        <v>North9410069900810</v>
      </c>
      <c r="B205" s="3" t="str">
        <f t="shared" si="31"/>
        <v>Lud9410069900810</v>
      </c>
      <c r="C205" s="10">
        <v>9410069900810</v>
      </c>
      <c r="D205" s="10" t="str">
        <f t="shared" si="32"/>
        <v>9410069900</v>
      </c>
      <c r="E205" s="3" t="s">
        <v>3</v>
      </c>
      <c r="F205" s="3" t="s">
        <v>64</v>
      </c>
      <c r="H205" s="3">
        <v>6.0299999999999994</v>
      </c>
      <c r="I205" s="10">
        <f t="shared" si="33"/>
        <v>49.587827522897513</v>
      </c>
      <c r="J205" s="3">
        <v>3.6480727032550111</v>
      </c>
      <c r="K205" s="3">
        <v>5.5</v>
      </c>
      <c r="L205" s="3">
        <f t="shared" si="34"/>
        <v>0</v>
      </c>
      <c r="N205" s="11">
        <f t="shared" si="35"/>
        <v>2.3819272967449883</v>
      </c>
      <c r="O205" s="3">
        <v>3.6480727032550111</v>
      </c>
      <c r="P205" s="11">
        <f t="shared" si="36"/>
        <v>19.587827522897516</v>
      </c>
      <c r="Q205" s="12">
        <f t="shared" si="37"/>
        <v>22.26224956954713</v>
      </c>
      <c r="R205" s="13">
        <f t="shared" si="38"/>
        <v>1.1109202985663422</v>
      </c>
      <c r="S205" s="3" t="s">
        <v>30</v>
      </c>
      <c r="T205" s="3" t="s">
        <v>32</v>
      </c>
      <c r="U205" s="10">
        <v>0</v>
      </c>
      <c r="V205" s="3">
        <v>0</v>
      </c>
      <c r="W205" s="3">
        <f t="shared" si="39"/>
        <v>0</v>
      </c>
      <c r="AA205" s="3">
        <v>5.5</v>
      </c>
    </row>
    <row r="206" spans="1:27" ht="16.05" customHeight="1" x14ac:dyDescent="0.3">
      <c r="A206" s="3" t="str">
        <f t="shared" si="30"/>
        <v>North9430109900210</v>
      </c>
      <c r="B206" s="3" t="str">
        <f t="shared" si="31"/>
        <v>Lud9430109900210</v>
      </c>
      <c r="C206" s="10">
        <v>9430109900210</v>
      </c>
      <c r="D206" s="10" t="str">
        <f t="shared" si="32"/>
        <v>9430109900</v>
      </c>
      <c r="E206" s="3" t="s">
        <v>3</v>
      </c>
      <c r="F206" s="3" t="s">
        <v>64</v>
      </c>
      <c r="H206" s="3">
        <v>6.7630000000000017</v>
      </c>
      <c r="I206" s="10">
        <f t="shared" si="33"/>
        <v>55.736658699433121</v>
      </c>
      <c r="J206" s="3">
        <v>3.6401536212299641</v>
      </c>
      <c r="K206" s="3">
        <v>0</v>
      </c>
      <c r="L206" s="3">
        <f t="shared" si="34"/>
        <v>0</v>
      </c>
      <c r="N206" s="11">
        <f t="shared" si="35"/>
        <v>3.1228463787700376</v>
      </c>
      <c r="O206" s="3">
        <v>3.6401536212299641</v>
      </c>
      <c r="P206" s="11">
        <f t="shared" si="36"/>
        <v>25.736658699433118</v>
      </c>
      <c r="Q206" s="12">
        <f t="shared" si="37"/>
        <v>28.36810013081276</v>
      </c>
      <c r="R206" s="13">
        <f t="shared" si="38"/>
        <v>25.085366989368765</v>
      </c>
      <c r="S206" s="3" t="s">
        <v>31</v>
      </c>
      <c r="T206" s="3" t="s">
        <v>35</v>
      </c>
      <c r="U206" s="10">
        <v>0</v>
      </c>
      <c r="V206" s="3">
        <v>0</v>
      </c>
      <c r="W206" s="3">
        <f t="shared" si="39"/>
        <v>0</v>
      </c>
      <c r="AA206" s="3">
        <v>5.5</v>
      </c>
    </row>
    <row r="207" spans="1:27" ht="16.05" customHeight="1" x14ac:dyDescent="0.3">
      <c r="A207" s="3" t="str">
        <f t="shared" si="30"/>
        <v>North9410069900210</v>
      </c>
      <c r="B207" s="3" t="str">
        <f t="shared" si="31"/>
        <v>Lud9410069900210</v>
      </c>
      <c r="C207" s="10">
        <v>9410069900210</v>
      </c>
      <c r="D207" s="10" t="str">
        <f t="shared" si="32"/>
        <v>9410069900</v>
      </c>
      <c r="E207" s="3" t="s">
        <v>3</v>
      </c>
      <c r="F207" s="3" t="s">
        <v>64</v>
      </c>
      <c r="H207" s="3">
        <v>5.258</v>
      </c>
      <c r="I207" s="10">
        <f t="shared" si="33"/>
        <v>52.668569334725078</v>
      </c>
      <c r="J207" s="3">
        <v>2.994955093568489</v>
      </c>
      <c r="K207" s="3">
        <v>11</v>
      </c>
      <c r="L207" s="3">
        <f t="shared" si="34"/>
        <v>0</v>
      </c>
      <c r="N207" s="11">
        <f t="shared" si="35"/>
        <v>2.263044906431511</v>
      </c>
      <c r="O207" s="3">
        <v>2.994955093568489</v>
      </c>
      <c r="P207" s="11">
        <f t="shared" si="36"/>
        <v>22.668569334725078</v>
      </c>
      <c r="Q207" s="12">
        <f t="shared" si="37"/>
        <v>3.8226484900334365</v>
      </c>
      <c r="R207" s="13">
        <f t="shared" si="38"/>
        <v>1.6261161680536202</v>
      </c>
      <c r="S207" s="3" t="s">
        <v>30</v>
      </c>
      <c r="T207" s="3" t="s">
        <v>32</v>
      </c>
      <c r="U207" s="10">
        <v>0</v>
      </c>
      <c r="V207" s="3">
        <v>0</v>
      </c>
      <c r="W207" s="3">
        <f t="shared" si="39"/>
        <v>0</v>
      </c>
      <c r="AA207" s="3">
        <v>5.5</v>
      </c>
    </row>
    <row r="208" spans="1:27" ht="16.05" customHeight="1" x14ac:dyDescent="0.3">
      <c r="A208" s="3" t="str">
        <f t="shared" si="30"/>
        <v>North9418009900820</v>
      </c>
      <c r="B208" s="3" t="str">
        <f t="shared" si="31"/>
        <v>Lud9418009900820</v>
      </c>
      <c r="C208" s="10">
        <v>9418009900820</v>
      </c>
      <c r="D208" s="10" t="str">
        <f t="shared" si="32"/>
        <v>9418009900</v>
      </c>
      <c r="E208" s="3" t="s">
        <v>3</v>
      </c>
      <c r="F208" s="3" t="s">
        <v>64</v>
      </c>
      <c r="H208" s="3">
        <v>2.6799999999999997</v>
      </c>
      <c r="I208" s="10">
        <f t="shared" si="33"/>
        <v>43.097665982524489</v>
      </c>
      <c r="J208" s="3">
        <v>1.8655302594020076</v>
      </c>
      <c r="K208" s="3">
        <v>0</v>
      </c>
      <c r="L208" s="3">
        <f t="shared" si="34"/>
        <v>0</v>
      </c>
      <c r="N208" s="11">
        <f t="shared" si="35"/>
        <v>0.81446974059799215</v>
      </c>
      <c r="O208" s="3">
        <v>1.8655302594020076</v>
      </c>
      <c r="P208" s="11">
        <f t="shared" si="36"/>
        <v>13.097665982524491</v>
      </c>
      <c r="Q208" s="12">
        <f t="shared" si="37"/>
        <v>-9.2206561829093499</v>
      </c>
      <c r="R208" s="13">
        <f t="shared" si="38"/>
        <v>-10.9001806663038</v>
      </c>
      <c r="S208" s="3" t="s">
        <v>31</v>
      </c>
      <c r="T208" s="3" t="s">
        <v>32</v>
      </c>
      <c r="U208" s="10">
        <v>0</v>
      </c>
      <c r="V208" s="3">
        <v>0</v>
      </c>
      <c r="W208" s="3">
        <f t="shared" si="39"/>
        <v>0</v>
      </c>
      <c r="AA208" s="3">
        <v>5.5</v>
      </c>
    </row>
    <row r="209" spans="1:27" ht="16.05" customHeight="1" x14ac:dyDescent="0.3">
      <c r="A209" s="3" t="str">
        <f t="shared" si="30"/>
        <v>North9430109901220</v>
      </c>
      <c r="B209" s="3" t="str">
        <f t="shared" si="31"/>
        <v>Lud9430109901220</v>
      </c>
      <c r="C209" s="10">
        <v>9430109901220</v>
      </c>
      <c r="D209" s="10" t="str">
        <f t="shared" si="32"/>
        <v>9430109901</v>
      </c>
      <c r="E209" s="3" t="s">
        <v>3</v>
      </c>
      <c r="F209" s="3" t="s">
        <v>64</v>
      </c>
      <c r="H209" s="3">
        <v>4.4480000000000004</v>
      </c>
      <c r="I209" s="10">
        <f t="shared" si="33"/>
        <v>133.99298524146033</v>
      </c>
      <c r="J209" s="3">
        <v>0.99587302842410874</v>
      </c>
      <c r="K209" s="3">
        <v>0</v>
      </c>
      <c r="L209" s="3">
        <f t="shared" si="34"/>
        <v>0</v>
      </c>
      <c r="N209" s="11">
        <f t="shared" si="35"/>
        <v>3.4521269715758915</v>
      </c>
      <c r="O209" s="3">
        <v>0.99587302842410874</v>
      </c>
      <c r="P209" s="11">
        <f t="shared" si="36"/>
        <v>103.99298524146033</v>
      </c>
      <c r="Q209" s="12">
        <f t="shared" si="37"/>
        <v>47.681954337112273</v>
      </c>
      <c r="R209" s="13">
        <f t="shared" si="38"/>
        <v>38.878687367972503</v>
      </c>
      <c r="S209" s="3" t="s">
        <v>31</v>
      </c>
      <c r="T209" s="3" t="s">
        <v>35</v>
      </c>
      <c r="U209" s="10">
        <v>0</v>
      </c>
      <c r="V209" s="3">
        <v>0</v>
      </c>
      <c r="W209" s="3">
        <f t="shared" si="39"/>
        <v>0</v>
      </c>
      <c r="AA209" s="3">
        <v>5.5</v>
      </c>
    </row>
    <row r="210" spans="1:27" ht="16.05" customHeight="1" x14ac:dyDescent="0.3">
      <c r="A210" s="3" t="str">
        <f t="shared" si="30"/>
        <v>North9430109901210</v>
      </c>
      <c r="B210" s="3" t="str">
        <f t="shared" si="31"/>
        <v>Lud9430109901210</v>
      </c>
      <c r="C210" s="10">
        <v>9430109901210</v>
      </c>
      <c r="D210" s="10" t="str">
        <f t="shared" si="32"/>
        <v>9430109901</v>
      </c>
      <c r="E210" s="3" t="s">
        <v>3</v>
      </c>
      <c r="F210" s="3" t="s">
        <v>64</v>
      </c>
      <c r="H210" s="3">
        <v>2.3030000000000004</v>
      </c>
      <c r="I210" s="10">
        <f t="shared" si="33"/>
        <v>149.97248817866392</v>
      </c>
      <c r="J210" s="3">
        <v>0.46068449513014886</v>
      </c>
      <c r="K210" s="3">
        <v>0</v>
      </c>
      <c r="L210" s="3">
        <f t="shared" si="34"/>
        <v>0</v>
      </c>
      <c r="N210" s="11">
        <f t="shared" si="35"/>
        <v>1.8423155048698514</v>
      </c>
      <c r="O210" s="3">
        <v>0.46068449513014886</v>
      </c>
      <c r="P210" s="11">
        <f t="shared" si="36"/>
        <v>119.97248817866392</v>
      </c>
      <c r="Q210" s="12">
        <f t="shared" si="37"/>
        <v>100.4947518520808</v>
      </c>
      <c r="R210" s="13">
        <f t="shared" si="38"/>
        <v>34.909154797449432</v>
      </c>
      <c r="S210" s="3" t="s">
        <v>31</v>
      </c>
      <c r="T210" s="3" t="s">
        <v>35</v>
      </c>
      <c r="U210" s="10">
        <v>0</v>
      </c>
      <c r="V210" s="3">
        <v>0</v>
      </c>
      <c r="W210" s="3">
        <f t="shared" si="39"/>
        <v>0</v>
      </c>
      <c r="AA210" s="3">
        <v>5.5</v>
      </c>
    </row>
    <row r="211" spans="1:27" ht="16.05" customHeight="1" x14ac:dyDescent="0.3">
      <c r="A211" s="3" t="str">
        <f t="shared" si="30"/>
        <v>North9418009900210</v>
      </c>
      <c r="B211" s="3" t="str">
        <f t="shared" si="31"/>
        <v>Lud9418009900210</v>
      </c>
      <c r="C211" s="10">
        <v>9418009900210</v>
      </c>
      <c r="D211" s="10" t="str">
        <f t="shared" si="32"/>
        <v>9418009900</v>
      </c>
      <c r="E211" s="3" t="s">
        <v>3</v>
      </c>
      <c r="F211" s="3" t="s">
        <v>64</v>
      </c>
      <c r="H211" s="3">
        <v>0.8</v>
      </c>
      <c r="I211" s="10">
        <f t="shared" si="33"/>
        <v>310.98912353540157</v>
      </c>
      <c r="J211" s="3">
        <v>7.7173116947506212E-2</v>
      </c>
      <c r="K211" s="3">
        <v>0</v>
      </c>
      <c r="L211" s="3">
        <f t="shared" si="34"/>
        <v>0</v>
      </c>
      <c r="N211" s="11">
        <f t="shared" si="35"/>
        <v>0.72282688305249387</v>
      </c>
      <c r="O211" s="3">
        <v>7.7173116947506212E-2</v>
      </c>
      <c r="P211" s="11">
        <f t="shared" si="36"/>
        <v>280.98912353540157</v>
      </c>
      <c r="Q211" s="12">
        <f t="shared" si="37"/>
        <v>126.31272440431485</v>
      </c>
      <c r="R211" s="13">
        <f t="shared" si="38"/>
        <v>106.73502077445265</v>
      </c>
      <c r="S211" s="3" t="s">
        <v>31</v>
      </c>
      <c r="T211" s="3" t="s">
        <v>32</v>
      </c>
      <c r="U211" s="10">
        <v>0</v>
      </c>
      <c r="V211" s="3">
        <v>0</v>
      </c>
      <c r="W211" s="3">
        <f t="shared" si="39"/>
        <v>0</v>
      </c>
      <c r="AA211" s="3">
        <v>5.5</v>
      </c>
    </row>
    <row r="212" spans="1:27" ht="16.05" customHeight="1" x14ac:dyDescent="0.3">
      <c r="A212" s="3" t="str">
        <f t="shared" si="30"/>
        <v>North9418009900810</v>
      </c>
      <c r="B212" s="3" t="str">
        <f t="shared" si="31"/>
        <v>Lud9418009900810</v>
      </c>
      <c r="C212" s="10">
        <v>9418009900810</v>
      </c>
      <c r="D212" s="10" t="str">
        <f t="shared" si="32"/>
        <v>9418009900</v>
      </c>
      <c r="E212" s="3" t="s">
        <v>3</v>
      </c>
      <c r="F212" s="3" t="s">
        <v>64</v>
      </c>
      <c r="H212" s="3">
        <v>0</v>
      </c>
      <c r="I212" s="10">
        <f t="shared" si="33"/>
        <v>0</v>
      </c>
      <c r="J212" s="3">
        <v>3.3289320673298248E-2</v>
      </c>
      <c r="K212" s="3">
        <v>0</v>
      </c>
      <c r="L212" s="3">
        <f t="shared" si="34"/>
        <v>0</v>
      </c>
      <c r="N212" s="11">
        <f t="shared" si="35"/>
        <v>-3.3289320673298248E-2</v>
      </c>
      <c r="O212" s="3">
        <v>3.3289320673298248E-2</v>
      </c>
      <c r="P212" s="11">
        <f t="shared" si="36"/>
        <v>-30</v>
      </c>
      <c r="Q212" s="12">
        <f t="shared" si="37"/>
        <v>-30</v>
      </c>
      <c r="R212" s="13">
        <f t="shared" si="38"/>
        <v>-30</v>
      </c>
      <c r="S212" s="3" t="s">
        <v>31</v>
      </c>
      <c r="T212" s="3" t="s">
        <v>32</v>
      </c>
      <c r="U212" s="10">
        <v>0</v>
      </c>
      <c r="V212" s="3">
        <v>0</v>
      </c>
      <c r="W212" s="3">
        <f t="shared" si="39"/>
        <v>0</v>
      </c>
      <c r="AA212" s="3">
        <v>5.5</v>
      </c>
    </row>
    <row r="213" spans="1:27" ht="16.05" customHeight="1" x14ac:dyDescent="0.3">
      <c r="A213" s="3" t="str">
        <f t="shared" si="30"/>
        <v>North9418009900850</v>
      </c>
      <c r="B213" s="3" t="str">
        <f t="shared" si="31"/>
        <v>Lud9418009900850</v>
      </c>
      <c r="C213" s="10">
        <v>9418009900850</v>
      </c>
      <c r="D213" s="10" t="str">
        <f t="shared" si="32"/>
        <v>9418009900</v>
      </c>
      <c r="E213" s="3" t="s">
        <v>3</v>
      </c>
      <c r="F213" s="3" t="s">
        <v>64</v>
      </c>
      <c r="H213" s="3">
        <v>0</v>
      </c>
      <c r="I213" s="10">
        <f t="shared" si="33"/>
        <v>0</v>
      </c>
      <c r="J213" s="3">
        <v>2.574272712053325E-2</v>
      </c>
      <c r="K213" s="3">
        <v>0</v>
      </c>
      <c r="L213" s="3">
        <f t="shared" si="34"/>
        <v>0</v>
      </c>
      <c r="N213" s="11">
        <f t="shared" si="35"/>
        <v>-2.574272712053325E-2</v>
      </c>
      <c r="O213" s="3">
        <v>2.574272712053325E-2</v>
      </c>
      <c r="P213" s="11">
        <f t="shared" si="36"/>
        <v>-30</v>
      </c>
      <c r="Q213" s="12">
        <f t="shared" si="37"/>
        <v>-30</v>
      </c>
      <c r="R213" s="13">
        <f t="shared" si="38"/>
        <v>-29.999999999999996</v>
      </c>
      <c r="S213" s="3" t="s">
        <v>31</v>
      </c>
      <c r="T213" s="3" t="s">
        <v>32</v>
      </c>
      <c r="U213" s="10">
        <v>0</v>
      </c>
      <c r="V213" s="3">
        <v>0</v>
      </c>
      <c r="W213" s="3">
        <f t="shared" si="39"/>
        <v>0</v>
      </c>
      <c r="AA213" s="3">
        <v>5.5</v>
      </c>
    </row>
    <row r="214" spans="1:27" ht="16.05" customHeight="1" x14ac:dyDescent="0.3">
      <c r="A214" s="3" t="str">
        <f t="shared" si="30"/>
        <v>North9430119900210</v>
      </c>
      <c r="B214" s="3" t="str">
        <f t="shared" si="31"/>
        <v>Lud9430119900210</v>
      </c>
      <c r="C214" s="10">
        <v>9430119900210</v>
      </c>
      <c r="D214" s="10" t="str">
        <f t="shared" si="32"/>
        <v>9430119900</v>
      </c>
      <c r="E214" s="3" t="s">
        <v>3</v>
      </c>
      <c r="F214" s="3" t="s">
        <v>64</v>
      </c>
      <c r="H214" s="3">
        <v>0.45500000000000002</v>
      </c>
      <c r="I214" s="10">
        <f t="shared" si="33"/>
        <v>0</v>
      </c>
      <c r="J214" s="3">
        <v>0</v>
      </c>
      <c r="K214" s="3">
        <v>0</v>
      </c>
      <c r="L214" s="3">
        <f t="shared" si="34"/>
        <v>0</v>
      </c>
      <c r="N214" s="11">
        <f t="shared" si="35"/>
        <v>0.45500000000000002</v>
      </c>
      <c r="O214" s="3">
        <v>0</v>
      </c>
      <c r="P214" s="11">
        <f t="shared" si="36"/>
        <v>9999</v>
      </c>
      <c r="Q214" s="12">
        <f t="shared" si="37"/>
        <v>9999</v>
      </c>
      <c r="R214" s="13">
        <f t="shared" si="38"/>
        <v>2808.4139598508455</v>
      </c>
      <c r="S214" s="3" t="s">
        <v>31</v>
      </c>
      <c r="T214" s="3" t="s">
        <v>35</v>
      </c>
      <c r="U214" s="10">
        <v>0</v>
      </c>
      <c r="V214" s="3">
        <v>0</v>
      </c>
      <c r="W214" s="3">
        <f t="shared" si="39"/>
        <v>0</v>
      </c>
      <c r="AA214" s="3">
        <v>5.5</v>
      </c>
    </row>
    <row r="215" spans="1:27" ht="16.05" customHeight="1" x14ac:dyDescent="0.3">
      <c r="A215" s="3" t="str">
        <f t="shared" si="30"/>
        <v>North9430109902210</v>
      </c>
      <c r="B215" s="3" t="str">
        <f t="shared" si="31"/>
        <v>Lud9430109902210</v>
      </c>
      <c r="C215" s="10">
        <v>9430109902210</v>
      </c>
      <c r="D215" s="10" t="str">
        <f t="shared" si="32"/>
        <v>9430109902</v>
      </c>
      <c r="E215" s="3" t="s">
        <v>3</v>
      </c>
      <c r="F215" s="3" t="s">
        <v>64</v>
      </c>
      <c r="H215" s="3">
        <v>0.46300000000000008</v>
      </c>
      <c r="I215" s="10">
        <f t="shared" si="33"/>
        <v>0</v>
      </c>
      <c r="J215" s="3">
        <v>0</v>
      </c>
      <c r="K215" s="3">
        <v>0</v>
      </c>
      <c r="L215" s="3">
        <f t="shared" si="34"/>
        <v>0</v>
      </c>
      <c r="N215" s="11">
        <f t="shared" si="35"/>
        <v>0.46300000000000008</v>
      </c>
      <c r="O215" s="3">
        <v>0</v>
      </c>
      <c r="P215" s="11">
        <f t="shared" si="36"/>
        <v>9999</v>
      </c>
      <c r="Q215" s="12">
        <f t="shared" si="37"/>
        <v>160.7571977072771</v>
      </c>
      <c r="R215" s="13">
        <f t="shared" si="38"/>
        <v>190.89251081833569</v>
      </c>
      <c r="S215" s="3" t="s">
        <v>31</v>
      </c>
      <c r="T215" s="3" t="s">
        <v>35</v>
      </c>
      <c r="U215" s="10">
        <v>0</v>
      </c>
      <c r="V215" s="3">
        <v>0</v>
      </c>
      <c r="W215" s="3">
        <f t="shared" si="39"/>
        <v>0</v>
      </c>
      <c r="AA215" s="3">
        <v>5.5</v>
      </c>
    </row>
    <row r="216" spans="1:27" ht="16.05" customHeight="1" x14ac:dyDescent="0.3">
      <c r="A216" s="3" t="str">
        <f t="shared" si="30"/>
        <v>North9430109902320</v>
      </c>
      <c r="B216" s="3" t="str">
        <f t="shared" si="31"/>
        <v>Lud9430109902320</v>
      </c>
      <c r="C216" s="10">
        <v>9430109902320</v>
      </c>
      <c r="D216" s="10" t="str">
        <f t="shared" si="32"/>
        <v>9430109902</v>
      </c>
      <c r="E216" s="3" t="s">
        <v>3</v>
      </c>
      <c r="F216" s="3" t="s">
        <v>64</v>
      </c>
      <c r="H216" s="3">
        <v>5.0399999999999983</v>
      </c>
      <c r="I216" s="10">
        <f t="shared" si="33"/>
        <v>0</v>
      </c>
      <c r="J216" s="3">
        <v>0</v>
      </c>
      <c r="K216" s="3">
        <v>-0.49500000000000011</v>
      </c>
      <c r="L216" s="3">
        <f t="shared" si="34"/>
        <v>0</v>
      </c>
      <c r="N216" s="11">
        <f t="shared" si="35"/>
        <v>5.0399999999999983</v>
      </c>
      <c r="O216" s="3">
        <v>0</v>
      </c>
      <c r="P216" s="11">
        <f t="shared" si="36"/>
        <v>9999</v>
      </c>
      <c r="Q216" s="12">
        <f t="shared" si="37"/>
        <v>43.569716643667221</v>
      </c>
      <c r="R216" s="13">
        <f t="shared" si="38"/>
        <v>22.447350601553385</v>
      </c>
      <c r="S216" s="3" t="s">
        <v>31</v>
      </c>
      <c r="T216" s="3" t="s">
        <v>35</v>
      </c>
      <c r="U216" s="10">
        <v>0</v>
      </c>
      <c r="V216" s="3">
        <v>0</v>
      </c>
      <c r="W216" s="3">
        <f t="shared" si="39"/>
        <v>0</v>
      </c>
      <c r="AA216" s="3">
        <v>5.5</v>
      </c>
    </row>
    <row r="217" spans="1:27" x14ac:dyDescent="0.3">
      <c r="A217" s="3" t="str">
        <f t="shared" si="30"/>
        <v>North9430119900320</v>
      </c>
      <c r="B217" s="3" t="str">
        <f t="shared" si="31"/>
        <v>Lud9430119900320</v>
      </c>
      <c r="C217" s="10">
        <v>9430119900320</v>
      </c>
      <c r="D217" s="10" t="str">
        <f t="shared" si="32"/>
        <v>9430119900</v>
      </c>
      <c r="E217" s="3" t="s">
        <v>3</v>
      </c>
      <c r="F217" s="3" t="s">
        <v>64</v>
      </c>
      <c r="H217" s="3">
        <v>0.04</v>
      </c>
      <c r="I217" s="10">
        <f t="shared" si="33"/>
        <v>0</v>
      </c>
      <c r="J217" s="3">
        <v>0</v>
      </c>
      <c r="K217" s="3">
        <v>0</v>
      </c>
      <c r="L217" s="3">
        <f t="shared" si="34"/>
        <v>0</v>
      </c>
      <c r="N217" s="11">
        <f t="shared" si="35"/>
        <v>0.04</v>
      </c>
      <c r="O217" s="3">
        <v>0</v>
      </c>
      <c r="P217" s="11">
        <f t="shared" si="36"/>
        <v>9999</v>
      </c>
      <c r="Q217" s="12">
        <f t="shared" si="37"/>
        <v>9999</v>
      </c>
      <c r="R217" s="13">
        <f t="shared" si="38"/>
        <v>20.328406414680188</v>
      </c>
      <c r="S217" s="3" t="s">
        <v>31</v>
      </c>
      <c r="T217" s="3" t="s">
        <v>35</v>
      </c>
      <c r="U217" s="10">
        <v>0</v>
      </c>
      <c r="V217" s="3">
        <v>0</v>
      </c>
      <c r="W217" s="3">
        <f t="shared" si="39"/>
        <v>0</v>
      </c>
      <c r="AA217" s="3">
        <v>5.5</v>
      </c>
    </row>
    <row r="218" spans="1:27" ht="16.05" customHeight="1" x14ac:dyDescent="0.3">
      <c r="A218" s="3" t="str">
        <f t="shared" si="30"/>
        <v>North9430119902320</v>
      </c>
      <c r="B218" s="3" t="str">
        <f t="shared" si="31"/>
        <v>Lud9430119902320</v>
      </c>
      <c r="C218" s="10">
        <v>9430119902320</v>
      </c>
      <c r="D218" s="10" t="str">
        <f t="shared" si="32"/>
        <v>9430119902</v>
      </c>
      <c r="E218" s="3" t="s">
        <v>3</v>
      </c>
      <c r="F218" s="3" t="s">
        <v>64</v>
      </c>
      <c r="H218" s="3">
        <v>1.7200000000000002</v>
      </c>
      <c r="I218" s="10">
        <f t="shared" si="33"/>
        <v>0</v>
      </c>
      <c r="J218" s="3">
        <v>0</v>
      </c>
      <c r="K218" s="3">
        <v>0</v>
      </c>
      <c r="L218" s="3">
        <f t="shared" si="34"/>
        <v>0</v>
      </c>
      <c r="N218" s="11">
        <f t="shared" si="35"/>
        <v>1.7200000000000002</v>
      </c>
      <c r="O218" s="3">
        <v>0</v>
      </c>
      <c r="P218" s="11">
        <f t="shared" si="36"/>
        <v>9999</v>
      </c>
      <c r="Q218" s="12">
        <f t="shared" si="37"/>
        <v>9999</v>
      </c>
      <c r="R218" s="13">
        <f t="shared" si="38"/>
        <v>9999</v>
      </c>
      <c r="S218" s="3" t="s">
        <v>31</v>
      </c>
      <c r="T218" s="3" t="s">
        <v>35</v>
      </c>
      <c r="U218" s="10">
        <v>0</v>
      </c>
      <c r="V218" s="3">
        <v>0</v>
      </c>
      <c r="W218" s="3">
        <f t="shared" si="39"/>
        <v>0</v>
      </c>
      <c r="AA218" s="3">
        <v>5.5</v>
      </c>
    </row>
    <row r="219" spans="1:27" ht="16.05" customHeight="1" x14ac:dyDescent="0.3">
      <c r="A219" s="3" t="str">
        <f t="shared" si="30"/>
        <v>North9430119900250</v>
      </c>
      <c r="B219" s="3" t="str">
        <f t="shared" si="31"/>
        <v>Lud9430119900250</v>
      </c>
      <c r="C219" s="10">
        <v>9430119900250</v>
      </c>
      <c r="D219" s="10" t="str">
        <f t="shared" si="32"/>
        <v>9430119900</v>
      </c>
      <c r="E219" s="3" t="s">
        <v>3</v>
      </c>
      <c r="F219" s="3" t="s">
        <v>64</v>
      </c>
      <c r="H219" s="3">
        <v>0.3</v>
      </c>
      <c r="I219" s="10">
        <f t="shared" si="33"/>
        <v>0</v>
      </c>
      <c r="J219" s="3">
        <v>0</v>
      </c>
      <c r="K219" s="3">
        <v>0</v>
      </c>
      <c r="L219" s="3">
        <f t="shared" si="34"/>
        <v>0</v>
      </c>
      <c r="N219" s="11">
        <f t="shared" si="35"/>
        <v>0.3</v>
      </c>
      <c r="O219" s="3">
        <v>0</v>
      </c>
      <c r="P219" s="11">
        <f t="shared" si="36"/>
        <v>9999</v>
      </c>
      <c r="Q219" s="12">
        <f t="shared" si="37"/>
        <v>9999</v>
      </c>
      <c r="R219" s="13">
        <f t="shared" si="38"/>
        <v>115.61189076937448</v>
      </c>
      <c r="S219" s="3" t="s">
        <v>31</v>
      </c>
      <c r="T219" s="3" t="s">
        <v>35</v>
      </c>
      <c r="U219" s="10">
        <v>0</v>
      </c>
      <c r="V219" s="3">
        <v>0</v>
      </c>
      <c r="W219" s="3">
        <f t="shared" si="39"/>
        <v>0</v>
      </c>
      <c r="AA219" s="3">
        <v>5.5</v>
      </c>
    </row>
    <row r="220" spans="1:27" ht="16.05" customHeight="1" x14ac:dyDescent="0.3">
      <c r="A220" s="3" t="str">
        <f t="shared" si="30"/>
        <v>North9430109902220</v>
      </c>
      <c r="B220" s="3" t="str">
        <f t="shared" si="31"/>
        <v>Lud9430109902220</v>
      </c>
      <c r="C220" s="10">
        <v>9430109902220</v>
      </c>
      <c r="D220" s="10" t="str">
        <f t="shared" si="32"/>
        <v>9430109902</v>
      </c>
      <c r="E220" s="3" t="s">
        <v>3</v>
      </c>
      <c r="F220" s="3" t="s">
        <v>64</v>
      </c>
      <c r="H220" s="3">
        <v>0.51400000000000001</v>
      </c>
      <c r="I220" s="10">
        <f t="shared" si="33"/>
        <v>0</v>
      </c>
      <c r="J220" s="3">
        <v>0</v>
      </c>
      <c r="K220" s="3">
        <v>0</v>
      </c>
      <c r="L220" s="3">
        <f t="shared" si="34"/>
        <v>0</v>
      </c>
      <c r="N220" s="11">
        <f t="shared" si="35"/>
        <v>0.51400000000000001</v>
      </c>
      <c r="O220" s="3">
        <v>0</v>
      </c>
      <c r="P220" s="11">
        <f t="shared" si="36"/>
        <v>9999</v>
      </c>
      <c r="Q220" s="12">
        <f t="shared" si="37"/>
        <v>71.367881210217718</v>
      </c>
      <c r="R220" s="13">
        <f t="shared" si="38"/>
        <v>105.45285077529311</v>
      </c>
      <c r="S220" s="3" t="s">
        <v>31</v>
      </c>
      <c r="T220" s="3" t="s">
        <v>35</v>
      </c>
      <c r="U220" s="10">
        <v>0</v>
      </c>
      <c r="V220" s="3">
        <v>0</v>
      </c>
      <c r="W220" s="3">
        <f t="shared" si="39"/>
        <v>0</v>
      </c>
      <c r="AA220" s="3">
        <v>5.5</v>
      </c>
    </row>
    <row r="221" spans="1:27" ht="16.05" customHeight="1" x14ac:dyDescent="0.3">
      <c r="A221" s="3" t="str">
        <f t="shared" si="30"/>
        <v>North9430119902310</v>
      </c>
      <c r="B221" s="3" t="str">
        <f t="shared" si="31"/>
        <v>Lud9430119902310</v>
      </c>
      <c r="C221" s="10">
        <v>9430119902310</v>
      </c>
      <c r="D221" s="10" t="str">
        <f t="shared" si="32"/>
        <v>9430119902</v>
      </c>
      <c r="E221" s="3" t="s">
        <v>3</v>
      </c>
      <c r="F221" s="3" t="s">
        <v>64</v>
      </c>
      <c r="H221" s="3">
        <v>0.38999999999999996</v>
      </c>
      <c r="I221" s="10">
        <f t="shared" si="33"/>
        <v>0</v>
      </c>
      <c r="J221" s="3">
        <v>0</v>
      </c>
      <c r="K221" s="3">
        <v>0</v>
      </c>
      <c r="L221" s="3">
        <f t="shared" si="34"/>
        <v>0</v>
      </c>
      <c r="N221" s="11">
        <f t="shared" si="35"/>
        <v>0.38999999999999996</v>
      </c>
      <c r="O221" s="3">
        <v>0</v>
      </c>
      <c r="P221" s="11">
        <f t="shared" si="36"/>
        <v>9999</v>
      </c>
      <c r="Q221" s="12">
        <f t="shared" si="37"/>
        <v>9999</v>
      </c>
      <c r="R221" s="13">
        <f t="shared" si="38"/>
        <v>9999</v>
      </c>
      <c r="S221" s="3" t="s">
        <v>31</v>
      </c>
      <c r="T221" s="3" t="s">
        <v>35</v>
      </c>
      <c r="U221" s="10">
        <v>0</v>
      </c>
      <c r="V221" s="3">
        <v>0</v>
      </c>
      <c r="W221" s="3">
        <f t="shared" si="39"/>
        <v>0</v>
      </c>
      <c r="AA221" s="3">
        <v>5.5</v>
      </c>
    </row>
    <row r="222" spans="1:27" ht="16.05" customHeight="1" x14ac:dyDescent="0.3">
      <c r="A222" s="3" t="str">
        <f t="shared" si="30"/>
        <v>North9430119902210</v>
      </c>
      <c r="B222" s="3" t="str">
        <f t="shared" si="31"/>
        <v>Lud9430119902210</v>
      </c>
      <c r="C222" s="10">
        <v>9430119902210</v>
      </c>
      <c r="D222" s="10" t="str">
        <f t="shared" si="32"/>
        <v>9430119902</v>
      </c>
      <c r="E222" s="3" t="s">
        <v>3</v>
      </c>
      <c r="F222" s="3" t="s">
        <v>64</v>
      </c>
      <c r="H222" s="3">
        <v>1.2609999999999999</v>
      </c>
      <c r="I222" s="10">
        <f t="shared" si="33"/>
        <v>0</v>
      </c>
      <c r="J222" s="3">
        <v>0</v>
      </c>
      <c r="K222" s="3">
        <v>0</v>
      </c>
      <c r="L222" s="3">
        <f t="shared" si="34"/>
        <v>0</v>
      </c>
      <c r="N222" s="11">
        <f t="shared" si="35"/>
        <v>1.2609999999999999</v>
      </c>
      <c r="O222" s="3">
        <v>0</v>
      </c>
      <c r="P222" s="11">
        <f t="shared" si="36"/>
        <v>9999</v>
      </c>
      <c r="Q222" s="12">
        <f t="shared" si="37"/>
        <v>9999</v>
      </c>
      <c r="R222" s="13">
        <f t="shared" si="38"/>
        <v>9999</v>
      </c>
      <c r="S222" s="3" t="s">
        <v>31</v>
      </c>
      <c r="T222" s="3" t="s">
        <v>35</v>
      </c>
      <c r="U222" s="10">
        <v>0</v>
      </c>
      <c r="V222" s="3">
        <v>0</v>
      </c>
      <c r="W222" s="3">
        <f t="shared" si="39"/>
        <v>0</v>
      </c>
      <c r="AA222" s="3">
        <v>5.5</v>
      </c>
    </row>
    <row r="223" spans="1:27" x14ac:dyDescent="0.3">
      <c r="A223" s="3" t="str">
        <f t="shared" si="30"/>
        <v>North9430119901250</v>
      </c>
      <c r="B223" s="3" t="str">
        <f t="shared" si="31"/>
        <v>Lud9430119901250</v>
      </c>
      <c r="C223" s="10">
        <v>9430119901250</v>
      </c>
      <c r="D223" s="10" t="str">
        <f t="shared" si="32"/>
        <v>9430119901</v>
      </c>
      <c r="E223" s="3" t="s">
        <v>3</v>
      </c>
      <c r="F223" s="3" t="s">
        <v>64</v>
      </c>
      <c r="H223" s="3">
        <v>0.74</v>
      </c>
      <c r="I223" s="10">
        <f t="shared" si="33"/>
        <v>0</v>
      </c>
      <c r="J223" s="3">
        <v>0</v>
      </c>
      <c r="K223" s="3">
        <v>0</v>
      </c>
      <c r="L223" s="3">
        <f t="shared" si="34"/>
        <v>0</v>
      </c>
      <c r="N223" s="11">
        <f t="shared" si="35"/>
        <v>0.74</v>
      </c>
      <c r="O223" s="3">
        <v>0</v>
      </c>
      <c r="P223" s="11">
        <f t="shared" si="36"/>
        <v>9999</v>
      </c>
      <c r="Q223" s="12">
        <f t="shared" si="37"/>
        <v>9999</v>
      </c>
      <c r="R223" s="13">
        <f t="shared" si="38"/>
        <v>9999</v>
      </c>
      <c r="S223" s="3" t="s">
        <v>31</v>
      </c>
      <c r="T223" s="3" t="s">
        <v>35</v>
      </c>
      <c r="U223" s="10">
        <v>0</v>
      </c>
      <c r="V223" s="3">
        <v>0</v>
      </c>
      <c r="W223" s="3">
        <f t="shared" si="39"/>
        <v>0</v>
      </c>
      <c r="AA223" s="3">
        <v>5.5</v>
      </c>
    </row>
    <row r="224" spans="1:27" x14ac:dyDescent="0.3">
      <c r="A224" s="3" t="str">
        <f t="shared" si="30"/>
        <v>North9430119901310</v>
      </c>
      <c r="B224" s="3" t="str">
        <f t="shared" si="31"/>
        <v>Lud9430119901310</v>
      </c>
      <c r="C224" s="10">
        <v>9430119901310</v>
      </c>
      <c r="D224" s="10" t="str">
        <f t="shared" si="32"/>
        <v>9430119901</v>
      </c>
      <c r="E224" s="3" t="s">
        <v>3</v>
      </c>
      <c r="F224" s="3" t="s">
        <v>64</v>
      </c>
      <c r="H224" s="3">
        <v>0.27</v>
      </c>
      <c r="I224" s="10">
        <f t="shared" si="33"/>
        <v>0</v>
      </c>
      <c r="J224" s="3">
        <v>0</v>
      </c>
      <c r="K224" s="3">
        <v>0</v>
      </c>
      <c r="L224" s="3">
        <f t="shared" si="34"/>
        <v>0</v>
      </c>
      <c r="N224" s="11">
        <f t="shared" si="35"/>
        <v>0.27</v>
      </c>
      <c r="O224" s="3">
        <v>0</v>
      </c>
      <c r="P224" s="11">
        <f t="shared" si="36"/>
        <v>9999</v>
      </c>
      <c r="Q224" s="12">
        <f t="shared" si="37"/>
        <v>9999</v>
      </c>
      <c r="R224" s="13">
        <f t="shared" si="38"/>
        <v>1841.6460679754766</v>
      </c>
      <c r="S224" s="3" t="s">
        <v>31</v>
      </c>
      <c r="T224" s="3" t="s">
        <v>35</v>
      </c>
      <c r="U224" s="10">
        <v>0</v>
      </c>
      <c r="V224" s="3">
        <v>0</v>
      </c>
      <c r="W224" s="3">
        <f t="shared" si="39"/>
        <v>0</v>
      </c>
      <c r="AA224" s="3">
        <v>5.5</v>
      </c>
    </row>
    <row r="225" spans="1:27" x14ac:dyDescent="0.3">
      <c r="A225" s="3" t="str">
        <f t="shared" si="30"/>
        <v>North9430119902250</v>
      </c>
      <c r="B225" s="3" t="str">
        <f t="shared" si="31"/>
        <v>Lud9430119902250</v>
      </c>
      <c r="C225" s="10">
        <v>9430119902250</v>
      </c>
      <c r="D225" s="10" t="str">
        <f t="shared" si="32"/>
        <v>9430119902</v>
      </c>
      <c r="E225" s="3" t="s">
        <v>3</v>
      </c>
      <c r="F225" s="3" t="s">
        <v>64</v>
      </c>
      <c r="H225" s="3">
        <v>0.11500000000000002</v>
      </c>
      <c r="I225" s="10">
        <f t="shared" si="33"/>
        <v>0</v>
      </c>
      <c r="J225" s="3">
        <v>0</v>
      </c>
      <c r="K225" s="3">
        <v>0</v>
      </c>
      <c r="L225" s="3">
        <f t="shared" si="34"/>
        <v>0</v>
      </c>
      <c r="N225" s="11">
        <f t="shared" si="35"/>
        <v>0.11500000000000002</v>
      </c>
      <c r="O225" s="3">
        <v>0</v>
      </c>
      <c r="P225" s="11">
        <f t="shared" si="36"/>
        <v>9999</v>
      </c>
      <c r="Q225" s="12">
        <f t="shared" si="37"/>
        <v>9999</v>
      </c>
      <c r="R225" s="13">
        <f t="shared" si="38"/>
        <v>9999</v>
      </c>
      <c r="S225" s="3" t="s">
        <v>31</v>
      </c>
      <c r="T225" s="3" t="s">
        <v>35</v>
      </c>
      <c r="U225" s="10">
        <v>0</v>
      </c>
      <c r="V225" s="3">
        <v>0</v>
      </c>
      <c r="W225" s="3">
        <f t="shared" si="39"/>
        <v>0</v>
      </c>
      <c r="AA225" s="3">
        <v>5.5</v>
      </c>
    </row>
    <row r="226" spans="1:27" x14ac:dyDescent="0.3">
      <c r="A226" s="3" t="str">
        <f t="shared" si="30"/>
        <v>North9430109902250</v>
      </c>
      <c r="B226" s="3" t="str">
        <f t="shared" si="31"/>
        <v>Lud9430109902250</v>
      </c>
      <c r="C226" s="10">
        <v>9430109902250</v>
      </c>
      <c r="D226" s="10" t="str">
        <f t="shared" si="32"/>
        <v>9430109902</v>
      </c>
      <c r="E226" s="3" t="s">
        <v>3</v>
      </c>
      <c r="F226" s="3" t="s">
        <v>64</v>
      </c>
      <c r="H226" s="3">
        <v>0.54</v>
      </c>
      <c r="I226" s="10">
        <f t="shared" si="33"/>
        <v>0</v>
      </c>
      <c r="J226" s="3">
        <v>0</v>
      </c>
      <c r="K226" s="3">
        <v>0</v>
      </c>
      <c r="L226" s="3">
        <f t="shared" si="34"/>
        <v>0</v>
      </c>
      <c r="N226" s="11">
        <f t="shared" si="35"/>
        <v>0.54</v>
      </c>
      <c r="O226" s="3">
        <v>0</v>
      </c>
      <c r="P226" s="11">
        <f t="shared" si="36"/>
        <v>9999</v>
      </c>
      <c r="Q226" s="12">
        <f t="shared" si="37"/>
        <v>43.364468936799454</v>
      </c>
      <c r="R226" s="13">
        <f t="shared" si="38"/>
        <v>23.704826150757036</v>
      </c>
      <c r="S226" s="3" t="s">
        <v>31</v>
      </c>
      <c r="T226" s="3" t="s">
        <v>35</v>
      </c>
      <c r="U226" s="10">
        <v>0</v>
      </c>
      <c r="V226" s="3">
        <v>0</v>
      </c>
      <c r="W226" s="3">
        <f t="shared" si="39"/>
        <v>0</v>
      </c>
      <c r="AA226" s="3">
        <v>5.5</v>
      </c>
    </row>
    <row r="227" spans="1:27" x14ac:dyDescent="0.3">
      <c r="A227" s="3" t="str">
        <f t="shared" si="30"/>
        <v>North9430109902310</v>
      </c>
      <c r="B227" s="3" t="str">
        <f t="shared" si="31"/>
        <v>Lud9430109902310</v>
      </c>
      <c r="C227" s="10">
        <v>9430109902310</v>
      </c>
      <c r="D227" s="10" t="str">
        <f t="shared" si="32"/>
        <v>9430109902</v>
      </c>
      <c r="E227" s="3" t="s">
        <v>3</v>
      </c>
      <c r="F227" s="3" t="s">
        <v>64</v>
      </c>
      <c r="H227" s="3">
        <v>1.1260000000000001</v>
      </c>
      <c r="I227" s="10">
        <f t="shared" si="33"/>
        <v>0</v>
      </c>
      <c r="J227" s="3">
        <v>0</v>
      </c>
      <c r="K227" s="3">
        <v>0</v>
      </c>
      <c r="L227" s="3">
        <f t="shared" si="34"/>
        <v>0</v>
      </c>
      <c r="N227" s="11">
        <f t="shared" si="35"/>
        <v>1.1260000000000001</v>
      </c>
      <c r="O227" s="3">
        <v>0</v>
      </c>
      <c r="P227" s="11">
        <f t="shared" si="36"/>
        <v>9999</v>
      </c>
      <c r="Q227" s="12">
        <f t="shared" si="37"/>
        <v>71.059873449365213</v>
      </c>
      <c r="R227" s="13">
        <f t="shared" si="38"/>
        <v>50.205707423478124</v>
      </c>
      <c r="S227" s="3" t="s">
        <v>31</v>
      </c>
      <c r="T227" s="3" t="s">
        <v>35</v>
      </c>
      <c r="U227" s="10">
        <v>0</v>
      </c>
      <c r="V227" s="3">
        <v>0</v>
      </c>
      <c r="W227" s="3">
        <f t="shared" si="39"/>
        <v>0</v>
      </c>
      <c r="AA227" s="3">
        <v>5.5</v>
      </c>
    </row>
    <row r="228" spans="1:27" x14ac:dyDescent="0.3">
      <c r="A228" s="3" t="str">
        <f t="shared" si="30"/>
        <v>North9430119901220</v>
      </c>
      <c r="B228" s="3" t="str">
        <f t="shared" si="31"/>
        <v>Lud9430119901220</v>
      </c>
      <c r="C228" s="10">
        <v>9430119901220</v>
      </c>
      <c r="D228" s="10" t="str">
        <f t="shared" si="32"/>
        <v>9430119901</v>
      </c>
      <c r="E228" s="3" t="s">
        <v>3</v>
      </c>
      <c r="F228" s="3" t="s">
        <v>64</v>
      </c>
      <c r="H228" s="3">
        <v>0.8839999999999999</v>
      </c>
      <c r="I228" s="10">
        <f t="shared" si="33"/>
        <v>0</v>
      </c>
      <c r="J228" s="3">
        <v>0</v>
      </c>
      <c r="K228" s="3">
        <v>0</v>
      </c>
      <c r="L228" s="3">
        <f t="shared" si="34"/>
        <v>0</v>
      </c>
      <c r="N228" s="11">
        <f t="shared" si="35"/>
        <v>0.8839999999999999</v>
      </c>
      <c r="O228" s="3">
        <v>0</v>
      </c>
      <c r="P228" s="11">
        <f t="shared" si="36"/>
        <v>9999</v>
      </c>
      <c r="Q228" s="12">
        <f t="shared" si="37"/>
        <v>9999</v>
      </c>
      <c r="R228" s="13">
        <f t="shared" si="38"/>
        <v>9999</v>
      </c>
      <c r="S228" s="3" t="s">
        <v>31</v>
      </c>
      <c r="T228" s="3" t="s">
        <v>35</v>
      </c>
      <c r="U228" s="10">
        <v>0</v>
      </c>
      <c r="V228" s="3">
        <v>0</v>
      </c>
      <c r="W228" s="3">
        <f t="shared" si="39"/>
        <v>0</v>
      </c>
      <c r="AA228" s="3">
        <v>5.5</v>
      </c>
    </row>
    <row r="229" spans="1:27" x14ac:dyDescent="0.3">
      <c r="A229" s="3" t="str">
        <f t="shared" si="30"/>
        <v>North9430119900220</v>
      </c>
      <c r="B229" s="3" t="str">
        <f t="shared" si="31"/>
        <v>Lud9430119900220</v>
      </c>
      <c r="C229" s="10">
        <v>9430119900220</v>
      </c>
      <c r="D229" s="10" t="str">
        <f t="shared" si="32"/>
        <v>9430119900</v>
      </c>
      <c r="E229" s="3" t="s">
        <v>3</v>
      </c>
      <c r="F229" s="3" t="s">
        <v>64</v>
      </c>
      <c r="H229" s="3">
        <v>0.20800000000000002</v>
      </c>
      <c r="I229" s="10">
        <f t="shared" si="33"/>
        <v>0</v>
      </c>
      <c r="J229" s="3">
        <v>0</v>
      </c>
      <c r="K229" s="3">
        <v>0</v>
      </c>
      <c r="L229" s="3">
        <f t="shared" si="34"/>
        <v>0</v>
      </c>
      <c r="N229" s="11">
        <f t="shared" si="35"/>
        <v>0.20800000000000002</v>
      </c>
      <c r="O229" s="3">
        <v>0</v>
      </c>
      <c r="P229" s="11">
        <f t="shared" si="36"/>
        <v>9999</v>
      </c>
      <c r="Q229" s="12">
        <f t="shared" si="37"/>
        <v>9999</v>
      </c>
      <c r="R229" s="13">
        <f t="shared" si="38"/>
        <v>1507.1861279617206</v>
      </c>
      <c r="S229" s="3" t="s">
        <v>31</v>
      </c>
      <c r="T229" s="3" t="s">
        <v>35</v>
      </c>
      <c r="U229" s="10">
        <v>0</v>
      </c>
      <c r="V229" s="3">
        <v>0</v>
      </c>
      <c r="W229" s="3">
        <f t="shared" si="39"/>
        <v>0</v>
      </c>
      <c r="AA229" s="3">
        <v>5.5</v>
      </c>
    </row>
    <row r="230" spans="1:27" x14ac:dyDescent="0.3">
      <c r="A230" s="3" t="str">
        <f t="shared" si="30"/>
        <v>North9430119902220</v>
      </c>
      <c r="B230" s="3" t="str">
        <f t="shared" si="31"/>
        <v>Lud9430119902220</v>
      </c>
      <c r="C230" s="10">
        <v>9430119902220</v>
      </c>
      <c r="D230" s="10" t="str">
        <f t="shared" si="32"/>
        <v>9430119902</v>
      </c>
      <c r="E230" s="3" t="s">
        <v>3</v>
      </c>
      <c r="F230" s="3" t="s">
        <v>64</v>
      </c>
      <c r="H230" s="3">
        <v>0.15200000000000002</v>
      </c>
      <c r="I230" s="10">
        <f t="shared" si="33"/>
        <v>0</v>
      </c>
      <c r="J230" s="3">
        <v>0</v>
      </c>
      <c r="K230" s="3">
        <v>0</v>
      </c>
      <c r="L230" s="3">
        <f t="shared" si="34"/>
        <v>0</v>
      </c>
      <c r="N230" s="11">
        <f t="shared" si="35"/>
        <v>0.15200000000000002</v>
      </c>
      <c r="O230" s="3">
        <v>0</v>
      </c>
      <c r="P230" s="11">
        <f t="shared" si="36"/>
        <v>9999</v>
      </c>
      <c r="Q230" s="12">
        <f t="shared" si="37"/>
        <v>9999</v>
      </c>
      <c r="R230" s="13">
        <f t="shared" si="38"/>
        <v>9999</v>
      </c>
      <c r="S230" s="3" t="s">
        <v>31</v>
      </c>
      <c r="T230" s="3" t="s">
        <v>35</v>
      </c>
      <c r="U230" s="10">
        <v>0</v>
      </c>
      <c r="V230" s="3">
        <v>0</v>
      </c>
      <c r="W230" s="3">
        <f t="shared" si="39"/>
        <v>0</v>
      </c>
      <c r="AA230" s="3">
        <v>5.5</v>
      </c>
    </row>
    <row r="231" spans="1:27" x14ac:dyDescent="0.3">
      <c r="A231" s="3" t="str">
        <f t="shared" si="30"/>
        <v>North9430119900310</v>
      </c>
      <c r="B231" s="3" t="str">
        <f t="shared" si="31"/>
        <v>Lud9430119900310</v>
      </c>
      <c r="C231" s="10">
        <v>9430119900310</v>
      </c>
      <c r="D231" s="10" t="str">
        <f t="shared" si="32"/>
        <v>9430119900</v>
      </c>
      <c r="E231" s="3" t="s">
        <v>3</v>
      </c>
      <c r="F231" s="3" t="s">
        <v>64</v>
      </c>
      <c r="H231" s="3">
        <v>0.04</v>
      </c>
      <c r="I231" s="10">
        <f t="shared" si="33"/>
        <v>0</v>
      </c>
      <c r="J231" s="3">
        <v>0</v>
      </c>
      <c r="K231" s="3">
        <v>0</v>
      </c>
      <c r="L231" s="3">
        <f t="shared" si="34"/>
        <v>0</v>
      </c>
      <c r="N231" s="11">
        <f t="shared" si="35"/>
        <v>0.04</v>
      </c>
      <c r="O231" s="3">
        <v>0</v>
      </c>
      <c r="P231" s="11">
        <f t="shared" si="36"/>
        <v>9999</v>
      </c>
      <c r="Q231" s="12">
        <f t="shared" si="37"/>
        <v>9999</v>
      </c>
      <c r="R231" s="13">
        <f t="shared" si="38"/>
        <v>58.484369693341321</v>
      </c>
      <c r="S231" s="3" t="s">
        <v>31</v>
      </c>
      <c r="T231" s="3" t="s">
        <v>35</v>
      </c>
      <c r="U231" s="10">
        <v>0</v>
      </c>
      <c r="V231" s="3">
        <v>0</v>
      </c>
      <c r="W231" s="3">
        <f t="shared" si="39"/>
        <v>0</v>
      </c>
      <c r="AA231" s="3">
        <v>5.5</v>
      </c>
    </row>
    <row r="232" spans="1:27" x14ac:dyDescent="0.3">
      <c r="A232" s="3" t="str">
        <f t="shared" si="30"/>
        <v>North9430119901210</v>
      </c>
      <c r="B232" s="3" t="str">
        <f t="shared" si="31"/>
        <v>Lud9430119901210</v>
      </c>
      <c r="C232" s="10">
        <v>9430119901210</v>
      </c>
      <c r="D232" s="10" t="str">
        <f t="shared" si="32"/>
        <v>9430119901</v>
      </c>
      <c r="E232" s="3" t="s">
        <v>3</v>
      </c>
      <c r="F232" s="3" t="s">
        <v>64</v>
      </c>
      <c r="H232" s="3">
        <v>1.1440000000000001</v>
      </c>
      <c r="I232" s="10">
        <f t="shared" si="33"/>
        <v>0</v>
      </c>
      <c r="J232" s="3">
        <v>0</v>
      </c>
      <c r="K232" s="3">
        <v>0</v>
      </c>
      <c r="L232" s="3">
        <f t="shared" si="34"/>
        <v>0</v>
      </c>
      <c r="N232" s="11">
        <f t="shared" si="35"/>
        <v>1.1440000000000001</v>
      </c>
      <c r="O232" s="3">
        <v>0</v>
      </c>
      <c r="P232" s="11">
        <f t="shared" si="36"/>
        <v>9999</v>
      </c>
      <c r="Q232" s="12">
        <f t="shared" si="37"/>
        <v>9999</v>
      </c>
      <c r="R232" s="13">
        <f t="shared" si="38"/>
        <v>9999</v>
      </c>
      <c r="S232" s="3" t="s">
        <v>31</v>
      </c>
      <c r="T232" s="3" t="s">
        <v>35</v>
      </c>
      <c r="U232" s="10">
        <v>0</v>
      </c>
      <c r="V232" s="3">
        <v>0</v>
      </c>
      <c r="W232" s="3">
        <f t="shared" si="39"/>
        <v>0</v>
      </c>
      <c r="AA232" s="3">
        <v>5.5</v>
      </c>
    </row>
    <row r="233" spans="1:27" x14ac:dyDescent="0.3">
      <c r="A233" s="3" t="str">
        <f t="shared" si="30"/>
        <v>North9430119901320</v>
      </c>
      <c r="B233" s="3" t="str">
        <f t="shared" si="31"/>
        <v>Lud9430119901320</v>
      </c>
      <c r="C233" s="10">
        <v>9430119901320</v>
      </c>
      <c r="D233" s="10" t="str">
        <f t="shared" si="32"/>
        <v>9430119901</v>
      </c>
      <c r="E233" s="3" t="s">
        <v>3</v>
      </c>
      <c r="F233" s="3" t="s">
        <v>64</v>
      </c>
      <c r="H233" s="3">
        <v>0.06</v>
      </c>
      <c r="I233" s="10">
        <f t="shared" si="33"/>
        <v>0</v>
      </c>
      <c r="J233" s="3">
        <v>0</v>
      </c>
      <c r="K233" s="3">
        <v>0</v>
      </c>
      <c r="L233" s="3">
        <f t="shared" si="34"/>
        <v>0</v>
      </c>
      <c r="N233" s="11">
        <f t="shared" si="35"/>
        <v>0.06</v>
      </c>
      <c r="O233" s="3">
        <v>0</v>
      </c>
      <c r="P233" s="11">
        <f t="shared" si="36"/>
        <v>9999</v>
      </c>
      <c r="Q233" s="12">
        <f t="shared" si="37"/>
        <v>9999</v>
      </c>
      <c r="R233" s="13">
        <f t="shared" si="38"/>
        <v>154.21910285373258</v>
      </c>
      <c r="S233" s="3" t="s">
        <v>31</v>
      </c>
      <c r="T233" s="3" t="s">
        <v>35</v>
      </c>
      <c r="U233" s="10">
        <v>0</v>
      </c>
      <c r="V233" s="3">
        <v>0</v>
      </c>
      <c r="W233" s="3">
        <f t="shared" si="39"/>
        <v>0</v>
      </c>
      <c r="AA233" s="3">
        <v>5.5</v>
      </c>
    </row>
    <row r="234" spans="1:27" x14ac:dyDescent="0.3">
      <c r="A234" s="3" t="str">
        <f t="shared" si="30"/>
        <v>South9430109901320</v>
      </c>
      <c r="B234" s="3" t="str">
        <f t="shared" si="31"/>
        <v>CY9430109901320</v>
      </c>
      <c r="C234" s="10">
        <v>9430109901320</v>
      </c>
      <c r="D234" s="10" t="str">
        <f t="shared" si="32"/>
        <v>9430109901</v>
      </c>
      <c r="E234" s="3" t="s">
        <v>4</v>
      </c>
      <c r="F234" s="3" t="s">
        <v>65</v>
      </c>
      <c r="H234" s="3">
        <v>92.23</v>
      </c>
      <c r="I234" s="10">
        <f t="shared" si="33"/>
        <v>20.24294256231423</v>
      </c>
      <c r="J234" s="3">
        <v>136.68467375642646</v>
      </c>
      <c r="K234" s="3">
        <v>154</v>
      </c>
      <c r="L234" s="3">
        <f t="shared" si="34"/>
        <v>0</v>
      </c>
      <c r="N234" s="11">
        <f t="shared" si="35"/>
        <v>-44.454673756426459</v>
      </c>
      <c r="O234" s="3">
        <v>136.68467375642646</v>
      </c>
      <c r="P234" s="11">
        <f t="shared" si="36"/>
        <v>-9.7570574376857699</v>
      </c>
      <c r="Q234" s="12">
        <f t="shared" si="37"/>
        <v>-6.077845160559888</v>
      </c>
      <c r="R234" s="13">
        <f t="shared" si="38"/>
        <v>-2.4897770966686847</v>
      </c>
      <c r="S234" s="3" t="s">
        <v>29</v>
      </c>
      <c r="T234" s="3" t="s">
        <v>35</v>
      </c>
      <c r="U234" s="10">
        <v>0</v>
      </c>
      <c r="V234" s="3">
        <v>0</v>
      </c>
      <c r="W234" s="3">
        <f t="shared" si="39"/>
        <v>0</v>
      </c>
      <c r="AA234" s="3">
        <v>5.5</v>
      </c>
    </row>
    <row r="235" spans="1:27" x14ac:dyDescent="0.3">
      <c r="A235" s="3" t="str">
        <f t="shared" si="30"/>
        <v>South9430109901310</v>
      </c>
      <c r="B235" s="3" t="str">
        <f t="shared" si="31"/>
        <v>CY9430109901310</v>
      </c>
      <c r="C235" s="10">
        <v>9430109901310</v>
      </c>
      <c r="D235" s="10" t="str">
        <f t="shared" si="32"/>
        <v>9430109901</v>
      </c>
      <c r="E235" s="3" t="s">
        <v>4</v>
      </c>
      <c r="F235" s="3" t="s">
        <v>65</v>
      </c>
      <c r="H235" s="3">
        <v>43.290000000000006</v>
      </c>
      <c r="I235" s="10">
        <f t="shared" si="33"/>
        <v>32.350394754137398</v>
      </c>
      <c r="J235" s="3">
        <v>40.144796064162563</v>
      </c>
      <c r="K235" s="3">
        <v>27.5</v>
      </c>
      <c r="L235" s="3">
        <f t="shared" si="34"/>
        <v>0</v>
      </c>
      <c r="N235" s="11">
        <f t="shared" si="35"/>
        <v>3.1452039358374435</v>
      </c>
      <c r="O235" s="3">
        <v>40.144796064162563</v>
      </c>
      <c r="P235" s="11">
        <f t="shared" si="36"/>
        <v>2.3503947541373966</v>
      </c>
      <c r="Q235" s="12">
        <f t="shared" si="37"/>
        <v>2.8218424774149322</v>
      </c>
      <c r="R235" s="13">
        <f t="shared" si="38"/>
        <v>5.4137783376715598</v>
      </c>
      <c r="S235" s="3" t="s">
        <v>30</v>
      </c>
      <c r="T235" s="3" t="s">
        <v>35</v>
      </c>
      <c r="U235" s="10">
        <v>0</v>
      </c>
      <c r="V235" s="3">
        <v>0</v>
      </c>
      <c r="W235" s="3">
        <f t="shared" si="39"/>
        <v>0</v>
      </c>
      <c r="AA235" s="3">
        <v>5.5</v>
      </c>
    </row>
    <row r="236" spans="1:27" x14ac:dyDescent="0.3">
      <c r="A236" s="3" t="str">
        <f t="shared" si="30"/>
        <v>South9430109900320</v>
      </c>
      <c r="B236" s="3" t="str">
        <f t="shared" si="31"/>
        <v>CY9430109900320</v>
      </c>
      <c r="C236" s="10">
        <v>9430109900320</v>
      </c>
      <c r="D236" s="10" t="str">
        <f t="shared" si="32"/>
        <v>9430109900</v>
      </c>
      <c r="E236" s="3" t="s">
        <v>4</v>
      </c>
      <c r="F236" s="3" t="s">
        <v>65</v>
      </c>
      <c r="H236" s="3">
        <v>30.923999999999999</v>
      </c>
      <c r="I236" s="10">
        <f t="shared" si="33"/>
        <v>26.2505991793773</v>
      </c>
      <c r="J236" s="3">
        <v>35.340907598361596</v>
      </c>
      <c r="K236" s="3">
        <v>5.5</v>
      </c>
      <c r="L236" s="3">
        <f t="shared" si="34"/>
        <v>0</v>
      </c>
      <c r="N236" s="11">
        <f t="shared" si="35"/>
        <v>-4.4169075983615969</v>
      </c>
      <c r="O236" s="3">
        <v>35.340907598361596</v>
      </c>
      <c r="P236" s="11">
        <f t="shared" si="36"/>
        <v>-3.7494008206226979</v>
      </c>
      <c r="Q236" s="12">
        <f t="shared" si="37"/>
        <v>44.953163085022915</v>
      </c>
      <c r="R236" s="13">
        <f t="shared" si="38"/>
        <v>-4.5713762747685207</v>
      </c>
      <c r="S236" s="3" t="s">
        <v>29</v>
      </c>
      <c r="T236" s="3" t="s">
        <v>35</v>
      </c>
      <c r="U236" s="10">
        <v>0</v>
      </c>
      <c r="V236" s="3">
        <v>0</v>
      </c>
      <c r="W236" s="3">
        <f t="shared" si="39"/>
        <v>0</v>
      </c>
      <c r="AA236" s="3">
        <v>5.5</v>
      </c>
    </row>
    <row r="237" spans="1:27" x14ac:dyDescent="0.3">
      <c r="A237" s="3" t="str">
        <f t="shared" si="30"/>
        <v>South9410069900210</v>
      </c>
      <c r="B237" s="3" t="str">
        <f t="shared" si="31"/>
        <v>CY9410069900210</v>
      </c>
      <c r="C237" s="10">
        <v>9410069900210</v>
      </c>
      <c r="D237" s="10" t="str">
        <f t="shared" si="32"/>
        <v>9410069900</v>
      </c>
      <c r="E237" s="3" t="s">
        <v>4</v>
      </c>
      <c r="F237" s="3" t="s">
        <v>65</v>
      </c>
      <c r="H237" s="3">
        <v>13.700000000000001</v>
      </c>
      <c r="I237" s="10">
        <f t="shared" si="33"/>
        <v>29.17443164423582</v>
      </c>
      <c r="J237" s="3">
        <v>14.087678039863508</v>
      </c>
      <c r="K237" s="3">
        <v>16.5</v>
      </c>
      <c r="L237" s="3">
        <f t="shared" si="34"/>
        <v>0</v>
      </c>
      <c r="N237" s="11">
        <f t="shared" si="35"/>
        <v>-0.38767803986350735</v>
      </c>
      <c r="O237" s="3">
        <v>14.087678039863508</v>
      </c>
      <c r="P237" s="11">
        <f t="shared" si="36"/>
        <v>-0.82556835576417709</v>
      </c>
      <c r="Q237" s="12">
        <f t="shared" si="37"/>
        <v>0.36961243603382882</v>
      </c>
      <c r="R237" s="13">
        <f t="shared" si="38"/>
        <v>1.6261161680536202</v>
      </c>
      <c r="S237" s="3" t="s">
        <v>30</v>
      </c>
      <c r="T237" s="3" t="s">
        <v>32</v>
      </c>
      <c r="U237" s="10">
        <v>0</v>
      </c>
      <c r="V237" s="3">
        <v>0</v>
      </c>
      <c r="W237" s="3">
        <f t="shared" si="39"/>
        <v>0</v>
      </c>
      <c r="AA237" s="3">
        <v>5.5</v>
      </c>
    </row>
    <row r="238" spans="1:27" x14ac:dyDescent="0.3">
      <c r="A238" s="3" t="str">
        <f t="shared" si="30"/>
        <v>South9430109900310</v>
      </c>
      <c r="B238" s="3" t="str">
        <f t="shared" si="31"/>
        <v>CY9430109900310</v>
      </c>
      <c r="C238" s="10">
        <v>9430109900310</v>
      </c>
      <c r="D238" s="10" t="str">
        <f t="shared" si="32"/>
        <v>9430109900</v>
      </c>
      <c r="E238" s="3" t="s">
        <v>4</v>
      </c>
      <c r="F238" s="3" t="s">
        <v>65</v>
      </c>
      <c r="H238" s="3">
        <v>11.049999999999997</v>
      </c>
      <c r="I238" s="10">
        <f t="shared" si="33"/>
        <v>28.288348570177298</v>
      </c>
      <c r="J238" s="3">
        <v>11.718605601087665</v>
      </c>
      <c r="K238" s="3">
        <v>0</v>
      </c>
      <c r="L238" s="3">
        <f t="shared" si="34"/>
        <v>0</v>
      </c>
      <c r="N238" s="11">
        <f t="shared" si="35"/>
        <v>-0.66860560108766798</v>
      </c>
      <c r="O238" s="3">
        <v>11.718605601087665</v>
      </c>
      <c r="P238" s="11">
        <f t="shared" si="36"/>
        <v>-1.7116514298227032</v>
      </c>
      <c r="Q238" s="12">
        <f t="shared" si="37"/>
        <v>51.42920218029284</v>
      </c>
      <c r="R238" s="13">
        <f t="shared" si="38"/>
        <v>2.5620483154508742</v>
      </c>
      <c r="S238" s="3" t="s">
        <v>30</v>
      </c>
      <c r="T238" s="3" t="s">
        <v>35</v>
      </c>
      <c r="U238" s="10">
        <v>0</v>
      </c>
      <c r="V238" s="3">
        <v>0</v>
      </c>
      <c r="W238" s="3">
        <f t="shared" si="39"/>
        <v>0</v>
      </c>
      <c r="AA238" s="3">
        <v>5.5</v>
      </c>
    </row>
    <row r="239" spans="1:27" x14ac:dyDescent="0.3">
      <c r="A239" s="3" t="str">
        <f t="shared" si="30"/>
        <v>South9430109901250</v>
      </c>
      <c r="B239" s="3" t="str">
        <f t="shared" si="31"/>
        <v>CY9430109901250</v>
      </c>
      <c r="C239" s="10">
        <v>9430109901250</v>
      </c>
      <c r="D239" s="10" t="str">
        <f t="shared" si="32"/>
        <v>9430109901</v>
      </c>
      <c r="E239" s="3" t="s">
        <v>4</v>
      </c>
      <c r="F239" s="3" t="s">
        <v>65</v>
      </c>
      <c r="H239" s="3">
        <v>49.724999999999994</v>
      </c>
      <c r="I239" s="10">
        <f t="shared" si="33"/>
        <v>128.5338776557814</v>
      </c>
      <c r="J239" s="3">
        <v>11.605889647202295</v>
      </c>
      <c r="K239" s="3">
        <v>0</v>
      </c>
      <c r="L239" s="3">
        <f t="shared" si="34"/>
        <v>0</v>
      </c>
      <c r="N239" s="11">
        <f t="shared" si="35"/>
        <v>38.119110352797698</v>
      </c>
      <c r="O239" s="3">
        <v>11.605889647202295</v>
      </c>
      <c r="P239" s="11">
        <f t="shared" si="36"/>
        <v>98.53387765578141</v>
      </c>
      <c r="Q239" s="12">
        <f t="shared" si="37"/>
        <v>47.580799388993157</v>
      </c>
      <c r="R239" s="13">
        <f t="shared" si="38"/>
        <v>17.653824107204038</v>
      </c>
      <c r="S239" s="3" t="s">
        <v>31</v>
      </c>
      <c r="T239" s="3" t="s">
        <v>35</v>
      </c>
      <c r="U239" s="10">
        <v>0</v>
      </c>
      <c r="V239" s="3">
        <v>0</v>
      </c>
      <c r="W239" s="3">
        <f t="shared" si="39"/>
        <v>0</v>
      </c>
      <c r="AA239" s="3">
        <v>5.5</v>
      </c>
    </row>
    <row r="240" spans="1:27" x14ac:dyDescent="0.3">
      <c r="A240" s="3" t="str">
        <f t="shared" si="30"/>
        <v>South9410069900820</v>
      </c>
      <c r="B240" s="3" t="str">
        <f t="shared" si="31"/>
        <v>CY9410069900820</v>
      </c>
      <c r="C240" s="10">
        <v>9410069900820</v>
      </c>
      <c r="D240" s="10" t="str">
        <f t="shared" si="32"/>
        <v>9410069900</v>
      </c>
      <c r="E240" s="3" t="s">
        <v>4</v>
      </c>
      <c r="F240" s="3" t="s">
        <v>65</v>
      </c>
      <c r="H240" s="3">
        <v>4.620000000000001</v>
      </c>
      <c r="I240" s="10">
        <f t="shared" si="33"/>
        <v>31.326803668438174</v>
      </c>
      <c r="J240" s="3">
        <v>4.4243262564204677</v>
      </c>
      <c r="K240" s="3">
        <v>0</v>
      </c>
      <c r="L240" s="3">
        <f t="shared" si="34"/>
        <v>0</v>
      </c>
      <c r="N240" s="11">
        <f t="shared" si="35"/>
        <v>0.19567374357953327</v>
      </c>
      <c r="O240" s="3">
        <v>4.4243262564204677</v>
      </c>
      <c r="P240" s="11">
        <f t="shared" si="36"/>
        <v>1.3268036684381712</v>
      </c>
      <c r="Q240" s="12">
        <f t="shared" si="37"/>
        <v>1.2574088385901652</v>
      </c>
      <c r="R240" s="13">
        <f t="shared" si="38"/>
        <v>-3.8159946426130387</v>
      </c>
      <c r="S240" s="3" t="s">
        <v>29</v>
      </c>
      <c r="T240" s="3" t="s">
        <v>32</v>
      </c>
      <c r="U240" s="10">
        <v>0</v>
      </c>
      <c r="V240" s="3">
        <v>0</v>
      </c>
      <c r="W240" s="3">
        <f t="shared" si="39"/>
        <v>0</v>
      </c>
      <c r="AA240" s="3">
        <v>5.5</v>
      </c>
    </row>
    <row r="241" spans="1:27" x14ac:dyDescent="0.3">
      <c r="A241" s="3" t="str">
        <f t="shared" si="30"/>
        <v>South9430109900250</v>
      </c>
      <c r="B241" s="3" t="str">
        <f t="shared" si="31"/>
        <v>CY9430109900250</v>
      </c>
      <c r="C241" s="10">
        <v>9430109900250</v>
      </c>
      <c r="D241" s="10" t="str">
        <f t="shared" si="32"/>
        <v>9430109900</v>
      </c>
      <c r="E241" s="3" t="s">
        <v>4</v>
      </c>
      <c r="F241" s="3" t="s">
        <v>65</v>
      </c>
      <c r="H241" s="3">
        <v>3.8650000000000007</v>
      </c>
      <c r="I241" s="10">
        <f t="shared" si="33"/>
        <v>29.334587084869412</v>
      </c>
      <c r="J241" s="3">
        <v>3.9526719658449281</v>
      </c>
      <c r="K241" s="3">
        <v>5.5</v>
      </c>
      <c r="L241" s="3">
        <f t="shared" si="34"/>
        <v>0</v>
      </c>
      <c r="N241" s="11">
        <f t="shared" si="35"/>
        <v>-8.7671965844927424E-2</v>
      </c>
      <c r="O241" s="3">
        <v>3.9526719658449281</v>
      </c>
      <c r="P241" s="11">
        <f t="shared" si="36"/>
        <v>-0.66541291513058731</v>
      </c>
      <c r="Q241" s="12">
        <f t="shared" si="37"/>
        <v>-12.080976717457979</v>
      </c>
      <c r="R241" s="13">
        <f t="shared" si="38"/>
        <v>2.3570648481173837</v>
      </c>
      <c r="S241" s="3" t="s">
        <v>30</v>
      </c>
      <c r="T241" s="3" t="s">
        <v>35</v>
      </c>
      <c r="U241" s="10">
        <v>0</v>
      </c>
      <c r="V241" s="3">
        <v>0</v>
      </c>
      <c r="W241" s="3">
        <f t="shared" si="39"/>
        <v>0</v>
      </c>
      <c r="AA241" s="3">
        <v>5.5</v>
      </c>
    </row>
    <row r="242" spans="1:27" x14ac:dyDescent="0.3">
      <c r="A242" s="3" t="str">
        <f t="shared" si="30"/>
        <v>South9410069900850</v>
      </c>
      <c r="B242" s="3" t="str">
        <f t="shared" si="31"/>
        <v>CY9410069900850</v>
      </c>
      <c r="C242" s="10">
        <v>9410069900850</v>
      </c>
      <c r="D242" s="10" t="str">
        <f t="shared" si="32"/>
        <v>9410069900</v>
      </c>
      <c r="E242" s="3" t="s">
        <v>4</v>
      </c>
      <c r="F242" s="3" t="s">
        <v>65</v>
      </c>
      <c r="H242" s="3">
        <v>2.06</v>
      </c>
      <c r="I242" s="10">
        <f t="shared" si="33"/>
        <v>19.047736736641578</v>
      </c>
      <c r="J242" s="3">
        <v>3.2444799534170974</v>
      </c>
      <c r="K242" s="3">
        <v>0</v>
      </c>
      <c r="L242" s="3">
        <f t="shared" si="34"/>
        <v>0</v>
      </c>
      <c r="N242" s="11">
        <f t="shared" si="35"/>
        <v>-1.1844799534170973</v>
      </c>
      <c r="O242" s="3">
        <v>3.2444799534170974</v>
      </c>
      <c r="P242" s="11">
        <f t="shared" si="36"/>
        <v>-10.952263263358423</v>
      </c>
      <c r="Q242" s="12">
        <f t="shared" si="37"/>
        <v>-6.8298926435043059</v>
      </c>
      <c r="R242" s="13">
        <f t="shared" si="38"/>
        <v>-1.3080659328217683</v>
      </c>
      <c r="S242" s="3" t="s">
        <v>30</v>
      </c>
      <c r="T242" s="3" t="s">
        <v>32</v>
      </c>
      <c r="U242" s="10">
        <v>0</v>
      </c>
      <c r="V242" s="3">
        <v>0</v>
      </c>
      <c r="W242" s="3">
        <f t="shared" si="39"/>
        <v>0</v>
      </c>
      <c r="AA242" s="3">
        <v>5.5</v>
      </c>
    </row>
    <row r="243" spans="1:27" x14ac:dyDescent="0.3">
      <c r="A243" s="3" t="str">
        <f t="shared" si="30"/>
        <v>South9100209900320</v>
      </c>
      <c r="B243" s="3" t="str">
        <f t="shared" si="31"/>
        <v>CY9100209900320</v>
      </c>
      <c r="C243" s="10">
        <v>9100209900320</v>
      </c>
      <c r="D243" s="10" t="str">
        <f t="shared" si="32"/>
        <v>9100209900</v>
      </c>
      <c r="E243" s="3" t="s">
        <v>4</v>
      </c>
      <c r="F243" s="3" t="s">
        <v>65</v>
      </c>
      <c r="H243" s="3">
        <v>11.263999999999999</v>
      </c>
      <c r="I243" s="10">
        <f t="shared" si="33"/>
        <v>125.06060465324587</v>
      </c>
      <c r="J243" s="3">
        <v>2.7020499455999509</v>
      </c>
      <c r="K243" s="3">
        <v>0</v>
      </c>
      <c r="L243" s="3">
        <f t="shared" si="34"/>
        <v>0</v>
      </c>
      <c r="N243" s="11">
        <f t="shared" si="35"/>
        <v>8.5619500544000484</v>
      </c>
      <c r="O243" s="3">
        <v>2.7020499455999509</v>
      </c>
      <c r="P243" s="11">
        <f t="shared" si="36"/>
        <v>95.060604653245875</v>
      </c>
      <c r="Q243" s="12">
        <f t="shared" si="37"/>
        <v>31.484275809436991</v>
      </c>
      <c r="R243" s="13">
        <f t="shared" si="38"/>
        <v>30.495213785322278</v>
      </c>
      <c r="S243" s="3" t="s">
        <v>30</v>
      </c>
      <c r="T243" s="3" t="s">
        <v>34</v>
      </c>
      <c r="U243" s="10">
        <v>0</v>
      </c>
      <c r="V243" s="3">
        <v>0</v>
      </c>
      <c r="W243" s="3">
        <f t="shared" si="39"/>
        <v>0</v>
      </c>
      <c r="AA243" s="3">
        <v>5.5</v>
      </c>
    </row>
    <row r="244" spans="1:27" x14ac:dyDescent="0.3">
      <c r="A244" s="3" t="str">
        <f t="shared" si="30"/>
        <v>South9430109901220</v>
      </c>
      <c r="B244" s="3" t="str">
        <f t="shared" si="31"/>
        <v>CY9430109901220</v>
      </c>
      <c r="C244" s="10">
        <v>9430109901220</v>
      </c>
      <c r="D244" s="10" t="str">
        <f t="shared" si="32"/>
        <v>9430109901</v>
      </c>
      <c r="E244" s="3" t="s">
        <v>4</v>
      </c>
      <c r="F244" s="3" t="s">
        <v>65</v>
      </c>
      <c r="H244" s="3">
        <v>4.1139999999999999</v>
      </c>
      <c r="I244" s="10">
        <f t="shared" si="33"/>
        <v>53.246527506336271</v>
      </c>
      <c r="J244" s="3">
        <v>2.3178976316401698</v>
      </c>
      <c r="K244" s="3">
        <v>5.5</v>
      </c>
      <c r="L244" s="3">
        <f t="shared" si="34"/>
        <v>0</v>
      </c>
      <c r="N244" s="11">
        <f t="shared" si="35"/>
        <v>1.7961023683598301</v>
      </c>
      <c r="O244" s="3">
        <v>2.3178976316401698</v>
      </c>
      <c r="P244" s="11">
        <f t="shared" si="36"/>
        <v>23.246527506336271</v>
      </c>
      <c r="Q244" s="12">
        <f t="shared" si="37"/>
        <v>13.961895808716447</v>
      </c>
      <c r="R244" s="13">
        <f t="shared" si="38"/>
        <v>38.878687367972503</v>
      </c>
      <c r="S244" s="3" t="s">
        <v>31</v>
      </c>
      <c r="T244" s="3" t="s">
        <v>35</v>
      </c>
      <c r="U244" s="10">
        <v>0</v>
      </c>
      <c r="V244" s="3">
        <v>0</v>
      </c>
      <c r="W244" s="3">
        <f t="shared" si="39"/>
        <v>0</v>
      </c>
      <c r="AA244" s="3">
        <v>5.5</v>
      </c>
    </row>
    <row r="245" spans="1:27" x14ac:dyDescent="0.3">
      <c r="A245" s="3" t="str">
        <f t="shared" si="30"/>
        <v>South9430109902310</v>
      </c>
      <c r="B245" s="3" t="str">
        <f t="shared" si="31"/>
        <v>CY9430109902310</v>
      </c>
      <c r="C245" s="10">
        <v>9430109902310</v>
      </c>
      <c r="D245" s="10" t="str">
        <f t="shared" si="32"/>
        <v>9430109902</v>
      </c>
      <c r="E245" s="3" t="s">
        <v>4</v>
      </c>
      <c r="F245" s="3" t="s">
        <v>65</v>
      </c>
      <c r="H245" s="3">
        <v>1.8500000000000008</v>
      </c>
      <c r="I245" s="10">
        <f t="shared" si="33"/>
        <v>30.55662627244477</v>
      </c>
      <c r="J245" s="3">
        <v>1.8162999902266235</v>
      </c>
      <c r="K245" s="3">
        <v>5.5</v>
      </c>
      <c r="L245" s="3">
        <f t="shared" si="34"/>
        <v>0</v>
      </c>
      <c r="N245" s="11">
        <f t="shared" si="35"/>
        <v>3.3700009773377282E-2</v>
      </c>
      <c r="O245" s="3">
        <v>1.8162999902266235</v>
      </c>
      <c r="P245" s="11">
        <f t="shared" si="36"/>
        <v>0.55662627244477048</v>
      </c>
      <c r="Q245" s="12">
        <f t="shared" si="37"/>
        <v>9.1183995521588734</v>
      </c>
      <c r="R245" s="13">
        <f t="shared" si="38"/>
        <v>50.205707423478124</v>
      </c>
      <c r="S245" s="3" t="s">
        <v>31</v>
      </c>
      <c r="T245" s="3" t="s">
        <v>35</v>
      </c>
      <c r="U245" s="10">
        <v>0</v>
      </c>
      <c r="V245" s="3">
        <v>0</v>
      </c>
      <c r="W245" s="3">
        <f t="shared" si="39"/>
        <v>0</v>
      </c>
      <c r="AA245" s="3">
        <v>5.5</v>
      </c>
    </row>
    <row r="246" spans="1:27" x14ac:dyDescent="0.3">
      <c r="A246" s="3" t="str">
        <f t="shared" si="30"/>
        <v>South9430109902250</v>
      </c>
      <c r="B246" s="3" t="str">
        <f t="shared" si="31"/>
        <v>CY9430109902250</v>
      </c>
      <c r="C246" s="10">
        <v>9430109902250</v>
      </c>
      <c r="D246" s="10" t="str">
        <f t="shared" si="32"/>
        <v>9430109902</v>
      </c>
      <c r="E246" s="3" t="s">
        <v>4</v>
      </c>
      <c r="F246" s="3" t="s">
        <v>65</v>
      </c>
      <c r="H246" s="3">
        <v>1.3000000000000003</v>
      </c>
      <c r="I246" s="10">
        <f t="shared" si="33"/>
        <v>26.475229750860368</v>
      </c>
      <c r="J246" s="3">
        <v>1.4730750353066386</v>
      </c>
      <c r="K246" s="3">
        <v>5.5</v>
      </c>
      <c r="L246" s="3">
        <f t="shared" si="34"/>
        <v>0</v>
      </c>
      <c r="N246" s="11">
        <f t="shared" si="35"/>
        <v>-0.17307503530663837</v>
      </c>
      <c r="O246" s="3">
        <v>1.4730750353066386</v>
      </c>
      <c r="P246" s="11">
        <f t="shared" si="36"/>
        <v>-3.5247702491396309</v>
      </c>
      <c r="Q246" s="12">
        <f t="shared" si="37"/>
        <v>-3.5918829084314945</v>
      </c>
      <c r="R246" s="13">
        <f t="shared" si="38"/>
        <v>23.704826150757036</v>
      </c>
      <c r="S246" s="3" t="s">
        <v>31</v>
      </c>
      <c r="T246" s="3" t="s">
        <v>35</v>
      </c>
      <c r="U246" s="10">
        <v>0</v>
      </c>
      <c r="V246" s="3">
        <v>0</v>
      </c>
      <c r="W246" s="3">
        <f t="shared" si="39"/>
        <v>0</v>
      </c>
      <c r="AA246" s="3">
        <v>5.5</v>
      </c>
    </row>
    <row r="247" spans="1:27" x14ac:dyDescent="0.3">
      <c r="A247" s="3" t="str">
        <f t="shared" si="30"/>
        <v>South9430109901210</v>
      </c>
      <c r="B247" s="3" t="str">
        <f t="shared" si="31"/>
        <v>CY9430109901210</v>
      </c>
      <c r="C247" s="10">
        <v>9430109901210</v>
      </c>
      <c r="D247" s="10" t="str">
        <f t="shared" si="32"/>
        <v>9430109901</v>
      </c>
      <c r="E247" s="3" t="s">
        <v>4</v>
      </c>
      <c r="F247" s="3" t="s">
        <v>65</v>
      </c>
      <c r="H247" s="3">
        <v>1.401</v>
      </c>
      <c r="I247" s="10">
        <f t="shared" si="33"/>
        <v>32.89570079516082</v>
      </c>
      <c r="J247" s="3">
        <v>1.277674558803833</v>
      </c>
      <c r="K247" s="3">
        <v>5.5</v>
      </c>
      <c r="L247" s="3">
        <f t="shared" si="34"/>
        <v>0</v>
      </c>
      <c r="N247" s="11">
        <f t="shared" si="35"/>
        <v>0.12332544119616706</v>
      </c>
      <c r="O247" s="3">
        <v>1.277674558803833</v>
      </c>
      <c r="P247" s="11">
        <f t="shared" si="36"/>
        <v>2.8957007951608222</v>
      </c>
      <c r="Q247" s="12">
        <f t="shared" si="37"/>
        <v>3.0205002072081193</v>
      </c>
      <c r="R247" s="13">
        <f t="shared" si="38"/>
        <v>34.909154797449432</v>
      </c>
      <c r="S247" s="3" t="s">
        <v>31</v>
      </c>
      <c r="T247" s="3" t="s">
        <v>35</v>
      </c>
      <c r="U247" s="10">
        <v>0</v>
      </c>
      <c r="V247" s="3">
        <v>0</v>
      </c>
      <c r="W247" s="3">
        <f t="shared" si="39"/>
        <v>0</v>
      </c>
      <c r="AA247" s="3">
        <v>5.5</v>
      </c>
    </row>
    <row r="248" spans="1:27" x14ac:dyDescent="0.3">
      <c r="A248" s="3" t="str">
        <f t="shared" si="30"/>
        <v>South9430109902320</v>
      </c>
      <c r="B248" s="3" t="str">
        <f t="shared" si="31"/>
        <v>CY9430109902320</v>
      </c>
      <c r="C248" s="10">
        <v>9430109902320</v>
      </c>
      <c r="D248" s="10" t="str">
        <f t="shared" si="32"/>
        <v>9430109902</v>
      </c>
      <c r="E248" s="3" t="s">
        <v>4</v>
      </c>
      <c r="F248" s="3" t="s">
        <v>65</v>
      </c>
      <c r="H248" s="3">
        <v>2.2200000000000002</v>
      </c>
      <c r="I248" s="10">
        <f t="shared" si="33"/>
        <v>76.90983013061313</v>
      </c>
      <c r="J248" s="3">
        <v>0.86594912362822396</v>
      </c>
      <c r="K248" s="3">
        <v>0</v>
      </c>
      <c r="L248" s="3">
        <f t="shared" si="34"/>
        <v>0</v>
      </c>
      <c r="N248" s="11">
        <f t="shared" si="35"/>
        <v>1.3540508763717762</v>
      </c>
      <c r="O248" s="3">
        <v>0.86594912362822396</v>
      </c>
      <c r="P248" s="11">
        <f t="shared" si="36"/>
        <v>46.909830130613116</v>
      </c>
      <c r="Q248" s="12">
        <f t="shared" si="37"/>
        <v>42.144946983191851</v>
      </c>
      <c r="R248" s="13">
        <f t="shared" si="38"/>
        <v>22.447350601553385</v>
      </c>
      <c r="S248" s="3" t="s">
        <v>31</v>
      </c>
      <c r="T248" s="3" t="s">
        <v>35</v>
      </c>
      <c r="U248" s="10">
        <v>0</v>
      </c>
      <c r="V248" s="3">
        <v>0</v>
      </c>
      <c r="W248" s="3">
        <f t="shared" si="39"/>
        <v>0</v>
      </c>
      <c r="AA248" s="3">
        <v>5.5</v>
      </c>
    </row>
    <row r="249" spans="1:27" x14ac:dyDescent="0.3">
      <c r="A249" s="3" t="str">
        <f t="shared" si="30"/>
        <v>South9430109900220</v>
      </c>
      <c r="B249" s="3" t="str">
        <f t="shared" si="31"/>
        <v>CY9430109900220</v>
      </c>
      <c r="C249" s="10">
        <v>9430109900220</v>
      </c>
      <c r="D249" s="10" t="str">
        <f t="shared" si="32"/>
        <v>9430109900</v>
      </c>
      <c r="E249" s="3" t="s">
        <v>4</v>
      </c>
      <c r="F249" s="3" t="s">
        <v>65</v>
      </c>
      <c r="H249" s="3">
        <v>1.4300000000000002</v>
      </c>
      <c r="I249" s="10">
        <f t="shared" si="33"/>
        <v>56.651992577615758</v>
      </c>
      <c r="J249" s="3">
        <v>0.75725491810769219</v>
      </c>
      <c r="K249" s="3">
        <v>0</v>
      </c>
      <c r="L249" s="3">
        <f t="shared" si="34"/>
        <v>0</v>
      </c>
      <c r="N249" s="11">
        <f t="shared" si="35"/>
        <v>0.67274508189230797</v>
      </c>
      <c r="O249" s="3">
        <v>0.75725491810769219</v>
      </c>
      <c r="P249" s="11">
        <f t="shared" si="36"/>
        <v>26.651992577615754</v>
      </c>
      <c r="Q249" s="12">
        <f t="shared" si="37"/>
        <v>35.661788054041587</v>
      </c>
      <c r="R249" s="13">
        <f t="shared" si="38"/>
        <v>4.5783076811390186</v>
      </c>
      <c r="S249" s="3" t="s">
        <v>31</v>
      </c>
      <c r="T249" s="3" t="s">
        <v>35</v>
      </c>
      <c r="U249" s="10">
        <v>0</v>
      </c>
      <c r="V249" s="3">
        <v>0</v>
      </c>
      <c r="W249" s="3">
        <f t="shared" si="39"/>
        <v>0</v>
      </c>
      <c r="AA249" s="3">
        <v>5.5</v>
      </c>
    </row>
    <row r="250" spans="1:27" x14ac:dyDescent="0.3">
      <c r="A250" s="3" t="str">
        <f t="shared" si="30"/>
        <v>South9100209901320</v>
      </c>
      <c r="B250" s="3" t="str">
        <f t="shared" si="31"/>
        <v>CY9100209901320</v>
      </c>
      <c r="C250" s="10">
        <v>9100209901320</v>
      </c>
      <c r="D250" s="10" t="str">
        <f t="shared" si="32"/>
        <v>9100209901</v>
      </c>
      <c r="E250" s="3" t="s">
        <v>4</v>
      </c>
      <c r="F250" s="3" t="s">
        <v>65</v>
      </c>
      <c r="H250" s="3">
        <v>7.9399999999999995</v>
      </c>
      <c r="I250" s="10">
        <f t="shared" si="33"/>
        <v>383.9880909988687</v>
      </c>
      <c r="J250" s="3">
        <v>0.62033173836295297</v>
      </c>
      <c r="K250" s="3">
        <v>0</v>
      </c>
      <c r="L250" s="3">
        <f t="shared" si="34"/>
        <v>0</v>
      </c>
      <c r="N250" s="11">
        <f t="shared" si="35"/>
        <v>7.3196682616370463</v>
      </c>
      <c r="O250" s="3">
        <v>0.62033173836295297</v>
      </c>
      <c r="P250" s="11">
        <f t="shared" si="36"/>
        <v>353.98809099886864</v>
      </c>
      <c r="Q250" s="12">
        <f t="shared" si="37"/>
        <v>116.9260419691846</v>
      </c>
      <c r="R250" s="13">
        <f t="shared" si="38"/>
        <v>22.609197898113969</v>
      </c>
      <c r="S250" s="3" t="s">
        <v>31</v>
      </c>
      <c r="T250" s="3" t="s">
        <v>34</v>
      </c>
      <c r="U250" s="10">
        <v>0</v>
      </c>
      <c r="V250" s="3">
        <v>0</v>
      </c>
      <c r="W250" s="3">
        <f t="shared" si="39"/>
        <v>0</v>
      </c>
      <c r="AA250" s="3">
        <v>5.5</v>
      </c>
    </row>
    <row r="251" spans="1:27" x14ac:dyDescent="0.3">
      <c r="A251" s="3" t="str">
        <f t="shared" si="30"/>
        <v>South9410069900810</v>
      </c>
      <c r="B251" s="3" t="str">
        <f t="shared" si="31"/>
        <v>CY9410069900810</v>
      </c>
      <c r="C251" s="10">
        <v>9410069900810</v>
      </c>
      <c r="D251" s="10" t="str">
        <f t="shared" si="32"/>
        <v>9410069900</v>
      </c>
      <c r="E251" s="3" t="s">
        <v>4</v>
      </c>
      <c r="F251" s="3" t="s">
        <v>65</v>
      </c>
      <c r="H251" s="3">
        <v>0.88</v>
      </c>
      <c r="I251" s="10">
        <f t="shared" si="33"/>
        <v>48.397127775035592</v>
      </c>
      <c r="J251" s="3">
        <v>0.54548691655246861</v>
      </c>
      <c r="K251" s="3">
        <v>0</v>
      </c>
      <c r="L251" s="3">
        <f t="shared" si="34"/>
        <v>0</v>
      </c>
      <c r="N251" s="11">
        <f t="shared" si="35"/>
        <v>0.33451308344753139</v>
      </c>
      <c r="O251" s="3">
        <v>0.54548691655246861</v>
      </c>
      <c r="P251" s="11">
        <f t="shared" si="36"/>
        <v>18.397127775035592</v>
      </c>
      <c r="Q251" s="12">
        <f t="shared" si="37"/>
        <v>3.4293626825021679</v>
      </c>
      <c r="R251" s="13">
        <f t="shared" si="38"/>
        <v>1.1109202985663422</v>
      </c>
      <c r="S251" s="3" t="s">
        <v>30</v>
      </c>
      <c r="T251" s="3" t="s">
        <v>32</v>
      </c>
      <c r="U251" s="10">
        <v>0</v>
      </c>
      <c r="V251" s="3">
        <v>0</v>
      </c>
      <c r="W251" s="3">
        <f t="shared" si="39"/>
        <v>0</v>
      </c>
      <c r="AA251" s="3">
        <v>5.5</v>
      </c>
    </row>
    <row r="252" spans="1:27" x14ac:dyDescent="0.3">
      <c r="A252" s="3" t="str">
        <f t="shared" si="30"/>
        <v>South9430109900210</v>
      </c>
      <c r="B252" s="3" t="str">
        <f t="shared" si="31"/>
        <v>CY9430109900210</v>
      </c>
      <c r="C252" s="10">
        <v>9430109900210</v>
      </c>
      <c r="D252" s="10" t="str">
        <f t="shared" si="32"/>
        <v>9430109900</v>
      </c>
      <c r="E252" s="3" t="s">
        <v>4</v>
      </c>
      <c r="F252" s="3" t="s">
        <v>65</v>
      </c>
      <c r="H252" s="3">
        <v>1.0230000000000004</v>
      </c>
      <c r="I252" s="10">
        <f t="shared" si="33"/>
        <v>63.57757928857756</v>
      </c>
      <c r="J252" s="3">
        <v>0.48271734066342187</v>
      </c>
      <c r="K252" s="3">
        <v>0</v>
      </c>
      <c r="L252" s="3">
        <f t="shared" si="34"/>
        <v>0</v>
      </c>
      <c r="N252" s="11">
        <f t="shared" si="35"/>
        <v>0.54028265933657849</v>
      </c>
      <c r="O252" s="3">
        <v>0.48271734066342187</v>
      </c>
      <c r="P252" s="11">
        <f t="shared" si="36"/>
        <v>33.577579288577567</v>
      </c>
      <c r="Q252" s="12">
        <f t="shared" si="37"/>
        <v>71.796784065496325</v>
      </c>
      <c r="R252" s="13">
        <f t="shared" si="38"/>
        <v>25.085366989368765</v>
      </c>
      <c r="S252" s="3" t="s">
        <v>31</v>
      </c>
      <c r="T252" s="3" t="s">
        <v>35</v>
      </c>
      <c r="U252" s="10">
        <v>0</v>
      </c>
      <c r="V252" s="3">
        <v>0</v>
      </c>
      <c r="W252" s="3">
        <f t="shared" si="39"/>
        <v>0</v>
      </c>
      <c r="AA252" s="3">
        <v>5.5</v>
      </c>
    </row>
    <row r="253" spans="1:27" x14ac:dyDescent="0.3">
      <c r="A253" s="3" t="str">
        <f t="shared" si="30"/>
        <v>South9418009900210</v>
      </c>
      <c r="B253" s="3" t="str">
        <f t="shared" si="31"/>
        <v>CY9418009900210</v>
      </c>
      <c r="C253" s="10">
        <v>9418009900210</v>
      </c>
      <c r="D253" s="10" t="str">
        <f t="shared" si="32"/>
        <v>9418009900</v>
      </c>
      <c r="E253" s="3" t="s">
        <v>4</v>
      </c>
      <c r="F253" s="3" t="s">
        <v>65</v>
      </c>
      <c r="H253" s="3">
        <v>3.9180000000000001</v>
      </c>
      <c r="I253" s="10">
        <f t="shared" si="33"/>
        <v>275.81153810284059</v>
      </c>
      <c r="J253" s="3">
        <v>0.426160561695477</v>
      </c>
      <c r="K253" s="3">
        <v>0</v>
      </c>
      <c r="L253" s="3">
        <f t="shared" si="34"/>
        <v>0</v>
      </c>
      <c r="N253" s="11">
        <f t="shared" si="35"/>
        <v>3.491839438304523</v>
      </c>
      <c r="O253" s="3">
        <v>0.426160561695477</v>
      </c>
      <c r="P253" s="11">
        <f t="shared" si="36"/>
        <v>245.81153810284059</v>
      </c>
      <c r="Q253" s="12">
        <f t="shared" si="37"/>
        <v>162.94756054583146</v>
      </c>
      <c r="R253" s="13">
        <f t="shared" si="38"/>
        <v>106.73502077445265</v>
      </c>
      <c r="S253" s="3" t="s">
        <v>31</v>
      </c>
      <c r="T253" s="3" t="s">
        <v>32</v>
      </c>
      <c r="U253" s="10">
        <v>0</v>
      </c>
      <c r="V253" s="3">
        <v>0</v>
      </c>
      <c r="W253" s="3">
        <f t="shared" si="39"/>
        <v>0</v>
      </c>
      <c r="AA253" s="3">
        <v>5.5</v>
      </c>
    </row>
    <row r="254" spans="1:27" x14ac:dyDescent="0.3">
      <c r="A254" s="3" t="str">
        <f t="shared" si="30"/>
        <v>South9418009900820</v>
      </c>
      <c r="B254" s="3" t="str">
        <f t="shared" si="31"/>
        <v>CY9418009900820</v>
      </c>
      <c r="C254" s="10">
        <v>9418009900820</v>
      </c>
      <c r="D254" s="10" t="str">
        <f t="shared" si="32"/>
        <v>9418009900</v>
      </c>
      <c r="E254" s="3" t="s">
        <v>4</v>
      </c>
      <c r="F254" s="3" t="s">
        <v>65</v>
      </c>
      <c r="H254" s="3">
        <v>0.1</v>
      </c>
      <c r="I254" s="10">
        <f t="shared" si="33"/>
        <v>22.405398127233475</v>
      </c>
      <c r="J254" s="3">
        <v>0.13389630404976105</v>
      </c>
      <c r="K254" s="3">
        <v>0</v>
      </c>
      <c r="L254" s="3">
        <f t="shared" si="34"/>
        <v>0</v>
      </c>
      <c r="N254" s="11">
        <f t="shared" si="35"/>
        <v>-3.3896304049761045E-2</v>
      </c>
      <c r="O254" s="3">
        <v>0.13389630404976105</v>
      </c>
      <c r="P254" s="11">
        <f t="shared" si="36"/>
        <v>-7.5946018727665257</v>
      </c>
      <c r="Q254" s="12">
        <f t="shared" si="37"/>
        <v>-13.668019748840718</v>
      </c>
      <c r="R254" s="13">
        <f t="shared" si="38"/>
        <v>-10.9001806663038</v>
      </c>
      <c r="S254" s="3" t="s">
        <v>31</v>
      </c>
      <c r="T254" s="3" t="s">
        <v>32</v>
      </c>
      <c r="U254" s="10">
        <v>0</v>
      </c>
      <c r="V254" s="3">
        <v>0</v>
      </c>
      <c r="W254" s="3">
        <f t="shared" si="39"/>
        <v>0</v>
      </c>
      <c r="AA254" s="3">
        <v>5.5</v>
      </c>
    </row>
    <row r="255" spans="1:27" x14ac:dyDescent="0.3">
      <c r="A255" s="3" t="str">
        <f t="shared" si="30"/>
        <v>South9430109902220</v>
      </c>
      <c r="B255" s="3" t="str">
        <f t="shared" si="31"/>
        <v>CY9430109902220</v>
      </c>
      <c r="C255" s="10">
        <v>9430109902220</v>
      </c>
      <c r="D255" s="10" t="str">
        <f t="shared" si="32"/>
        <v>9430109902</v>
      </c>
      <c r="E255" s="3" t="s">
        <v>4</v>
      </c>
      <c r="F255" s="3" t="s">
        <v>65</v>
      </c>
      <c r="H255" s="3">
        <v>1.8820000000000001</v>
      </c>
      <c r="I255" s="10">
        <f t="shared" si="33"/>
        <v>424.48987866262047</v>
      </c>
      <c r="J255" s="3">
        <v>0.1330067048427172</v>
      </c>
      <c r="K255" s="3">
        <v>0</v>
      </c>
      <c r="L255" s="3">
        <f t="shared" si="34"/>
        <v>0</v>
      </c>
      <c r="N255" s="11">
        <f t="shared" si="35"/>
        <v>1.7489932951572829</v>
      </c>
      <c r="O255" s="3">
        <v>0.1330067048427172</v>
      </c>
      <c r="P255" s="11">
        <f t="shared" si="36"/>
        <v>394.48987866262047</v>
      </c>
      <c r="Q255" s="12">
        <f t="shared" si="37"/>
        <v>221.53968907128026</v>
      </c>
      <c r="R255" s="13">
        <f t="shared" si="38"/>
        <v>105.45285077529311</v>
      </c>
      <c r="S255" s="3" t="s">
        <v>31</v>
      </c>
      <c r="T255" s="3" t="s">
        <v>35</v>
      </c>
      <c r="U255" s="10">
        <v>0</v>
      </c>
      <c r="V255" s="3">
        <v>0</v>
      </c>
      <c r="W255" s="3">
        <f t="shared" si="39"/>
        <v>0</v>
      </c>
      <c r="AA255" s="3">
        <v>5.5</v>
      </c>
    </row>
    <row r="256" spans="1:27" x14ac:dyDescent="0.3">
      <c r="A256" s="3" t="str">
        <f t="shared" si="30"/>
        <v>South9418009900850</v>
      </c>
      <c r="B256" s="3" t="str">
        <f t="shared" si="31"/>
        <v>CY9418009900850</v>
      </c>
      <c r="C256" s="10">
        <v>9418009900850</v>
      </c>
      <c r="D256" s="10" t="str">
        <f t="shared" si="32"/>
        <v>9418009900</v>
      </c>
      <c r="E256" s="3" t="s">
        <v>4</v>
      </c>
      <c r="F256" s="3" t="s">
        <v>65</v>
      </c>
      <c r="H256" s="3">
        <v>0</v>
      </c>
      <c r="I256" s="10">
        <f t="shared" si="33"/>
        <v>0</v>
      </c>
      <c r="J256" s="3">
        <v>7.2168016293265635E-2</v>
      </c>
      <c r="K256" s="3">
        <v>0</v>
      </c>
      <c r="L256" s="3">
        <f t="shared" si="34"/>
        <v>0</v>
      </c>
      <c r="N256" s="11">
        <f t="shared" si="35"/>
        <v>-7.2168016293265635E-2</v>
      </c>
      <c r="O256" s="3">
        <v>7.2168016293265635E-2</v>
      </c>
      <c r="P256" s="11">
        <f t="shared" si="36"/>
        <v>-30</v>
      </c>
      <c r="Q256" s="12">
        <f t="shared" si="37"/>
        <v>-30.000000000000004</v>
      </c>
      <c r="R256" s="13">
        <f t="shared" si="38"/>
        <v>-29.999999999999996</v>
      </c>
      <c r="S256" s="3" t="s">
        <v>31</v>
      </c>
      <c r="T256" s="3" t="s">
        <v>32</v>
      </c>
      <c r="U256" s="10">
        <v>0</v>
      </c>
      <c r="V256" s="3">
        <v>0</v>
      </c>
      <c r="W256" s="3">
        <f t="shared" si="39"/>
        <v>0</v>
      </c>
      <c r="AA256" s="3">
        <v>5.5</v>
      </c>
    </row>
    <row r="257" spans="1:27" x14ac:dyDescent="0.3">
      <c r="A257" s="3" t="str">
        <f t="shared" si="30"/>
        <v>South9430109902210</v>
      </c>
      <c r="B257" s="3" t="str">
        <f t="shared" si="31"/>
        <v>CY9430109902210</v>
      </c>
      <c r="C257" s="10">
        <v>9430109902210</v>
      </c>
      <c r="D257" s="10" t="str">
        <f t="shared" si="32"/>
        <v>9430109902</v>
      </c>
      <c r="E257" s="3" t="s">
        <v>4</v>
      </c>
      <c r="F257" s="3" t="s">
        <v>65</v>
      </c>
      <c r="H257" s="3">
        <v>1.1360000000000001</v>
      </c>
      <c r="I257" s="10">
        <f t="shared" si="33"/>
        <v>669.07058218080283</v>
      </c>
      <c r="J257" s="3">
        <v>5.0936330048943282E-2</v>
      </c>
      <c r="K257" s="3">
        <v>0</v>
      </c>
      <c r="L257" s="3">
        <f t="shared" si="34"/>
        <v>0</v>
      </c>
      <c r="N257" s="11">
        <f t="shared" si="35"/>
        <v>1.0850636699510567</v>
      </c>
      <c r="O257" s="3">
        <v>5.0936330048943282E-2</v>
      </c>
      <c r="P257" s="11">
        <f t="shared" si="36"/>
        <v>639.07058218080272</v>
      </c>
      <c r="Q257" s="12">
        <f t="shared" si="37"/>
        <v>253.45415819797532</v>
      </c>
      <c r="R257" s="13">
        <f t="shared" si="38"/>
        <v>190.89251081833569</v>
      </c>
      <c r="S257" s="3" t="s">
        <v>31</v>
      </c>
      <c r="T257" s="3" t="s">
        <v>35</v>
      </c>
      <c r="U257" s="10">
        <v>0</v>
      </c>
      <c r="V257" s="3">
        <v>0</v>
      </c>
      <c r="W257" s="3">
        <f t="shared" si="39"/>
        <v>0</v>
      </c>
      <c r="AA257" s="3">
        <v>5.5</v>
      </c>
    </row>
    <row r="258" spans="1:27" x14ac:dyDescent="0.3">
      <c r="A258" s="3" t="str">
        <f t="shared" si="30"/>
        <v>South9430119900320</v>
      </c>
      <c r="B258" s="3" t="str">
        <f t="shared" si="31"/>
        <v>CY9430119900320</v>
      </c>
      <c r="C258" s="10">
        <v>9430119900320</v>
      </c>
      <c r="D258" s="10" t="str">
        <f t="shared" si="32"/>
        <v>9430119900</v>
      </c>
      <c r="E258" s="3" t="s">
        <v>4</v>
      </c>
      <c r="F258" s="3" t="s">
        <v>65</v>
      </c>
      <c r="H258" s="3">
        <v>0.02</v>
      </c>
      <c r="I258" s="10">
        <f t="shared" si="33"/>
        <v>0</v>
      </c>
      <c r="J258" s="3">
        <v>0</v>
      </c>
      <c r="K258" s="3">
        <v>0</v>
      </c>
      <c r="L258" s="3">
        <f t="shared" si="34"/>
        <v>0</v>
      </c>
      <c r="N258" s="11">
        <f t="shared" si="35"/>
        <v>0.02</v>
      </c>
      <c r="O258" s="3">
        <v>0</v>
      </c>
      <c r="P258" s="11">
        <f t="shared" si="36"/>
        <v>9999</v>
      </c>
      <c r="Q258" s="12">
        <f t="shared" si="37"/>
        <v>9999</v>
      </c>
      <c r="R258" s="13">
        <f t="shared" si="38"/>
        <v>20.328406414680188</v>
      </c>
      <c r="S258" s="3" t="s">
        <v>31</v>
      </c>
      <c r="T258" s="3" t="s">
        <v>35</v>
      </c>
      <c r="U258" s="10">
        <v>0</v>
      </c>
      <c r="V258" s="3">
        <v>0</v>
      </c>
      <c r="W258" s="3">
        <f t="shared" si="39"/>
        <v>0</v>
      </c>
      <c r="AA258" s="3">
        <v>5.5</v>
      </c>
    </row>
    <row r="259" spans="1:27" x14ac:dyDescent="0.3">
      <c r="A259" s="3" t="str">
        <f t="shared" si="30"/>
        <v>South9430119901220</v>
      </c>
      <c r="B259" s="3" t="str">
        <f t="shared" si="31"/>
        <v>CY9430119901220</v>
      </c>
      <c r="C259" s="10">
        <v>9430119901220</v>
      </c>
      <c r="D259" s="10" t="str">
        <f t="shared" si="32"/>
        <v>9430119901</v>
      </c>
      <c r="E259" s="3" t="s">
        <v>4</v>
      </c>
      <c r="F259" s="3" t="s">
        <v>65</v>
      </c>
      <c r="H259" s="3">
        <v>0.48799999999999999</v>
      </c>
      <c r="I259" s="10">
        <f t="shared" si="33"/>
        <v>0</v>
      </c>
      <c r="J259" s="3">
        <v>0</v>
      </c>
      <c r="K259" s="3">
        <v>0</v>
      </c>
      <c r="L259" s="3">
        <f t="shared" si="34"/>
        <v>0</v>
      </c>
      <c r="N259" s="11">
        <f t="shared" si="35"/>
        <v>0.48799999999999999</v>
      </c>
      <c r="O259" s="3">
        <v>0</v>
      </c>
      <c r="P259" s="11">
        <f t="shared" si="36"/>
        <v>9999</v>
      </c>
      <c r="Q259" s="12">
        <f t="shared" si="37"/>
        <v>9999</v>
      </c>
      <c r="R259" s="13">
        <f t="shared" si="38"/>
        <v>9999</v>
      </c>
      <c r="S259" s="3" t="s">
        <v>31</v>
      </c>
      <c r="T259" s="3" t="s">
        <v>35</v>
      </c>
      <c r="U259" s="10">
        <v>0</v>
      </c>
      <c r="V259" s="3">
        <v>0</v>
      </c>
      <c r="W259" s="3">
        <f t="shared" si="39"/>
        <v>0</v>
      </c>
      <c r="AA259" s="3">
        <v>5.5</v>
      </c>
    </row>
    <row r="260" spans="1:27" x14ac:dyDescent="0.3">
      <c r="A260" s="3" t="str">
        <f t="shared" ref="A260:A323" si="40">_xlfn.CONCAT(F260,C260)</f>
        <v>South9430119902250</v>
      </c>
      <c r="B260" s="3" t="str">
        <f t="shared" ref="B260:B323" si="41">_xlfn.CONCAT(E260,C260)</f>
        <v>CY9430119902250</v>
      </c>
      <c r="C260" s="10">
        <v>9430119902250</v>
      </c>
      <c r="D260" s="10" t="str">
        <f t="shared" ref="D260:D323" si="42">LEFT(C260,10)</f>
        <v>9430119902</v>
      </c>
      <c r="E260" s="3" t="s">
        <v>4</v>
      </c>
      <c r="F260" s="3" t="s">
        <v>65</v>
      </c>
      <c r="H260" s="3">
        <v>0.45500000000000002</v>
      </c>
      <c r="I260" s="10">
        <f t="shared" ref="I260:I323" si="43">IFERROR(H260/J260*30,0)</f>
        <v>0</v>
      </c>
      <c r="J260" s="3">
        <v>0</v>
      </c>
      <c r="K260" s="3">
        <v>0</v>
      </c>
      <c r="L260" s="3">
        <f t="shared" ref="L260:L323" si="44">M260*G260</f>
        <v>0</v>
      </c>
      <c r="N260" s="11">
        <f t="shared" ref="N260:N323" si="45">H260-J260+L260</f>
        <v>0.45500000000000002</v>
      </c>
      <c r="O260" s="3">
        <v>0</v>
      </c>
      <c r="P260" s="11">
        <f t="shared" ref="P260:P323" si="46">IF(O260=0,9999,N260/O260*30)</f>
        <v>9999</v>
      </c>
      <c r="Q260" s="12">
        <f t="shared" ref="Q260:Q323" si="47">IF(SUMIF($A:$A,$A260,$O:$O)=0,9999,SUMIF($A:$A,$A260,$N:$N)*30/SUMIF($A:$A,$A260,$O:$O))</f>
        <v>9999</v>
      </c>
      <c r="R260" s="13">
        <f t="shared" ref="R260:R323" si="48">IF(SUMIF($C:$C,$C260,$O:$O)=0,9999,SUMIF($C:$C,$C260,$N:$N)*30/SUMIF($C:$C,$C260,$O:$O))</f>
        <v>9999</v>
      </c>
      <c r="S260" s="3" t="s">
        <v>31</v>
      </c>
      <c r="T260" s="3" t="s">
        <v>35</v>
      </c>
      <c r="U260" s="10">
        <v>0</v>
      </c>
      <c r="V260" s="3">
        <v>0</v>
      </c>
      <c r="W260" s="3">
        <f t="shared" ref="W260:W323" si="49">IFERROR(K260*V260,0)</f>
        <v>0</v>
      </c>
      <c r="AA260" s="3">
        <v>5.5</v>
      </c>
    </row>
    <row r="261" spans="1:27" x14ac:dyDescent="0.3">
      <c r="A261" s="3" t="str">
        <f t="shared" si="40"/>
        <v>South9430119902310</v>
      </c>
      <c r="B261" s="3" t="str">
        <f t="shared" si="41"/>
        <v>CY9430119902310</v>
      </c>
      <c r="C261" s="10">
        <v>9430119902310</v>
      </c>
      <c r="D261" s="10" t="str">
        <f t="shared" si="42"/>
        <v>9430119902</v>
      </c>
      <c r="E261" s="3" t="s">
        <v>4</v>
      </c>
      <c r="F261" s="3" t="s">
        <v>65</v>
      </c>
      <c r="H261" s="3">
        <v>0.24</v>
      </c>
      <c r="I261" s="10">
        <f t="shared" si="43"/>
        <v>0</v>
      </c>
      <c r="J261" s="3">
        <v>0</v>
      </c>
      <c r="K261" s="3">
        <v>0</v>
      </c>
      <c r="L261" s="3">
        <f t="shared" si="44"/>
        <v>0</v>
      </c>
      <c r="N261" s="11">
        <f t="shared" si="45"/>
        <v>0.24</v>
      </c>
      <c r="O261" s="3">
        <v>0</v>
      </c>
      <c r="P261" s="11">
        <f t="shared" si="46"/>
        <v>9999</v>
      </c>
      <c r="Q261" s="12">
        <f t="shared" si="47"/>
        <v>9999</v>
      </c>
      <c r="R261" s="13">
        <f t="shared" si="48"/>
        <v>9999</v>
      </c>
      <c r="S261" s="3" t="s">
        <v>31</v>
      </c>
      <c r="T261" s="3" t="s">
        <v>35</v>
      </c>
      <c r="U261" s="10">
        <v>0</v>
      </c>
      <c r="V261" s="3">
        <v>0</v>
      </c>
      <c r="W261" s="3">
        <f t="shared" si="49"/>
        <v>0</v>
      </c>
      <c r="AA261" s="3">
        <v>5.5</v>
      </c>
    </row>
    <row r="262" spans="1:27" x14ac:dyDescent="0.3">
      <c r="A262" s="3" t="str">
        <f t="shared" si="40"/>
        <v>South9430119902220</v>
      </c>
      <c r="B262" s="3" t="str">
        <f t="shared" si="41"/>
        <v>CY9430119902220</v>
      </c>
      <c r="C262" s="10">
        <v>9430119902220</v>
      </c>
      <c r="D262" s="10" t="str">
        <f t="shared" si="42"/>
        <v>9430119902</v>
      </c>
      <c r="E262" s="3" t="s">
        <v>4</v>
      </c>
      <c r="F262" s="3" t="s">
        <v>65</v>
      </c>
      <c r="H262" s="3">
        <v>0.32</v>
      </c>
      <c r="I262" s="10">
        <f t="shared" si="43"/>
        <v>0</v>
      </c>
      <c r="J262" s="3">
        <v>0</v>
      </c>
      <c r="K262" s="3">
        <v>0</v>
      </c>
      <c r="L262" s="3">
        <f t="shared" si="44"/>
        <v>0</v>
      </c>
      <c r="N262" s="11">
        <f t="shared" si="45"/>
        <v>0.32</v>
      </c>
      <c r="O262" s="3">
        <v>0</v>
      </c>
      <c r="P262" s="11">
        <f t="shared" si="46"/>
        <v>9999</v>
      </c>
      <c r="Q262" s="12">
        <f t="shared" si="47"/>
        <v>9999</v>
      </c>
      <c r="R262" s="13">
        <f t="shared" si="48"/>
        <v>9999</v>
      </c>
      <c r="S262" s="3" t="s">
        <v>31</v>
      </c>
      <c r="T262" s="3" t="s">
        <v>35</v>
      </c>
      <c r="U262" s="10">
        <v>0</v>
      </c>
      <c r="V262" s="3">
        <v>0</v>
      </c>
      <c r="W262" s="3">
        <f t="shared" si="49"/>
        <v>0</v>
      </c>
      <c r="AA262" s="3">
        <v>5.5</v>
      </c>
    </row>
    <row r="263" spans="1:27" x14ac:dyDescent="0.3">
      <c r="A263" s="3" t="str">
        <f t="shared" si="40"/>
        <v>South9430119902320</v>
      </c>
      <c r="B263" s="3" t="str">
        <f t="shared" si="41"/>
        <v>CY9430119902320</v>
      </c>
      <c r="C263" s="10">
        <v>9430119902320</v>
      </c>
      <c r="D263" s="10" t="str">
        <f t="shared" si="42"/>
        <v>9430119902</v>
      </c>
      <c r="E263" s="3" t="s">
        <v>4</v>
      </c>
      <c r="F263" s="3" t="s">
        <v>65</v>
      </c>
      <c r="H263" s="3">
        <v>1.6000000000000005</v>
      </c>
      <c r="I263" s="10">
        <f t="shared" si="43"/>
        <v>0</v>
      </c>
      <c r="J263" s="3">
        <v>0</v>
      </c>
      <c r="K263" s="3">
        <v>0</v>
      </c>
      <c r="L263" s="3">
        <f t="shared" si="44"/>
        <v>0</v>
      </c>
      <c r="N263" s="11">
        <f t="shared" si="45"/>
        <v>1.6000000000000005</v>
      </c>
      <c r="O263" s="3">
        <v>0</v>
      </c>
      <c r="P263" s="11">
        <f t="shared" si="46"/>
        <v>9999</v>
      </c>
      <c r="Q263" s="12">
        <f t="shared" si="47"/>
        <v>9999</v>
      </c>
      <c r="R263" s="13">
        <f t="shared" si="48"/>
        <v>9999</v>
      </c>
      <c r="S263" s="3" t="s">
        <v>31</v>
      </c>
      <c r="T263" s="3" t="s">
        <v>35</v>
      </c>
      <c r="U263" s="10">
        <v>0</v>
      </c>
      <c r="V263" s="3">
        <v>0</v>
      </c>
      <c r="W263" s="3">
        <f t="shared" si="49"/>
        <v>0</v>
      </c>
      <c r="AA263" s="3">
        <v>5.5</v>
      </c>
    </row>
    <row r="264" spans="1:27" x14ac:dyDescent="0.3">
      <c r="A264" s="3" t="str">
        <f t="shared" si="40"/>
        <v>South9430119901210</v>
      </c>
      <c r="B264" s="3" t="str">
        <f t="shared" si="41"/>
        <v>CY9430119901210</v>
      </c>
      <c r="C264" s="10">
        <v>9430119901210</v>
      </c>
      <c r="D264" s="10" t="str">
        <f t="shared" si="42"/>
        <v>9430119901</v>
      </c>
      <c r="E264" s="3" t="s">
        <v>4</v>
      </c>
      <c r="F264" s="3" t="s">
        <v>65</v>
      </c>
      <c r="H264" s="3">
        <v>1.7620000000000005</v>
      </c>
      <c r="I264" s="10">
        <f t="shared" si="43"/>
        <v>0</v>
      </c>
      <c r="J264" s="3">
        <v>0</v>
      </c>
      <c r="K264" s="3">
        <v>0</v>
      </c>
      <c r="L264" s="3">
        <f t="shared" si="44"/>
        <v>0</v>
      </c>
      <c r="N264" s="11">
        <f t="shared" si="45"/>
        <v>1.7620000000000005</v>
      </c>
      <c r="O264" s="3">
        <v>0</v>
      </c>
      <c r="P264" s="11">
        <f t="shared" si="46"/>
        <v>9999</v>
      </c>
      <c r="Q264" s="12">
        <f t="shared" si="47"/>
        <v>9999</v>
      </c>
      <c r="R264" s="13">
        <f t="shared" si="48"/>
        <v>9999</v>
      </c>
      <c r="S264" s="3" t="s">
        <v>31</v>
      </c>
      <c r="T264" s="3" t="s">
        <v>35</v>
      </c>
      <c r="U264" s="10">
        <v>0</v>
      </c>
      <c r="V264" s="3">
        <v>0</v>
      </c>
      <c r="W264" s="3">
        <f t="shared" si="49"/>
        <v>0</v>
      </c>
      <c r="AA264" s="3">
        <v>5.5</v>
      </c>
    </row>
    <row r="265" spans="1:27" x14ac:dyDescent="0.3">
      <c r="A265" s="3" t="str">
        <f t="shared" si="40"/>
        <v>South9430119901310</v>
      </c>
      <c r="B265" s="3" t="str">
        <f t="shared" si="41"/>
        <v>CY9430119901310</v>
      </c>
      <c r="C265" s="10">
        <v>9430119901310</v>
      </c>
      <c r="D265" s="10" t="str">
        <f t="shared" si="42"/>
        <v>9430119901</v>
      </c>
      <c r="E265" s="3" t="s">
        <v>4</v>
      </c>
      <c r="F265" s="3" t="s">
        <v>65</v>
      </c>
      <c r="H265" s="3">
        <v>0</v>
      </c>
      <c r="I265" s="10">
        <f t="shared" si="43"/>
        <v>0</v>
      </c>
      <c r="J265" s="3">
        <v>0</v>
      </c>
      <c r="K265" s="3">
        <v>0</v>
      </c>
      <c r="L265" s="3">
        <f t="shared" si="44"/>
        <v>0</v>
      </c>
      <c r="N265" s="11">
        <f t="shared" si="45"/>
        <v>0</v>
      </c>
      <c r="O265" s="3">
        <v>0</v>
      </c>
      <c r="P265" s="11">
        <f t="shared" si="46"/>
        <v>9999</v>
      </c>
      <c r="Q265" s="12">
        <f t="shared" si="47"/>
        <v>9999</v>
      </c>
      <c r="R265" s="13">
        <f t="shared" si="48"/>
        <v>1841.6460679754766</v>
      </c>
      <c r="S265" s="3" t="s">
        <v>31</v>
      </c>
      <c r="T265" s="3" t="s">
        <v>35</v>
      </c>
      <c r="U265" s="10">
        <v>0</v>
      </c>
      <c r="V265" s="3">
        <v>0</v>
      </c>
      <c r="W265" s="3">
        <f t="shared" si="49"/>
        <v>0</v>
      </c>
      <c r="AA265" s="3">
        <v>5.5</v>
      </c>
    </row>
    <row r="266" spans="1:27" x14ac:dyDescent="0.3">
      <c r="A266" s="3" t="str">
        <f t="shared" si="40"/>
        <v>South9430119902210</v>
      </c>
      <c r="B266" s="3" t="str">
        <f t="shared" si="41"/>
        <v>CY9430119902210</v>
      </c>
      <c r="C266" s="10">
        <v>9430119902210</v>
      </c>
      <c r="D266" s="10" t="str">
        <f t="shared" si="42"/>
        <v>9430119902</v>
      </c>
      <c r="E266" s="3" t="s">
        <v>4</v>
      </c>
      <c r="F266" s="3" t="s">
        <v>65</v>
      </c>
      <c r="H266" s="3">
        <v>2.048</v>
      </c>
      <c r="I266" s="10">
        <f t="shared" si="43"/>
        <v>0</v>
      </c>
      <c r="J266" s="3">
        <v>0</v>
      </c>
      <c r="K266" s="3">
        <v>0</v>
      </c>
      <c r="L266" s="3">
        <f t="shared" si="44"/>
        <v>0</v>
      </c>
      <c r="N266" s="11">
        <f t="shared" si="45"/>
        <v>2.048</v>
      </c>
      <c r="O266" s="3">
        <v>0</v>
      </c>
      <c r="P266" s="11">
        <f t="shared" si="46"/>
        <v>9999</v>
      </c>
      <c r="Q266" s="12">
        <f t="shared" si="47"/>
        <v>9999</v>
      </c>
      <c r="R266" s="13">
        <f t="shared" si="48"/>
        <v>9999</v>
      </c>
      <c r="S266" s="3" t="s">
        <v>31</v>
      </c>
      <c r="T266" s="3" t="s">
        <v>35</v>
      </c>
      <c r="U266" s="10">
        <v>0</v>
      </c>
      <c r="V266" s="3">
        <v>0</v>
      </c>
      <c r="W266" s="3">
        <f t="shared" si="49"/>
        <v>0</v>
      </c>
      <c r="AA266" s="3">
        <v>5.5</v>
      </c>
    </row>
    <row r="267" spans="1:27" x14ac:dyDescent="0.3">
      <c r="A267" s="3" t="str">
        <f t="shared" si="40"/>
        <v>South9418009900810</v>
      </c>
      <c r="B267" s="3" t="str">
        <f t="shared" si="41"/>
        <v>CY9418009900810</v>
      </c>
      <c r="C267" s="10">
        <v>9418009900810</v>
      </c>
      <c r="D267" s="10" t="str">
        <f t="shared" si="42"/>
        <v>9418009900</v>
      </c>
      <c r="E267" s="3" t="s">
        <v>4</v>
      </c>
      <c r="F267" s="3" t="s">
        <v>65</v>
      </c>
      <c r="H267" s="3">
        <v>0</v>
      </c>
      <c r="I267" s="10">
        <f t="shared" si="43"/>
        <v>0</v>
      </c>
      <c r="J267" s="3">
        <v>0</v>
      </c>
      <c r="K267" s="3">
        <v>0</v>
      </c>
      <c r="L267" s="3">
        <f t="shared" si="44"/>
        <v>0</v>
      </c>
      <c r="N267" s="11">
        <f t="shared" si="45"/>
        <v>0</v>
      </c>
      <c r="O267" s="3">
        <v>0</v>
      </c>
      <c r="P267" s="11">
        <f t="shared" si="46"/>
        <v>9999</v>
      </c>
      <c r="Q267" s="12">
        <f t="shared" si="47"/>
        <v>-30</v>
      </c>
      <c r="R267" s="13">
        <f t="shared" si="48"/>
        <v>-30</v>
      </c>
      <c r="S267" s="3" t="s">
        <v>31</v>
      </c>
      <c r="T267" s="3" t="s">
        <v>32</v>
      </c>
      <c r="U267" s="10">
        <v>0</v>
      </c>
      <c r="V267" s="3">
        <v>0</v>
      </c>
      <c r="W267" s="3">
        <f t="shared" si="49"/>
        <v>0</v>
      </c>
      <c r="AA267" s="3">
        <v>5.5</v>
      </c>
    </row>
    <row r="268" spans="1:27" x14ac:dyDescent="0.3">
      <c r="A268" s="3" t="str">
        <f t="shared" si="40"/>
        <v>South9430119900210</v>
      </c>
      <c r="B268" s="3" t="str">
        <f t="shared" si="41"/>
        <v>CY9430119900210</v>
      </c>
      <c r="C268" s="10">
        <v>9430119900210</v>
      </c>
      <c r="D268" s="10" t="str">
        <f t="shared" si="42"/>
        <v>9430119900</v>
      </c>
      <c r="E268" s="3" t="s">
        <v>4</v>
      </c>
      <c r="F268" s="3" t="s">
        <v>65</v>
      </c>
      <c r="H268" s="3">
        <v>0.6120000000000001</v>
      </c>
      <c r="I268" s="10">
        <f t="shared" si="43"/>
        <v>0</v>
      </c>
      <c r="J268" s="3">
        <v>0</v>
      </c>
      <c r="K268" s="3">
        <v>0</v>
      </c>
      <c r="L268" s="3">
        <f t="shared" si="44"/>
        <v>0</v>
      </c>
      <c r="N268" s="11">
        <f t="shared" si="45"/>
        <v>0.6120000000000001</v>
      </c>
      <c r="O268" s="3">
        <v>0</v>
      </c>
      <c r="P268" s="11">
        <f t="shared" si="46"/>
        <v>9999</v>
      </c>
      <c r="Q268" s="12">
        <f t="shared" si="47"/>
        <v>9999</v>
      </c>
      <c r="R268" s="13">
        <f t="shared" si="48"/>
        <v>2808.4139598508455</v>
      </c>
      <c r="S268" s="3" t="s">
        <v>31</v>
      </c>
      <c r="T268" s="3" t="s">
        <v>35</v>
      </c>
      <c r="U268" s="10">
        <v>0</v>
      </c>
      <c r="V268" s="3">
        <v>0</v>
      </c>
      <c r="W268" s="3">
        <f t="shared" si="49"/>
        <v>0</v>
      </c>
      <c r="AA268" s="3">
        <v>5.5</v>
      </c>
    </row>
    <row r="269" spans="1:27" x14ac:dyDescent="0.3">
      <c r="A269" s="3" t="str">
        <f t="shared" si="40"/>
        <v>South9430119900220</v>
      </c>
      <c r="B269" s="3" t="str">
        <f t="shared" si="41"/>
        <v>CY9430119900220</v>
      </c>
      <c r="C269" s="10">
        <v>9430119900220</v>
      </c>
      <c r="D269" s="10" t="str">
        <f t="shared" si="42"/>
        <v>9430119900</v>
      </c>
      <c r="E269" s="3" t="s">
        <v>4</v>
      </c>
      <c r="F269" s="3" t="s">
        <v>65</v>
      </c>
      <c r="H269" s="3">
        <v>0.3044</v>
      </c>
      <c r="I269" s="10">
        <f t="shared" si="43"/>
        <v>0</v>
      </c>
      <c r="J269" s="3">
        <v>0</v>
      </c>
      <c r="K269" s="3">
        <v>0</v>
      </c>
      <c r="L269" s="3">
        <f t="shared" si="44"/>
        <v>0</v>
      </c>
      <c r="N269" s="11">
        <f t="shared" si="45"/>
        <v>0.3044</v>
      </c>
      <c r="O269" s="3">
        <v>0</v>
      </c>
      <c r="P269" s="11">
        <f t="shared" si="46"/>
        <v>9999</v>
      </c>
      <c r="Q269" s="12">
        <f t="shared" si="47"/>
        <v>9999</v>
      </c>
      <c r="R269" s="13">
        <f t="shared" si="48"/>
        <v>1507.1861279617206</v>
      </c>
      <c r="S269" s="3" t="s">
        <v>31</v>
      </c>
      <c r="T269" s="3" t="s">
        <v>35</v>
      </c>
      <c r="U269" s="10">
        <v>0</v>
      </c>
      <c r="V269" s="3">
        <v>0</v>
      </c>
      <c r="W269" s="3">
        <f t="shared" si="49"/>
        <v>0</v>
      </c>
      <c r="AA269" s="3">
        <v>5.5</v>
      </c>
    </row>
    <row r="270" spans="1:27" x14ac:dyDescent="0.3">
      <c r="A270" s="3" t="str">
        <f t="shared" si="40"/>
        <v>South9430119900250</v>
      </c>
      <c r="B270" s="3" t="str">
        <f t="shared" si="41"/>
        <v>CY9430119900250</v>
      </c>
      <c r="C270" s="10">
        <v>9430119900250</v>
      </c>
      <c r="D270" s="10" t="str">
        <f t="shared" si="42"/>
        <v>9430119900</v>
      </c>
      <c r="E270" s="3" t="s">
        <v>4</v>
      </c>
      <c r="F270" s="3" t="s">
        <v>65</v>
      </c>
      <c r="H270" s="3">
        <v>0.3</v>
      </c>
      <c r="I270" s="10">
        <f t="shared" si="43"/>
        <v>0</v>
      </c>
      <c r="J270" s="3">
        <v>0</v>
      </c>
      <c r="K270" s="3">
        <v>0</v>
      </c>
      <c r="L270" s="3">
        <f t="shared" si="44"/>
        <v>0</v>
      </c>
      <c r="N270" s="11">
        <f t="shared" si="45"/>
        <v>0.3</v>
      </c>
      <c r="O270" s="3">
        <v>0</v>
      </c>
      <c r="P270" s="11">
        <f t="shared" si="46"/>
        <v>9999</v>
      </c>
      <c r="Q270" s="12">
        <f t="shared" si="47"/>
        <v>9999</v>
      </c>
      <c r="R270" s="13">
        <f t="shared" si="48"/>
        <v>115.61189076937448</v>
      </c>
      <c r="S270" s="3" t="s">
        <v>31</v>
      </c>
      <c r="T270" s="3" t="s">
        <v>35</v>
      </c>
      <c r="U270" s="10">
        <v>0</v>
      </c>
      <c r="V270" s="3">
        <v>0</v>
      </c>
      <c r="W270" s="3">
        <f t="shared" si="49"/>
        <v>0</v>
      </c>
      <c r="AA270" s="3">
        <v>5.5</v>
      </c>
    </row>
    <row r="271" spans="1:27" x14ac:dyDescent="0.3">
      <c r="A271" s="3" t="str">
        <f t="shared" si="40"/>
        <v>South9430119900310</v>
      </c>
      <c r="B271" s="3" t="str">
        <f t="shared" si="41"/>
        <v>CY9430119900310</v>
      </c>
      <c r="C271" s="10">
        <v>9430119900310</v>
      </c>
      <c r="D271" s="10" t="str">
        <f t="shared" si="42"/>
        <v>9430119900</v>
      </c>
      <c r="E271" s="3" t="s">
        <v>4</v>
      </c>
      <c r="F271" s="3" t="s">
        <v>65</v>
      </c>
      <c r="H271" s="3">
        <v>0.08</v>
      </c>
      <c r="I271" s="10">
        <f t="shared" si="43"/>
        <v>0</v>
      </c>
      <c r="J271" s="3">
        <v>0</v>
      </c>
      <c r="K271" s="3">
        <v>0</v>
      </c>
      <c r="L271" s="3">
        <f t="shared" si="44"/>
        <v>0</v>
      </c>
      <c r="N271" s="11">
        <f t="shared" si="45"/>
        <v>0.08</v>
      </c>
      <c r="O271" s="3">
        <v>0</v>
      </c>
      <c r="P271" s="11">
        <f t="shared" si="46"/>
        <v>9999</v>
      </c>
      <c r="Q271" s="12">
        <f t="shared" si="47"/>
        <v>9999</v>
      </c>
      <c r="R271" s="13">
        <f t="shared" si="48"/>
        <v>58.484369693341321</v>
      </c>
      <c r="S271" s="3" t="s">
        <v>31</v>
      </c>
      <c r="T271" s="3" t="s">
        <v>35</v>
      </c>
      <c r="U271" s="10">
        <v>0</v>
      </c>
      <c r="V271" s="3">
        <v>0</v>
      </c>
      <c r="W271" s="3">
        <f t="shared" si="49"/>
        <v>0</v>
      </c>
      <c r="AA271" s="3">
        <v>5.5</v>
      </c>
    </row>
    <row r="272" spans="1:27" x14ac:dyDescent="0.3">
      <c r="A272" s="3" t="str">
        <f t="shared" si="40"/>
        <v>South9430119901250</v>
      </c>
      <c r="B272" s="3" t="str">
        <f t="shared" si="41"/>
        <v>CY9430119901250</v>
      </c>
      <c r="C272" s="10">
        <v>9430119901250</v>
      </c>
      <c r="D272" s="10" t="str">
        <f t="shared" si="42"/>
        <v>9430119901</v>
      </c>
      <c r="E272" s="3" t="s">
        <v>4</v>
      </c>
      <c r="F272" s="3" t="s">
        <v>65</v>
      </c>
      <c r="H272" s="3">
        <v>0</v>
      </c>
      <c r="I272" s="10">
        <f t="shared" si="43"/>
        <v>0</v>
      </c>
      <c r="J272" s="3">
        <v>0</v>
      </c>
      <c r="K272" s="3">
        <v>0</v>
      </c>
      <c r="L272" s="3">
        <f t="shared" si="44"/>
        <v>0</v>
      </c>
      <c r="N272" s="11">
        <f t="shared" si="45"/>
        <v>0</v>
      </c>
      <c r="O272" s="3">
        <v>0</v>
      </c>
      <c r="P272" s="11">
        <f t="shared" si="46"/>
        <v>9999</v>
      </c>
      <c r="Q272" s="12">
        <f t="shared" si="47"/>
        <v>9999</v>
      </c>
      <c r="R272" s="13">
        <f t="shared" si="48"/>
        <v>9999</v>
      </c>
      <c r="S272" s="3" t="s">
        <v>31</v>
      </c>
      <c r="T272" s="3" t="s">
        <v>35</v>
      </c>
      <c r="U272" s="10">
        <v>0</v>
      </c>
      <c r="V272" s="3">
        <v>0</v>
      </c>
      <c r="W272" s="3">
        <f t="shared" si="49"/>
        <v>0</v>
      </c>
      <c r="AA272" s="3">
        <v>5.5</v>
      </c>
    </row>
    <row r="273" spans="1:27" x14ac:dyDescent="0.3">
      <c r="A273" s="3" t="str">
        <f t="shared" si="40"/>
        <v>South9430119901320</v>
      </c>
      <c r="B273" s="3" t="str">
        <f t="shared" si="41"/>
        <v>CY9430119901320</v>
      </c>
      <c r="C273" s="10">
        <v>9430119901320</v>
      </c>
      <c r="D273" s="10" t="str">
        <f t="shared" si="42"/>
        <v>9430119901</v>
      </c>
      <c r="E273" s="3" t="s">
        <v>4</v>
      </c>
      <c r="F273" s="3" t="s">
        <v>65</v>
      </c>
      <c r="H273" s="3">
        <v>0.08</v>
      </c>
      <c r="I273" s="10">
        <f t="shared" si="43"/>
        <v>0</v>
      </c>
      <c r="J273" s="3">
        <v>0</v>
      </c>
      <c r="K273" s="3">
        <v>0</v>
      </c>
      <c r="L273" s="3">
        <f t="shared" si="44"/>
        <v>0</v>
      </c>
      <c r="N273" s="11">
        <f t="shared" si="45"/>
        <v>0.08</v>
      </c>
      <c r="O273" s="3">
        <v>0</v>
      </c>
      <c r="P273" s="11">
        <f t="shared" si="46"/>
        <v>9999</v>
      </c>
      <c r="Q273" s="12">
        <f t="shared" si="47"/>
        <v>9999</v>
      </c>
      <c r="R273" s="13">
        <f t="shared" si="48"/>
        <v>154.21910285373258</v>
      </c>
      <c r="S273" s="3" t="s">
        <v>31</v>
      </c>
      <c r="T273" s="3" t="s">
        <v>35</v>
      </c>
      <c r="U273" s="10">
        <v>0</v>
      </c>
      <c r="V273" s="3">
        <v>0</v>
      </c>
      <c r="W273" s="3">
        <f t="shared" si="49"/>
        <v>0</v>
      </c>
      <c r="AA273" s="3">
        <v>5.5</v>
      </c>
    </row>
    <row r="274" spans="1:27" x14ac:dyDescent="0.3">
      <c r="A274" s="3" t="str">
        <f t="shared" si="40"/>
        <v>South9430109901320</v>
      </c>
      <c r="B274" s="3" t="str">
        <f t="shared" si="41"/>
        <v>CMR9430109901320</v>
      </c>
      <c r="C274" s="10">
        <v>9430109901320</v>
      </c>
      <c r="D274" s="10" t="str">
        <f t="shared" si="42"/>
        <v>9430109901</v>
      </c>
      <c r="E274" s="3" t="s">
        <v>5</v>
      </c>
      <c r="F274" s="3" t="s">
        <v>65</v>
      </c>
      <c r="H274" s="3">
        <v>105.46</v>
      </c>
      <c r="I274" s="10">
        <f t="shared" si="43"/>
        <v>28.443265037244014</v>
      </c>
      <c r="J274" s="3">
        <v>111.23195582002542</v>
      </c>
      <c r="K274" s="3">
        <v>93.5</v>
      </c>
      <c r="L274" s="3">
        <f t="shared" si="44"/>
        <v>0</v>
      </c>
      <c r="N274" s="11">
        <f t="shared" si="45"/>
        <v>-5.7719558200254255</v>
      </c>
      <c r="O274" s="3">
        <v>111.23195582002542</v>
      </c>
      <c r="P274" s="11">
        <f t="shared" si="46"/>
        <v>-1.5567349627559861</v>
      </c>
      <c r="Q274" s="12">
        <f t="shared" si="47"/>
        <v>-6.077845160559888</v>
      </c>
      <c r="R274" s="13">
        <f t="shared" si="48"/>
        <v>-2.4897770966686847</v>
      </c>
      <c r="S274" s="3" t="s">
        <v>29</v>
      </c>
      <c r="T274" s="3" t="s">
        <v>35</v>
      </c>
      <c r="U274" s="10">
        <v>0</v>
      </c>
      <c r="V274" s="3">
        <v>0</v>
      </c>
      <c r="W274" s="3">
        <f t="shared" si="49"/>
        <v>0</v>
      </c>
      <c r="AA274" s="3">
        <v>5.5</v>
      </c>
    </row>
    <row r="275" spans="1:27" x14ac:dyDescent="0.3">
      <c r="A275" s="3" t="str">
        <f t="shared" si="40"/>
        <v>South9430109900320</v>
      </c>
      <c r="B275" s="3" t="str">
        <f t="shared" si="41"/>
        <v>CMR9430109900320</v>
      </c>
      <c r="C275" s="10">
        <v>9430109900320</v>
      </c>
      <c r="D275" s="10" t="str">
        <f t="shared" si="42"/>
        <v>9430109900</v>
      </c>
      <c r="E275" s="3" t="s">
        <v>5</v>
      </c>
      <c r="F275" s="3" t="s">
        <v>65</v>
      </c>
      <c r="H275" s="3">
        <v>216.32000000000011</v>
      </c>
      <c r="I275" s="10">
        <f t="shared" si="43"/>
        <v>102.00807688099907</v>
      </c>
      <c r="J275" s="3">
        <v>63.618491774633327</v>
      </c>
      <c r="K275" s="3">
        <v>0</v>
      </c>
      <c r="L275" s="3">
        <f t="shared" si="44"/>
        <v>0</v>
      </c>
      <c r="N275" s="11">
        <f t="shared" si="45"/>
        <v>152.70150822536678</v>
      </c>
      <c r="O275" s="3">
        <v>63.618491774633327</v>
      </c>
      <c r="P275" s="11">
        <f t="shared" si="46"/>
        <v>72.00807688099907</v>
      </c>
      <c r="Q275" s="12">
        <f t="shared" si="47"/>
        <v>44.953163085022915</v>
      </c>
      <c r="R275" s="13">
        <f t="shared" si="48"/>
        <v>-4.5713762747685207</v>
      </c>
      <c r="S275" s="3" t="s">
        <v>29</v>
      </c>
      <c r="T275" s="3" t="s">
        <v>35</v>
      </c>
      <c r="U275" s="10">
        <v>0</v>
      </c>
      <c r="V275" s="3">
        <v>0</v>
      </c>
      <c r="W275" s="3">
        <f t="shared" si="49"/>
        <v>0</v>
      </c>
      <c r="AA275" s="3">
        <v>5.5</v>
      </c>
    </row>
    <row r="276" spans="1:27" x14ac:dyDescent="0.3">
      <c r="A276" s="3" t="str">
        <f t="shared" si="40"/>
        <v>South9430109901310</v>
      </c>
      <c r="B276" s="3" t="str">
        <f t="shared" si="41"/>
        <v>CMR9430109901310</v>
      </c>
      <c r="C276" s="10">
        <v>9430109901310</v>
      </c>
      <c r="D276" s="10" t="str">
        <f t="shared" si="42"/>
        <v>9430109901</v>
      </c>
      <c r="E276" s="3" t="s">
        <v>5</v>
      </c>
      <c r="F276" s="3" t="s">
        <v>65</v>
      </c>
      <c r="H276" s="3">
        <v>33.25</v>
      </c>
      <c r="I276" s="10">
        <f t="shared" si="43"/>
        <v>33.456635522075409</v>
      </c>
      <c r="J276" s="3">
        <v>29.814713417367624</v>
      </c>
      <c r="K276" s="3">
        <v>16.5</v>
      </c>
      <c r="L276" s="3">
        <f t="shared" si="44"/>
        <v>0</v>
      </c>
      <c r="N276" s="11">
        <f t="shared" si="45"/>
        <v>3.4352865826323757</v>
      </c>
      <c r="O276" s="3">
        <v>29.814713417367624</v>
      </c>
      <c r="P276" s="11">
        <f t="shared" si="46"/>
        <v>3.4566355220754099</v>
      </c>
      <c r="Q276" s="12">
        <f t="shared" si="47"/>
        <v>2.8218424774149322</v>
      </c>
      <c r="R276" s="13">
        <f t="shared" si="48"/>
        <v>5.4137783376715598</v>
      </c>
      <c r="S276" s="3" t="s">
        <v>30</v>
      </c>
      <c r="T276" s="3" t="s">
        <v>35</v>
      </c>
      <c r="U276" s="10">
        <v>0</v>
      </c>
      <c r="V276" s="3">
        <v>0</v>
      </c>
      <c r="W276" s="3">
        <f t="shared" si="49"/>
        <v>0</v>
      </c>
      <c r="AA276" s="3">
        <v>5.5</v>
      </c>
    </row>
    <row r="277" spans="1:27" x14ac:dyDescent="0.3">
      <c r="A277" s="3" t="str">
        <f t="shared" si="40"/>
        <v>South9430109900310</v>
      </c>
      <c r="B277" s="3" t="str">
        <f t="shared" si="41"/>
        <v>CMR9430109900310</v>
      </c>
      <c r="C277" s="10">
        <v>9430109900310</v>
      </c>
      <c r="D277" s="10" t="str">
        <f t="shared" si="42"/>
        <v>9430109900</v>
      </c>
      <c r="E277" s="3" t="s">
        <v>5</v>
      </c>
      <c r="F277" s="3" t="s">
        <v>65</v>
      </c>
      <c r="H277" s="3">
        <v>80.55</v>
      </c>
      <c r="I277" s="10">
        <f t="shared" si="43"/>
        <v>109.69879224927395</v>
      </c>
      <c r="J277" s="3">
        <v>22.028501412384454</v>
      </c>
      <c r="K277" s="3">
        <v>0</v>
      </c>
      <c r="L277" s="3">
        <f t="shared" si="44"/>
        <v>0</v>
      </c>
      <c r="N277" s="11">
        <f t="shared" si="45"/>
        <v>58.52149858761554</v>
      </c>
      <c r="O277" s="3">
        <v>22.028501412384454</v>
      </c>
      <c r="P277" s="11">
        <f t="shared" si="46"/>
        <v>79.69879224927395</v>
      </c>
      <c r="Q277" s="12">
        <f t="shared" si="47"/>
        <v>51.42920218029284</v>
      </c>
      <c r="R277" s="13">
        <f t="shared" si="48"/>
        <v>2.5620483154508742</v>
      </c>
      <c r="S277" s="3" t="s">
        <v>30</v>
      </c>
      <c r="T277" s="3" t="s">
        <v>35</v>
      </c>
      <c r="U277" s="10">
        <v>0</v>
      </c>
      <c r="V277" s="3">
        <v>0</v>
      </c>
      <c r="W277" s="3">
        <f t="shared" si="49"/>
        <v>0</v>
      </c>
      <c r="AA277" s="3">
        <v>5.5</v>
      </c>
    </row>
    <row r="278" spans="1:27" x14ac:dyDescent="0.3">
      <c r="A278" s="3" t="str">
        <f t="shared" si="40"/>
        <v>South9410069900210</v>
      </c>
      <c r="B278" s="3" t="str">
        <f t="shared" si="41"/>
        <v>CMR9410069900210</v>
      </c>
      <c r="C278" s="10">
        <v>9410069900210</v>
      </c>
      <c r="D278" s="10" t="str">
        <f t="shared" si="42"/>
        <v>9410069900</v>
      </c>
      <c r="E278" s="3" t="s">
        <v>5</v>
      </c>
      <c r="F278" s="3" t="s">
        <v>65</v>
      </c>
      <c r="H278" s="3">
        <v>17.225000000000001</v>
      </c>
      <c r="I278" s="10">
        <f t="shared" si="43"/>
        <v>31.392476972587186</v>
      </c>
      <c r="J278" s="3">
        <v>16.46095019680164</v>
      </c>
      <c r="K278" s="3">
        <v>22</v>
      </c>
      <c r="L278" s="3">
        <f t="shared" si="44"/>
        <v>0</v>
      </c>
      <c r="N278" s="11">
        <f t="shared" si="45"/>
        <v>0.76404980319836113</v>
      </c>
      <c r="O278" s="3">
        <v>16.46095019680164</v>
      </c>
      <c r="P278" s="11">
        <f t="shared" si="46"/>
        <v>1.3924769725871884</v>
      </c>
      <c r="Q278" s="12">
        <f t="shared" si="47"/>
        <v>0.36961243603382882</v>
      </c>
      <c r="R278" s="13">
        <f t="shared" si="48"/>
        <v>1.6261161680536202</v>
      </c>
      <c r="S278" s="3" t="s">
        <v>30</v>
      </c>
      <c r="T278" s="3" t="s">
        <v>32</v>
      </c>
      <c r="U278" s="10">
        <v>0</v>
      </c>
      <c r="V278" s="3">
        <v>0</v>
      </c>
      <c r="W278" s="3">
        <f t="shared" si="49"/>
        <v>0</v>
      </c>
      <c r="AA278" s="3">
        <v>5.5</v>
      </c>
    </row>
    <row r="279" spans="1:27" x14ac:dyDescent="0.3">
      <c r="A279" s="3" t="str">
        <f t="shared" si="40"/>
        <v>South9410069900820</v>
      </c>
      <c r="B279" s="3" t="str">
        <f t="shared" si="41"/>
        <v>CMR9410069900820</v>
      </c>
      <c r="C279" s="10">
        <v>9410069900820</v>
      </c>
      <c r="D279" s="10" t="str">
        <f t="shared" si="42"/>
        <v>9410069900</v>
      </c>
      <c r="E279" s="3" t="s">
        <v>5</v>
      </c>
      <c r="F279" s="3" t="s">
        <v>65</v>
      </c>
      <c r="H279" s="3">
        <v>16.760000000000002</v>
      </c>
      <c r="I279" s="10">
        <f t="shared" si="43"/>
        <v>31.2383337373495</v>
      </c>
      <c r="J279" s="3">
        <v>16.095608819200145</v>
      </c>
      <c r="K279" s="3">
        <v>27.5</v>
      </c>
      <c r="L279" s="3">
        <f t="shared" si="44"/>
        <v>0</v>
      </c>
      <c r="N279" s="11">
        <f t="shared" si="45"/>
        <v>0.66439118079985704</v>
      </c>
      <c r="O279" s="3">
        <v>16.095608819200145</v>
      </c>
      <c r="P279" s="11">
        <f t="shared" si="46"/>
        <v>1.2383337373495014</v>
      </c>
      <c r="Q279" s="12">
        <f t="shared" si="47"/>
        <v>1.2574088385901652</v>
      </c>
      <c r="R279" s="13">
        <f t="shared" si="48"/>
        <v>-3.8159946426130387</v>
      </c>
      <c r="S279" s="3" t="s">
        <v>29</v>
      </c>
      <c r="T279" s="3" t="s">
        <v>32</v>
      </c>
      <c r="U279" s="10">
        <v>0</v>
      </c>
      <c r="V279" s="3">
        <v>0</v>
      </c>
      <c r="W279" s="3">
        <f t="shared" si="49"/>
        <v>0</v>
      </c>
      <c r="AA279" s="3">
        <v>5.5</v>
      </c>
    </row>
    <row r="280" spans="1:27" x14ac:dyDescent="0.3">
      <c r="A280" s="3" t="str">
        <f t="shared" si="40"/>
        <v>South9430109901250</v>
      </c>
      <c r="B280" s="3" t="str">
        <f t="shared" si="41"/>
        <v>CMR9430109901250</v>
      </c>
      <c r="C280" s="10">
        <v>9430109901250</v>
      </c>
      <c r="D280" s="10" t="str">
        <f t="shared" si="42"/>
        <v>9430109901</v>
      </c>
      <c r="E280" s="3" t="s">
        <v>5</v>
      </c>
      <c r="F280" s="3" t="s">
        <v>65</v>
      </c>
      <c r="H280" s="3">
        <v>13.504999999999997</v>
      </c>
      <c r="I280" s="10">
        <f t="shared" si="43"/>
        <v>31.542075079230475</v>
      </c>
      <c r="J280" s="3">
        <v>12.844747816442146</v>
      </c>
      <c r="K280" s="3">
        <v>0</v>
      </c>
      <c r="L280" s="3">
        <f t="shared" si="44"/>
        <v>0</v>
      </c>
      <c r="N280" s="11">
        <f t="shared" si="45"/>
        <v>0.66025218355785142</v>
      </c>
      <c r="O280" s="3">
        <v>12.844747816442146</v>
      </c>
      <c r="P280" s="11">
        <f t="shared" si="46"/>
        <v>1.5420750792304789</v>
      </c>
      <c r="Q280" s="12">
        <f t="shared" si="47"/>
        <v>47.580799388993157</v>
      </c>
      <c r="R280" s="13">
        <f t="shared" si="48"/>
        <v>17.653824107204038</v>
      </c>
      <c r="S280" s="3" t="s">
        <v>31</v>
      </c>
      <c r="T280" s="3" t="s">
        <v>35</v>
      </c>
      <c r="U280" s="10">
        <v>0</v>
      </c>
      <c r="V280" s="3">
        <v>0</v>
      </c>
      <c r="W280" s="3">
        <f t="shared" si="49"/>
        <v>0</v>
      </c>
      <c r="AA280" s="3">
        <v>5.5</v>
      </c>
    </row>
    <row r="281" spans="1:27" x14ac:dyDescent="0.3">
      <c r="A281" s="3" t="str">
        <f t="shared" si="40"/>
        <v>South9430109900250</v>
      </c>
      <c r="B281" s="3" t="str">
        <f t="shared" si="41"/>
        <v>CMR9430109900250</v>
      </c>
      <c r="C281" s="10">
        <v>9430109900250</v>
      </c>
      <c r="D281" s="10" t="str">
        <f t="shared" si="42"/>
        <v>9430109900</v>
      </c>
      <c r="E281" s="3" t="s">
        <v>5</v>
      </c>
      <c r="F281" s="3" t="s">
        <v>65</v>
      </c>
      <c r="H281" s="3">
        <v>4.8849999999999989</v>
      </c>
      <c r="I281" s="10">
        <f t="shared" si="43"/>
        <v>13.700661283621557</v>
      </c>
      <c r="J281" s="3">
        <v>10.69656398083449</v>
      </c>
      <c r="K281" s="3">
        <v>16.5</v>
      </c>
      <c r="L281" s="3">
        <f t="shared" si="44"/>
        <v>0</v>
      </c>
      <c r="N281" s="11">
        <f t="shared" si="45"/>
        <v>-5.8115639808344914</v>
      </c>
      <c r="O281" s="3">
        <v>10.69656398083449</v>
      </c>
      <c r="P281" s="11">
        <f t="shared" si="46"/>
        <v>-16.299338716378447</v>
      </c>
      <c r="Q281" s="12">
        <f t="shared" si="47"/>
        <v>-12.080976717457979</v>
      </c>
      <c r="R281" s="13">
        <f t="shared" si="48"/>
        <v>2.3570648481173837</v>
      </c>
      <c r="S281" s="3" t="s">
        <v>30</v>
      </c>
      <c r="T281" s="3" t="s">
        <v>35</v>
      </c>
      <c r="U281" s="10">
        <v>0</v>
      </c>
      <c r="V281" s="3">
        <v>0</v>
      </c>
      <c r="W281" s="3">
        <f t="shared" si="49"/>
        <v>0</v>
      </c>
      <c r="AA281" s="3">
        <v>5.5</v>
      </c>
    </row>
    <row r="282" spans="1:27" x14ac:dyDescent="0.3">
      <c r="A282" s="3" t="str">
        <f t="shared" si="40"/>
        <v>South9100209900320</v>
      </c>
      <c r="B282" s="3" t="str">
        <f t="shared" si="41"/>
        <v>CMR9100209900320</v>
      </c>
      <c r="C282" s="10">
        <v>9100209900320</v>
      </c>
      <c r="D282" s="10" t="str">
        <f t="shared" si="42"/>
        <v>9100209900</v>
      </c>
      <c r="E282" s="3" t="s">
        <v>5</v>
      </c>
      <c r="F282" s="3" t="s">
        <v>65</v>
      </c>
      <c r="H282" s="3">
        <v>13.66</v>
      </c>
      <c r="I282" s="10">
        <f t="shared" si="43"/>
        <v>43.32332313501918</v>
      </c>
      <c r="J282" s="3">
        <v>9.4591081742007415</v>
      </c>
      <c r="K282" s="3">
        <v>0</v>
      </c>
      <c r="L282" s="3">
        <f t="shared" si="44"/>
        <v>0</v>
      </c>
      <c r="N282" s="11">
        <f t="shared" si="45"/>
        <v>4.2008918257992587</v>
      </c>
      <c r="O282" s="3">
        <v>9.4591081742007415</v>
      </c>
      <c r="P282" s="11">
        <f t="shared" si="46"/>
        <v>13.323323135019178</v>
      </c>
      <c r="Q282" s="12">
        <f t="shared" si="47"/>
        <v>31.484275809436991</v>
      </c>
      <c r="R282" s="13">
        <f t="shared" si="48"/>
        <v>30.495213785322278</v>
      </c>
      <c r="S282" s="3" t="s">
        <v>30</v>
      </c>
      <c r="T282" s="3" t="s">
        <v>34</v>
      </c>
      <c r="U282" s="10">
        <v>0</v>
      </c>
      <c r="V282" s="3">
        <v>0</v>
      </c>
      <c r="W282" s="3">
        <f t="shared" si="49"/>
        <v>0</v>
      </c>
      <c r="AA282" s="3">
        <v>5.5</v>
      </c>
    </row>
    <row r="283" spans="1:27" x14ac:dyDescent="0.3">
      <c r="A283" s="3" t="str">
        <f t="shared" si="40"/>
        <v>South9410069900850</v>
      </c>
      <c r="B283" s="3" t="str">
        <f t="shared" si="41"/>
        <v>CMR9410069900850</v>
      </c>
      <c r="C283" s="10">
        <v>9410069900850</v>
      </c>
      <c r="D283" s="10" t="str">
        <f t="shared" si="42"/>
        <v>9410069900</v>
      </c>
      <c r="E283" s="3" t="s">
        <v>5</v>
      </c>
      <c r="F283" s="3" t="s">
        <v>65</v>
      </c>
      <c r="H283" s="3">
        <v>7.3600000000000012</v>
      </c>
      <c r="I283" s="10">
        <f t="shared" si="43"/>
        <v>24.664136157237404</v>
      </c>
      <c r="J283" s="3">
        <v>8.9522697487707816</v>
      </c>
      <c r="K283" s="3">
        <v>16.5</v>
      </c>
      <c r="L283" s="3">
        <f t="shared" si="44"/>
        <v>0</v>
      </c>
      <c r="N283" s="11">
        <f t="shared" si="45"/>
        <v>-1.5922697487707804</v>
      </c>
      <c r="O283" s="3">
        <v>8.9522697487707816</v>
      </c>
      <c r="P283" s="11">
        <f t="shared" si="46"/>
        <v>-5.3358638427625973</v>
      </c>
      <c r="Q283" s="12">
        <f t="shared" si="47"/>
        <v>-6.8298926435043059</v>
      </c>
      <c r="R283" s="13">
        <f t="shared" si="48"/>
        <v>-1.3080659328217683</v>
      </c>
      <c r="S283" s="3" t="s">
        <v>30</v>
      </c>
      <c r="T283" s="3" t="s">
        <v>32</v>
      </c>
      <c r="U283" s="10">
        <v>0</v>
      </c>
      <c r="V283" s="3">
        <v>0</v>
      </c>
      <c r="W283" s="3">
        <f t="shared" si="49"/>
        <v>0</v>
      </c>
      <c r="AA283" s="3">
        <v>5.5</v>
      </c>
    </row>
    <row r="284" spans="1:27" x14ac:dyDescent="0.3">
      <c r="A284" s="3" t="str">
        <f t="shared" si="40"/>
        <v>South9100209901320</v>
      </c>
      <c r="B284" s="3" t="str">
        <f t="shared" si="41"/>
        <v>CMR9100209901320</v>
      </c>
      <c r="C284" s="10">
        <v>9100209901320</v>
      </c>
      <c r="D284" s="10" t="str">
        <f t="shared" si="42"/>
        <v>9100209901</v>
      </c>
      <c r="E284" s="3" t="s">
        <v>5</v>
      </c>
      <c r="F284" s="3" t="s">
        <v>65</v>
      </c>
      <c r="H284" s="3">
        <v>13.460000000000003</v>
      </c>
      <c r="I284" s="10">
        <f t="shared" si="43"/>
        <v>107.7025862964697</v>
      </c>
      <c r="J284" s="3">
        <v>3.7492135879492423</v>
      </c>
      <c r="K284" s="3">
        <v>0</v>
      </c>
      <c r="L284" s="3">
        <f t="shared" si="44"/>
        <v>0</v>
      </c>
      <c r="N284" s="11">
        <f t="shared" si="45"/>
        <v>9.7107864120507603</v>
      </c>
      <c r="O284" s="3">
        <v>3.7492135879492423</v>
      </c>
      <c r="P284" s="11">
        <f t="shared" si="46"/>
        <v>77.702586296469704</v>
      </c>
      <c r="Q284" s="12">
        <f t="shared" si="47"/>
        <v>116.9260419691846</v>
      </c>
      <c r="R284" s="13">
        <f t="shared" si="48"/>
        <v>22.609197898113969</v>
      </c>
      <c r="S284" s="3" t="s">
        <v>31</v>
      </c>
      <c r="T284" s="3" t="s">
        <v>34</v>
      </c>
      <c r="U284" s="10">
        <v>0</v>
      </c>
      <c r="V284" s="3">
        <v>0</v>
      </c>
      <c r="W284" s="3">
        <f t="shared" si="49"/>
        <v>0</v>
      </c>
      <c r="AA284" s="3">
        <v>5.5</v>
      </c>
    </row>
    <row r="285" spans="1:27" x14ac:dyDescent="0.3">
      <c r="A285" s="3" t="str">
        <f t="shared" si="40"/>
        <v>South9430109901220</v>
      </c>
      <c r="B285" s="3" t="str">
        <f t="shared" si="41"/>
        <v>CMR9430109901220</v>
      </c>
      <c r="C285" s="10">
        <v>9430109901220</v>
      </c>
      <c r="D285" s="10" t="str">
        <f t="shared" si="42"/>
        <v>9430109901</v>
      </c>
      <c r="E285" s="3" t="s">
        <v>5</v>
      </c>
      <c r="F285" s="3" t="s">
        <v>65</v>
      </c>
      <c r="H285" s="3">
        <v>4.0579999999999998</v>
      </c>
      <c r="I285" s="10">
        <f t="shared" si="43"/>
        <v>37.357883182816252</v>
      </c>
      <c r="J285" s="3">
        <v>3.2587499512284341</v>
      </c>
      <c r="K285" s="3">
        <v>0</v>
      </c>
      <c r="L285" s="3">
        <f t="shared" si="44"/>
        <v>0</v>
      </c>
      <c r="N285" s="11">
        <f t="shared" si="45"/>
        <v>0.79925004877156569</v>
      </c>
      <c r="O285" s="3">
        <v>3.2587499512284341</v>
      </c>
      <c r="P285" s="11">
        <f t="shared" si="46"/>
        <v>7.3578831828162503</v>
      </c>
      <c r="Q285" s="12">
        <f t="shared" si="47"/>
        <v>13.961895808716447</v>
      </c>
      <c r="R285" s="13">
        <f t="shared" si="48"/>
        <v>38.878687367972503</v>
      </c>
      <c r="S285" s="3" t="s">
        <v>31</v>
      </c>
      <c r="T285" s="3" t="s">
        <v>35</v>
      </c>
      <c r="U285" s="10">
        <v>0</v>
      </c>
      <c r="V285" s="3">
        <v>0</v>
      </c>
      <c r="W285" s="3">
        <f t="shared" si="49"/>
        <v>0</v>
      </c>
      <c r="AA285" s="3">
        <v>5.5</v>
      </c>
    </row>
    <row r="286" spans="1:27" x14ac:dyDescent="0.3">
      <c r="A286" s="3" t="str">
        <f t="shared" si="40"/>
        <v>South9410069900810</v>
      </c>
      <c r="B286" s="3" t="str">
        <f t="shared" si="41"/>
        <v>CMR9410069900810</v>
      </c>
      <c r="C286" s="10">
        <v>9410069900810</v>
      </c>
      <c r="D286" s="10" t="str">
        <f t="shared" si="42"/>
        <v>9410069900</v>
      </c>
      <c r="E286" s="3" t="s">
        <v>5</v>
      </c>
      <c r="F286" s="3" t="s">
        <v>65</v>
      </c>
      <c r="H286" s="3">
        <v>2.6900000000000004</v>
      </c>
      <c r="I286" s="10">
        <f t="shared" si="43"/>
        <v>30.357936958870383</v>
      </c>
      <c r="J286" s="3">
        <v>2.6582834040842167</v>
      </c>
      <c r="K286" s="3">
        <v>5.5</v>
      </c>
      <c r="L286" s="3">
        <f t="shared" si="44"/>
        <v>0</v>
      </c>
      <c r="N286" s="11">
        <f t="shared" si="45"/>
        <v>3.1716595915783685E-2</v>
      </c>
      <c r="O286" s="3">
        <v>2.6582834040842167</v>
      </c>
      <c r="P286" s="11">
        <f t="shared" si="46"/>
        <v>0.35793695887038174</v>
      </c>
      <c r="Q286" s="12">
        <f t="shared" si="47"/>
        <v>3.4293626825021679</v>
      </c>
      <c r="R286" s="13">
        <f t="shared" si="48"/>
        <v>1.1109202985663422</v>
      </c>
      <c r="S286" s="3" t="s">
        <v>30</v>
      </c>
      <c r="T286" s="3" t="s">
        <v>32</v>
      </c>
      <c r="U286" s="10">
        <v>0</v>
      </c>
      <c r="V286" s="3">
        <v>0</v>
      </c>
      <c r="W286" s="3">
        <f t="shared" si="49"/>
        <v>0</v>
      </c>
      <c r="AA286" s="3">
        <v>5.5</v>
      </c>
    </row>
    <row r="287" spans="1:27" x14ac:dyDescent="0.3">
      <c r="A287" s="3" t="str">
        <f t="shared" si="40"/>
        <v>South9430109900220</v>
      </c>
      <c r="B287" s="3" t="str">
        <f t="shared" si="41"/>
        <v>CMR9430109900220</v>
      </c>
      <c r="C287" s="10">
        <v>9430109900220</v>
      </c>
      <c r="D287" s="10" t="str">
        <f t="shared" si="42"/>
        <v>9430109900</v>
      </c>
      <c r="E287" s="3" t="s">
        <v>5</v>
      </c>
      <c r="F287" s="3" t="s">
        <v>65</v>
      </c>
      <c r="H287" s="3">
        <v>5.8960000000000008</v>
      </c>
      <c r="I287" s="10">
        <f t="shared" si="43"/>
        <v>68.296144218207459</v>
      </c>
      <c r="J287" s="3">
        <v>2.5898973071578553</v>
      </c>
      <c r="K287" s="3">
        <v>0</v>
      </c>
      <c r="L287" s="3">
        <f t="shared" si="44"/>
        <v>0</v>
      </c>
      <c r="N287" s="11">
        <f t="shared" si="45"/>
        <v>3.3061026928421455</v>
      </c>
      <c r="O287" s="3">
        <v>2.5898973071578553</v>
      </c>
      <c r="P287" s="11">
        <f t="shared" si="46"/>
        <v>38.296144218207459</v>
      </c>
      <c r="Q287" s="12">
        <f t="shared" si="47"/>
        <v>35.661788054041587</v>
      </c>
      <c r="R287" s="13">
        <f t="shared" si="48"/>
        <v>4.5783076811390186</v>
      </c>
      <c r="S287" s="3" t="s">
        <v>31</v>
      </c>
      <c r="T287" s="3" t="s">
        <v>35</v>
      </c>
      <c r="U287" s="10">
        <v>0</v>
      </c>
      <c r="V287" s="3">
        <v>0</v>
      </c>
      <c r="W287" s="3">
        <f t="shared" si="49"/>
        <v>0</v>
      </c>
      <c r="AA287" s="3">
        <v>5.5</v>
      </c>
    </row>
    <row r="288" spans="1:27" x14ac:dyDescent="0.3">
      <c r="A288" s="3" t="str">
        <f t="shared" si="40"/>
        <v>South9430109901210</v>
      </c>
      <c r="B288" s="3" t="str">
        <f t="shared" si="41"/>
        <v>CMR9430109901210</v>
      </c>
      <c r="C288" s="10">
        <v>9430109901210</v>
      </c>
      <c r="D288" s="10" t="str">
        <f t="shared" si="42"/>
        <v>9430109901</v>
      </c>
      <c r="E288" s="3" t="s">
        <v>5</v>
      </c>
      <c r="F288" s="3" t="s">
        <v>65</v>
      </c>
      <c r="H288" s="3">
        <v>2.1950000000000003</v>
      </c>
      <c r="I288" s="10">
        <f t="shared" si="43"/>
        <v>33.100652058218117</v>
      </c>
      <c r="J288" s="3">
        <v>1.9893867916614347</v>
      </c>
      <c r="K288" s="3">
        <v>0</v>
      </c>
      <c r="L288" s="3">
        <f t="shared" si="44"/>
        <v>0</v>
      </c>
      <c r="N288" s="11">
        <f t="shared" si="45"/>
        <v>0.20561320833856556</v>
      </c>
      <c r="O288" s="3">
        <v>1.9893867916614347</v>
      </c>
      <c r="P288" s="11">
        <f t="shared" si="46"/>
        <v>3.1006520582181185</v>
      </c>
      <c r="Q288" s="12">
        <f t="shared" si="47"/>
        <v>3.0205002072081193</v>
      </c>
      <c r="R288" s="13">
        <f t="shared" si="48"/>
        <v>34.909154797449432</v>
      </c>
      <c r="S288" s="3" t="s">
        <v>31</v>
      </c>
      <c r="T288" s="3" t="s">
        <v>35</v>
      </c>
      <c r="U288" s="10">
        <v>0</v>
      </c>
      <c r="V288" s="3">
        <v>0</v>
      </c>
      <c r="W288" s="3">
        <f t="shared" si="49"/>
        <v>0</v>
      </c>
      <c r="AA288" s="3">
        <v>5.5</v>
      </c>
    </row>
    <row r="289" spans="1:27" x14ac:dyDescent="0.3">
      <c r="A289" s="3" t="str">
        <f t="shared" si="40"/>
        <v>South9430109900210</v>
      </c>
      <c r="B289" s="3" t="str">
        <f t="shared" si="41"/>
        <v>CMR9430109900210</v>
      </c>
      <c r="C289" s="10">
        <v>9430109900210</v>
      </c>
      <c r="D289" s="10" t="str">
        <f t="shared" si="42"/>
        <v>9430109900</v>
      </c>
      <c r="E289" s="3" t="s">
        <v>5</v>
      </c>
      <c r="F289" s="3" t="s">
        <v>65</v>
      </c>
      <c r="H289" s="3">
        <v>5.6370000000000005</v>
      </c>
      <c r="I289" s="10">
        <f t="shared" si="43"/>
        <v>114.26223430177684</v>
      </c>
      <c r="J289" s="3">
        <v>1.4800165691961291</v>
      </c>
      <c r="K289" s="3">
        <v>0</v>
      </c>
      <c r="L289" s="3">
        <f t="shared" si="44"/>
        <v>0</v>
      </c>
      <c r="N289" s="11">
        <f t="shared" si="45"/>
        <v>4.1569834308038711</v>
      </c>
      <c r="O289" s="3">
        <v>1.4800165691961291</v>
      </c>
      <c r="P289" s="11">
        <f t="shared" si="46"/>
        <v>84.262234301776829</v>
      </c>
      <c r="Q289" s="12">
        <f t="shared" si="47"/>
        <v>71.796784065496325</v>
      </c>
      <c r="R289" s="13">
        <f t="shared" si="48"/>
        <v>25.085366989368765</v>
      </c>
      <c r="S289" s="3" t="s">
        <v>31</v>
      </c>
      <c r="T289" s="3" t="s">
        <v>35</v>
      </c>
      <c r="U289" s="10">
        <v>0</v>
      </c>
      <c r="V289" s="3">
        <v>0</v>
      </c>
      <c r="W289" s="3">
        <f t="shared" si="49"/>
        <v>0</v>
      </c>
      <c r="AA289" s="3">
        <v>5.5</v>
      </c>
    </row>
    <row r="290" spans="1:27" x14ac:dyDescent="0.3">
      <c r="A290" s="3" t="str">
        <f t="shared" si="40"/>
        <v>South9430109902250</v>
      </c>
      <c r="B290" s="3" t="str">
        <f t="shared" si="41"/>
        <v>CMR9430109902250</v>
      </c>
      <c r="C290" s="10">
        <v>9430109902250</v>
      </c>
      <c r="D290" s="10" t="str">
        <f t="shared" si="42"/>
        <v>9430109902</v>
      </c>
      <c r="E290" s="3" t="s">
        <v>5</v>
      </c>
      <c r="F290" s="3" t="s">
        <v>65</v>
      </c>
      <c r="H290" s="3">
        <v>0.6150000000000001</v>
      </c>
      <c r="I290" s="10">
        <f t="shared" si="43"/>
        <v>26.267366741266549</v>
      </c>
      <c r="J290" s="3">
        <v>0.702392446937389</v>
      </c>
      <c r="K290" s="3">
        <v>0</v>
      </c>
      <c r="L290" s="3">
        <f t="shared" si="44"/>
        <v>0</v>
      </c>
      <c r="N290" s="11">
        <f t="shared" si="45"/>
        <v>-8.7392446937388901E-2</v>
      </c>
      <c r="O290" s="3">
        <v>0.702392446937389</v>
      </c>
      <c r="P290" s="11">
        <f t="shared" si="46"/>
        <v>-3.7326332587334483</v>
      </c>
      <c r="Q290" s="12">
        <f t="shared" si="47"/>
        <v>-3.5918829084314945</v>
      </c>
      <c r="R290" s="13">
        <f t="shared" si="48"/>
        <v>23.704826150757036</v>
      </c>
      <c r="S290" s="3" t="s">
        <v>31</v>
      </c>
      <c r="T290" s="3" t="s">
        <v>35</v>
      </c>
      <c r="U290" s="10">
        <v>0</v>
      </c>
      <c r="V290" s="3">
        <v>0</v>
      </c>
      <c r="W290" s="3">
        <f t="shared" si="49"/>
        <v>0</v>
      </c>
      <c r="AA290" s="3">
        <v>5.5</v>
      </c>
    </row>
    <row r="291" spans="1:27" x14ac:dyDescent="0.3">
      <c r="A291" s="3" t="str">
        <f t="shared" si="40"/>
        <v>South9430109902320</v>
      </c>
      <c r="B291" s="3" t="str">
        <f t="shared" si="41"/>
        <v>CMR9430109902320</v>
      </c>
      <c r="C291" s="10">
        <v>9430109902320</v>
      </c>
      <c r="D291" s="10" t="str">
        <f t="shared" si="42"/>
        <v>9430109902</v>
      </c>
      <c r="E291" s="3" t="s">
        <v>5</v>
      </c>
      <c r="F291" s="3" t="s">
        <v>65</v>
      </c>
      <c r="H291" s="3">
        <v>1.44</v>
      </c>
      <c r="I291" s="10">
        <f t="shared" si="43"/>
        <v>65.854964912494751</v>
      </c>
      <c r="J291" s="3">
        <v>0.65598698681872047</v>
      </c>
      <c r="K291" s="3">
        <v>0</v>
      </c>
      <c r="L291" s="3">
        <f t="shared" si="44"/>
        <v>0</v>
      </c>
      <c r="N291" s="11">
        <f t="shared" si="45"/>
        <v>0.78401301318127947</v>
      </c>
      <c r="O291" s="3">
        <v>0.65598698681872047</v>
      </c>
      <c r="P291" s="11">
        <f t="shared" si="46"/>
        <v>35.854964912494758</v>
      </c>
      <c r="Q291" s="12">
        <f t="shared" si="47"/>
        <v>42.144946983191851</v>
      </c>
      <c r="R291" s="13">
        <f t="shared" si="48"/>
        <v>22.447350601553385</v>
      </c>
      <c r="S291" s="3" t="s">
        <v>31</v>
      </c>
      <c r="T291" s="3" t="s">
        <v>35</v>
      </c>
      <c r="U291" s="10">
        <v>0</v>
      </c>
      <c r="V291" s="3">
        <v>0</v>
      </c>
      <c r="W291" s="3">
        <f t="shared" si="49"/>
        <v>0</v>
      </c>
      <c r="AA291" s="3">
        <v>5.5</v>
      </c>
    </row>
    <row r="292" spans="1:27" x14ac:dyDescent="0.3">
      <c r="A292" s="3" t="str">
        <f t="shared" si="40"/>
        <v>South9430109902310</v>
      </c>
      <c r="B292" s="3" t="str">
        <f t="shared" si="41"/>
        <v>CMR9430109902310</v>
      </c>
      <c r="C292" s="10">
        <v>9430109902310</v>
      </c>
      <c r="D292" s="10" t="str">
        <f t="shared" si="42"/>
        <v>9430109902</v>
      </c>
      <c r="E292" s="3" t="s">
        <v>5</v>
      </c>
      <c r="F292" s="3" t="s">
        <v>65</v>
      </c>
      <c r="H292" s="3">
        <v>1.31</v>
      </c>
      <c r="I292" s="10">
        <f t="shared" si="43"/>
        <v>64.732697656482799</v>
      </c>
      <c r="J292" s="3">
        <v>0.6071120380082633</v>
      </c>
      <c r="K292" s="3">
        <v>0</v>
      </c>
      <c r="L292" s="3">
        <f t="shared" si="44"/>
        <v>0</v>
      </c>
      <c r="N292" s="11">
        <f t="shared" si="45"/>
        <v>0.70288796199173675</v>
      </c>
      <c r="O292" s="3">
        <v>0.6071120380082633</v>
      </c>
      <c r="P292" s="11">
        <f t="shared" si="46"/>
        <v>34.732697656482799</v>
      </c>
      <c r="Q292" s="12">
        <f t="shared" si="47"/>
        <v>9.1183995521588734</v>
      </c>
      <c r="R292" s="13">
        <f t="shared" si="48"/>
        <v>50.205707423478124</v>
      </c>
      <c r="S292" s="3" t="s">
        <v>31</v>
      </c>
      <c r="T292" s="3" t="s">
        <v>35</v>
      </c>
      <c r="U292" s="10">
        <v>0</v>
      </c>
      <c r="V292" s="3">
        <v>0</v>
      </c>
      <c r="W292" s="3">
        <f t="shared" si="49"/>
        <v>0</v>
      </c>
      <c r="AA292" s="3">
        <v>5.5</v>
      </c>
    </row>
    <row r="293" spans="1:27" x14ac:dyDescent="0.3">
      <c r="A293" s="3" t="str">
        <f t="shared" si="40"/>
        <v>South9418009900820</v>
      </c>
      <c r="B293" s="3" t="str">
        <f t="shared" si="41"/>
        <v>CMR9418009900820</v>
      </c>
      <c r="C293" s="10">
        <v>9418009900820</v>
      </c>
      <c r="D293" s="10" t="str">
        <f t="shared" si="42"/>
        <v>9418009900</v>
      </c>
      <c r="E293" s="3" t="s">
        <v>5</v>
      </c>
      <c r="F293" s="3" t="s">
        <v>65</v>
      </c>
      <c r="H293" s="3">
        <v>0.24000000000000002</v>
      </c>
      <c r="I293" s="10">
        <f t="shared" si="43"/>
        <v>14.674554158238301</v>
      </c>
      <c r="J293" s="3">
        <v>0.4906452299920756</v>
      </c>
      <c r="K293" s="3">
        <v>0</v>
      </c>
      <c r="L293" s="3">
        <f t="shared" si="44"/>
        <v>0</v>
      </c>
      <c r="N293" s="11">
        <f t="shared" si="45"/>
        <v>-0.25064522999207561</v>
      </c>
      <c r="O293" s="3">
        <v>0.4906452299920756</v>
      </c>
      <c r="P293" s="11">
        <f t="shared" si="46"/>
        <v>-15.325445841761701</v>
      </c>
      <c r="Q293" s="12">
        <f t="shared" si="47"/>
        <v>-13.668019748840718</v>
      </c>
      <c r="R293" s="13">
        <f t="shared" si="48"/>
        <v>-10.9001806663038</v>
      </c>
      <c r="S293" s="3" t="s">
        <v>31</v>
      </c>
      <c r="T293" s="3" t="s">
        <v>32</v>
      </c>
      <c r="U293" s="10">
        <v>0</v>
      </c>
      <c r="V293" s="3">
        <v>0</v>
      </c>
      <c r="W293" s="3">
        <f t="shared" si="49"/>
        <v>0</v>
      </c>
      <c r="AA293" s="3">
        <v>5.5</v>
      </c>
    </row>
    <row r="294" spans="1:27" x14ac:dyDescent="0.3">
      <c r="A294" s="3" t="str">
        <f t="shared" si="40"/>
        <v>South9430109902220</v>
      </c>
      <c r="B294" s="3" t="str">
        <f t="shared" si="41"/>
        <v>CMR9430109902220</v>
      </c>
      <c r="C294" s="10">
        <v>9430109902220</v>
      </c>
      <c r="D294" s="10" t="str">
        <f t="shared" si="42"/>
        <v>9430109902</v>
      </c>
      <c r="E294" s="3" t="s">
        <v>5</v>
      </c>
      <c r="F294" s="3" t="s">
        <v>65</v>
      </c>
      <c r="H294" s="3">
        <v>1.264</v>
      </c>
      <c r="I294" s="10">
        <f t="shared" si="43"/>
        <v>156.56322368437287</v>
      </c>
      <c r="J294" s="3">
        <v>0.24220247327332547</v>
      </c>
      <c r="K294" s="3">
        <v>0</v>
      </c>
      <c r="L294" s="3">
        <f t="shared" si="44"/>
        <v>0</v>
      </c>
      <c r="N294" s="11">
        <f t="shared" si="45"/>
        <v>1.0217975267266746</v>
      </c>
      <c r="O294" s="3">
        <v>0.24220247327332547</v>
      </c>
      <c r="P294" s="11">
        <f t="shared" si="46"/>
        <v>126.56322368437289</v>
      </c>
      <c r="Q294" s="12">
        <f t="shared" si="47"/>
        <v>221.53968907128026</v>
      </c>
      <c r="R294" s="13">
        <f t="shared" si="48"/>
        <v>105.45285077529311</v>
      </c>
      <c r="S294" s="3" t="s">
        <v>31</v>
      </c>
      <c r="T294" s="3" t="s">
        <v>35</v>
      </c>
      <c r="U294" s="10">
        <v>0</v>
      </c>
      <c r="V294" s="3">
        <v>0</v>
      </c>
      <c r="W294" s="3">
        <f t="shared" si="49"/>
        <v>0</v>
      </c>
      <c r="AA294" s="3">
        <v>5.5</v>
      </c>
    </row>
    <row r="295" spans="1:27" x14ac:dyDescent="0.3">
      <c r="A295" s="3" t="str">
        <f t="shared" si="40"/>
        <v>South9418009900210</v>
      </c>
      <c r="B295" s="3" t="str">
        <f t="shared" si="41"/>
        <v>CMR9418009900210</v>
      </c>
      <c r="C295" s="10">
        <v>9418009900210</v>
      </c>
      <c r="D295" s="10" t="str">
        <f t="shared" si="42"/>
        <v>9418009900</v>
      </c>
      <c r="E295" s="3" t="s">
        <v>5</v>
      </c>
      <c r="F295" s="3" t="s">
        <v>65</v>
      </c>
      <c r="H295" s="3">
        <v>0.31400000000000011</v>
      </c>
      <c r="I295" s="10">
        <f t="shared" si="43"/>
        <v>40.63110957981543</v>
      </c>
      <c r="J295" s="3">
        <v>0.23184205642957967</v>
      </c>
      <c r="K295" s="3">
        <v>0</v>
      </c>
      <c r="L295" s="3">
        <f t="shared" si="44"/>
        <v>0</v>
      </c>
      <c r="N295" s="11">
        <f t="shared" si="45"/>
        <v>8.2157943570420444E-2</v>
      </c>
      <c r="O295" s="3">
        <v>0.23184205642957967</v>
      </c>
      <c r="P295" s="11">
        <f t="shared" si="46"/>
        <v>10.631109579815428</v>
      </c>
      <c r="Q295" s="12">
        <f t="shared" si="47"/>
        <v>162.94756054583146</v>
      </c>
      <c r="R295" s="13">
        <f t="shared" si="48"/>
        <v>106.73502077445265</v>
      </c>
      <c r="S295" s="3" t="s">
        <v>31</v>
      </c>
      <c r="T295" s="3" t="s">
        <v>32</v>
      </c>
      <c r="U295" s="10">
        <v>0</v>
      </c>
      <c r="V295" s="3">
        <v>0</v>
      </c>
      <c r="W295" s="3">
        <f t="shared" si="49"/>
        <v>0</v>
      </c>
      <c r="AA295" s="3">
        <v>5.5</v>
      </c>
    </row>
    <row r="296" spans="1:27" x14ac:dyDescent="0.3">
      <c r="A296" s="3" t="str">
        <f t="shared" si="40"/>
        <v>South9430109902210</v>
      </c>
      <c r="B296" s="3" t="str">
        <f t="shared" si="41"/>
        <v>CMR9430109902210</v>
      </c>
      <c r="C296" s="10">
        <v>9430109902210</v>
      </c>
      <c r="D296" s="10" t="str">
        <f t="shared" si="42"/>
        <v>9430109902</v>
      </c>
      <c r="E296" s="3" t="s">
        <v>5</v>
      </c>
      <c r="F296" s="3" t="s">
        <v>65</v>
      </c>
      <c r="H296" s="3">
        <v>0.67800000000000005</v>
      </c>
      <c r="I296" s="10">
        <f t="shared" si="43"/>
        <v>144.20174320646711</v>
      </c>
      <c r="J296" s="3">
        <v>0.14105238638396569</v>
      </c>
      <c r="K296" s="3">
        <v>0</v>
      </c>
      <c r="L296" s="3">
        <f t="shared" si="44"/>
        <v>0</v>
      </c>
      <c r="N296" s="11">
        <f t="shared" si="45"/>
        <v>0.53694761361603438</v>
      </c>
      <c r="O296" s="3">
        <v>0.14105238638396569</v>
      </c>
      <c r="P296" s="11">
        <f t="shared" si="46"/>
        <v>114.20174320646713</v>
      </c>
      <c r="Q296" s="12">
        <f t="shared" si="47"/>
        <v>253.45415819797532</v>
      </c>
      <c r="R296" s="13">
        <f t="shared" si="48"/>
        <v>190.89251081833569</v>
      </c>
      <c r="S296" s="3" t="s">
        <v>31</v>
      </c>
      <c r="T296" s="3" t="s">
        <v>35</v>
      </c>
      <c r="U296" s="10">
        <v>0</v>
      </c>
      <c r="V296" s="3">
        <v>0</v>
      </c>
      <c r="W296" s="3">
        <f t="shared" si="49"/>
        <v>0</v>
      </c>
      <c r="AA296" s="3">
        <v>5.5</v>
      </c>
    </row>
    <row r="297" spans="1:27" x14ac:dyDescent="0.3">
      <c r="A297" s="3" t="str">
        <f t="shared" si="40"/>
        <v>South9418009900810</v>
      </c>
      <c r="B297" s="3" t="str">
        <f t="shared" si="41"/>
        <v>CMR9418009900810</v>
      </c>
      <c r="C297" s="10">
        <v>9418009900810</v>
      </c>
      <c r="D297" s="10" t="str">
        <f t="shared" si="42"/>
        <v>9418009900</v>
      </c>
      <c r="E297" s="3" t="s">
        <v>5</v>
      </c>
      <c r="F297" s="3" t="s">
        <v>65</v>
      </c>
      <c r="H297" s="3">
        <v>0</v>
      </c>
      <c r="I297" s="10">
        <f t="shared" si="43"/>
        <v>0</v>
      </c>
      <c r="J297" s="3">
        <v>9.8512209421967312E-2</v>
      </c>
      <c r="K297" s="3">
        <v>0</v>
      </c>
      <c r="L297" s="3">
        <f t="shared" si="44"/>
        <v>0</v>
      </c>
      <c r="N297" s="11">
        <f t="shared" si="45"/>
        <v>-9.8512209421967312E-2</v>
      </c>
      <c r="O297" s="3">
        <v>9.8512209421967312E-2</v>
      </c>
      <c r="P297" s="11">
        <f t="shared" si="46"/>
        <v>-30</v>
      </c>
      <c r="Q297" s="12">
        <f t="shared" si="47"/>
        <v>-30</v>
      </c>
      <c r="R297" s="13">
        <f t="shared" si="48"/>
        <v>-30</v>
      </c>
      <c r="S297" s="3" t="s">
        <v>31</v>
      </c>
      <c r="T297" s="3" t="s">
        <v>32</v>
      </c>
      <c r="U297" s="10">
        <v>0</v>
      </c>
      <c r="V297" s="3">
        <v>0</v>
      </c>
      <c r="W297" s="3">
        <f t="shared" si="49"/>
        <v>0</v>
      </c>
      <c r="AA297" s="3">
        <v>5.5</v>
      </c>
    </row>
    <row r="298" spans="1:27" x14ac:dyDescent="0.3">
      <c r="A298" s="3" t="str">
        <f t="shared" si="40"/>
        <v>South9418009900850</v>
      </c>
      <c r="B298" s="3" t="str">
        <f t="shared" si="41"/>
        <v>CMR9418009900850</v>
      </c>
      <c r="C298" s="10">
        <v>9418009900850</v>
      </c>
      <c r="D298" s="10" t="str">
        <f t="shared" si="42"/>
        <v>9418009900</v>
      </c>
      <c r="E298" s="3" t="s">
        <v>5</v>
      </c>
      <c r="F298" s="3" t="s">
        <v>65</v>
      </c>
      <c r="H298" s="3">
        <v>0</v>
      </c>
      <c r="I298" s="10">
        <f t="shared" si="43"/>
        <v>0</v>
      </c>
      <c r="J298" s="3">
        <v>9.4882200222847782E-2</v>
      </c>
      <c r="K298" s="3">
        <v>0</v>
      </c>
      <c r="L298" s="3">
        <f t="shared" si="44"/>
        <v>0</v>
      </c>
      <c r="N298" s="11">
        <f t="shared" si="45"/>
        <v>-9.4882200222847782E-2</v>
      </c>
      <c r="O298" s="3">
        <v>9.4882200222847782E-2</v>
      </c>
      <c r="P298" s="11">
        <f t="shared" si="46"/>
        <v>-30</v>
      </c>
      <c r="Q298" s="12">
        <f t="shared" si="47"/>
        <v>-30.000000000000004</v>
      </c>
      <c r="R298" s="13">
        <f t="shared" si="48"/>
        <v>-29.999999999999996</v>
      </c>
      <c r="S298" s="3" t="s">
        <v>31</v>
      </c>
      <c r="T298" s="3" t="s">
        <v>32</v>
      </c>
      <c r="U298" s="10">
        <v>0</v>
      </c>
      <c r="V298" s="3">
        <v>0</v>
      </c>
      <c r="W298" s="3">
        <f t="shared" si="49"/>
        <v>0</v>
      </c>
      <c r="AA298" s="3">
        <v>5.5</v>
      </c>
    </row>
    <row r="299" spans="1:27" x14ac:dyDescent="0.3">
      <c r="A299" s="3" t="str">
        <f t="shared" si="40"/>
        <v>South9430119901320</v>
      </c>
      <c r="B299" s="3" t="str">
        <f t="shared" si="41"/>
        <v>CMR9430119901320</v>
      </c>
      <c r="C299" s="10">
        <v>9430119901320</v>
      </c>
      <c r="D299" s="10" t="str">
        <f t="shared" si="42"/>
        <v>9430119901</v>
      </c>
      <c r="E299" s="3" t="s">
        <v>5</v>
      </c>
      <c r="F299" s="3" t="s">
        <v>65</v>
      </c>
      <c r="H299" s="3">
        <v>0.02</v>
      </c>
      <c r="I299" s="10">
        <f t="shared" si="43"/>
        <v>0</v>
      </c>
      <c r="J299" s="3">
        <v>0</v>
      </c>
      <c r="K299" s="3">
        <v>0</v>
      </c>
      <c r="L299" s="3">
        <f t="shared" si="44"/>
        <v>0</v>
      </c>
      <c r="N299" s="11">
        <f t="shared" si="45"/>
        <v>0.02</v>
      </c>
      <c r="O299" s="3">
        <v>0</v>
      </c>
      <c r="P299" s="11">
        <f t="shared" si="46"/>
        <v>9999</v>
      </c>
      <c r="Q299" s="12">
        <f t="shared" si="47"/>
        <v>9999</v>
      </c>
      <c r="R299" s="13">
        <f t="shared" si="48"/>
        <v>154.21910285373258</v>
      </c>
      <c r="S299" s="3" t="s">
        <v>31</v>
      </c>
      <c r="T299" s="3" t="s">
        <v>35</v>
      </c>
      <c r="U299" s="10">
        <v>0</v>
      </c>
      <c r="V299" s="3">
        <v>0</v>
      </c>
      <c r="W299" s="3">
        <f t="shared" si="49"/>
        <v>0</v>
      </c>
      <c r="AA299" s="3">
        <v>5.5</v>
      </c>
    </row>
    <row r="300" spans="1:27" x14ac:dyDescent="0.3">
      <c r="A300" s="3" t="str">
        <f t="shared" si="40"/>
        <v>South9430119900310</v>
      </c>
      <c r="B300" s="3" t="str">
        <f t="shared" si="41"/>
        <v>CMR9430119900310</v>
      </c>
      <c r="C300" s="10">
        <v>9430119900310</v>
      </c>
      <c r="D300" s="10" t="str">
        <f t="shared" si="42"/>
        <v>9430119900</v>
      </c>
      <c r="E300" s="3" t="s">
        <v>5</v>
      </c>
      <c r="F300" s="3" t="s">
        <v>65</v>
      </c>
      <c r="H300" s="3">
        <v>0.03</v>
      </c>
      <c r="I300" s="10">
        <f t="shared" si="43"/>
        <v>0</v>
      </c>
      <c r="J300" s="3">
        <v>0</v>
      </c>
      <c r="K300" s="3">
        <v>0</v>
      </c>
      <c r="L300" s="3">
        <f t="shared" si="44"/>
        <v>0</v>
      </c>
      <c r="N300" s="11">
        <f t="shared" si="45"/>
        <v>0.03</v>
      </c>
      <c r="O300" s="3">
        <v>0</v>
      </c>
      <c r="P300" s="11">
        <f t="shared" si="46"/>
        <v>9999</v>
      </c>
      <c r="Q300" s="12">
        <f t="shared" si="47"/>
        <v>9999</v>
      </c>
      <c r="R300" s="13">
        <f t="shared" si="48"/>
        <v>58.484369693341321</v>
      </c>
      <c r="S300" s="3" t="s">
        <v>31</v>
      </c>
      <c r="T300" s="3" t="s">
        <v>35</v>
      </c>
      <c r="U300" s="10">
        <v>0</v>
      </c>
      <c r="V300" s="3">
        <v>0</v>
      </c>
      <c r="W300" s="3">
        <f t="shared" si="49"/>
        <v>0</v>
      </c>
      <c r="AA300" s="3">
        <v>5.5</v>
      </c>
    </row>
    <row r="301" spans="1:27" x14ac:dyDescent="0.3">
      <c r="A301" s="3" t="str">
        <f t="shared" si="40"/>
        <v>South9430119900210</v>
      </c>
      <c r="B301" s="3" t="str">
        <f t="shared" si="41"/>
        <v>CMR9430119900210</v>
      </c>
      <c r="C301" s="10">
        <v>9430119900210</v>
      </c>
      <c r="D301" s="10" t="str">
        <f t="shared" si="42"/>
        <v>9430119900</v>
      </c>
      <c r="E301" s="3" t="s">
        <v>5</v>
      </c>
      <c r="F301" s="3" t="s">
        <v>65</v>
      </c>
      <c r="H301" s="3">
        <v>0.13400000000000001</v>
      </c>
      <c r="I301" s="10">
        <f t="shared" si="43"/>
        <v>0</v>
      </c>
      <c r="J301" s="3">
        <v>0</v>
      </c>
      <c r="K301" s="3">
        <v>0</v>
      </c>
      <c r="L301" s="3">
        <f t="shared" si="44"/>
        <v>0</v>
      </c>
      <c r="N301" s="11">
        <f t="shared" si="45"/>
        <v>0.13400000000000001</v>
      </c>
      <c r="O301" s="3">
        <v>0</v>
      </c>
      <c r="P301" s="11">
        <f t="shared" si="46"/>
        <v>9999</v>
      </c>
      <c r="Q301" s="12">
        <f t="shared" si="47"/>
        <v>9999</v>
      </c>
      <c r="R301" s="13">
        <f t="shared" si="48"/>
        <v>2808.4139598508455</v>
      </c>
      <c r="S301" s="3" t="s">
        <v>31</v>
      </c>
      <c r="T301" s="3" t="s">
        <v>35</v>
      </c>
      <c r="U301" s="10">
        <v>0</v>
      </c>
      <c r="V301" s="3">
        <v>0</v>
      </c>
      <c r="W301" s="3">
        <f t="shared" si="49"/>
        <v>0</v>
      </c>
      <c r="AA301" s="3">
        <v>5.5</v>
      </c>
    </row>
    <row r="302" spans="1:27" x14ac:dyDescent="0.3">
      <c r="A302" s="3" t="str">
        <f t="shared" si="40"/>
        <v>South9430119902210</v>
      </c>
      <c r="B302" s="3" t="str">
        <f t="shared" si="41"/>
        <v>CMR9430119902210</v>
      </c>
      <c r="C302" s="10">
        <v>9430119902210</v>
      </c>
      <c r="D302" s="10" t="str">
        <f t="shared" si="42"/>
        <v>9430119902</v>
      </c>
      <c r="E302" s="3" t="s">
        <v>5</v>
      </c>
      <c r="F302" s="3" t="s">
        <v>65</v>
      </c>
      <c r="H302" s="3">
        <v>1.4460000000000002</v>
      </c>
      <c r="I302" s="10">
        <f t="shared" si="43"/>
        <v>0</v>
      </c>
      <c r="J302" s="3">
        <v>0</v>
      </c>
      <c r="K302" s="3">
        <v>0</v>
      </c>
      <c r="L302" s="3">
        <f t="shared" si="44"/>
        <v>0</v>
      </c>
      <c r="N302" s="11">
        <f t="shared" si="45"/>
        <v>1.4460000000000002</v>
      </c>
      <c r="O302" s="3">
        <v>0</v>
      </c>
      <c r="P302" s="11">
        <f t="shared" si="46"/>
        <v>9999</v>
      </c>
      <c r="Q302" s="12">
        <f t="shared" si="47"/>
        <v>9999</v>
      </c>
      <c r="R302" s="13">
        <f t="shared" si="48"/>
        <v>9999</v>
      </c>
      <c r="S302" s="3" t="s">
        <v>31</v>
      </c>
      <c r="T302" s="3" t="s">
        <v>35</v>
      </c>
      <c r="U302" s="10">
        <v>0</v>
      </c>
      <c r="V302" s="3">
        <v>0</v>
      </c>
      <c r="W302" s="3">
        <f t="shared" si="49"/>
        <v>0</v>
      </c>
      <c r="AA302" s="3">
        <v>5.5</v>
      </c>
    </row>
    <row r="303" spans="1:27" x14ac:dyDescent="0.3">
      <c r="A303" s="3" t="str">
        <f t="shared" si="40"/>
        <v>South9430119900320</v>
      </c>
      <c r="B303" s="3" t="str">
        <f t="shared" si="41"/>
        <v>CMR9430119900320</v>
      </c>
      <c r="C303" s="10">
        <v>9430119900320</v>
      </c>
      <c r="D303" s="10" t="str">
        <f t="shared" si="42"/>
        <v>9430119900</v>
      </c>
      <c r="E303" s="3" t="s">
        <v>5</v>
      </c>
      <c r="F303" s="3" t="s">
        <v>65</v>
      </c>
      <c r="H303" s="3">
        <v>0.02</v>
      </c>
      <c r="I303" s="10">
        <f t="shared" si="43"/>
        <v>0</v>
      </c>
      <c r="J303" s="3">
        <v>0</v>
      </c>
      <c r="K303" s="3">
        <v>0</v>
      </c>
      <c r="L303" s="3">
        <f t="shared" si="44"/>
        <v>0</v>
      </c>
      <c r="N303" s="11">
        <f t="shared" si="45"/>
        <v>0.02</v>
      </c>
      <c r="O303" s="3">
        <v>0</v>
      </c>
      <c r="P303" s="11">
        <f t="shared" si="46"/>
        <v>9999</v>
      </c>
      <c r="Q303" s="12">
        <f t="shared" si="47"/>
        <v>9999</v>
      </c>
      <c r="R303" s="13">
        <f t="shared" si="48"/>
        <v>20.328406414680188</v>
      </c>
      <c r="S303" s="3" t="s">
        <v>31</v>
      </c>
      <c r="T303" s="3" t="s">
        <v>35</v>
      </c>
      <c r="U303" s="10">
        <v>0</v>
      </c>
      <c r="V303" s="3">
        <v>0</v>
      </c>
      <c r="W303" s="3">
        <f t="shared" si="49"/>
        <v>0</v>
      </c>
      <c r="AA303" s="3">
        <v>5.5</v>
      </c>
    </row>
    <row r="304" spans="1:27" x14ac:dyDescent="0.3">
      <c r="A304" s="3" t="str">
        <f t="shared" si="40"/>
        <v>South9430119902310</v>
      </c>
      <c r="B304" s="3" t="str">
        <f t="shared" si="41"/>
        <v>CMR9430119902310</v>
      </c>
      <c r="C304" s="10">
        <v>9430119902310</v>
      </c>
      <c r="D304" s="10" t="str">
        <f t="shared" si="42"/>
        <v>9430119902</v>
      </c>
      <c r="E304" s="3" t="s">
        <v>5</v>
      </c>
      <c r="F304" s="3" t="s">
        <v>65</v>
      </c>
      <c r="H304" s="3">
        <v>0.08</v>
      </c>
      <c r="I304" s="10">
        <f t="shared" si="43"/>
        <v>0</v>
      </c>
      <c r="J304" s="3">
        <v>0</v>
      </c>
      <c r="K304" s="3">
        <v>0</v>
      </c>
      <c r="L304" s="3">
        <f t="shared" si="44"/>
        <v>0</v>
      </c>
      <c r="N304" s="11">
        <f t="shared" si="45"/>
        <v>0.08</v>
      </c>
      <c r="O304" s="3">
        <v>0</v>
      </c>
      <c r="P304" s="11">
        <f t="shared" si="46"/>
        <v>9999</v>
      </c>
      <c r="Q304" s="12">
        <f t="shared" si="47"/>
        <v>9999</v>
      </c>
      <c r="R304" s="13">
        <f t="shared" si="48"/>
        <v>9999</v>
      </c>
      <c r="S304" s="3" t="s">
        <v>31</v>
      </c>
      <c r="T304" s="3" t="s">
        <v>35</v>
      </c>
      <c r="U304" s="10">
        <v>0</v>
      </c>
      <c r="V304" s="3">
        <v>0</v>
      </c>
      <c r="W304" s="3">
        <f t="shared" si="49"/>
        <v>0</v>
      </c>
      <c r="AA304" s="3">
        <v>5.5</v>
      </c>
    </row>
    <row r="305" spans="1:27" x14ac:dyDescent="0.3">
      <c r="A305" s="3" t="str">
        <f t="shared" si="40"/>
        <v>South9430119900220</v>
      </c>
      <c r="B305" s="3" t="str">
        <f t="shared" si="41"/>
        <v>CMR9430119900220</v>
      </c>
      <c r="C305" s="10">
        <v>9430119900220</v>
      </c>
      <c r="D305" s="10" t="str">
        <f t="shared" si="42"/>
        <v>9430119900</v>
      </c>
      <c r="E305" s="3" t="s">
        <v>5</v>
      </c>
      <c r="F305" s="3" t="s">
        <v>65</v>
      </c>
      <c r="H305" s="3">
        <v>4.8000000000000001E-2</v>
      </c>
      <c r="I305" s="10">
        <f t="shared" si="43"/>
        <v>0</v>
      </c>
      <c r="J305" s="3">
        <v>0</v>
      </c>
      <c r="K305" s="3">
        <v>0</v>
      </c>
      <c r="L305" s="3">
        <f t="shared" si="44"/>
        <v>0</v>
      </c>
      <c r="N305" s="11">
        <f t="shared" si="45"/>
        <v>4.8000000000000001E-2</v>
      </c>
      <c r="O305" s="3">
        <v>0</v>
      </c>
      <c r="P305" s="11">
        <f t="shared" si="46"/>
        <v>9999</v>
      </c>
      <c r="Q305" s="12">
        <f t="shared" si="47"/>
        <v>9999</v>
      </c>
      <c r="R305" s="13">
        <f t="shared" si="48"/>
        <v>1507.1861279617206</v>
      </c>
      <c r="S305" s="3" t="s">
        <v>31</v>
      </c>
      <c r="T305" s="3" t="s">
        <v>35</v>
      </c>
      <c r="U305" s="10">
        <v>0</v>
      </c>
      <c r="V305" s="3">
        <v>0</v>
      </c>
      <c r="W305" s="3">
        <f t="shared" si="49"/>
        <v>0</v>
      </c>
      <c r="AA305" s="3">
        <v>5.5</v>
      </c>
    </row>
    <row r="306" spans="1:27" x14ac:dyDescent="0.3">
      <c r="A306" s="3" t="str">
        <f t="shared" si="40"/>
        <v>South9430119900250</v>
      </c>
      <c r="B306" s="3" t="str">
        <f t="shared" si="41"/>
        <v>CMR9430119900250</v>
      </c>
      <c r="C306" s="10">
        <v>9430119900250</v>
      </c>
      <c r="D306" s="10" t="str">
        <f t="shared" si="42"/>
        <v>9430119900</v>
      </c>
      <c r="E306" s="3" t="s">
        <v>5</v>
      </c>
      <c r="F306" s="3" t="s">
        <v>65</v>
      </c>
      <c r="H306" s="3">
        <v>0.06</v>
      </c>
      <c r="I306" s="10">
        <f t="shared" si="43"/>
        <v>0</v>
      </c>
      <c r="J306" s="3">
        <v>0</v>
      </c>
      <c r="K306" s="3">
        <v>0</v>
      </c>
      <c r="L306" s="3">
        <f t="shared" si="44"/>
        <v>0</v>
      </c>
      <c r="N306" s="11">
        <f t="shared" si="45"/>
        <v>0.06</v>
      </c>
      <c r="O306" s="3">
        <v>0</v>
      </c>
      <c r="P306" s="11">
        <f t="shared" si="46"/>
        <v>9999</v>
      </c>
      <c r="Q306" s="12">
        <f t="shared" si="47"/>
        <v>9999</v>
      </c>
      <c r="R306" s="13">
        <f t="shared" si="48"/>
        <v>115.61189076937448</v>
      </c>
      <c r="S306" s="3" t="s">
        <v>31</v>
      </c>
      <c r="T306" s="3" t="s">
        <v>35</v>
      </c>
      <c r="U306" s="10">
        <v>0</v>
      </c>
      <c r="V306" s="3">
        <v>0</v>
      </c>
      <c r="W306" s="3">
        <f t="shared" si="49"/>
        <v>0</v>
      </c>
      <c r="AA306" s="3">
        <v>5.5</v>
      </c>
    </row>
    <row r="307" spans="1:27" x14ac:dyDescent="0.3">
      <c r="A307" s="3" t="str">
        <f t="shared" si="40"/>
        <v>South9430119902250</v>
      </c>
      <c r="B307" s="3" t="str">
        <f t="shared" si="41"/>
        <v>CMR9430119902250</v>
      </c>
      <c r="C307" s="10">
        <v>9430119902250</v>
      </c>
      <c r="D307" s="10" t="str">
        <f t="shared" si="42"/>
        <v>9430119902</v>
      </c>
      <c r="E307" s="3" t="s">
        <v>5</v>
      </c>
      <c r="F307" s="3" t="s">
        <v>65</v>
      </c>
      <c r="H307" s="3">
        <v>0</v>
      </c>
      <c r="I307" s="10">
        <f t="shared" si="43"/>
        <v>0</v>
      </c>
      <c r="J307" s="3">
        <v>0</v>
      </c>
      <c r="K307" s="3">
        <v>0</v>
      </c>
      <c r="L307" s="3">
        <f t="shared" si="44"/>
        <v>0</v>
      </c>
      <c r="N307" s="11">
        <f t="shared" si="45"/>
        <v>0</v>
      </c>
      <c r="O307" s="3">
        <v>0</v>
      </c>
      <c r="P307" s="11">
        <f t="shared" si="46"/>
        <v>9999</v>
      </c>
      <c r="Q307" s="12">
        <f t="shared" si="47"/>
        <v>9999</v>
      </c>
      <c r="R307" s="13">
        <f t="shared" si="48"/>
        <v>9999</v>
      </c>
      <c r="S307" s="3" t="s">
        <v>31</v>
      </c>
      <c r="T307" s="3" t="s">
        <v>35</v>
      </c>
      <c r="U307" s="10">
        <v>0</v>
      </c>
      <c r="V307" s="3">
        <v>0</v>
      </c>
      <c r="W307" s="3">
        <f t="shared" si="49"/>
        <v>0</v>
      </c>
      <c r="AA307" s="3">
        <v>5.5</v>
      </c>
    </row>
    <row r="308" spans="1:27" x14ac:dyDescent="0.3">
      <c r="A308" s="3" t="str">
        <f t="shared" si="40"/>
        <v>South9430119901210</v>
      </c>
      <c r="B308" s="3" t="str">
        <f t="shared" si="41"/>
        <v>CMR9430119901210</v>
      </c>
      <c r="C308" s="10">
        <v>9430119901210</v>
      </c>
      <c r="D308" s="10" t="str">
        <f t="shared" si="42"/>
        <v>9430119901</v>
      </c>
      <c r="E308" s="3" t="s">
        <v>5</v>
      </c>
      <c r="F308" s="3" t="s">
        <v>65</v>
      </c>
      <c r="H308" s="3">
        <v>0.43900000000000006</v>
      </c>
      <c r="I308" s="10">
        <f t="shared" si="43"/>
        <v>0</v>
      </c>
      <c r="J308" s="3">
        <v>0</v>
      </c>
      <c r="K308" s="3">
        <v>0</v>
      </c>
      <c r="L308" s="3">
        <f t="shared" si="44"/>
        <v>0</v>
      </c>
      <c r="N308" s="11">
        <f t="shared" si="45"/>
        <v>0.43900000000000006</v>
      </c>
      <c r="O308" s="3">
        <v>0</v>
      </c>
      <c r="P308" s="11">
        <f t="shared" si="46"/>
        <v>9999</v>
      </c>
      <c r="Q308" s="12">
        <f t="shared" si="47"/>
        <v>9999</v>
      </c>
      <c r="R308" s="13">
        <f t="shared" si="48"/>
        <v>9999</v>
      </c>
      <c r="S308" s="3" t="s">
        <v>31</v>
      </c>
      <c r="T308" s="3" t="s">
        <v>35</v>
      </c>
      <c r="U308" s="10">
        <v>0</v>
      </c>
      <c r="V308" s="3">
        <v>0</v>
      </c>
      <c r="W308" s="3">
        <f t="shared" si="49"/>
        <v>0</v>
      </c>
      <c r="AA308" s="3">
        <v>5.5</v>
      </c>
    </row>
    <row r="309" spans="1:27" x14ac:dyDescent="0.3">
      <c r="A309" s="3" t="str">
        <f t="shared" si="40"/>
        <v>South9430119902220</v>
      </c>
      <c r="B309" s="3" t="str">
        <f t="shared" si="41"/>
        <v>CMR9430119902220</v>
      </c>
      <c r="C309" s="10">
        <v>9430119902220</v>
      </c>
      <c r="D309" s="10" t="str">
        <f t="shared" si="42"/>
        <v>9430119902</v>
      </c>
      <c r="E309" s="3" t="s">
        <v>5</v>
      </c>
      <c r="F309" s="3" t="s">
        <v>65</v>
      </c>
      <c r="H309" s="3">
        <v>0.73</v>
      </c>
      <c r="I309" s="10">
        <f t="shared" si="43"/>
        <v>0</v>
      </c>
      <c r="J309" s="3">
        <v>0</v>
      </c>
      <c r="K309" s="3">
        <v>0</v>
      </c>
      <c r="L309" s="3">
        <f t="shared" si="44"/>
        <v>0</v>
      </c>
      <c r="N309" s="11">
        <f t="shared" si="45"/>
        <v>0.73</v>
      </c>
      <c r="O309" s="3">
        <v>0</v>
      </c>
      <c r="P309" s="11">
        <f t="shared" si="46"/>
        <v>9999</v>
      </c>
      <c r="Q309" s="12">
        <f t="shared" si="47"/>
        <v>9999</v>
      </c>
      <c r="R309" s="13">
        <f t="shared" si="48"/>
        <v>9999</v>
      </c>
      <c r="S309" s="3" t="s">
        <v>31</v>
      </c>
      <c r="T309" s="3" t="s">
        <v>35</v>
      </c>
      <c r="U309" s="10">
        <v>0</v>
      </c>
      <c r="V309" s="3">
        <v>0</v>
      </c>
      <c r="W309" s="3">
        <f t="shared" si="49"/>
        <v>0</v>
      </c>
      <c r="AA309" s="3">
        <v>5.5</v>
      </c>
    </row>
    <row r="310" spans="1:27" x14ac:dyDescent="0.3">
      <c r="A310" s="3" t="str">
        <f t="shared" si="40"/>
        <v>South9430119901250</v>
      </c>
      <c r="B310" s="3" t="str">
        <f t="shared" si="41"/>
        <v>CMR9430119901250</v>
      </c>
      <c r="C310" s="10">
        <v>9430119901250</v>
      </c>
      <c r="D310" s="10" t="str">
        <f t="shared" si="42"/>
        <v>9430119901</v>
      </c>
      <c r="E310" s="3" t="s">
        <v>5</v>
      </c>
      <c r="F310" s="3" t="s">
        <v>65</v>
      </c>
      <c r="H310" s="3">
        <v>0.02</v>
      </c>
      <c r="I310" s="10">
        <f t="shared" si="43"/>
        <v>0</v>
      </c>
      <c r="J310" s="3">
        <v>0</v>
      </c>
      <c r="K310" s="3">
        <v>0</v>
      </c>
      <c r="L310" s="3">
        <f t="shared" si="44"/>
        <v>0</v>
      </c>
      <c r="N310" s="11">
        <f t="shared" si="45"/>
        <v>0.02</v>
      </c>
      <c r="O310" s="3">
        <v>0</v>
      </c>
      <c r="P310" s="11">
        <f t="shared" si="46"/>
        <v>9999</v>
      </c>
      <c r="Q310" s="12">
        <f t="shared" si="47"/>
        <v>9999</v>
      </c>
      <c r="R310" s="13">
        <f t="shared" si="48"/>
        <v>9999</v>
      </c>
      <c r="S310" s="3" t="s">
        <v>31</v>
      </c>
      <c r="T310" s="3" t="s">
        <v>35</v>
      </c>
      <c r="U310" s="10">
        <v>0</v>
      </c>
      <c r="V310" s="3">
        <v>0</v>
      </c>
      <c r="W310" s="3">
        <f t="shared" si="49"/>
        <v>0</v>
      </c>
      <c r="AA310" s="3">
        <v>5.5</v>
      </c>
    </row>
    <row r="311" spans="1:27" x14ac:dyDescent="0.3">
      <c r="A311" s="3" t="str">
        <f t="shared" si="40"/>
        <v>South9430119901220</v>
      </c>
      <c r="B311" s="3" t="str">
        <f t="shared" si="41"/>
        <v>CMR9430119901220</v>
      </c>
      <c r="C311" s="10">
        <v>9430119901220</v>
      </c>
      <c r="D311" s="10" t="str">
        <f t="shared" si="42"/>
        <v>9430119901</v>
      </c>
      <c r="E311" s="3" t="s">
        <v>5</v>
      </c>
      <c r="F311" s="3" t="s">
        <v>65</v>
      </c>
      <c r="H311" s="3">
        <v>0.78</v>
      </c>
      <c r="I311" s="10">
        <f t="shared" si="43"/>
        <v>0</v>
      </c>
      <c r="J311" s="3">
        <v>0</v>
      </c>
      <c r="K311" s="3">
        <v>0</v>
      </c>
      <c r="L311" s="3">
        <f t="shared" si="44"/>
        <v>0</v>
      </c>
      <c r="N311" s="11">
        <f t="shared" si="45"/>
        <v>0.78</v>
      </c>
      <c r="O311" s="3">
        <v>0</v>
      </c>
      <c r="P311" s="11">
        <f t="shared" si="46"/>
        <v>9999</v>
      </c>
      <c r="Q311" s="12">
        <f t="shared" si="47"/>
        <v>9999</v>
      </c>
      <c r="R311" s="13">
        <f t="shared" si="48"/>
        <v>9999</v>
      </c>
      <c r="S311" s="3" t="s">
        <v>31</v>
      </c>
      <c r="T311" s="3" t="s">
        <v>35</v>
      </c>
      <c r="U311" s="10">
        <v>0</v>
      </c>
      <c r="V311" s="3">
        <v>0</v>
      </c>
      <c r="W311" s="3">
        <f t="shared" si="49"/>
        <v>0</v>
      </c>
      <c r="AA311" s="3">
        <v>5.5</v>
      </c>
    </row>
    <row r="312" spans="1:27" x14ac:dyDescent="0.3">
      <c r="A312" s="3" t="str">
        <f t="shared" si="40"/>
        <v>South9430119902320</v>
      </c>
      <c r="B312" s="3" t="str">
        <f t="shared" si="41"/>
        <v>CMR9430119902320</v>
      </c>
      <c r="C312" s="10">
        <v>9430119902320</v>
      </c>
      <c r="D312" s="10" t="str">
        <f t="shared" si="42"/>
        <v>9430119902</v>
      </c>
      <c r="E312" s="3" t="s">
        <v>5</v>
      </c>
      <c r="F312" s="3" t="s">
        <v>65</v>
      </c>
      <c r="H312" s="3">
        <v>2.6</v>
      </c>
      <c r="I312" s="10">
        <f t="shared" si="43"/>
        <v>0</v>
      </c>
      <c r="J312" s="3">
        <v>0</v>
      </c>
      <c r="K312" s="3">
        <v>0</v>
      </c>
      <c r="L312" s="3">
        <f t="shared" si="44"/>
        <v>0</v>
      </c>
      <c r="N312" s="11">
        <f t="shared" si="45"/>
        <v>2.6</v>
      </c>
      <c r="O312" s="3">
        <v>0</v>
      </c>
      <c r="P312" s="11">
        <f t="shared" si="46"/>
        <v>9999</v>
      </c>
      <c r="Q312" s="12">
        <f t="shared" si="47"/>
        <v>9999</v>
      </c>
      <c r="R312" s="13">
        <f t="shared" si="48"/>
        <v>9999</v>
      </c>
      <c r="S312" s="3" t="s">
        <v>31</v>
      </c>
      <c r="T312" s="3" t="s">
        <v>35</v>
      </c>
      <c r="U312" s="10">
        <v>0</v>
      </c>
      <c r="V312" s="3">
        <v>0</v>
      </c>
      <c r="W312" s="3">
        <f t="shared" si="49"/>
        <v>0</v>
      </c>
      <c r="AA312" s="3">
        <v>5.5</v>
      </c>
    </row>
    <row r="313" spans="1:27" x14ac:dyDescent="0.3">
      <c r="A313" s="3" t="str">
        <f t="shared" si="40"/>
        <v>South9430119901310</v>
      </c>
      <c r="B313" s="3" t="str">
        <f t="shared" si="41"/>
        <v>CMR9430119901310</v>
      </c>
      <c r="C313" s="10">
        <v>9430119901310</v>
      </c>
      <c r="D313" s="10" t="str">
        <f t="shared" si="42"/>
        <v>9430119901</v>
      </c>
      <c r="E313" s="3" t="s">
        <v>5</v>
      </c>
      <c r="F313" s="3" t="s">
        <v>65</v>
      </c>
      <c r="H313" s="3">
        <v>0</v>
      </c>
      <c r="I313" s="10">
        <f t="shared" si="43"/>
        <v>0</v>
      </c>
      <c r="J313" s="3">
        <v>0</v>
      </c>
      <c r="K313" s="3">
        <v>0</v>
      </c>
      <c r="L313" s="3">
        <f t="shared" si="44"/>
        <v>0</v>
      </c>
      <c r="N313" s="11">
        <f t="shared" si="45"/>
        <v>0</v>
      </c>
      <c r="O313" s="3">
        <v>0</v>
      </c>
      <c r="P313" s="11">
        <f t="shared" si="46"/>
        <v>9999</v>
      </c>
      <c r="Q313" s="12">
        <f t="shared" si="47"/>
        <v>9999</v>
      </c>
      <c r="R313" s="13">
        <f t="shared" si="48"/>
        <v>1841.6460679754766</v>
      </c>
      <c r="S313" s="3" t="s">
        <v>31</v>
      </c>
      <c r="T313" s="3" t="s">
        <v>35</v>
      </c>
      <c r="U313" s="10">
        <v>0</v>
      </c>
      <c r="V313" s="3">
        <v>0</v>
      </c>
      <c r="W313" s="3">
        <f t="shared" si="49"/>
        <v>0</v>
      </c>
      <c r="AA313" s="3">
        <v>5.5</v>
      </c>
    </row>
    <row r="314" spans="1:27" x14ac:dyDescent="0.3">
      <c r="A314" s="3" t="str">
        <f t="shared" si="40"/>
        <v>East9430109900320</v>
      </c>
      <c r="B314" s="3" t="str">
        <f t="shared" si="41"/>
        <v>KGP9430109900320</v>
      </c>
      <c r="C314" s="10">
        <v>9430109900320</v>
      </c>
      <c r="D314" s="10" t="str">
        <f t="shared" si="42"/>
        <v>9430109900</v>
      </c>
      <c r="E314" s="3" t="s">
        <v>6</v>
      </c>
      <c r="F314" s="3" t="s">
        <v>66</v>
      </c>
      <c r="H314" s="3">
        <v>165.52200000000002</v>
      </c>
      <c r="I314" s="10">
        <f t="shared" si="43"/>
        <v>13.292109160044248</v>
      </c>
      <c r="J314" s="3">
        <v>373.57953807110249</v>
      </c>
      <c r="K314" s="3">
        <v>517</v>
      </c>
      <c r="L314" s="3">
        <f t="shared" si="44"/>
        <v>0</v>
      </c>
      <c r="N314" s="11">
        <f t="shared" si="45"/>
        <v>-208.05753807110247</v>
      </c>
      <c r="O314" s="3">
        <v>373.57953807110249</v>
      </c>
      <c r="P314" s="11">
        <f t="shared" si="46"/>
        <v>-16.707890839955752</v>
      </c>
      <c r="Q314" s="12">
        <f t="shared" si="47"/>
        <v>-16.707890839955752</v>
      </c>
      <c r="R314" s="13">
        <f t="shared" si="48"/>
        <v>-4.5713762747685207</v>
      </c>
      <c r="S314" s="3" t="s">
        <v>29</v>
      </c>
      <c r="T314" s="3" t="s">
        <v>35</v>
      </c>
      <c r="U314" s="10">
        <v>0</v>
      </c>
      <c r="V314" s="3">
        <v>0</v>
      </c>
      <c r="W314" s="3">
        <f t="shared" si="49"/>
        <v>0</v>
      </c>
      <c r="AA314" s="3">
        <v>5.5</v>
      </c>
    </row>
    <row r="315" spans="1:27" x14ac:dyDescent="0.3">
      <c r="A315" s="3" t="str">
        <f t="shared" si="40"/>
        <v>East9430109901320</v>
      </c>
      <c r="B315" s="3" t="str">
        <f t="shared" si="41"/>
        <v>KGP9430109901320</v>
      </c>
      <c r="C315" s="10">
        <v>9430109901320</v>
      </c>
      <c r="D315" s="10" t="str">
        <f t="shared" si="42"/>
        <v>9430109901</v>
      </c>
      <c r="E315" s="3" t="s">
        <v>6</v>
      </c>
      <c r="F315" s="3" t="s">
        <v>66</v>
      </c>
      <c r="H315" s="3">
        <v>105.89700000000001</v>
      </c>
      <c r="I315" s="10">
        <f t="shared" si="43"/>
        <v>29.486261264977745</v>
      </c>
      <c r="J315" s="3">
        <v>107.74204201240561</v>
      </c>
      <c r="K315" s="3">
        <v>88</v>
      </c>
      <c r="L315" s="3">
        <f t="shared" si="44"/>
        <v>0</v>
      </c>
      <c r="N315" s="11">
        <f t="shared" si="45"/>
        <v>-1.8450420124055995</v>
      </c>
      <c r="O315" s="3">
        <v>107.74204201240561</v>
      </c>
      <c r="P315" s="11">
        <f t="shared" si="46"/>
        <v>-0.51373873502225564</v>
      </c>
      <c r="Q315" s="12">
        <f t="shared" si="47"/>
        <v>-0.51373873502225575</v>
      </c>
      <c r="R315" s="13">
        <f t="shared" si="48"/>
        <v>-2.4897770966686847</v>
      </c>
      <c r="S315" s="3" t="s">
        <v>29</v>
      </c>
      <c r="T315" s="3" t="s">
        <v>35</v>
      </c>
      <c r="U315" s="10">
        <v>0</v>
      </c>
      <c r="V315" s="3">
        <v>0</v>
      </c>
      <c r="W315" s="3">
        <f t="shared" si="49"/>
        <v>0</v>
      </c>
      <c r="AA315" s="3">
        <v>5.5</v>
      </c>
    </row>
    <row r="316" spans="1:27" x14ac:dyDescent="0.3">
      <c r="A316" s="3" t="str">
        <f t="shared" si="40"/>
        <v>East9430109900310</v>
      </c>
      <c r="B316" s="3" t="str">
        <f t="shared" si="41"/>
        <v>KGP9430109900310</v>
      </c>
      <c r="C316" s="10">
        <v>9430109900310</v>
      </c>
      <c r="D316" s="10" t="str">
        <f t="shared" si="42"/>
        <v>9430109900</v>
      </c>
      <c r="E316" s="3" t="s">
        <v>6</v>
      </c>
      <c r="F316" s="3" t="s">
        <v>66</v>
      </c>
      <c r="H316" s="3">
        <v>125.67000000000002</v>
      </c>
      <c r="I316" s="10">
        <f t="shared" si="43"/>
        <v>48.839157221534052</v>
      </c>
      <c r="J316" s="3">
        <v>77.194206748876823</v>
      </c>
      <c r="K316" s="3">
        <v>22</v>
      </c>
      <c r="L316" s="3">
        <f t="shared" si="44"/>
        <v>0</v>
      </c>
      <c r="N316" s="11">
        <f t="shared" si="45"/>
        <v>48.475793251123193</v>
      </c>
      <c r="O316" s="3">
        <v>77.194206748876823</v>
      </c>
      <c r="P316" s="11">
        <f t="shared" si="46"/>
        <v>18.839157221534055</v>
      </c>
      <c r="Q316" s="12">
        <f t="shared" si="47"/>
        <v>18.839157221534059</v>
      </c>
      <c r="R316" s="13">
        <f t="shared" si="48"/>
        <v>2.5620483154508742</v>
      </c>
      <c r="S316" s="3" t="s">
        <v>30</v>
      </c>
      <c r="T316" s="3" t="s">
        <v>35</v>
      </c>
      <c r="U316" s="10">
        <v>0</v>
      </c>
      <c r="V316" s="3">
        <v>0</v>
      </c>
      <c r="W316" s="3">
        <f t="shared" si="49"/>
        <v>0</v>
      </c>
      <c r="AA316" s="3">
        <v>5.5</v>
      </c>
    </row>
    <row r="317" spans="1:27" x14ac:dyDescent="0.3">
      <c r="A317" s="3" t="str">
        <f t="shared" si="40"/>
        <v>East9430109901310</v>
      </c>
      <c r="B317" s="3" t="str">
        <f t="shared" si="41"/>
        <v>KGP9430109901310</v>
      </c>
      <c r="C317" s="10">
        <v>9430109901310</v>
      </c>
      <c r="D317" s="10" t="str">
        <f t="shared" si="42"/>
        <v>9430109901</v>
      </c>
      <c r="E317" s="3" t="s">
        <v>6</v>
      </c>
      <c r="F317" s="3" t="s">
        <v>66</v>
      </c>
      <c r="H317" s="3">
        <v>30.81</v>
      </c>
      <c r="I317" s="10">
        <f t="shared" si="43"/>
        <v>26.307982884897552</v>
      </c>
      <c r="J317" s="3">
        <v>35.133822461569515</v>
      </c>
      <c r="K317" s="3">
        <v>27.5</v>
      </c>
      <c r="L317" s="3">
        <f t="shared" si="44"/>
        <v>0</v>
      </c>
      <c r="N317" s="11">
        <f t="shared" si="45"/>
        <v>-4.3238224615695167</v>
      </c>
      <c r="O317" s="3">
        <v>35.133822461569515</v>
      </c>
      <c r="P317" s="11">
        <f t="shared" si="46"/>
        <v>-3.6920171151024488</v>
      </c>
      <c r="Q317" s="12">
        <f t="shared" si="47"/>
        <v>-3.6920171151024488</v>
      </c>
      <c r="R317" s="13">
        <f t="shared" si="48"/>
        <v>5.4137783376715598</v>
      </c>
      <c r="S317" s="3" t="s">
        <v>30</v>
      </c>
      <c r="T317" s="3" t="s">
        <v>35</v>
      </c>
      <c r="U317" s="10">
        <v>0</v>
      </c>
      <c r="V317" s="3">
        <v>0</v>
      </c>
      <c r="W317" s="3">
        <f t="shared" si="49"/>
        <v>0</v>
      </c>
      <c r="AA317" s="3">
        <v>5.5</v>
      </c>
    </row>
    <row r="318" spans="1:27" x14ac:dyDescent="0.3">
      <c r="A318" s="3" t="str">
        <f t="shared" si="40"/>
        <v>East9430109900250</v>
      </c>
      <c r="B318" s="3" t="str">
        <f t="shared" si="41"/>
        <v>KGP9430109900250</v>
      </c>
      <c r="C318" s="10">
        <v>9430109900250</v>
      </c>
      <c r="D318" s="10" t="str">
        <f t="shared" si="42"/>
        <v>9430109900</v>
      </c>
      <c r="E318" s="3" t="s">
        <v>6</v>
      </c>
      <c r="F318" s="3" t="s">
        <v>66</v>
      </c>
      <c r="H318" s="3">
        <v>41.560000000000009</v>
      </c>
      <c r="I318" s="10">
        <f t="shared" si="43"/>
        <v>43.032806257939249</v>
      </c>
      <c r="J318" s="3">
        <v>28.973244099551945</v>
      </c>
      <c r="K318" s="3">
        <v>11</v>
      </c>
      <c r="L318" s="3">
        <f t="shared" si="44"/>
        <v>0</v>
      </c>
      <c r="N318" s="11">
        <f t="shared" si="45"/>
        <v>12.586755900448065</v>
      </c>
      <c r="O318" s="3">
        <v>28.973244099551945</v>
      </c>
      <c r="P318" s="11">
        <f t="shared" si="46"/>
        <v>13.032806257939248</v>
      </c>
      <c r="Q318" s="12">
        <f t="shared" si="47"/>
        <v>13.032806257939248</v>
      </c>
      <c r="R318" s="13">
        <f t="shared" si="48"/>
        <v>2.3570648481173837</v>
      </c>
      <c r="S318" s="3" t="s">
        <v>30</v>
      </c>
      <c r="T318" s="3" t="s">
        <v>35</v>
      </c>
      <c r="U318" s="10">
        <v>0</v>
      </c>
      <c r="V318" s="3">
        <v>0</v>
      </c>
      <c r="W318" s="3">
        <f t="shared" si="49"/>
        <v>0</v>
      </c>
      <c r="AA318" s="3">
        <v>5.5</v>
      </c>
    </row>
    <row r="319" spans="1:27" x14ac:dyDescent="0.3">
      <c r="A319" s="3" t="str">
        <f t="shared" si="40"/>
        <v>East9410069900820</v>
      </c>
      <c r="B319" s="3" t="str">
        <f t="shared" si="41"/>
        <v>KGP9410069900820</v>
      </c>
      <c r="C319" s="10">
        <v>9410069900820</v>
      </c>
      <c r="D319" s="10" t="str">
        <f t="shared" si="42"/>
        <v>9410069900</v>
      </c>
      <c r="E319" s="3" t="s">
        <v>6</v>
      </c>
      <c r="F319" s="3" t="s">
        <v>66</v>
      </c>
      <c r="H319" s="3">
        <v>24.279999999999998</v>
      </c>
      <c r="I319" s="10">
        <f t="shared" si="43"/>
        <v>26.089395151724624</v>
      </c>
      <c r="J319" s="3">
        <v>27.919390072630698</v>
      </c>
      <c r="K319" s="3">
        <v>49.5</v>
      </c>
      <c r="L319" s="3">
        <f t="shared" si="44"/>
        <v>0</v>
      </c>
      <c r="N319" s="11">
        <f t="shared" si="45"/>
        <v>-3.6393900726307002</v>
      </c>
      <c r="O319" s="3">
        <v>27.919390072630698</v>
      </c>
      <c r="P319" s="11">
        <f t="shared" si="46"/>
        <v>-3.9106048482753759</v>
      </c>
      <c r="Q319" s="12">
        <f t="shared" si="47"/>
        <v>-3.9106048482753755</v>
      </c>
      <c r="R319" s="13">
        <f t="shared" si="48"/>
        <v>-3.8159946426130387</v>
      </c>
      <c r="S319" s="3" t="s">
        <v>29</v>
      </c>
      <c r="T319" s="3" t="s">
        <v>32</v>
      </c>
      <c r="U319" s="10">
        <v>0</v>
      </c>
      <c r="V319" s="3">
        <v>0</v>
      </c>
      <c r="W319" s="3">
        <f t="shared" si="49"/>
        <v>0</v>
      </c>
      <c r="AA319" s="3">
        <v>5.5</v>
      </c>
    </row>
    <row r="320" spans="1:27" x14ac:dyDescent="0.3">
      <c r="A320" s="3" t="str">
        <f t="shared" si="40"/>
        <v>East9430109902320</v>
      </c>
      <c r="B320" s="3" t="str">
        <f t="shared" si="41"/>
        <v>KGP9430109902320</v>
      </c>
      <c r="C320" s="10">
        <v>9430109902320</v>
      </c>
      <c r="D320" s="10" t="str">
        <f t="shared" si="42"/>
        <v>9430109902</v>
      </c>
      <c r="E320" s="3" t="s">
        <v>6</v>
      </c>
      <c r="F320" s="3" t="s">
        <v>66</v>
      </c>
      <c r="H320" s="3">
        <v>20.160000000000004</v>
      </c>
      <c r="I320" s="10">
        <f t="shared" si="43"/>
        <v>39.759884483596139</v>
      </c>
      <c r="J320" s="3">
        <v>15.211311799699125</v>
      </c>
      <c r="K320" s="3">
        <v>16.5</v>
      </c>
      <c r="L320" s="3">
        <f t="shared" si="44"/>
        <v>0</v>
      </c>
      <c r="N320" s="11">
        <f t="shared" si="45"/>
        <v>4.9486882003008787</v>
      </c>
      <c r="O320" s="3">
        <v>15.211311799699125</v>
      </c>
      <c r="P320" s="11">
        <f t="shared" si="46"/>
        <v>9.7598844835961405</v>
      </c>
      <c r="Q320" s="12">
        <f t="shared" si="47"/>
        <v>9.7598844835961405</v>
      </c>
      <c r="R320" s="13">
        <f t="shared" si="48"/>
        <v>22.447350601553385</v>
      </c>
      <c r="S320" s="3" t="s">
        <v>31</v>
      </c>
      <c r="T320" s="3" t="s">
        <v>35</v>
      </c>
      <c r="U320" s="10">
        <v>0</v>
      </c>
      <c r="V320" s="3">
        <v>0</v>
      </c>
      <c r="W320" s="3">
        <f t="shared" si="49"/>
        <v>0</v>
      </c>
      <c r="AA320" s="3">
        <v>5.5</v>
      </c>
    </row>
    <row r="321" spans="1:27" x14ac:dyDescent="0.3">
      <c r="A321" s="3" t="str">
        <f t="shared" si="40"/>
        <v>East9430109901250</v>
      </c>
      <c r="B321" s="3" t="str">
        <f t="shared" si="41"/>
        <v>KGP9430109901250</v>
      </c>
      <c r="C321" s="10">
        <v>9430109901250</v>
      </c>
      <c r="D321" s="10" t="str">
        <f t="shared" si="42"/>
        <v>9430109901</v>
      </c>
      <c r="E321" s="3" t="s">
        <v>6</v>
      </c>
      <c r="F321" s="3" t="s">
        <v>66</v>
      </c>
      <c r="H321" s="3">
        <v>13.320000000000002</v>
      </c>
      <c r="I321" s="10">
        <f t="shared" si="43"/>
        <v>27.235007712320588</v>
      </c>
      <c r="J321" s="3">
        <v>14.672292522216868</v>
      </c>
      <c r="K321" s="3">
        <v>16.5</v>
      </c>
      <c r="L321" s="3">
        <f t="shared" si="44"/>
        <v>0</v>
      </c>
      <c r="N321" s="11">
        <f t="shared" si="45"/>
        <v>-1.3522925222168656</v>
      </c>
      <c r="O321" s="3">
        <v>14.672292522216868</v>
      </c>
      <c r="P321" s="11">
        <f t="shared" si="46"/>
        <v>-2.7649922876794135</v>
      </c>
      <c r="Q321" s="12">
        <f t="shared" si="47"/>
        <v>-2.7649922876794135</v>
      </c>
      <c r="R321" s="13">
        <f t="shared" si="48"/>
        <v>17.653824107204038</v>
      </c>
      <c r="S321" s="3" t="s">
        <v>31</v>
      </c>
      <c r="T321" s="3" t="s">
        <v>35</v>
      </c>
      <c r="U321" s="10">
        <v>0</v>
      </c>
      <c r="V321" s="3">
        <v>0</v>
      </c>
      <c r="W321" s="3">
        <f t="shared" si="49"/>
        <v>0</v>
      </c>
      <c r="AA321" s="3">
        <v>5.5</v>
      </c>
    </row>
    <row r="322" spans="1:27" x14ac:dyDescent="0.3">
      <c r="A322" s="3" t="str">
        <f t="shared" si="40"/>
        <v>East9100209900320</v>
      </c>
      <c r="B322" s="3" t="str">
        <f t="shared" si="41"/>
        <v>KGP9100209900320</v>
      </c>
      <c r="C322" s="10">
        <v>9100209900320</v>
      </c>
      <c r="D322" s="10" t="str">
        <f t="shared" si="42"/>
        <v>9100209900</v>
      </c>
      <c r="E322" s="3" t="s">
        <v>6</v>
      </c>
      <c r="F322" s="3" t="s">
        <v>66</v>
      </c>
      <c r="H322" s="3">
        <v>28.070000000000004</v>
      </c>
      <c r="I322" s="10">
        <f t="shared" si="43"/>
        <v>73.59939120731508</v>
      </c>
      <c r="J322" s="3">
        <v>11.44167072833482</v>
      </c>
      <c r="K322" s="3">
        <v>0</v>
      </c>
      <c r="L322" s="3">
        <f t="shared" si="44"/>
        <v>0</v>
      </c>
      <c r="N322" s="11">
        <f t="shared" si="45"/>
        <v>16.628329271665184</v>
      </c>
      <c r="O322" s="3">
        <v>11.44167072833482</v>
      </c>
      <c r="P322" s="11">
        <f t="shared" si="46"/>
        <v>43.599391207315087</v>
      </c>
      <c r="Q322" s="12">
        <f t="shared" si="47"/>
        <v>43.59939120731508</v>
      </c>
      <c r="R322" s="13">
        <f t="shared" si="48"/>
        <v>30.495213785322278</v>
      </c>
      <c r="S322" s="3" t="s">
        <v>30</v>
      </c>
      <c r="T322" s="3" t="s">
        <v>34</v>
      </c>
      <c r="U322" s="10">
        <v>0</v>
      </c>
      <c r="V322" s="3">
        <v>0</v>
      </c>
      <c r="W322" s="3">
        <f t="shared" si="49"/>
        <v>0</v>
      </c>
      <c r="AA322" s="3">
        <v>5.5</v>
      </c>
    </row>
    <row r="323" spans="1:27" x14ac:dyDescent="0.3">
      <c r="A323" s="3" t="str">
        <f t="shared" si="40"/>
        <v>East9100209901320</v>
      </c>
      <c r="B323" s="3" t="str">
        <f t="shared" si="41"/>
        <v>KGP9100209901320</v>
      </c>
      <c r="C323" s="10">
        <v>9100209901320</v>
      </c>
      <c r="D323" s="10" t="str">
        <f t="shared" si="42"/>
        <v>9100209901</v>
      </c>
      <c r="E323" s="3" t="s">
        <v>6</v>
      </c>
      <c r="F323" s="3" t="s">
        <v>66</v>
      </c>
      <c r="H323" s="3">
        <v>19.963999999999999</v>
      </c>
      <c r="I323" s="10">
        <f t="shared" si="43"/>
        <v>69.655291888718381</v>
      </c>
      <c r="J323" s="3">
        <v>8.5983416874749068</v>
      </c>
      <c r="K323" s="3">
        <v>0</v>
      </c>
      <c r="L323" s="3">
        <f t="shared" si="44"/>
        <v>0</v>
      </c>
      <c r="N323" s="11">
        <f t="shared" si="45"/>
        <v>11.365658312525092</v>
      </c>
      <c r="O323" s="3">
        <v>8.5983416874749068</v>
      </c>
      <c r="P323" s="11">
        <f t="shared" si="46"/>
        <v>39.655291888718381</v>
      </c>
      <c r="Q323" s="12">
        <f t="shared" si="47"/>
        <v>39.655291888718381</v>
      </c>
      <c r="R323" s="13">
        <f t="shared" si="48"/>
        <v>22.609197898113969</v>
      </c>
      <c r="S323" s="3" t="s">
        <v>31</v>
      </c>
      <c r="T323" s="3" t="s">
        <v>34</v>
      </c>
      <c r="U323" s="10">
        <v>0</v>
      </c>
      <c r="V323" s="3">
        <v>0</v>
      </c>
      <c r="W323" s="3">
        <f t="shared" si="49"/>
        <v>0</v>
      </c>
      <c r="AA323" s="3">
        <v>5.5</v>
      </c>
    </row>
    <row r="324" spans="1:27" x14ac:dyDescent="0.3">
      <c r="A324" s="3" t="str">
        <f t="shared" ref="A324:A387" si="50">_xlfn.CONCAT(F324,C324)</f>
        <v>East9430109900220</v>
      </c>
      <c r="B324" s="3" t="str">
        <f t="shared" ref="B324:B387" si="51">_xlfn.CONCAT(E324,C324)</f>
        <v>KGP9430109900220</v>
      </c>
      <c r="C324" s="10">
        <v>9430109900220</v>
      </c>
      <c r="D324" s="10" t="str">
        <f t="shared" ref="D324:D387" si="52">LEFT(C324,10)</f>
        <v>9430109900</v>
      </c>
      <c r="E324" s="3" t="s">
        <v>6</v>
      </c>
      <c r="F324" s="3" t="s">
        <v>66</v>
      </c>
      <c r="H324" s="3">
        <v>5.2080000000000002</v>
      </c>
      <c r="I324" s="10">
        <f t="shared" ref="I324:I387" si="53">IFERROR(H324/J324*30,0)</f>
        <v>18.845901132134028</v>
      </c>
      <c r="J324" s="3">
        <v>8.2903968828317876</v>
      </c>
      <c r="K324" s="3">
        <v>11</v>
      </c>
      <c r="L324" s="3">
        <f t="shared" ref="L324:L387" si="54">M324*G324</f>
        <v>0</v>
      </c>
      <c r="N324" s="11">
        <f t="shared" ref="N324:N387" si="55">H324-J324+L324</f>
        <v>-3.0823968828317874</v>
      </c>
      <c r="O324" s="3">
        <v>8.2903968828317876</v>
      </c>
      <c r="P324" s="11">
        <f t="shared" ref="P324:P387" si="56">IF(O324=0,9999,N324/O324*30)</f>
        <v>-11.154098867865972</v>
      </c>
      <c r="Q324" s="12">
        <f t="shared" ref="Q324:Q387" si="57">IF(SUMIF($A:$A,$A324,$O:$O)=0,9999,SUMIF($A:$A,$A324,$N:$N)*30/SUMIF($A:$A,$A324,$O:$O))</f>
        <v>-11.154098867865972</v>
      </c>
      <c r="R324" s="13">
        <f t="shared" ref="R324:R387" si="58">IF(SUMIF($C:$C,$C324,$O:$O)=0,9999,SUMIF($C:$C,$C324,$N:$N)*30/SUMIF($C:$C,$C324,$O:$O))</f>
        <v>4.5783076811390186</v>
      </c>
      <c r="S324" s="3" t="s">
        <v>31</v>
      </c>
      <c r="T324" s="3" t="s">
        <v>35</v>
      </c>
      <c r="U324" s="10">
        <v>0</v>
      </c>
      <c r="V324" s="3">
        <v>0</v>
      </c>
      <c r="W324" s="3">
        <f t="shared" ref="W324:W387" si="59">IFERROR(K324*V324,0)</f>
        <v>0</v>
      </c>
      <c r="AA324" s="3">
        <v>5.5</v>
      </c>
    </row>
    <row r="325" spans="1:27" x14ac:dyDescent="0.3">
      <c r="A325" s="3" t="str">
        <f t="shared" si="50"/>
        <v>East9410069900850</v>
      </c>
      <c r="B325" s="3" t="str">
        <f t="shared" si="51"/>
        <v>KGP9410069900850</v>
      </c>
      <c r="C325" s="10">
        <v>9410069900850</v>
      </c>
      <c r="D325" s="10" t="str">
        <f t="shared" si="52"/>
        <v>9410069900</v>
      </c>
      <c r="E325" s="3" t="s">
        <v>6</v>
      </c>
      <c r="F325" s="3" t="s">
        <v>66</v>
      </c>
      <c r="H325" s="3">
        <v>0.32</v>
      </c>
      <c r="I325" s="10">
        <f t="shared" si="53"/>
        <v>1.3852293737866113</v>
      </c>
      <c r="J325" s="3">
        <v>6.9302602021481823</v>
      </c>
      <c r="K325" s="3">
        <v>16.5</v>
      </c>
      <c r="L325" s="3">
        <f t="shared" si="54"/>
        <v>0</v>
      </c>
      <c r="N325" s="11">
        <f t="shared" si="55"/>
        <v>-6.610260202148182</v>
      </c>
      <c r="O325" s="3">
        <v>6.9302602021481823</v>
      </c>
      <c r="P325" s="11">
        <f t="shared" si="56"/>
        <v>-28.614770626213389</v>
      </c>
      <c r="Q325" s="12">
        <f t="shared" si="57"/>
        <v>-28.614770626213389</v>
      </c>
      <c r="R325" s="13">
        <f t="shared" si="58"/>
        <v>-1.3080659328217683</v>
      </c>
      <c r="S325" s="3" t="s">
        <v>30</v>
      </c>
      <c r="T325" s="3" t="s">
        <v>32</v>
      </c>
      <c r="U325" s="10">
        <v>0</v>
      </c>
      <c r="V325" s="3">
        <v>0</v>
      </c>
      <c r="W325" s="3">
        <f t="shared" si="59"/>
        <v>0</v>
      </c>
      <c r="AA325" s="3">
        <v>5.5</v>
      </c>
    </row>
    <row r="326" spans="1:27" x14ac:dyDescent="0.3">
      <c r="A326" s="3" t="str">
        <f t="shared" si="50"/>
        <v>East9430109902310</v>
      </c>
      <c r="B326" s="3" t="str">
        <f t="shared" si="51"/>
        <v>KGP9430109902310</v>
      </c>
      <c r="C326" s="10">
        <v>9430109902310</v>
      </c>
      <c r="D326" s="10" t="str">
        <f t="shared" si="52"/>
        <v>9430109902</v>
      </c>
      <c r="E326" s="3" t="s">
        <v>6</v>
      </c>
      <c r="F326" s="3" t="s">
        <v>66</v>
      </c>
      <c r="H326" s="3">
        <v>18.34</v>
      </c>
      <c r="I326" s="10">
        <f t="shared" si="53"/>
        <v>81.425450852595802</v>
      </c>
      <c r="J326" s="3">
        <v>6.7571010567202769</v>
      </c>
      <c r="K326" s="3">
        <v>0</v>
      </c>
      <c r="L326" s="3">
        <f t="shared" si="54"/>
        <v>0</v>
      </c>
      <c r="N326" s="11">
        <f t="shared" si="55"/>
        <v>11.582898943279723</v>
      </c>
      <c r="O326" s="3">
        <v>6.7571010567202769</v>
      </c>
      <c r="P326" s="11">
        <f t="shared" si="56"/>
        <v>51.425450852595787</v>
      </c>
      <c r="Q326" s="12">
        <f t="shared" si="57"/>
        <v>51.425450852595787</v>
      </c>
      <c r="R326" s="13">
        <f t="shared" si="58"/>
        <v>50.205707423478124</v>
      </c>
      <c r="S326" s="3" t="s">
        <v>31</v>
      </c>
      <c r="T326" s="3" t="s">
        <v>35</v>
      </c>
      <c r="U326" s="10">
        <v>0</v>
      </c>
      <c r="V326" s="3">
        <v>0</v>
      </c>
      <c r="W326" s="3">
        <f t="shared" si="59"/>
        <v>0</v>
      </c>
      <c r="AA326" s="3">
        <v>5.5</v>
      </c>
    </row>
    <row r="327" spans="1:27" x14ac:dyDescent="0.3">
      <c r="A327" s="3" t="str">
        <f t="shared" si="50"/>
        <v>East9410069900810</v>
      </c>
      <c r="B327" s="3" t="str">
        <f t="shared" si="51"/>
        <v>KGP9410069900810</v>
      </c>
      <c r="C327" s="10">
        <v>9410069900810</v>
      </c>
      <c r="D327" s="10" t="str">
        <f t="shared" si="52"/>
        <v>9410069900</v>
      </c>
      <c r="E327" s="3" t="s">
        <v>6</v>
      </c>
      <c r="F327" s="3" t="s">
        <v>66</v>
      </c>
      <c r="H327" s="3">
        <v>0.06</v>
      </c>
      <c r="I327" s="10">
        <f t="shared" si="53"/>
        <v>0.29157567328047485</v>
      </c>
      <c r="J327" s="3">
        <v>6.1733545180517488</v>
      </c>
      <c r="K327" s="3">
        <v>16.5</v>
      </c>
      <c r="L327" s="3">
        <f t="shared" si="54"/>
        <v>0</v>
      </c>
      <c r="N327" s="11">
        <f t="shared" si="55"/>
        <v>-6.1133545180517492</v>
      </c>
      <c r="O327" s="3">
        <v>6.1733545180517488</v>
      </c>
      <c r="P327" s="11">
        <f t="shared" si="56"/>
        <v>-29.708424326719527</v>
      </c>
      <c r="Q327" s="12">
        <f t="shared" si="57"/>
        <v>-29.708424326719527</v>
      </c>
      <c r="R327" s="13">
        <f t="shared" si="58"/>
        <v>1.1109202985663422</v>
      </c>
      <c r="S327" s="3" t="s">
        <v>30</v>
      </c>
      <c r="T327" s="3" t="s">
        <v>32</v>
      </c>
      <c r="U327" s="10">
        <v>0</v>
      </c>
      <c r="V327" s="3">
        <v>0</v>
      </c>
      <c r="W327" s="3">
        <f t="shared" si="59"/>
        <v>0</v>
      </c>
      <c r="AA327" s="3">
        <v>5.5</v>
      </c>
    </row>
    <row r="328" spans="1:27" x14ac:dyDescent="0.3">
      <c r="A328" s="3" t="str">
        <f t="shared" si="50"/>
        <v>East9410069900210</v>
      </c>
      <c r="B328" s="3" t="str">
        <f t="shared" si="51"/>
        <v>KGP9410069900210</v>
      </c>
      <c r="C328" s="10">
        <v>9410069900210</v>
      </c>
      <c r="D328" s="10" t="str">
        <f t="shared" si="52"/>
        <v>9410069900</v>
      </c>
      <c r="E328" s="3" t="s">
        <v>6</v>
      </c>
      <c r="F328" s="3" t="s">
        <v>66</v>
      </c>
      <c r="H328" s="3">
        <v>4.6720000000000015</v>
      </c>
      <c r="I328" s="10">
        <f t="shared" si="53"/>
        <v>27.216554208054028</v>
      </c>
      <c r="J328" s="3">
        <v>5.1498069494235734</v>
      </c>
      <c r="K328" s="3">
        <v>5.5</v>
      </c>
      <c r="L328" s="3">
        <f t="shared" si="54"/>
        <v>0</v>
      </c>
      <c r="N328" s="11">
        <f t="shared" si="55"/>
        <v>-0.47780694942357194</v>
      </c>
      <c r="O328" s="3">
        <v>5.1498069494235734</v>
      </c>
      <c r="P328" s="11">
        <f t="shared" si="56"/>
        <v>-2.7834457919459701</v>
      </c>
      <c r="Q328" s="12">
        <f t="shared" si="57"/>
        <v>-2.7834457919459701</v>
      </c>
      <c r="R328" s="13">
        <f t="shared" si="58"/>
        <v>1.6261161680536202</v>
      </c>
      <c r="S328" s="3" t="s">
        <v>30</v>
      </c>
      <c r="T328" s="3" t="s">
        <v>32</v>
      </c>
      <c r="U328" s="10">
        <v>0</v>
      </c>
      <c r="V328" s="3">
        <v>0</v>
      </c>
      <c r="W328" s="3">
        <f t="shared" si="59"/>
        <v>0</v>
      </c>
      <c r="AA328" s="3">
        <v>5.5</v>
      </c>
    </row>
    <row r="329" spans="1:27" x14ac:dyDescent="0.3">
      <c r="A329" s="3" t="str">
        <f t="shared" si="50"/>
        <v>East9418009900820</v>
      </c>
      <c r="B329" s="3" t="str">
        <f t="shared" si="51"/>
        <v>KGP9418009900820</v>
      </c>
      <c r="C329" s="10">
        <v>9418009900820</v>
      </c>
      <c r="D329" s="10" t="str">
        <f t="shared" si="52"/>
        <v>9418009900</v>
      </c>
      <c r="E329" s="3" t="s">
        <v>6</v>
      </c>
      <c r="F329" s="3" t="s">
        <v>66</v>
      </c>
      <c r="H329" s="3">
        <v>2.4800000000000004</v>
      </c>
      <c r="I329" s="10">
        <f t="shared" si="53"/>
        <v>18.430278595833553</v>
      </c>
      <c r="J329" s="3">
        <v>4.0368353420777527</v>
      </c>
      <c r="K329" s="3">
        <v>5.5</v>
      </c>
      <c r="L329" s="3">
        <f t="shared" si="54"/>
        <v>0</v>
      </c>
      <c r="N329" s="11">
        <f t="shared" si="55"/>
        <v>-1.5568353420777523</v>
      </c>
      <c r="O329" s="3">
        <v>4.0368353420777527</v>
      </c>
      <c r="P329" s="11">
        <f t="shared" si="56"/>
        <v>-11.569721404166451</v>
      </c>
      <c r="Q329" s="12">
        <f t="shared" si="57"/>
        <v>-11.569721404166449</v>
      </c>
      <c r="R329" s="13">
        <f t="shared" si="58"/>
        <v>-10.9001806663038</v>
      </c>
      <c r="S329" s="3" t="s">
        <v>31</v>
      </c>
      <c r="T329" s="3" t="s">
        <v>32</v>
      </c>
      <c r="U329" s="10">
        <v>0</v>
      </c>
      <c r="V329" s="3">
        <v>0</v>
      </c>
      <c r="W329" s="3">
        <f t="shared" si="59"/>
        <v>0</v>
      </c>
      <c r="AA329" s="3">
        <v>5.5</v>
      </c>
    </row>
    <row r="330" spans="1:27" x14ac:dyDescent="0.3">
      <c r="A330" s="3" t="str">
        <f t="shared" si="50"/>
        <v>East9430109901220</v>
      </c>
      <c r="B330" s="3" t="str">
        <f t="shared" si="51"/>
        <v>KGP9430109901220</v>
      </c>
      <c r="C330" s="10">
        <v>9430109901220</v>
      </c>
      <c r="D330" s="10" t="str">
        <f t="shared" si="52"/>
        <v>9430109901</v>
      </c>
      <c r="E330" s="3" t="s">
        <v>6</v>
      </c>
      <c r="F330" s="3" t="s">
        <v>66</v>
      </c>
      <c r="H330" s="3">
        <v>9.0279999999999987</v>
      </c>
      <c r="I330" s="10">
        <f t="shared" si="53"/>
        <v>85.970156640006778</v>
      </c>
      <c r="J330" s="3">
        <v>3.1503955626615987</v>
      </c>
      <c r="K330" s="3">
        <v>0</v>
      </c>
      <c r="L330" s="3">
        <f t="shared" si="54"/>
        <v>0</v>
      </c>
      <c r="N330" s="11">
        <f t="shared" si="55"/>
        <v>5.8776044373384</v>
      </c>
      <c r="O330" s="3">
        <v>3.1503955626615987</v>
      </c>
      <c r="P330" s="11">
        <f t="shared" si="56"/>
        <v>55.970156640006792</v>
      </c>
      <c r="Q330" s="12">
        <f t="shared" si="57"/>
        <v>55.970156640006785</v>
      </c>
      <c r="R330" s="13">
        <f t="shared" si="58"/>
        <v>38.878687367972503</v>
      </c>
      <c r="S330" s="3" t="s">
        <v>31</v>
      </c>
      <c r="T330" s="3" t="s">
        <v>35</v>
      </c>
      <c r="U330" s="10">
        <v>0</v>
      </c>
      <c r="V330" s="3">
        <v>0</v>
      </c>
      <c r="W330" s="3">
        <f t="shared" si="59"/>
        <v>0</v>
      </c>
      <c r="AA330" s="3">
        <v>5.5</v>
      </c>
    </row>
    <row r="331" spans="1:27" x14ac:dyDescent="0.3">
      <c r="A331" s="3" t="str">
        <f t="shared" si="50"/>
        <v>East9430109902250</v>
      </c>
      <c r="B331" s="3" t="str">
        <f t="shared" si="51"/>
        <v>KGP9430109902250</v>
      </c>
      <c r="C331" s="10">
        <v>9430109902250</v>
      </c>
      <c r="D331" s="10" t="str">
        <f t="shared" si="52"/>
        <v>9430109902</v>
      </c>
      <c r="E331" s="3" t="s">
        <v>6</v>
      </c>
      <c r="F331" s="3" t="s">
        <v>66</v>
      </c>
      <c r="H331" s="3">
        <v>5.7850000000000001</v>
      </c>
      <c r="I331" s="10">
        <f t="shared" si="53"/>
        <v>60.060216878497286</v>
      </c>
      <c r="J331" s="3">
        <v>2.8895999551765561</v>
      </c>
      <c r="K331" s="3">
        <v>0</v>
      </c>
      <c r="L331" s="3">
        <f t="shared" si="54"/>
        <v>0</v>
      </c>
      <c r="N331" s="11">
        <f t="shared" si="55"/>
        <v>2.895400044823444</v>
      </c>
      <c r="O331" s="3">
        <v>2.8895999551765561</v>
      </c>
      <c r="P331" s="11">
        <f t="shared" si="56"/>
        <v>30.060216878497286</v>
      </c>
      <c r="Q331" s="12">
        <f t="shared" si="57"/>
        <v>30.060216878497286</v>
      </c>
      <c r="R331" s="13">
        <f t="shared" si="58"/>
        <v>23.704826150757036</v>
      </c>
      <c r="S331" s="3" t="s">
        <v>31</v>
      </c>
      <c r="T331" s="3" t="s">
        <v>35</v>
      </c>
      <c r="U331" s="10">
        <v>0</v>
      </c>
      <c r="V331" s="3">
        <v>0</v>
      </c>
      <c r="W331" s="3">
        <f t="shared" si="59"/>
        <v>0</v>
      </c>
      <c r="AA331" s="3">
        <v>5.5</v>
      </c>
    </row>
    <row r="332" spans="1:27" x14ac:dyDescent="0.3">
      <c r="A332" s="3" t="str">
        <f t="shared" si="50"/>
        <v>East9430109900210</v>
      </c>
      <c r="B332" s="3" t="str">
        <f t="shared" si="51"/>
        <v>KGP9430109900210</v>
      </c>
      <c r="C332" s="10">
        <v>9430109900210</v>
      </c>
      <c r="D332" s="10" t="str">
        <f t="shared" si="52"/>
        <v>9430109900</v>
      </c>
      <c r="E332" s="3" t="s">
        <v>6</v>
      </c>
      <c r="F332" s="3" t="s">
        <v>66</v>
      </c>
      <c r="H332" s="3">
        <v>5.8490000000000002</v>
      </c>
      <c r="I332" s="10">
        <f t="shared" si="53"/>
        <v>61.316625572722891</v>
      </c>
      <c r="J332" s="3">
        <v>2.8617034672250297</v>
      </c>
      <c r="K332" s="3">
        <v>0</v>
      </c>
      <c r="L332" s="3">
        <f t="shared" si="54"/>
        <v>0</v>
      </c>
      <c r="N332" s="11">
        <f t="shared" si="55"/>
        <v>2.9872965327749705</v>
      </c>
      <c r="O332" s="3">
        <v>2.8617034672250297</v>
      </c>
      <c r="P332" s="11">
        <f t="shared" si="56"/>
        <v>31.316625572722884</v>
      </c>
      <c r="Q332" s="12">
        <f t="shared" si="57"/>
        <v>31.316625572722888</v>
      </c>
      <c r="R332" s="13">
        <f t="shared" si="58"/>
        <v>25.085366989368765</v>
      </c>
      <c r="S332" s="3" t="s">
        <v>31</v>
      </c>
      <c r="T332" s="3" t="s">
        <v>35</v>
      </c>
      <c r="U332" s="10">
        <v>0</v>
      </c>
      <c r="V332" s="3">
        <v>0</v>
      </c>
      <c r="W332" s="3">
        <f t="shared" si="59"/>
        <v>0</v>
      </c>
      <c r="AA332" s="3">
        <v>5.5</v>
      </c>
    </row>
    <row r="333" spans="1:27" x14ac:dyDescent="0.3">
      <c r="A333" s="3" t="str">
        <f t="shared" si="50"/>
        <v>East9430109901210</v>
      </c>
      <c r="B333" s="3" t="str">
        <f t="shared" si="51"/>
        <v>KGP9430109901210</v>
      </c>
      <c r="C333" s="10">
        <v>9430109901210</v>
      </c>
      <c r="D333" s="10" t="str">
        <f t="shared" si="52"/>
        <v>9430109901</v>
      </c>
      <c r="E333" s="3" t="s">
        <v>6</v>
      </c>
      <c r="F333" s="3" t="s">
        <v>66</v>
      </c>
      <c r="H333" s="3">
        <v>2.4059999999999997</v>
      </c>
      <c r="I333" s="10">
        <f t="shared" si="53"/>
        <v>41.638261529266032</v>
      </c>
      <c r="J333" s="3">
        <v>1.7335017685420722</v>
      </c>
      <c r="K333" s="3">
        <v>5.5</v>
      </c>
      <c r="L333" s="3">
        <f t="shared" si="54"/>
        <v>0</v>
      </c>
      <c r="N333" s="11">
        <f t="shared" si="55"/>
        <v>0.67249823145792753</v>
      </c>
      <c r="O333" s="3">
        <v>1.7335017685420722</v>
      </c>
      <c r="P333" s="11">
        <f t="shared" si="56"/>
        <v>11.63826152926603</v>
      </c>
      <c r="Q333" s="12">
        <f t="shared" si="57"/>
        <v>11.63826152926603</v>
      </c>
      <c r="R333" s="13">
        <f t="shared" si="58"/>
        <v>34.909154797449432</v>
      </c>
      <c r="S333" s="3" t="s">
        <v>31</v>
      </c>
      <c r="T333" s="3" t="s">
        <v>35</v>
      </c>
      <c r="U333" s="10">
        <v>0</v>
      </c>
      <c r="V333" s="3">
        <v>0</v>
      </c>
      <c r="W333" s="3">
        <f t="shared" si="59"/>
        <v>0</v>
      </c>
      <c r="AA333" s="3">
        <v>5.5</v>
      </c>
    </row>
    <row r="334" spans="1:27" x14ac:dyDescent="0.3">
      <c r="A334" s="3" t="str">
        <f t="shared" si="50"/>
        <v>East9430109902220</v>
      </c>
      <c r="B334" s="3" t="str">
        <f t="shared" si="51"/>
        <v>KGP9430109902220</v>
      </c>
      <c r="C334" s="10">
        <v>9430109902220</v>
      </c>
      <c r="D334" s="10" t="str">
        <f t="shared" si="52"/>
        <v>9430109902</v>
      </c>
      <c r="E334" s="3" t="s">
        <v>6</v>
      </c>
      <c r="F334" s="3" t="s">
        <v>66</v>
      </c>
      <c r="H334" s="3">
        <v>0.50800000000000001</v>
      </c>
      <c r="I334" s="10">
        <f t="shared" si="53"/>
        <v>26.032454621124227</v>
      </c>
      <c r="J334" s="3">
        <v>0.58542308905566631</v>
      </c>
      <c r="K334" s="3">
        <v>0</v>
      </c>
      <c r="L334" s="3">
        <f t="shared" si="54"/>
        <v>0</v>
      </c>
      <c r="N334" s="11">
        <f t="shared" si="55"/>
        <v>-7.7423089055666305E-2</v>
      </c>
      <c r="O334" s="3">
        <v>0.58542308905566631</v>
      </c>
      <c r="P334" s="11">
        <f t="shared" si="56"/>
        <v>-3.9675453788757729</v>
      </c>
      <c r="Q334" s="12">
        <f t="shared" si="57"/>
        <v>-3.9675453788757729</v>
      </c>
      <c r="R334" s="13">
        <f t="shared" si="58"/>
        <v>105.45285077529311</v>
      </c>
      <c r="S334" s="3" t="s">
        <v>31</v>
      </c>
      <c r="T334" s="3" t="s">
        <v>35</v>
      </c>
      <c r="U334" s="10">
        <v>0</v>
      </c>
      <c r="V334" s="3">
        <v>0</v>
      </c>
      <c r="W334" s="3">
        <f t="shared" si="59"/>
        <v>0</v>
      </c>
      <c r="AA334" s="3">
        <v>5.5</v>
      </c>
    </row>
    <row r="335" spans="1:27" x14ac:dyDescent="0.3">
      <c r="A335" s="3" t="str">
        <f t="shared" si="50"/>
        <v>East9418009900850</v>
      </c>
      <c r="B335" s="3" t="str">
        <f t="shared" si="51"/>
        <v>KGP9418009900850</v>
      </c>
      <c r="C335" s="10">
        <v>9418009900850</v>
      </c>
      <c r="D335" s="10" t="str">
        <f t="shared" si="52"/>
        <v>9418009900</v>
      </c>
      <c r="E335" s="3" t="s">
        <v>6</v>
      </c>
      <c r="F335" s="3" t="s">
        <v>66</v>
      </c>
      <c r="H335" s="3">
        <v>0</v>
      </c>
      <c r="I335" s="10">
        <f t="shared" si="53"/>
        <v>0</v>
      </c>
      <c r="J335" s="3">
        <v>0.35130599404711477</v>
      </c>
      <c r="K335" s="3">
        <v>0</v>
      </c>
      <c r="L335" s="3">
        <f t="shared" si="54"/>
        <v>0</v>
      </c>
      <c r="N335" s="11">
        <f t="shared" si="55"/>
        <v>-0.35130599404711477</v>
      </c>
      <c r="O335" s="3">
        <v>0.35130599404711477</v>
      </c>
      <c r="P335" s="11">
        <f t="shared" si="56"/>
        <v>-30</v>
      </c>
      <c r="Q335" s="12">
        <f t="shared" si="57"/>
        <v>-30</v>
      </c>
      <c r="R335" s="13">
        <f t="shared" si="58"/>
        <v>-29.999999999999996</v>
      </c>
      <c r="S335" s="3" t="s">
        <v>31</v>
      </c>
      <c r="T335" s="3" t="s">
        <v>32</v>
      </c>
      <c r="U335" s="10">
        <v>0</v>
      </c>
      <c r="V335" s="3">
        <v>0</v>
      </c>
      <c r="W335" s="3">
        <f t="shared" si="59"/>
        <v>0</v>
      </c>
      <c r="AA335" s="3">
        <v>5.5</v>
      </c>
    </row>
    <row r="336" spans="1:27" x14ac:dyDescent="0.3">
      <c r="A336" s="3" t="str">
        <f t="shared" si="50"/>
        <v>East9418009900210</v>
      </c>
      <c r="B336" s="3" t="str">
        <f t="shared" si="51"/>
        <v>KGP9418009900210</v>
      </c>
      <c r="C336" s="10">
        <v>9418009900210</v>
      </c>
      <c r="D336" s="10" t="str">
        <f t="shared" si="52"/>
        <v>9418009900</v>
      </c>
      <c r="E336" s="3" t="s">
        <v>6</v>
      </c>
      <c r="F336" s="3" t="s">
        <v>66</v>
      </c>
      <c r="H336" s="3">
        <v>0.67100000000000026</v>
      </c>
      <c r="I336" s="10">
        <f t="shared" si="53"/>
        <v>67.396910402128555</v>
      </c>
      <c r="J336" s="3">
        <v>0.29867837976389278</v>
      </c>
      <c r="K336" s="3">
        <v>0</v>
      </c>
      <c r="L336" s="3">
        <f t="shared" si="54"/>
        <v>0</v>
      </c>
      <c r="N336" s="11">
        <f t="shared" si="55"/>
        <v>0.37232162023610749</v>
      </c>
      <c r="O336" s="3">
        <v>0.29867837976389278</v>
      </c>
      <c r="P336" s="11">
        <f t="shared" si="56"/>
        <v>37.396910402128555</v>
      </c>
      <c r="Q336" s="12">
        <f t="shared" si="57"/>
        <v>37.396910402128555</v>
      </c>
      <c r="R336" s="13">
        <f t="shared" si="58"/>
        <v>106.73502077445265</v>
      </c>
      <c r="S336" s="3" t="s">
        <v>31</v>
      </c>
      <c r="T336" s="3" t="s">
        <v>32</v>
      </c>
      <c r="U336" s="10">
        <v>0</v>
      </c>
      <c r="V336" s="3">
        <v>0</v>
      </c>
      <c r="W336" s="3">
        <f t="shared" si="59"/>
        <v>0</v>
      </c>
      <c r="AA336" s="3">
        <v>5.5</v>
      </c>
    </row>
    <row r="337" spans="1:27" x14ac:dyDescent="0.3">
      <c r="A337" s="3" t="str">
        <f t="shared" si="50"/>
        <v>East9430109902210</v>
      </c>
      <c r="B337" s="3" t="str">
        <f t="shared" si="51"/>
        <v>KGP9430109902210</v>
      </c>
      <c r="C337" s="10">
        <v>9430109902210</v>
      </c>
      <c r="D337" s="10" t="str">
        <f t="shared" si="52"/>
        <v>9430109902</v>
      </c>
      <c r="E337" s="3" t="s">
        <v>6</v>
      </c>
      <c r="F337" s="3" t="s">
        <v>66</v>
      </c>
      <c r="H337" s="3">
        <v>1.8160000000000003</v>
      </c>
      <c r="I337" s="10">
        <f t="shared" si="53"/>
        <v>192.26643366050689</v>
      </c>
      <c r="J337" s="3">
        <v>0.28335679277329129</v>
      </c>
      <c r="K337" s="3">
        <v>0</v>
      </c>
      <c r="L337" s="3">
        <f t="shared" si="54"/>
        <v>0</v>
      </c>
      <c r="N337" s="11">
        <f t="shared" si="55"/>
        <v>1.5326432072267089</v>
      </c>
      <c r="O337" s="3">
        <v>0.28335679277329129</v>
      </c>
      <c r="P337" s="11">
        <f t="shared" si="56"/>
        <v>162.26643366050689</v>
      </c>
      <c r="Q337" s="12">
        <f t="shared" si="57"/>
        <v>162.26643366050689</v>
      </c>
      <c r="R337" s="13">
        <f t="shared" si="58"/>
        <v>190.89251081833569</v>
      </c>
      <c r="S337" s="3" t="s">
        <v>31</v>
      </c>
      <c r="T337" s="3" t="s">
        <v>35</v>
      </c>
      <c r="U337" s="10">
        <v>0</v>
      </c>
      <c r="V337" s="3">
        <v>0</v>
      </c>
      <c r="W337" s="3">
        <f t="shared" si="59"/>
        <v>0</v>
      </c>
      <c r="AA337" s="3">
        <v>5.5</v>
      </c>
    </row>
    <row r="338" spans="1:27" x14ac:dyDescent="0.3">
      <c r="A338" s="3" t="str">
        <f t="shared" si="50"/>
        <v>East9418009900810</v>
      </c>
      <c r="B338" s="3" t="str">
        <f t="shared" si="51"/>
        <v>KGP9418009900810</v>
      </c>
      <c r="C338" s="10">
        <v>9418009900810</v>
      </c>
      <c r="D338" s="10" t="str">
        <f t="shared" si="52"/>
        <v>9418009900</v>
      </c>
      <c r="E338" s="3" t="s">
        <v>6</v>
      </c>
      <c r="F338" s="3" t="s">
        <v>66</v>
      </c>
      <c r="H338" s="3">
        <v>0</v>
      </c>
      <c r="I338" s="10">
        <f t="shared" si="53"/>
        <v>0</v>
      </c>
      <c r="J338" s="3">
        <v>0.24616641667875125</v>
      </c>
      <c r="K338" s="3">
        <v>0</v>
      </c>
      <c r="L338" s="3">
        <f t="shared" si="54"/>
        <v>0</v>
      </c>
      <c r="N338" s="11">
        <f t="shared" si="55"/>
        <v>-0.24616641667875125</v>
      </c>
      <c r="O338" s="3">
        <v>0.24616641667875125</v>
      </c>
      <c r="P338" s="11">
        <f t="shared" si="56"/>
        <v>-30</v>
      </c>
      <c r="Q338" s="12">
        <f t="shared" si="57"/>
        <v>-30</v>
      </c>
      <c r="R338" s="13">
        <f t="shared" si="58"/>
        <v>-30</v>
      </c>
      <c r="S338" s="3" t="s">
        <v>31</v>
      </c>
      <c r="T338" s="3" t="s">
        <v>32</v>
      </c>
      <c r="U338" s="10">
        <v>0</v>
      </c>
      <c r="V338" s="3">
        <v>0</v>
      </c>
      <c r="W338" s="3">
        <f t="shared" si="59"/>
        <v>0</v>
      </c>
      <c r="AA338" s="3">
        <v>5.5</v>
      </c>
    </row>
    <row r="339" spans="1:27" x14ac:dyDescent="0.3">
      <c r="A339" s="3" t="str">
        <f t="shared" si="50"/>
        <v>South9700119922210</v>
      </c>
      <c r="B339" s="3" t="str">
        <f t="shared" si="51"/>
        <v>CY9700119922210</v>
      </c>
      <c r="C339" s="10">
        <v>9700119922210</v>
      </c>
      <c r="D339" s="10" t="str">
        <f t="shared" si="52"/>
        <v>9700119922</v>
      </c>
      <c r="E339" s="3" t="s">
        <v>4</v>
      </c>
      <c r="F339" s="3" t="s">
        <v>65</v>
      </c>
      <c r="H339" s="3">
        <v>56.027600000000014</v>
      </c>
      <c r="I339" s="10">
        <f t="shared" si="53"/>
        <v>98.301084405375249</v>
      </c>
      <c r="J339" s="3">
        <v>17.098773733447139</v>
      </c>
      <c r="K339" s="3">
        <v>9</v>
      </c>
      <c r="L339" s="3">
        <f t="shared" si="54"/>
        <v>0</v>
      </c>
      <c r="N339" s="11">
        <f t="shared" si="55"/>
        <v>38.928826266552875</v>
      </c>
      <c r="O339" s="3">
        <v>17.098773733447139</v>
      </c>
      <c r="P339" s="11">
        <f t="shared" si="56"/>
        <v>68.301084405375249</v>
      </c>
      <c r="Q339" s="12">
        <f t="shared" si="57"/>
        <v>68.301084405375249</v>
      </c>
      <c r="R339" s="13">
        <f t="shared" si="58"/>
        <v>83.14679138597748</v>
      </c>
      <c r="S339" s="3" t="s">
        <v>29</v>
      </c>
      <c r="T339" s="3" t="s">
        <v>71</v>
      </c>
      <c r="U339" s="10">
        <v>0</v>
      </c>
      <c r="V339" s="3">
        <v>0</v>
      </c>
      <c r="W339" s="3">
        <f t="shared" si="59"/>
        <v>0</v>
      </c>
      <c r="AA339" s="3">
        <v>9</v>
      </c>
    </row>
    <row r="340" spans="1:27" x14ac:dyDescent="0.3">
      <c r="A340" s="3" t="str">
        <f t="shared" si="50"/>
        <v>South9700059922210</v>
      </c>
      <c r="B340" s="3" t="str">
        <f t="shared" si="51"/>
        <v>CY9700059922210</v>
      </c>
      <c r="C340" s="10">
        <v>9700059922210</v>
      </c>
      <c r="D340" s="10" t="str">
        <f t="shared" si="52"/>
        <v>9700059922</v>
      </c>
      <c r="E340" s="3" t="s">
        <v>4</v>
      </c>
      <c r="F340" s="3" t="s">
        <v>65</v>
      </c>
      <c r="H340" s="3">
        <v>31.427900000000001</v>
      </c>
      <c r="I340" s="10">
        <f t="shared" si="53"/>
        <v>109.8228724175131</v>
      </c>
      <c r="J340" s="3">
        <v>8.5850695692571311</v>
      </c>
      <c r="K340" s="3">
        <v>9</v>
      </c>
      <c r="L340" s="3">
        <f t="shared" si="54"/>
        <v>0</v>
      </c>
      <c r="N340" s="11">
        <f t="shared" si="55"/>
        <v>22.842830430742872</v>
      </c>
      <c r="O340" s="3">
        <v>8.5850695692571311</v>
      </c>
      <c r="P340" s="11">
        <f t="shared" si="56"/>
        <v>79.822872417513096</v>
      </c>
      <c r="Q340" s="12">
        <f t="shared" si="57"/>
        <v>79.822872417513096</v>
      </c>
      <c r="R340" s="13">
        <f t="shared" si="58"/>
        <v>87.46657194340024</v>
      </c>
      <c r="S340" s="3" t="s">
        <v>29</v>
      </c>
      <c r="T340" s="3" t="s">
        <v>71</v>
      </c>
      <c r="U340" s="10">
        <v>0</v>
      </c>
      <c r="V340" s="3">
        <v>0</v>
      </c>
      <c r="W340" s="3">
        <f t="shared" si="59"/>
        <v>0</v>
      </c>
      <c r="AA340" s="3">
        <v>9</v>
      </c>
    </row>
    <row r="341" spans="1:27" x14ac:dyDescent="0.3">
      <c r="A341" s="3" t="str">
        <f t="shared" si="50"/>
        <v>South9700089922210</v>
      </c>
      <c r="B341" s="3" t="str">
        <f t="shared" si="51"/>
        <v>CY9700089922210</v>
      </c>
      <c r="C341" s="10">
        <v>9700089922210</v>
      </c>
      <c r="D341" s="10" t="str">
        <f t="shared" si="52"/>
        <v>9700089922</v>
      </c>
      <c r="E341" s="3" t="s">
        <v>4</v>
      </c>
      <c r="F341" s="3" t="s">
        <v>65</v>
      </c>
      <c r="H341" s="3">
        <v>25.029900000000005</v>
      </c>
      <c r="I341" s="10">
        <f t="shared" si="53"/>
        <v>89.678610511423997</v>
      </c>
      <c r="J341" s="3">
        <v>8.3732006519474869</v>
      </c>
      <c r="K341" s="3">
        <v>0</v>
      </c>
      <c r="L341" s="3">
        <f t="shared" si="54"/>
        <v>0</v>
      </c>
      <c r="N341" s="11">
        <f t="shared" si="55"/>
        <v>16.65669934805252</v>
      </c>
      <c r="O341" s="3">
        <v>8.3732006519474869</v>
      </c>
      <c r="P341" s="11">
        <f t="shared" si="56"/>
        <v>59.678610511424004</v>
      </c>
      <c r="Q341" s="12">
        <f t="shared" si="57"/>
        <v>59.678610511424004</v>
      </c>
      <c r="R341" s="13">
        <f t="shared" si="58"/>
        <v>74.252065485340012</v>
      </c>
      <c r="S341" s="3" t="s">
        <v>29</v>
      </c>
      <c r="T341" s="3" t="s">
        <v>71</v>
      </c>
      <c r="U341" s="10">
        <v>0</v>
      </c>
      <c r="V341" s="3">
        <v>0</v>
      </c>
      <c r="W341" s="3">
        <f t="shared" si="59"/>
        <v>0</v>
      </c>
      <c r="AA341" s="3">
        <v>9</v>
      </c>
    </row>
    <row r="342" spans="1:27" x14ac:dyDescent="0.3">
      <c r="A342" s="3" t="str">
        <f t="shared" si="50"/>
        <v>South9700109922210</v>
      </c>
      <c r="B342" s="3" t="str">
        <f t="shared" si="51"/>
        <v>CY9700109922210</v>
      </c>
      <c r="C342" s="10">
        <v>9700109922210</v>
      </c>
      <c r="D342" s="10" t="str">
        <f t="shared" si="52"/>
        <v>9700109922</v>
      </c>
      <c r="E342" s="3" t="s">
        <v>4</v>
      </c>
      <c r="F342" s="3" t="s">
        <v>65</v>
      </c>
      <c r="H342" s="3">
        <v>31.12</v>
      </c>
      <c r="I342" s="10">
        <f t="shared" si="53"/>
        <v>126.66251563028671</v>
      </c>
      <c r="J342" s="3">
        <v>7.3707678657280971</v>
      </c>
      <c r="K342" s="3">
        <v>0</v>
      </c>
      <c r="L342" s="3">
        <f t="shared" si="54"/>
        <v>0</v>
      </c>
      <c r="N342" s="11">
        <f t="shared" si="55"/>
        <v>23.749232134271903</v>
      </c>
      <c r="O342" s="3">
        <v>7.3707678657280971</v>
      </c>
      <c r="P342" s="11">
        <f t="shared" si="56"/>
        <v>96.662515630286691</v>
      </c>
      <c r="Q342" s="12">
        <f t="shared" si="57"/>
        <v>96.662515630286705</v>
      </c>
      <c r="R342" s="13">
        <f t="shared" si="58"/>
        <v>93.357925436078943</v>
      </c>
      <c r="S342" s="3" t="s">
        <v>29</v>
      </c>
      <c r="T342" s="3" t="s">
        <v>71</v>
      </c>
      <c r="U342" s="10">
        <v>0</v>
      </c>
      <c r="V342" s="3">
        <v>0</v>
      </c>
      <c r="W342" s="3">
        <f t="shared" si="59"/>
        <v>0</v>
      </c>
      <c r="AA342" s="3">
        <v>9</v>
      </c>
    </row>
    <row r="343" spans="1:27" x14ac:dyDescent="0.3">
      <c r="A343" s="3" t="str">
        <f t="shared" si="50"/>
        <v>South9700049922210</v>
      </c>
      <c r="B343" s="3" t="str">
        <f t="shared" si="51"/>
        <v>CY9700049922210</v>
      </c>
      <c r="C343" s="10">
        <v>9700049922210</v>
      </c>
      <c r="D343" s="10" t="str">
        <f t="shared" si="52"/>
        <v>9700049922</v>
      </c>
      <c r="E343" s="3" t="s">
        <v>4</v>
      </c>
      <c r="F343" s="3" t="s">
        <v>65</v>
      </c>
      <c r="H343" s="3">
        <v>29.655900000000003</v>
      </c>
      <c r="I343" s="10">
        <f t="shared" si="53"/>
        <v>127.98506627720251</v>
      </c>
      <c r="J343" s="3">
        <v>6.9514125817855268</v>
      </c>
      <c r="K343" s="3">
        <v>0</v>
      </c>
      <c r="L343" s="3">
        <f t="shared" si="54"/>
        <v>0</v>
      </c>
      <c r="N343" s="11">
        <f t="shared" si="55"/>
        <v>22.704487418214477</v>
      </c>
      <c r="O343" s="3">
        <v>6.9514125817855268</v>
      </c>
      <c r="P343" s="11">
        <f t="shared" si="56"/>
        <v>97.98506627720252</v>
      </c>
      <c r="Q343" s="12">
        <f t="shared" si="57"/>
        <v>97.98506627720252</v>
      </c>
      <c r="R343" s="13">
        <f t="shared" si="58"/>
        <v>108.1488104789499</v>
      </c>
      <c r="S343" s="3" t="s">
        <v>29</v>
      </c>
      <c r="T343" s="3" t="s">
        <v>71</v>
      </c>
      <c r="U343" s="10">
        <v>0</v>
      </c>
      <c r="V343" s="3">
        <v>0</v>
      </c>
      <c r="W343" s="3">
        <f t="shared" si="59"/>
        <v>0</v>
      </c>
      <c r="AA343" s="3">
        <v>9</v>
      </c>
    </row>
    <row r="344" spans="1:27" x14ac:dyDescent="0.3">
      <c r="A344" s="3" t="str">
        <f t="shared" si="50"/>
        <v>South9700099922210</v>
      </c>
      <c r="B344" s="3" t="str">
        <f t="shared" si="51"/>
        <v>CY9700099922210</v>
      </c>
      <c r="C344" s="10">
        <v>9700099922210</v>
      </c>
      <c r="D344" s="10" t="str">
        <f t="shared" si="52"/>
        <v>9700099922</v>
      </c>
      <c r="E344" s="3" t="s">
        <v>4</v>
      </c>
      <c r="F344" s="3" t="s">
        <v>65</v>
      </c>
      <c r="H344" s="3">
        <v>26.587</v>
      </c>
      <c r="I344" s="10">
        <f t="shared" si="53"/>
        <v>136.25689064629597</v>
      </c>
      <c r="J344" s="3">
        <v>5.8537223051015106</v>
      </c>
      <c r="K344" s="3">
        <v>0</v>
      </c>
      <c r="L344" s="3">
        <f t="shared" si="54"/>
        <v>0</v>
      </c>
      <c r="N344" s="11">
        <f t="shared" si="55"/>
        <v>20.73327769489849</v>
      </c>
      <c r="O344" s="3">
        <v>5.8537223051015106</v>
      </c>
      <c r="P344" s="11">
        <f t="shared" si="56"/>
        <v>106.25689064629594</v>
      </c>
      <c r="Q344" s="12">
        <f t="shared" si="57"/>
        <v>106.25689064629596</v>
      </c>
      <c r="R344" s="13">
        <f t="shared" si="58"/>
        <v>110.78497276336338</v>
      </c>
      <c r="S344" s="3" t="s">
        <v>29</v>
      </c>
      <c r="T344" s="3" t="s">
        <v>71</v>
      </c>
      <c r="U344" s="10">
        <v>0</v>
      </c>
      <c r="V344" s="3">
        <v>0</v>
      </c>
      <c r="W344" s="3">
        <f t="shared" si="59"/>
        <v>0</v>
      </c>
      <c r="AA344" s="3">
        <v>9</v>
      </c>
    </row>
    <row r="345" spans="1:27" x14ac:dyDescent="0.3">
      <c r="A345" s="3" t="str">
        <f t="shared" si="50"/>
        <v>South9700139922210</v>
      </c>
      <c r="B345" s="3" t="str">
        <f t="shared" si="51"/>
        <v>CY9700139922210</v>
      </c>
      <c r="C345" s="10">
        <v>9700139922210</v>
      </c>
      <c r="D345" s="10" t="str">
        <f t="shared" si="52"/>
        <v>9700139922</v>
      </c>
      <c r="E345" s="3" t="s">
        <v>4</v>
      </c>
      <c r="F345" s="3" t="s">
        <v>65</v>
      </c>
      <c r="H345" s="3">
        <v>19.549999999999997</v>
      </c>
      <c r="I345" s="10">
        <f t="shared" si="53"/>
        <v>127.64752693731171</v>
      </c>
      <c r="J345" s="3">
        <v>4.5946836109722105</v>
      </c>
      <c r="K345" s="3">
        <v>0</v>
      </c>
      <c r="L345" s="3">
        <f t="shared" si="54"/>
        <v>0</v>
      </c>
      <c r="N345" s="11">
        <f t="shared" si="55"/>
        <v>14.955316389027786</v>
      </c>
      <c r="O345" s="3">
        <v>4.5946836109722105</v>
      </c>
      <c r="P345" s="11">
        <f t="shared" si="56"/>
        <v>97.64752693731171</v>
      </c>
      <c r="Q345" s="12">
        <f t="shared" si="57"/>
        <v>97.64752693731171</v>
      </c>
      <c r="R345" s="13">
        <f t="shared" si="58"/>
        <v>79.334332574318111</v>
      </c>
      <c r="S345" s="3" t="s">
        <v>29</v>
      </c>
      <c r="T345" s="3" t="s">
        <v>71</v>
      </c>
      <c r="U345" s="10">
        <v>0</v>
      </c>
      <c r="V345" s="3">
        <v>0</v>
      </c>
      <c r="W345" s="3">
        <f t="shared" si="59"/>
        <v>0</v>
      </c>
      <c r="AA345" s="3">
        <v>9</v>
      </c>
    </row>
    <row r="346" spans="1:27" x14ac:dyDescent="0.3">
      <c r="A346" s="3" t="str">
        <f t="shared" si="50"/>
        <v>South9700129922210</v>
      </c>
      <c r="B346" s="3" t="str">
        <f t="shared" si="51"/>
        <v>CY9700129922210</v>
      </c>
      <c r="C346" s="10">
        <v>9700129922210</v>
      </c>
      <c r="D346" s="10" t="str">
        <f t="shared" si="52"/>
        <v>9700129922</v>
      </c>
      <c r="E346" s="3" t="s">
        <v>4</v>
      </c>
      <c r="F346" s="3" t="s">
        <v>65</v>
      </c>
      <c r="H346" s="3">
        <v>11.440899999999999</v>
      </c>
      <c r="I346" s="10">
        <f t="shared" si="53"/>
        <v>108.35075899796421</v>
      </c>
      <c r="J346" s="3">
        <v>3.1677396925890373</v>
      </c>
      <c r="K346" s="3">
        <v>0</v>
      </c>
      <c r="L346" s="3">
        <f t="shared" si="54"/>
        <v>0</v>
      </c>
      <c r="N346" s="11">
        <f t="shared" si="55"/>
        <v>8.2731603074109614</v>
      </c>
      <c r="O346" s="3">
        <v>3.1677396925890373</v>
      </c>
      <c r="P346" s="11">
        <f t="shared" si="56"/>
        <v>78.350758997964192</v>
      </c>
      <c r="Q346" s="12">
        <f t="shared" si="57"/>
        <v>78.350758997964192</v>
      </c>
      <c r="R346" s="13">
        <f t="shared" si="58"/>
        <v>88.289620448256997</v>
      </c>
      <c r="S346" s="3" t="s">
        <v>29</v>
      </c>
      <c r="T346" s="3" t="s">
        <v>71</v>
      </c>
      <c r="U346" s="10">
        <v>0</v>
      </c>
      <c r="V346" s="3">
        <v>0</v>
      </c>
      <c r="W346" s="3">
        <f t="shared" si="59"/>
        <v>0</v>
      </c>
      <c r="AA346" s="3">
        <v>9</v>
      </c>
    </row>
    <row r="347" spans="1:27" x14ac:dyDescent="0.3">
      <c r="A347" s="3" t="str">
        <f t="shared" si="50"/>
        <v>South9700159922210</v>
      </c>
      <c r="B347" s="3" t="str">
        <f t="shared" si="51"/>
        <v>CY9700159922210</v>
      </c>
      <c r="C347" s="10">
        <v>9700159922210</v>
      </c>
      <c r="D347" s="10" t="str">
        <f t="shared" si="52"/>
        <v>9700159922</v>
      </c>
      <c r="E347" s="3" t="s">
        <v>4</v>
      </c>
      <c r="F347" s="3" t="s">
        <v>65</v>
      </c>
      <c r="H347" s="3">
        <v>10.515999999999996</v>
      </c>
      <c r="I347" s="10">
        <f t="shared" si="53"/>
        <v>218.2032277582347</v>
      </c>
      <c r="J347" s="3">
        <v>1.4458081268602778</v>
      </c>
      <c r="K347" s="3">
        <v>0</v>
      </c>
      <c r="L347" s="3">
        <f t="shared" si="54"/>
        <v>0</v>
      </c>
      <c r="N347" s="11">
        <f t="shared" si="55"/>
        <v>9.0701918731397182</v>
      </c>
      <c r="O347" s="3">
        <v>1.4458081268602778</v>
      </c>
      <c r="P347" s="11">
        <f t="shared" si="56"/>
        <v>188.2032277582347</v>
      </c>
      <c r="Q347" s="12">
        <f t="shared" si="57"/>
        <v>188.2032277582347</v>
      </c>
      <c r="R347" s="13">
        <f t="shared" si="58"/>
        <v>178.84643174235873</v>
      </c>
      <c r="S347" s="3" t="s">
        <v>30</v>
      </c>
      <c r="T347" s="3" t="s">
        <v>71</v>
      </c>
      <c r="U347" s="10">
        <v>0</v>
      </c>
      <c r="V347" s="3">
        <v>0</v>
      </c>
      <c r="W347" s="3">
        <f t="shared" si="59"/>
        <v>0</v>
      </c>
      <c r="AA347" s="3">
        <v>9</v>
      </c>
    </row>
    <row r="348" spans="1:27" x14ac:dyDescent="0.3">
      <c r="A348" s="3" t="str">
        <f t="shared" si="50"/>
        <v>South9700149922210</v>
      </c>
      <c r="B348" s="3" t="str">
        <f t="shared" si="51"/>
        <v>CY9700149922210</v>
      </c>
      <c r="C348" s="10">
        <v>9700149922210</v>
      </c>
      <c r="D348" s="10" t="str">
        <f t="shared" si="52"/>
        <v>9700149922</v>
      </c>
      <c r="E348" s="3" t="s">
        <v>4</v>
      </c>
      <c r="F348" s="3" t="s">
        <v>65</v>
      </c>
      <c r="H348" s="3">
        <v>9.0559999999999992</v>
      </c>
      <c r="I348" s="10">
        <f t="shared" si="53"/>
        <v>195.05623448249139</v>
      </c>
      <c r="J348" s="3">
        <v>1.3928291024421804</v>
      </c>
      <c r="K348" s="3">
        <v>0</v>
      </c>
      <c r="L348" s="3">
        <f t="shared" si="54"/>
        <v>0</v>
      </c>
      <c r="N348" s="11">
        <f t="shared" si="55"/>
        <v>7.6631708975578192</v>
      </c>
      <c r="O348" s="3">
        <v>1.3928291024421804</v>
      </c>
      <c r="P348" s="11">
        <f t="shared" si="56"/>
        <v>165.05623448249142</v>
      </c>
      <c r="Q348" s="12">
        <f t="shared" si="57"/>
        <v>165.05623448249142</v>
      </c>
      <c r="R348" s="13">
        <f t="shared" si="58"/>
        <v>149.61023985293647</v>
      </c>
      <c r="S348" s="3" t="s">
        <v>30</v>
      </c>
      <c r="T348" s="3" t="s">
        <v>71</v>
      </c>
      <c r="U348" s="10">
        <v>0</v>
      </c>
      <c r="V348" s="3">
        <v>0</v>
      </c>
      <c r="W348" s="3">
        <f t="shared" si="59"/>
        <v>0</v>
      </c>
      <c r="AA348" s="3">
        <v>9</v>
      </c>
    </row>
    <row r="349" spans="1:27" x14ac:dyDescent="0.3">
      <c r="A349" s="3" t="str">
        <f t="shared" si="50"/>
        <v>East9700119922210</v>
      </c>
      <c r="B349" s="3" t="str">
        <f t="shared" si="51"/>
        <v>KGP9700119922210</v>
      </c>
      <c r="C349" s="10">
        <v>9700119922210</v>
      </c>
      <c r="D349" s="10" t="str">
        <f t="shared" si="52"/>
        <v>9700119922</v>
      </c>
      <c r="E349" s="3" t="s">
        <v>6</v>
      </c>
      <c r="F349" s="3" t="s">
        <v>66</v>
      </c>
      <c r="H349" s="3">
        <v>48.153199999999998</v>
      </c>
      <c r="I349" s="10">
        <f t="shared" si="53"/>
        <v>137.26730483862349</v>
      </c>
      <c r="J349" s="3">
        <v>10.523962728767208</v>
      </c>
      <c r="K349" s="3">
        <v>0</v>
      </c>
      <c r="L349" s="3">
        <f t="shared" si="54"/>
        <v>0</v>
      </c>
      <c r="N349" s="11">
        <f t="shared" si="55"/>
        <v>37.629237271232789</v>
      </c>
      <c r="O349" s="3">
        <v>10.523962728767208</v>
      </c>
      <c r="P349" s="11">
        <f t="shared" si="56"/>
        <v>107.26730483862346</v>
      </c>
      <c r="Q349" s="12">
        <f t="shared" si="57"/>
        <v>107.26730483862346</v>
      </c>
      <c r="R349" s="13">
        <f t="shared" si="58"/>
        <v>83.14679138597748</v>
      </c>
      <c r="S349" s="3" t="s">
        <v>29</v>
      </c>
      <c r="T349" s="3" t="s">
        <v>71</v>
      </c>
      <c r="U349" s="10">
        <v>0</v>
      </c>
      <c r="V349" s="3">
        <v>0</v>
      </c>
      <c r="W349" s="3">
        <f t="shared" si="59"/>
        <v>0</v>
      </c>
      <c r="AA349" s="3">
        <v>9</v>
      </c>
    </row>
    <row r="350" spans="1:27" x14ac:dyDescent="0.3">
      <c r="A350" s="3" t="str">
        <f t="shared" si="50"/>
        <v>East9700059922210</v>
      </c>
      <c r="B350" s="3" t="str">
        <f t="shared" si="51"/>
        <v>KGP9700059922210</v>
      </c>
      <c r="C350" s="10">
        <v>9700059922210</v>
      </c>
      <c r="D350" s="10" t="str">
        <f t="shared" si="52"/>
        <v>9700059922</v>
      </c>
      <c r="E350" s="3" t="s">
        <v>6</v>
      </c>
      <c r="F350" s="3" t="s">
        <v>66</v>
      </c>
      <c r="H350" s="3">
        <v>32.667999999999999</v>
      </c>
      <c r="I350" s="10">
        <f t="shared" si="53"/>
        <v>125.89636295002498</v>
      </c>
      <c r="J350" s="3">
        <v>7.7844981144453742</v>
      </c>
      <c r="K350" s="3">
        <v>0</v>
      </c>
      <c r="L350" s="3">
        <f t="shared" si="54"/>
        <v>0</v>
      </c>
      <c r="N350" s="11">
        <f t="shared" si="55"/>
        <v>24.883501885554626</v>
      </c>
      <c r="O350" s="3">
        <v>7.7844981144453742</v>
      </c>
      <c r="P350" s="11">
        <f t="shared" si="56"/>
        <v>95.896362950024979</v>
      </c>
      <c r="Q350" s="12">
        <f t="shared" si="57"/>
        <v>95.896362950024994</v>
      </c>
      <c r="R350" s="13">
        <f t="shared" si="58"/>
        <v>87.46657194340024</v>
      </c>
      <c r="S350" s="3" t="s">
        <v>29</v>
      </c>
      <c r="T350" s="3" t="s">
        <v>71</v>
      </c>
      <c r="U350" s="10">
        <v>0</v>
      </c>
      <c r="V350" s="3">
        <v>0</v>
      </c>
      <c r="W350" s="3">
        <f t="shared" si="59"/>
        <v>0</v>
      </c>
      <c r="AA350" s="3">
        <v>9</v>
      </c>
    </row>
    <row r="351" spans="1:27" x14ac:dyDescent="0.3">
      <c r="A351" s="3" t="str">
        <f t="shared" si="50"/>
        <v>East9700089922210</v>
      </c>
      <c r="B351" s="3" t="str">
        <f t="shared" si="51"/>
        <v>KGP9700089922210</v>
      </c>
      <c r="C351" s="10">
        <v>9700089922210</v>
      </c>
      <c r="D351" s="10" t="str">
        <f t="shared" si="52"/>
        <v>9700089922</v>
      </c>
      <c r="E351" s="3" t="s">
        <v>6</v>
      </c>
      <c r="F351" s="3" t="s">
        <v>66</v>
      </c>
      <c r="H351" s="3">
        <v>26.934000000000001</v>
      </c>
      <c r="I351" s="10">
        <f t="shared" si="53"/>
        <v>122.79671654580089</v>
      </c>
      <c r="J351" s="3">
        <v>6.5801433680730668</v>
      </c>
      <c r="K351" s="3">
        <v>0</v>
      </c>
      <c r="L351" s="3">
        <f t="shared" si="54"/>
        <v>0</v>
      </c>
      <c r="N351" s="11">
        <f t="shared" si="55"/>
        <v>20.353856631926934</v>
      </c>
      <c r="O351" s="3">
        <v>6.5801433680730668</v>
      </c>
      <c r="P351" s="11">
        <f t="shared" si="56"/>
        <v>92.796716545800905</v>
      </c>
      <c r="Q351" s="12">
        <f t="shared" si="57"/>
        <v>92.796716545800905</v>
      </c>
      <c r="R351" s="13">
        <f t="shared" si="58"/>
        <v>74.252065485340012</v>
      </c>
      <c r="S351" s="3" t="s">
        <v>29</v>
      </c>
      <c r="T351" s="3" t="s">
        <v>71</v>
      </c>
      <c r="U351" s="10">
        <v>0</v>
      </c>
      <c r="V351" s="3">
        <v>0</v>
      </c>
      <c r="W351" s="3">
        <f t="shared" si="59"/>
        <v>0</v>
      </c>
      <c r="AA351" s="3">
        <v>9</v>
      </c>
    </row>
    <row r="352" spans="1:27" x14ac:dyDescent="0.3">
      <c r="A352" s="3" t="str">
        <f t="shared" si="50"/>
        <v>East9700049922210</v>
      </c>
      <c r="B352" s="3" t="str">
        <f t="shared" si="51"/>
        <v>KGP9700049922210</v>
      </c>
      <c r="C352" s="10">
        <v>9700049922210</v>
      </c>
      <c r="D352" s="10" t="str">
        <f t="shared" si="52"/>
        <v>9700049922</v>
      </c>
      <c r="E352" s="3" t="s">
        <v>6</v>
      </c>
      <c r="F352" s="3" t="s">
        <v>66</v>
      </c>
      <c r="H352" s="3">
        <v>28.882999999999999</v>
      </c>
      <c r="I352" s="10">
        <f t="shared" si="53"/>
        <v>150.41330000199861</v>
      </c>
      <c r="J352" s="3">
        <v>5.7607272760353405</v>
      </c>
      <c r="K352" s="3">
        <v>0</v>
      </c>
      <c r="L352" s="3">
        <f t="shared" si="54"/>
        <v>0</v>
      </c>
      <c r="N352" s="11">
        <f t="shared" si="55"/>
        <v>23.122272723964659</v>
      </c>
      <c r="O352" s="3">
        <v>5.7607272760353405</v>
      </c>
      <c r="P352" s="11">
        <f t="shared" si="56"/>
        <v>120.41330000199862</v>
      </c>
      <c r="Q352" s="12">
        <f t="shared" si="57"/>
        <v>120.41330000199862</v>
      </c>
      <c r="R352" s="13">
        <f t="shared" si="58"/>
        <v>108.1488104789499</v>
      </c>
      <c r="S352" s="3" t="s">
        <v>29</v>
      </c>
      <c r="T352" s="3" t="s">
        <v>71</v>
      </c>
      <c r="U352" s="10">
        <v>0</v>
      </c>
      <c r="V352" s="3">
        <v>0</v>
      </c>
      <c r="W352" s="3">
        <f t="shared" si="59"/>
        <v>0</v>
      </c>
      <c r="AA352" s="3">
        <v>9</v>
      </c>
    </row>
    <row r="353" spans="1:27" x14ac:dyDescent="0.3">
      <c r="A353" s="3" t="str">
        <f t="shared" si="50"/>
        <v>East9700099922210</v>
      </c>
      <c r="B353" s="3" t="str">
        <f t="shared" si="51"/>
        <v>KGP9700099922210</v>
      </c>
      <c r="C353" s="10">
        <v>9700099922210</v>
      </c>
      <c r="D353" s="10" t="str">
        <f t="shared" si="52"/>
        <v>9700099922</v>
      </c>
      <c r="E353" s="3" t="s">
        <v>6</v>
      </c>
      <c r="F353" s="3" t="s">
        <v>66</v>
      </c>
      <c r="H353" s="3">
        <v>23.1</v>
      </c>
      <c r="I353" s="10">
        <f t="shared" si="53"/>
        <v>146.38392232938358</v>
      </c>
      <c r="J353" s="3">
        <v>4.7341264598762187</v>
      </c>
      <c r="K353" s="3">
        <v>0</v>
      </c>
      <c r="L353" s="3">
        <f t="shared" si="54"/>
        <v>0</v>
      </c>
      <c r="N353" s="11">
        <f t="shared" si="55"/>
        <v>18.365873540123783</v>
      </c>
      <c r="O353" s="3">
        <v>4.7341264598762187</v>
      </c>
      <c r="P353" s="11">
        <f t="shared" si="56"/>
        <v>116.38392232938358</v>
      </c>
      <c r="Q353" s="12">
        <f t="shared" si="57"/>
        <v>116.38392232938357</v>
      </c>
      <c r="R353" s="13">
        <f t="shared" si="58"/>
        <v>110.78497276336338</v>
      </c>
      <c r="S353" s="3" t="s">
        <v>29</v>
      </c>
      <c r="T353" s="3" t="s">
        <v>71</v>
      </c>
      <c r="U353" s="10">
        <v>0</v>
      </c>
      <c r="V353" s="3">
        <v>0</v>
      </c>
      <c r="W353" s="3">
        <f t="shared" si="59"/>
        <v>0</v>
      </c>
      <c r="AA353" s="3">
        <v>9</v>
      </c>
    </row>
    <row r="354" spans="1:27" x14ac:dyDescent="0.3">
      <c r="A354" s="3" t="str">
        <f t="shared" si="50"/>
        <v>East9700109922210</v>
      </c>
      <c r="B354" s="3" t="str">
        <f t="shared" si="51"/>
        <v>KGP9700109922210</v>
      </c>
      <c r="C354" s="10">
        <v>9700109922210</v>
      </c>
      <c r="D354" s="10" t="str">
        <f t="shared" si="52"/>
        <v>9700109922</v>
      </c>
      <c r="E354" s="3" t="s">
        <v>6</v>
      </c>
      <c r="F354" s="3" t="s">
        <v>66</v>
      </c>
      <c r="H354" s="3">
        <v>17.816000000000003</v>
      </c>
      <c r="I354" s="10">
        <f t="shared" si="53"/>
        <v>117.98127300596416</v>
      </c>
      <c r="J354" s="3">
        <v>4.5302104849553642</v>
      </c>
      <c r="K354" s="3">
        <v>9</v>
      </c>
      <c r="L354" s="3">
        <f t="shared" si="54"/>
        <v>0</v>
      </c>
      <c r="N354" s="11">
        <f t="shared" si="55"/>
        <v>13.285789515044637</v>
      </c>
      <c r="O354" s="3">
        <v>4.5302104849553642</v>
      </c>
      <c r="P354" s="11">
        <f t="shared" si="56"/>
        <v>87.981273005964141</v>
      </c>
      <c r="Q354" s="12">
        <f t="shared" si="57"/>
        <v>87.981273005964155</v>
      </c>
      <c r="R354" s="13">
        <f t="shared" si="58"/>
        <v>93.357925436078943</v>
      </c>
      <c r="S354" s="3" t="s">
        <v>29</v>
      </c>
      <c r="T354" s="3" t="s">
        <v>71</v>
      </c>
      <c r="U354" s="10">
        <v>0</v>
      </c>
      <c r="V354" s="3">
        <v>0</v>
      </c>
      <c r="W354" s="3">
        <f t="shared" si="59"/>
        <v>0</v>
      </c>
      <c r="AA354" s="3">
        <v>9</v>
      </c>
    </row>
    <row r="355" spans="1:27" x14ac:dyDescent="0.3">
      <c r="A355" s="3" t="str">
        <f t="shared" si="50"/>
        <v>East9700139922210</v>
      </c>
      <c r="B355" s="3" t="str">
        <f t="shared" si="51"/>
        <v>KGP9700139922210</v>
      </c>
      <c r="C355" s="10">
        <v>9700139922210</v>
      </c>
      <c r="D355" s="10" t="str">
        <f t="shared" si="52"/>
        <v>9700139922</v>
      </c>
      <c r="E355" s="3" t="s">
        <v>6</v>
      </c>
      <c r="F355" s="3" t="s">
        <v>66</v>
      </c>
      <c r="H355" s="3">
        <v>12.892999999999997</v>
      </c>
      <c r="I355" s="10">
        <f t="shared" si="53"/>
        <v>89.799178446017052</v>
      </c>
      <c r="J355" s="3">
        <v>4.3072777133759574</v>
      </c>
      <c r="K355" s="3">
        <v>9</v>
      </c>
      <c r="L355" s="3">
        <f t="shared" si="54"/>
        <v>0</v>
      </c>
      <c r="N355" s="11">
        <f t="shared" si="55"/>
        <v>8.5857222866240406</v>
      </c>
      <c r="O355" s="3">
        <v>4.3072777133759574</v>
      </c>
      <c r="P355" s="11">
        <f t="shared" si="56"/>
        <v>59.799178446017066</v>
      </c>
      <c r="Q355" s="12">
        <f t="shared" si="57"/>
        <v>59.799178446017059</v>
      </c>
      <c r="R355" s="13">
        <f t="shared" si="58"/>
        <v>79.334332574318111</v>
      </c>
      <c r="S355" s="3" t="s">
        <v>29</v>
      </c>
      <c r="T355" s="3" t="s">
        <v>71</v>
      </c>
      <c r="U355" s="10">
        <v>0</v>
      </c>
      <c r="V355" s="3">
        <v>0</v>
      </c>
      <c r="W355" s="3">
        <f t="shared" si="59"/>
        <v>0</v>
      </c>
      <c r="AA355" s="3">
        <v>9</v>
      </c>
    </row>
    <row r="356" spans="1:27" x14ac:dyDescent="0.3">
      <c r="A356" s="3" t="str">
        <f t="shared" si="50"/>
        <v>East9700129922210</v>
      </c>
      <c r="B356" s="3" t="str">
        <f t="shared" si="51"/>
        <v>KGP9700129922210</v>
      </c>
      <c r="C356" s="10">
        <v>9700129922210</v>
      </c>
      <c r="D356" s="10" t="str">
        <f t="shared" si="52"/>
        <v>9700129922</v>
      </c>
      <c r="E356" s="3" t="s">
        <v>6</v>
      </c>
      <c r="F356" s="3" t="s">
        <v>66</v>
      </c>
      <c r="H356" s="3">
        <v>11.876999999999999</v>
      </c>
      <c r="I356" s="10">
        <f t="shared" si="53"/>
        <v>129.75481980537037</v>
      </c>
      <c r="J356" s="3">
        <v>2.7460251614117905</v>
      </c>
      <c r="K356" s="3">
        <v>0</v>
      </c>
      <c r="L356" s="3">
        <f t="shared" si="54"/>
        <v>0</v>
      </c>
      <c r="N356" s="11">
        <f t="shared" si="55"/>
        <v>9.1309748385882088</v>
      </c>
      <c r="O356" s="3">
        <v>2.7460251614117905</v>
      </c>
      <c r="P356" s="11">
        <f t="shared" si="56"/>
        <v>99.754819805370374</v>
      </c>
      <c r="Q356" s="12">
        <f t="shared" si="57"/>
        <v>99.754819805370374</v>
      </c>
      <c r="R356" s="13">
        <f t="shared" si="58"/>
        <v>88.289620448256997</v>
      </c>
      <c r="S356" s="3" t="s">
        <v>29</v>
      </c>
      <c r="T356" s="3" t="s">
        <v>71</v>
      </c>
      <c r="U356" s="10">
        <v>0</v>
      </c>
      <c r="V356" s="3">
        <v>0</v>
      </c>
      <c r="W356" s="3">
        <f t="shared" si="59"/>
        <v>0</v>
      </c>
      <c r="AA356" s="3">
        <v>9</v>
      </c>
    </row>
    <row r="357" spans="1:27" x14ac:dyDescent="0.3">
      <c r="A357" s="3" t="str">
        <f t="shared" si="50"/>
        <v>East9700159922210</v>
      </c>
      <c r="B357" s="3" t="str">
        <f t="shared" si="51"/>
        <v>KGP9700159922210</v>
      </c>
      <c r="C357" s="10">
        <v>9700159922210</v>
      </c>
      <c r="D357" s="10" t="str">
        <f t="shared" si="52"/>
        <v>9700159922</v>
      </c>
      <c r="E357" s="3" t="s">
        <v>6</v>
      </c>
      <c r="F357" s="3" t="s">
        <v>66</v>
      </c>
      <c r="H357" s="3">
        <v>8.9750000000000014</v>
      </c>
      <c r="I357" s="10">
        <f t="shared" si="53"/>
        <v>198.85519931960431</v>
      </c>
      <c r="J357" s="3">
        <v>1.3540003023368563</v>
      </c>
      <c r="K357" s="3">
        <v>0</v>
      </c>
      <c r="L357" s="3">
        <f t="shared" si="54"/>
        <v>0</v>
      </c>
      <c r="N357" s="11">
        <f t="shared" si="55"/>
        <v>7.6209996976631453</v>
      </c>
      <c r="O357" s="3">
        <v>1.3540003023368563</v>
      </c>
      <c r="P357" s="11">
        <f t="shared" si="56"/>
        <v>168.85519931960431</v>
      </c>
      <c r="Q357" s="12">
        <f t="shared" si="57"/>
        <v>168.85519931960428</v>
      </c>
      <c r="R357" s="13">
        <f t="shared" si="58"/>
        <v>178.84643174235873</v>
      </c>
      <c r="S357" s="3" t="s">
        <v>30</v>
      </c>
      <c r="T357" s="3" t="s">
        <v>71</v>
      </c>
      <c r="U357" s="10">
        <v>0</v>
      </c>
      <c r="V357" s="3">
        <v>0</v>
      </c>
      <c r="W357" s="3">
        <f t="shared" si="59"/>
        <v>0</v>
      </c>
      <c r="AA357" s="3">
        <v>9</v>
      </c>
    </row>
    <row r="358" spans="1:27" x14ac:dyDescent="0.3">
      <c r="A358" s="3" t="str">
        <f t="shared" si="50"/>
        <v>East9700149922210</v>
      </c>
      <c r="B358" s="3" t="str">
        <f t="shared" si="51"/>
        <v>KGP9700149922210</v>
      </c>
      <c r="C358" s="10">
        <v>9700149922210</v>
      </c>
      <c r="D358" s="10" t="str">
        <f t="shared" si="52"/>
        <v>9700149922</v>
      </c>
      <c r="E358" s="3" t="s">
        <v>6</v>
      </c>
      <c r="F358" s="3" t="s">
        <v>66</v>
      </c>
      <c r="H358" s="3">
        <v>7.3439999999999994</v>
      </c>
      <c r="I358" s="10">
        <f t="shared" si="53"/>
        <v>163.63203044823936</v>
      </c>
      <c r="J358" s="3">
        <v>1.3464356544160365</v>
      </c>
      <c r="K358" s="3">
        <v>0</v>
      </c>
      <c r="L358" s="3">
        <f t="shared" si="54"/>
        <v>0</v>
      </c>
      <c r="N358" s="11">
        <f t="shared" si="55"/>
        <v>5.9975643455839629</v>
      </c>
      <c r="O358" s="3">
        <v>1.3464356544160365</v>
      </c>
      <c r="P358" s="11">
        <f t="shared" si="56"/>
        <v>133.63203044823936</v>
      </c>
      <c r="Q358" s="12">
        <f t="shared" si="57"/>
        <v>133.63203044823936</v>
      </c>
      <c r="R358" s="13">
        <f t="shared" si="58"/>
        <v>149.61023985293647</v>
      </c>
      <c r="S358" s="3" t="s">
        <v>30</v>
      </c>
      <c r="T358" s="3" t="s">
        <v>71</v>
      </c>
      <c r="U358" s="10">
        <v>0</v>
      </c>
      <c r="V358" s="3">
        <v>0</v>
      </c>
      <c r="W358" s="3">
        <f t="shared" si="59"/>
        <v>0</v>
      </c>
      <c r="AA358" s="3">
        <v>9</v>
      </c>
    </row>
    <row r="359" spans="1:27" x14ac:dyDescent="0.3">
      <c r="A359" s="3" t="str">
        <f t="shared" si="50"/>
        <v>West9420039999195</v>
      </c>
      <c r="B359" s="3" t="str">
        <f t="shared" si="51"/>
        <v>Mah9420039999195</v>
      </c>
      <c r="C359" s="10">
        <v>9420039999195</v>
      </c>
      <c r="D359" s="10" t="str">
        <f t="shared" si="52"/>
        <v>9420039999</v>
      </c>
      <c r="E359" s="3" t="s">
        <v>1</v>
      </c>
      <c r="F359" s="3" t="s">
        <v>63</v>
      </c>
      <c r="H359" s="3">
        <v>0.60419999999999996</v>
      </c>
      <c r="I359" s="10">
        <f t="shared" si="53"/>
        <v>40.202664526458818</v>
      </c>
      <c r="J359" s="3">
        <v>0.45086563822332293</v>
      </c>
      <c r="K359" s="3">
        <v>0</v>
      </c>
      <c r="L359" s="3">
        <f t="shared" si="54"/>
        <v>0</v>
      </c>
      <c r="N359" s="11">
        <f t="shared" si="55"/>
        <v>0.15333436177667703</v>
      </c>
      <c r="O359" s="3">
        <v>0.45086563822332293</v>
      </c>
      <c r="P359" s="11">
        <f t="shared" si="56"/>
        <v>10.202664526458815</v>
      </c>
      <c r="Q359" s="12">
        <f t="shared" si="57"/>
        <v>10.202664526458815</v>
      </c>
      <c r="R359" s="13">
        <f t="shared" si="58"/>
        <v>-14.236938844724724</v>
      </c>
      <c r="S359" s="3" t="s">
        <v>31</v>
      </c>
      <c r="T359" s="3" t="s">
        <v>28</v>
      </c>
      <c r="U359" s="10">
        <v>0</v>
      </c>
      <c r="V359" s="3">
        <v>0</v>
      </c>
      <c r="W359" s="3">
        <f t="shared" si="59"/>
        <v>0</v>
      </c>
      <c r="AA359" s="3">
        <v>16</v>
      </c>
    </row>
    <row r="360" spans="1:27" x14ac:dyDescent="0.3">
      <c r="A360" s="3" t="str">
        <f t="shared" si="50"/>
        <v>West9420039999838</v>
      </c>
      <c r="B360" s="3" t="str">
        <f t="shared" si="51"/>
        <v>Mah9420039999838</v>
      </c>
      <c r="C360" s="10">
        <v>9420039999838</v>
      </c>
      <c r="D360" s="10" t="str">
        <f t="shared" si="52"/>
        <v>9420039999</v>
      </c>
      <c r="E360" s="3" t="s">
        <v>1</v>
      </c>
      <c r="F360" s="3" t="s">
        <v>63</v>
      </c>
      <c r="H360" s="3">
        <v>1.7176000000000005</v>
      </c>
      <c r="I360" s="10">
        <f t="shared" si="53"/>
        <v>218.82693388787331</v>
      </c>
      <c r="J360" s="3">
        <v>0.23547375583301328</v>
      </c>
      <c r="K360" s="3">
        <v>0</v>
      </c>
      <c r="L360" s="3">
        <f t="shared" si="54"/>
        <v>0</v>
      </c>
      <c r="N360" s="11">
        <f t="shared" si="55"/>
        <v>1.4821262441669871</v>
      </c>
      <c r="O360" s="3">
        <v>0.23547375583301328</v>
      </c>
      <c r="P360" s="11">
        <f t="shared" si="56"/>
        <v>188.82693388787328</v>
      </c>
      <c r="Q360" s="12">
        <f t="shared" si="57"/>
        <v>188.82693388787328</v>
      </c>
      <c r="R360" s="13">
        <f t="shared" si="58"/>
        <v>42.398978619991823</v>
      </c>
      <c r="S360" s="3" t="s">
        <v>31</v>
      </c>
      <c r="T360" s="3" t="s">
        <v>28</v>
      </c>
      <c r="U360" s="10">
        <v>0</v>
      </c>
      <c r="V360" s="3">
        <v>0</v>
      </c>
      <c r="W360" s="3">
        <f t="shared" si="59"/>
        <v>0</v>
      </c>
      <c r="AA360" s="3">
        <v>16</v>
      </c>
    </row>
    <row r="361" spans="1:27" x14ac:dyDescent="0.3">
      <c r="A361" s="3" t="str">
        <f t="shared" si="50"/>
        <v>West9320039999097</v>
      </c>
      <c r="B361" s="3" t="str">
        <f t="shared" si="51"/>
        <v>Mah9320039999097</v>
      </c>
      <c r="C361" s="10">
        <v>9320039999097</v>
      </c>
      <c r="D361" s="10" t="str">
        <f t="shared" si="52"/>
        <v>9320039999</v>
      </c>
      <c r="E361" s="3" t="s">
        <v>1</v>
      </c>
      <c r="F361" s="3" t="s">
        <v>63</v>
      </c>
      <c r="H361" s="3">
        <v>6.3199499999999995</v>
      </c>
      <c r="I361" s="10">
        <f t="shared" si="53"/>
        <v>105.81148796149449</v>
      </c>
      <c r="J361" s="3">
        <v>1.7918517511916678</v>
      </c>
      <c r="K361" s="3">
        <v>0</v>
      </c>
      <c r="L361" s="3">
        <f t="shared" si="54"/>
        <v>0</v>
      </c>
      <c r="M361" s="32"/>
      <c r="N361" s="11">
        <f t="shared" si="55"/>
        <v>4.5280982488083321</v>
      </c>
      <c r="O361" s="3">
        <v>1.7918517511916678</v>
      </c>
      <c r="P361" s="11">
        <f t="shared" si="56"/>
        <v>75.811487961494507</v>
      </c>
      <c r="Q361" s="12">
        <f t="shared" si="57"/>
        <v>75.811487961494493</v>
      </c>
      <c r="R361" s="13">
        <f t="shared" si="58"/>
        <v>17.328925570439566</v>
      </c>
      <c r="S361" s="3" t="s">
        <v>30</v>
      </c>
      <c r="T361" s="3" t="s">
        <v>28</v>
      </c>
      <c r="U361" s="10">
        <v>0</v>
      </c>
      <c r="V361" s="3">
        <v>0</v>
      </c>
      <c r="W361" s="3">
        <f t="shared" si="59"/>
        <v>0</v>
      </c>
      <c r="Y361" s="3">
        <v>0</v>
      </c>
      <c r="Z361" s="3">
        <v>528</v>
      </c>
      <c r="AA361" s="3">
        <v>18</v>
      </c>
    </row>
    <row r="362" spans="1:27" x14ac:dyDescent="0.3">
      <c r="A362" s="3" t="str">
        <f t="shared" si="50"/>
        <v>West9320039999219</v>
      </c>
      <c r="B362" s="3" t="str">
        <f t="shared" si="51"/>
        <v>Mah9320039999219</v>
      </c>
      <c r="C362" s="10">
        <v>9320039999219</v>
      </c>
      <c r="D362" s="10" t="str">
        <f t="shared" si="52"/>
        <v>9320039999</v>
      </c>
      <c r="E362" s="3" t="s">
        <v>1</v>
      </c>
      <c r="F362" s="3" t="s">
        <v>63</v>
      </c>
      <c r="H362" s="3">
        <v>7.2734999999999985</v>
      </c>
      <c r="I362" s="10">
        <f t="shared" si="53"/>
        <v>149.19401636541662</v>
      </c>
      <c r="J362" s="3">
        <v>1.4625586556069161</v>
      </c>
      <c r="K362" s="3">
        <v>0</v>
      </c>
      <c r="L362" s="3">
        <f t="shared" si="54"/>
        <v>0</v>
      </c>
      <c r="M362" s="32"/>
      <c r="N362" s="11">
        <f t="shared" si="55"/>
        <v>5.8109413443930826</v>
      </c>
      <c r="O362" s="3">
        <v>1.4625586556069161</v>
      </c>
      <c r="P362" s="11">
        <f t="shared" si="56"/>
        <v>119.19401636541662</v>
      </c>
      <c r="Q362" s="12">
        <f t="shared" si="57"/>
        <v>119.1940163654166</v>
      </c>
      <c r="R362" s="13">
        <f t="shared" si="58"/>
        <v>54.138526583137718</v>
      </c>
      <c r="S362" s="3" t="s">
        <v>31</v>
      </c>
      <c r="T362" s="3" t="s">
        <v>28</v>
      </c>
      <c r="U362" s="10">
        <v>9320039900999</v>
      </c>
      <c r="V362" s="3">
        <v>0.1</v>
      </c>
      <c r="W362" s="3">
        <f t="shared" si="59"/>
        <v>0</v>
      </c>
      <c r="Y362" s="3">
        <v>0</v>
      </c>
      <c r="Z362" s="3">
        <v>216</v>
      </c>
      <c r="AA362" s="3">
        <v>18</v>
      </c>
    </row>
    <row r="363" spans="1:27" x14ac:dyDescent="0.3">
      <c r="A363" s="3" t="str">
        <f t="shared" si="50"/>
        <v>West9320039999839</v>
      </c>
      <c r="B363" s="3" t="str">
        <f t="shared" si="51"/>
        <v>Mah9320039999839</v>
      </c>
      <c r="C363" s="10">
        <v>9320039999839</v>
      </c>
      <c r="D363" s="10" t="str">
        <f t="shared" si="52"/>
        <v>9320039999</v>
      </c>
      <c r="E363" s="3" t="s">
        <v>1</v>
      </c>
      <c r="F363" s="3" t="s">
        <v>63</v>
      </c>
      <c r="H363" s="3">
        <v>1.6340999999999999</v>
      </c>
      <c r="I363" s="10">
        <f t="shared" si="53"/>
        <v>38.303209111526826</v>
      </c>
      <c r="J363" s="3">
        <v>1.2798666518322404</v>
      </c>
      <c r="K363" s="3">
        <v>0</v>
      </c>
      <c r="L363" s="3">
        <f t="shared" si="54"/>
        <v>0</v>
      </c>
      <c r="M363" s="32"/>
      <c r="N363" s="11">
        <f t="shared" si="55"/>
        <v>0.35423334816775953</v>
      </c>
      <c r="O363" s="3">
        <v>1.2798666518322404</v>
      </c>
      <c r="P363" s="11">
        <f t="shared" si="56"/>
        <v>8.3032091115268223</v>
      </c>
      <c r="Q363" s="12">
        <f t="shared" si="57"/>
        <v>8.3032091115268241</v>
      </c>
      <c r="R363" s="13">
        <f t="shared" si="58"/>
        <v>5.6471689168472166</v>
      </c>
      <c r="S363" s="3" t="s">
        <v>30</v>
      </c>
      <c r="T363" s="3" t="s">
        <v>28</v>
      </c>
      <c r="U363" s="10">
        <v>0</v>
      </c>
      <c r="V363" s="3">
        <v>0</v>
      </c>
      <c r="W363" s="3">
        <f t="shared" si="59"/>
        <v>0</v>
      </c>
      <c r="Y363" s="3">
        <v>0</v>
      </c>
      <c r="Z363" s="3">
        <v>4401</v>
      </c>
      <c r="AA363" s="3">
        <v>18</v>
      </c>
    </row>
    <row r="364" spans="1:27" x14ac:dyDescent="0.3">
      <c r="A364" s="3" t="str">
        <f t="shared" si="50"/>
        <v>West9320039999297</v>
      </c>
      <c r="B364" s="3" t="str">
        <f t="shared" si="51"/>
        <v>Mah9320039999297</v>
      </c>
      <c r="C364" s="10">
        <v>9320039999297</v>
      </c>
      <c r="D364" s="10" t="str">
        <f t="shared" si="52"/>
        <v>9320039999</v>
      </c>
      <c r="E364" s="3" t="s">
        <v>1</v>
      </c>
      <c r="F364" s="3" t="s">
        <v>63</v>
      </c>
      <c r="H364" s="3">
        <v>12.37275</v>
      </c>
      <c r="I364" s="10">
        <f t="shared" si="53"/>
        <v>598.34500423849647</v>
      </c>
      <c r="J364" s="3">
        <v>0.62034862390536327</v>
      </c>
      <c r="K364" s="3">
        <v>0</v>
      </c>
      <c r="L364" s="3">
        <f t="shared" si="54"/>
        <v>0</v>
      </c>
      <c r="N364" s="11">
        <f t="shared" si="55"/>
        <v>11.752401376094637</v>
      </c>
      <c r="O364" s="3">
        <v>0.62034862390536327</v>
      </c>
      <c r="P364" s="11">
        <f t="shared" si="56"/>
        <v>568.34500423849647</v>
      </c>
      <c r="Q364" s="12">
        <f t="shared" si="57"/>
        <v>568.34500423849647</v>
      </c>
      <c r="R364" s="13">
        <f t="shared" si="58"/>
        <v>104.32505744629258</v>
      </c>
      <c r="S364" s="3" t="s">
        <v>31</v>
      </c>
      <c r="T364" s="3" t="s">
        <v>28</v>
      </c>
      <c r="U364" s="10">
        <v>9320039900999</v>
      </c>
      <c r="V364" s="3">
        <v>0.1</v>
      </c>
      <c r="W364" s="3">
        <f t="shared" si="59"/>
        <v>0</v>
      </c>
      <c r="AA364" s="3">
        <v>18</v>
      </c>
    </row>
    <row r="365" spans="1:27" x14ac:dyDescent="0.3">
      <c r="A365" s="3" t="str">
        <f t="shared" si="50"/>
        <v>West9310029999219</v>
      </c>
      <c r="B365" s="3" t="str">
        <f t="shared" si="51"/>
        <v>Mah9310029999219</v>
      </c>
      <c r="C365" s="10">
        <v>9310029999219</v>
      </c>
      <c r="D365" s="10" t="str">
        <f t="shared" si="52"/>
        <v>9310029999</v>
      </c>
      <c r="E365" s="3" t="s">
        <v>1</v>
      </c>
      <c r="F365" s="3" t="s">
        <v>63</v>
      </c>
      <c r="H365" s="3">
        <v>1.2479999999999998</v>
      </c>
      <c r="I365" s="10">
        <f t="shared" si="53"/>
        <v>210.62793308639149</v>
      </c>
      <c r="J365" s="3">
        <v>0.177754201218143</v>
      </c>
      <c r="K365" s="3">
        <v>0</v>
      </c>
      <c r="L365" s="3">
        <f t="shared" si="54"/>
        <v>0</v>
      </c>
      <c r="N365" s="11">
        <f t="shared" si="55"/>
        <v>1.0702457987818568</v>
      </c>
      <c r="O365" s="3">
        <v>0.177754201218143</v>
      </c>
      <c r="P365" s="11">
        <f t="shared" si="56"/>
        <v>180.62793308639149</v>
      </c>
      <c r="Q365" s="12">
        <f t="shared" si="57"/>
        <v>180.62793308639147</v>
      </c>
      <c r="R365" s="13">
        <f t="shared" si="58"/>
        <v>390.88539054406084</v>
      </c>
      <c r="S365" s="3" t="s">
        <v>31</v>
      </c>
      <c r="T365" s="3" t="s">
        <v>32</v>
      </c>
      <c r="U365" s="10">
        <v>9310029900999</v>
      </c>
      <c r="V365" s="3">
        <v>0.1</v>
      </c>
      <c r="W365" s="3">
        <f t="shared" si="59"/>
        <v>0</v>
      </c>
      <c r="AA365" s="3">
        <v>18</v>
      </c>
    </row>
    <row r="366" spans="1:27" x14ac:dyDescent="0.3">
      <c r="A366" s="3" t="str">
        <f t="shared" si="50"/>
        <v>West9310029999297</v>
      </c>
      <c r="B366" s="3" t="str">
        <f t="shared" si="51"/>
        <v>Mah9310029999297</v>
      </c>
      <c r="C366" s="10">
        <v>9310029999297</v>
      </c>
      <c r="D366" s="10" t="str">
        <f t="shared" si="52"/>
        <v>9310029999</v>
      </c>
      <c r="E366" s="3" t="s">
        <v>1</v>
      </c>
      <c r="F366" s="3" t="s">
        <v>63</v>
      </c>
      <c r="H366" s="3">
        <v>2.3595000000000002</v>
      </c>
      <c r="I366" s="10">
        <f t="shared" si="53"/>
        <v>571.88376234309681</v>
      </c>
      <c r="J366" s="3">
        <v>0.12377515268134708</v>
      </c>
      <c r="K366" s="3">
        <v>0</v>
      </c>
      <c r="L366" s="3">
        <f t="shared" si="54"/>
        <v>0</v>
      </c>
      <c r="N366" s="11">
        <f t="shared" si="55"/>
        <v>2.2357248473186533</v>
      </c>
      <c r="O366" s="3">
        <v>0.12377515268134708</v>
      </c>
      <c r="P366" s="11">
        <f t="shared" si="56"/>
        <v>541.88376234309681</v>
      </c>
      <c r="Q366" s="12">
        <f t="shared" si="57"/>
        <v>541.88376234309681</v>
      </c>
      <c r="R366" s="13">
        <f t="shared" si="58"/>
        <v>1144.2916541959814</v>
      </c>
      <c r="S366" s="3" t="s">
        <v>31</v>
      </c>
      <c r="T366" s="3" t="s">
        <v>32</v>
      </c>
      <c r="U366" s="10">
        <v>9310029900999</v>
      </c>
      <c r="V366" s="3">
        <v>0.1</v>
      </c>
      <c r="W366" s="3">
        <f t="shared" si="59"/>
        <v>0</v>
      </c>
      <c r="AA366" s="3">
        <v>18</v>
      </c>
    </row>
    <row r="367" spans="1:27" x14ac:dyDescent="0.3">
      <c r="A367" s="3" t="str">
        <f t="shared" si="50"/>
        <v>West9310029999839</v>
      </c>
      <c r="B367" s="3" t="str">
        <f t="shared" si="51"/>
        <v>Mah9310029999839</v>
      </c>
      <c r="C367" s="10">
        <v>9310029999839</v>
      </c>
      <c r="D367" s="10" t="str">
        <f t="shared" si="52"/>
        <v>9310029999</v>
      </c>
      <c r="E367" s="3" t="s">
        <v>1</v>
      </c>
      <c r="F367" s="3" t="s">
        <v>63</v>
      </c>
      <c r="H367" s="3">
        <v>0.48359999999999997</v>
      </c>
      <c r="I367" s="10">
        <f t="shared" si="53"/>
        <v>400.60538221849242</v>
      </c>
      <c r="J367" s="3">
        <v>3.6215189919957827E-2</v>
      </c>
      <c r="K367" s="3">
        <v>0</v>
      </c>
      <c r="L367" s="3">
        <f t="shared" si="54"/>
        <v>0</v>
      </c>
      <c r="N367" s="11">
        <f t="shared" si="55"/>
        <v>0.44738481008004216</v>
      </c>
      <c r="O367" s="3">
        <v>3.6215189919957827E-2</v>
      </c>
      <c r="P367" s="11">
        <f t="shared" si="56"/>
        <v>370.60538221849242</v>
      </c>
      <c r="Q367" s="12">
        <f t="shared" si="57"/>
        <v>370.60538221849248</v>
      </c>
      <c r="R367" s="13">
        <f t="shared" si="58"/>
        <v>277.8965501161872</v>
      </c>
      <c r="S367" s="3" t="s">
        <v>31</v>
      </c>
      <c r="T367" s="3" t="s">
        <v>32</v>
      </c>
      <c r="U367" s="10">
        <v>0</v>
      </c>
      <c r="V367" s="3">
        <v>0</v>
      </c>
      <c r="W367" s="3">
        <f t="shared" si="59"/>
        <v>0</v>
      </c>
      <c r="AA367" s="3">
        <v>18</v>
      </c>
    </row>
    <row r="368" spans="1:27" x14ac:dyDescent="0.3">
      <c r="A368" s="3" t="str">
        <f t="shared" si="50"/>
        <v>West9310029999097</v>
      </c>
      <c r="B368" s="3" t="str">
        <f t="shared" si="51"/>
        <v>Mah9310029999097</v>
      </c>
      <c r="C368" s="10">
        <v>9310029999097</v>
      </c>
      <c r="D368" s="10" t="str">
        <f t="shared" si="52"/>
        <v>9310029999</v>
      </c>
      <c r="E368" s="3" t="s">
        <v>1</v>
      </c>
      <c r="F368" s="3" t="s">
        <v>63</v>
      </c>
      <c r="H368" s="3">
        <v>9.1649999999999995E-2</v>
      </c>
      <c r="I368" s="10">
        <f t="shared" si="53"/>
        <v>88.296631462837993</v>
      </c>
      <c r="J368" s="3">
        <v>3.113935327371125E-2</v>
      </c>
      <c r="K368" s="3">
        <v>0</v>
      </c>
      <c r="L368" s="3">
        <f t="shared" si="54"/>
        <v>0</v>
      </c>
      <c r="N368" s="11">
        <f t="shared" si="55"/>
        <v>6.0510646726288746E-2</v>
      </c>
      <c r="O368" s="3">
        <v>3.113935327371125E-2</v>
      </c>
      <c r="P368" s="11">
        <f t="shared" si="56"/>
        <v>58.296631462837986</v>
      </c>
      <c r="Q368" s="12">
        <f t="shared" si="57"/>
        <v>58.296631462837993</v>
      </c>
      <c r="R368" s="13">
        <f t="shared" si="58"/>
        <v>354.59273598559759</v>
      </c>
      <c r="S368" s="3" t="s">
        <v>31</v>
      </c>
      <c r="T368" s="3" t="s">
        <v>32</v>
      </c>
      <c r="U368" s="10">
        <v>0</v>
      </c>
      <c r="V368" s="3">
        <v>0</v>
      </c>
      <c r="W368" s="3">
        <f t="shared" si="59"/>
        <v>0</v>
      </c>
      <c r="AA368" s="3">
        <v>18</v>
      </c>
    </row>
    <row r="369" spans="1:27" x14ac:dyDescent="0.3">
      <c r="A369" s="3" t="str">
        <f t="shared" si="50"/>
        <v>West9410039999190</v>
      </c>
      <c r="B369" s="3" t="str">
        <f t="shared" si="51"/>
        <v>Mah9410039999190</v>
      </c>
      <c r="C369" s="10">
        <v>9410039999190</v>
      </c>
      <c r="D369" s="10" t="str">
        <f t="shared" si="52"/>
        <v>9410039999</v>
      </c>
      <c r="E369" s="3" t="s">
        <v>1</v>
      </c>
      <c r="F369" s="3" t="s">
        <v>63</v>
      </c>
      <c r="H369" s="3">
        <v>1.7000999999999999</v>
      </c>
      <c r="I369" s="10">
        <f t="shared" si="53"/>
        <v>550.97756112783077</v>
      </c>
      <c r="J369" s="3">
        <v>9.2568198050749534E-2</v>
      </c>
      <c r="K369" s="3">
        <v>0</v>
      </c>
      <c r="L369" s="3">
        <f t="shared" si="54"/>
        <v>0</v>
      </c>
      <c r="N369" s="11">
        <f t="shared" si="55"/>
        <v>1.6075318019492504</v>
      </c>
      <c r="O369" s="3">
        <v>9.2568198050749534E-2</v>
      </c>
      <c r="P369" s="11">
        <f t="shared" si="56"/>
        <v>520.97756112783077</v>
      </c>
      <c r="Q369" s="12">
        <f t="shared" si="57"/>
        <v>520.97756112783077</v>
      </c>
      <c r="R369" s="13">
        <f t="shared" si="58"/>
        <v>3929.8828485405229</v>
      </c>
      <c r="S369" s="3" t="s">
        <v>31</v>
      </c>
      <c r="T369" s="3" t="s">
        <v>32</v>
      </c>
      <c r="U369" s="10">
        <v>0</v>
      </c>
      <c r="V369" s="3">
        <v>0</v>
      </c>
      <c r="W369" s="3">
        <f t="shared" si="59"/>
        <v>0</v>
      </c>
      <c r="AA369" s="3">
        <v>20</v>
      </c>
    </row>
    <row r="370" spans="1:27" x14ac:dyDescent="0.3">
      <c r="A370" s="3" t="str">
        <f t="shared" si="50"/>
        <v>West9410039999836</v>
      </c>
      <c r="B370" s="3" t="str">
        <f t="shared" si="51"/>
        <v>Mah9410039999836</v>
      </c>
      <c r="C370" s="10">
        <v>9410039999836</v>
      </c>
      <c r="D370" s="10" t="str">
        <f t="shared" si="52"/>
        <v>9410039999</v>
      </c>
      <c r="E370" s="3" t="s">
        <v>1</v>
      </c>
      <c r="F370" s="3" t="s">
        <v>63</v>
      </c>
      <c r="H370" s="3">
        <v>1.7603999999999997</v>
      </c>
      <c r="I370" s="10">
        <f t="shared" si="53"/>
        <v>9320.5346121731054</v>
      </c>
      <c r="J370" s="3">
        <v>5.6661985816805786E-3</v>
      </c>
      <c r="K370" s="3">
        <v>0</v>
      </c>
      <c r="L370" s="3">
        <f t="shared" si="54"/>
        <v>0</v>
      </c>
      <c r="N370" s="11">
        <f t="shared" si="55"/>
        <v>1.7547338014183191</v>
      </c>
      <c r="O370" s="3">
        <v>5.6661985816805786E-3</v>
      </c>
      <c r="P370" s="11">
        <f t="shared" si="56"/>
        <v>9290.5346121731054</v>
      </c>
      <c r="Q370" s="12">
        <f t="shared" si="57"/>
        <v>9290.5346121731054</v>
      </c>
      <c r="R370" s="13">
        <f t="shared" si="58"/>
        <v>2141.2782979939097</v>
      </c>
      <c r="S370" s="3" t="s">
        <v>31</v>
      </c>
      <c r="T370" s="3" t="s">
        <v>32</v>
      </c>
      <c r="U370" s="10">
        <v>0</v>
      </c>
      <c r="V370" s="3">
        <v>0</v>
      </c>
      <c r="W370" s="3">
        <f t="shared" si="59"/>
        <v>0</v>
      </c>
      <c r="AA370" s="3">
        <v>20</v>
      </c>
    </row>
    <row r="371" spans="1:27" x14ac:dyDescent="0.3">
      <c r="A371" s="3" t="str">
        <f t="shared" si="50"/>
        <v>North9410039999190</v>
      </c>
      <c r="B371" s="3" t="str">
        <f t="shared" si="51"/>
        <v>Pan9410039999190</v>
      </c>
      <c r="C371" s="10">
        <v>9410039999190</v>
      </c>
      <c r="D371" s="10" t="str">
        <f t="shared" si="52"/>
        <v>9410039999</v>
      </c>
      <c r="E371" s="3" t="s">
        <v>2</v>
      </c>
      <c r="F371" s="3" t="s">
        <v>64</v>
      </c>
      <c r="H371" s="3">
        <v>11.4741</v>
      </c>
      <c r="I371" s="10">
        <f t="shared" si="53"/>
        <v>2601.6278188078431</v>
      </c>
      <c r="J371" s="3">
        <v>0.13231062395301993</v>
      </c>
      <c r="K371" s="3">
        <v>0</v>
      </c>
      <c r="L371" s="3">
        <f t="shared" si="54"/>
        <v>0</v>
      </c>
      <c r="N371" s="11">
        <f t="shared" si="55"/>
        <v>11.341789376046981</v>
      </c>
      <c r="O371" s="3">
        <v>0.13231062395301993</v>
      </c>
      <c r="P371" s="11">
        <f t="shared" si="56"/>
        <v>2571.6278188078431</v>
      </c>
      <c r="Q371" s="12">
        <f t="shared" si="57"/>
        <v>2571.6278188078431</v>
      </c>
      <c r="R371" s="13">
        <f t="shared" si="58"/>
        <v>3929.8828485405229</v>
      </c>
      <c r="S371" s="3" t="s">
        <v>31</v>
      </c>
      <c r="T371" s="3" t="s">
        <v>32</v>
      </c>
      <c r="U371" s="10">
        <v>0</v>
      </c>
      <c r="V371" s="3">
        <v>0</v>
      </c>
      <c r="W371" s="3">
        <f t="shared" si="59"/>
        <v>0</v>
      </c>
      <c r="AA371" s="3">
        <v>20</v>
      </c>
    </row>
    <row r="372" spans="1:27" x14ac:dyDescent="0.3">
      <c r="A372" s="3" t="str">
        <f t="shared" si="50"/>
        <v>North9410039999836</v>
      </c>
      <c r="B372" s="3" t="str">
        <f t="shared" si="51"/>
        <v>Pan9410039999836</v>
      </c>
      <c r="C372" s="10">
        <v>9410039999836</v>
      </c>
      <c r="D372" s="10" t="str">
        <f t="shared" si="52"/>
        <v>9410039999</v>
      </c>
      <c r="E372" s="3" t="s">
        <v>2</v>
      </c>
      <c r="F372" s="3" t="s">
        <v>64</v>
      </c>
      <c r="H372" s="3">
        <v>3.5604000000000005</v>
      </c>
      <c r="I372" s="10">
        <f t="shared" si="53"/>
        <v>818.96460181625707</v>
      </c>
      <c r="J372" s="3">
        <v>0.13042321946897084</v>
      </c>
      <c r="K372" s="3">
        <v>0</v>
      </c>
      <c r="L372" s="3">
        <f t="shared" si="54"/>
        <v>0</v>
      </c>
      <c r="N372" s="11">
        <f t="shared" si="55"/>
        <v>3.4299767805310295</v>
      </c>
      <c r="O372" s="3">
        <v>0.13042321946897084</v>
      </c>
      <c r="P372" s="11">
        <f t="shared" si="56"/>
        <v>788.96460181625707</v>
      </c>
      <c r="Q372" s="12">
        <f t="shared" si="57"/>
        <v>788.96460181625707</v>
      </c>
      <c r="R372" s="13">
        <f t="shared" si="58"/>
        <v>2141.2782979939097</v>
      </c>
      <c r="S372" s="3" t="s">
        <v>31</v>
      </c>
      <c r="T372" s="3" t="s">
        <v>32</v>
      </c>
      <c r="U372" s="10">
        <v>0</v>
      </c>
      <c r="V372" s="3">
        <v>0</v>
      </c>
      <c r="W372" s="3">
        <f t="shared" si="59"/>
        <v>0</v>
      </c>
      <c r="AA372" s="3">
        <v>20</v>
      </c>
    </row>
    <row r="373" spans="1:27" x14ac:dyDescent="0.3">
      <c r="A373" s="3" t="str">
        <f t="shared" si="50"/>
        <v>South9410039999190</v>
      </c>
      <c r="B373" s="3" t="str">
        <f t="shared" si="51"/>
        <v>CY9410039999190</v>
      </c>
      <c r="C373" s="10">
        <v>9410039999190</v>
      </c>
      <c r="D373" s="10" t="str">
        <f t="shared" si="52"/>
        <v>9410039999</v>
      </c>
      <c r="E373" s="3" t="s">
        <v>4</v>
      </c>
      <c r="F373" s="3" t="s">
        <v>65</v>
      </c>
      <c r="H373" s="3">
        <v>17.676900000000003</v>
      </c>
      <c r="I373" s="10">
        <f t="shared" si="53"/>
        <v>54008.49986951179</v>
      </c>
      <c r="J373" s="3">
        <v>9.8189544475639559E-3</v>
      </c>
      <c r="K373" s="3">
        <v>0</v>
      </c>
      <c r="L373" s="3">
        <f t="shared" si="54"/>
        <v>0</v>
      </c>
      <c r="N373" s="11">
        <f t="shared" si="55"/>
        <v>17.66708104555244</v>
      </c>
      <c r="O373" s="3">
        <v>9.8189544475639559E-3</v>
      </c>
      <c r="P373" s="11">
        <f t="shared" si="56"/>
        <v>53978.49986951179</v>
      </c>
      <c r="Q373" s="12">
        <f t="shared" si="57"/>
        <v>36946.736527312489</v>
      </c>
      <c r="R373" s="13">
        <f t="shared" si="58"/>
        <v>3929.8828485405229</v>
      </c>
      <c r="S373" s="3" t="s">
        <v>31</v>
      </c>
      <c r="T373" s="3" t="s">
        <v>32</v>
      </c>
      <c r="U373" s="10">
        <v>0</v>
      </c>
      <c r="V373" s="3">
        <v>0</v>
      </c>
      <c r="W373" s="3">
        <f t="shared" si="59"/>
        <v>0</v>
      </c>
      <c r="AA373" s="3">
        <v>20</v>
      </c>
    </row>
    <row r="374" spans="1:27" x14ac:dyDescent="0.3">
      <c r="A374" s="3" t="str">
        <f t="shared" si="50"/>
        <v>South9410039999836</v>
      </c>
      <c r="B374" s="3" t="str">
        <f t="shared" si="51"/>
        <v>CY9410039999836</v>
      </c>
      <c r="C374" s="10">
        <v>9410039999836</v>
      </c>
      <c r="D374" s="10" t="str">
        <f t="shared" si="52"/>
        <v>9410039999</v>
      </c>
      <c r="E374" s="3" t="s">
        <v>4</v>
      </c>
      <c r="F374" s="3" t="s">
        <v>65</v>
      </c>
      <c r="H374" s="3">
        <v>1.278</v>
      </c>
      <c r="I374" s="10">
        <f t="shared" si="53"/>
        <v>0</v>
      </c>
      <c r="J374" s="3">
        <v>0</v>
      </c>
      <c r="K374" s="3">
        <v>0</v>
      </c>
      <c r="L374" s="3">
        <f t="shared" si="54"/>
        <v>0</v>
      </c>
      <c r="N374" s="11">
        <f t="shared" si="55"/>
        <v>1.278</v>
      </c>
      <c r="O374" s="3">
        <v>0</v>
      </c>
      <c r="P374" s="11">
        <f t="shared" si="56"/>
        <v>9999</v>
      </c>
      <c r="Q374" s="12">
        <f t="shared" si="57"/>
        <v>9999</v>
      </c>
      <c r="R374" s="13">
        <f t="shared" si="58"/>
        <v>2141.2782979939097</v>
      </c>
      <c r="S374" s="3" t="s">
        <v>31</v>
      </c>
      <c r="T374" s="3" t="s">
        <v>32</v>
      </c>
      <c r="U374" s="10">
        <v>0</v>
      </c>
      <c r="V374" s="3">
        <v>0</v>
      </c>
      <c r="W374" s="3">
        <f t="shared" si="59"/>
        <v>0</v>
      </c>
      <c r="AA374" s="3">
        <v>20</v>
      </c>
    </row>
    <row r="375" spans="1:27" x14ac:dyDescent="0.3">
      <c r="A375" s="3" t="str">
        <f t="shared" si="50"/>
        <v>South9410039999190</v>
      </c>
      <c r="B375" s="3" t="str">
        <f t="shared" si="51"/>
        <v>CMR9410039999190</v>
      </c>
      <c r="C375" s="10">
        <v>9410039999190</v>
      </c>
      <c r="D375" s="10" t="str">
        <f t="shared" si="52"/>
        <v>9410039999</v>
      </c>
      <c r="E375" s="3" t="s">
        <v>5</v>
      </c>
      <c r="F375" s="3" t="s">
        <v>65</v>
      </c>
      <c r="H375" s="3">
        <v>1.6857</v>
      </c>
      <c r="I375" s="10">
        <f t="shared" si="53"/>
        <v>8585.4301421049186</v>
      </c>
      <c r="J375" s="3">
        <v>5.8903280514727169E-3</v>
      </c>
      <c r="K375" s="3">
        <v>0</v>
      </c>
      <c r="L375" s="3">
        <f t="shared" si="54"/>
        <v>0</v>
      </c>
      <c r="N375" s="11">
        <f t="shared" si="55"/>
        <v>1.6798096719485271</v>
      </c>
      <c r="O375" s="3">
        <v>5.8903280514727169E-3</v>
      </c>
      <c r="P375" s="11">
        <f t="shared" si="56"/>
        <v>8555.4301421049186</v>
      </c>
      <c r="Q375" s="12">
        <f t="shared" si="57"/>
        <v>36946.736527312489</v>
      </c>
      <c r="R375" s="13">
        <f t="shared" si="58"/>
        <v>3929.8828485405229</v>
      </c>
      <c r="S375" s="3" t="s">
        <v>31</v>
      </c>
      <c r="T375" s="3" t="s">
        <v>32</v>
      </c>
      <c r="U375" s="10">
        <v>0</v>
      </c>
      <c r="V375" s="3">
        <v>0</v>
      </c>
      <c r="W375" s="3">
        <f t="shared" si="59"/>
        <v>0</v>
      </c>
      <c r="AA375" s="3">
        <v>20</v>
      </c>
    </row>
    <row r="376" spans="1:27" x14ac:dyDescent="0.3">
      <c r="A376" s="3" t="str">
        <f t="shared" si="50"/>
        <v>South9410039999836</v>
      </c>
      <c r="B376" s="3" t="str">
        <f t="shared" si="51"/>
        <v>CMR9410039999836</v>
      </c>
      <c r="C376" s="10">
        <v>9410039999836</v>
      </c>
      <c r="D376" s="10" t="str">
        <f t="shared" si="52"/>
        <v>9410039999</v>
      </c>
      <c r="E376" s="3" t="s">
        <v>5</v>
      </c>
      <c r="F376" s="3" t="s">
        <v>65</v>
      </c>
      <c r="H376" s="3">
        <v>1.5407999999999999</v>
      </c>
      <c r="I376" s="10">
        <f t="shared" si="53"/>
        <v>0</v>
      </c>
      <c r="J376" s="3">
        <v>0</v>
      </c>
      <c r="K376" s="3">
        <v>0</v>
      </c>
      <c r="L376" s="3">
        <f t="shared" si="54"/>
        <v>0</v>
      </c>
      <c r="N376" s="11">
        <f t="shared" si="55"/>
        <v>1.5407999999999999</v>
      </c>
      <c r="O376" s="3">
        <v>0</v>
      </c>
      <c r="P376" s="11">
        <f t="shared" si="56"/>
        <v>9999</v>
      </c>
      <c r="Q376" s="12">
        <f t="shared" si="57"/>
        <v>9999</v>
      </c>
      <c r="R376" s="13">
        <f t="shared" si="58"/>
        <v>2141.2782979939097</v>
      </c>
      <c r="S376" s="3" t="s">
        <v>31</v>
      </c>
      <c r="T376" s="3" t="s">
        <v>32</v>
      </c>
      <c r="U376" s="10">
        <v>0</v>
      </c>
      <c r="V376" s="3">
        <v>0</v>
      </c>
      <c r="W376" s="3">
        <f t="shared" si="59"/>
        <v>0</v>
      </c>
      <c r="AA376" s="3">
        <v>20</v>
      </c>
    </row>
    <row r="377" spans="1:27" x14ac:dyDescent="0.3">
      <c r="A377" s="3" t="str">
        <f t="shared" si="50"/>
        <v>East9700019922210</v>
      </c>
      <c r="B377" s="3" t="str">
        <f t="shared" si="51"/>
        <v>KGP9700019922210</v>
      </c>
      <c r="C377" s="10">
        <v>9700019922210</v>
      </c>
      <c r="D377" s="10" t="str">
        <f t="shared" si="52"/>
        <v>9700019922</v>
      </c>
      <c r="E377" s="3" t="s">
        <v>6</v>
      </c>
      <c r="F377" s="3" t="s">
        <v>66</v>
      </c>
      <c r="H377" s="3">
        <v>46.757000000000005</v>
      </c>
      <c r="I377" s="10">
        <f t="shared" si="53"/>
        <v>195.54459431315783</v>
      </c>
      <c r="J377" s="3">
        <v>7.1733509429240945</v>
      </c>
      <c r="K377" s="3">
        <v>0</v>
      </c>
      <c r="L377" s="3">
        <f t="shared" si="54"/>
        <v>0</v>
      </c>
      <c r="N377" s="11">
        <f t="shared" si="55"/>
        <v>39.58364905707591</v>
      </c>
      <c r="O377" s="3">
        <v>7.1733509429240945</v>
      </c>
      <c r="P377" s="11">
        <f t="shared" si="56"/>
        <v>165.5445943131578</v>
      </c>
      <c r="Q377" s="12">
        <f t="shared" si="57"/>
        <v>165.5445943131578</v>
      </c>
      <c r="R377" s="13">
        <f t="shared" si="58"/>
        <v>88.134350331630742</v>
      </c>
      <c r="S377" s="3" t="s">
        <v>29</v>
      </c>
      <c r="T377" s="3" t="s">
        <v>71</v>
      </c>
      <c r="U377" s="10">
        <v>0</v>
      </c>
      <c r="V377" s="3">
        <v>0</v>
      </c>
      <c r="W377" s="3">
        <f t="shared" si="59"/>
        <v>0</v>
      </c>
      <c r="AA377" s="3">
        <v>20</v>
      </c>
    </row>
    <row r="378" spans="1:27" x14ac:dyDescent="0.3">
      <c r="A378" s="3" t="str">
        <f t="shared" si="50"/>
        <v>East9320049981210</v>
      </c>
      <c r="B378" s="3" t="str">
        <f t="shared" si="51"/>
        <v>KGP9320049981210</v>
      </c>
      <c r="C378" s="10">
        <v>9320049981210</v>
      </c>
      <c r="D378" s="10" t="str">
        <f t="shared" si="52"/>
        <v>9320049981</v>
      </c>
      <c r="E378" s="3" t="s">
        <v>6</v>
      </c>
      <c r="F378" s="3" t="s">
        <v>66</v>
      </c>
      <c r="H378" s="3">
        <v>6.4089999999999989</v>
      </c>
      <c r="I378" s="10">
        <f t="shared" si="53"/>
        <v>44.207714628970912</v>
      </c>
      <c r="J378" s="3">
        <v>4.3492408873359514</v>
      </c>
      <c r="K378" s="3">
        <v>20</v>
      </c>
      <c r="L378" s="3">
        <f t="shared" si="54"/>
        <v>0</v>
      </c>
      <c r="N378" s="11">
        <f t="shared" si="55"/>
        <v>2.0597591126640475</v>
      </c>
      <c r="O378" s="3">
        <v>4.3492408873359514</v>
      </c>
      <c r="P378" s="11">
        <f t="shared" si="56"/>
        <v>14.207714628970912</v>
      </c>
      <c r="Q378" s="12">
        <f t="shared" si="57"/>
        <v>14.207714628970912</v>
      </c>
      <c r="R378" s="13">
        <f t="shared" si="58"/>
        <v>33.125651389011466</v>
      </c>
      <c r="S378" s="3" t="s">
        <v>31</v>
      </c>
      <c r="T378" s="3" t="s">
        <v>28</v>
      </c>
      <c r="U378" s="10">
        <v>0</v>
      </c>
      <c r="V378" s="3">
        <v>0</v>
      </c>
      <c r="W378" s="3">
        <f t="shared" si="59"/>
        <v>0</v>
      </c>
      <c r="AA378" s="3">
        <v>20</v>
      </c>
    </row>
    <row r="379" spans="1:27" x14ac:dyDescent="0.3">
      <c r="A379" s="3" t="str">
        <f t="shared" si="50"/>
        <v>East9320049981240</v>
      </c>
      <c r="B379" s="3" t="str">
        <f t="shared" si="51"/>
        <v>KGP9320049981240</v>
      </c>
      <c r="C379" s="10">
        <v>9320049981240</v>
      </c>
      <c r="D379" s="10" t="str">
        <f t="shared" si="52"/>
        <v>9320049981</v>
      </c>
      <c r="E379" s="3" t="s">
        <v>6</v>
      </c>
      <c r="F379" s="3" t="s">
        <v>66</v>
      </c>
      <c r="H379" s="3">
        <v>7.3000000000000034</v>
      </c>
      <c r="I379" s="10">
        <f t="shared" si="53"/>
        <v>73.548575863765066</v>
      </c>
      <c r="J379" s="3">
        <v>2.9776239366708679</v>
      </c>
      <c r="K379" s="3">
        <v>0</v>
      </c>
      <c r="L379" s="3">
        <f t="shared" si="54"/>
        <v>0</v>
      </c>
      <c r="N379" s="11">
        <f t="shared" si="55"/>
        <v>4.3223760633291359</v>
      </c>
      <c r="O379" s="3">
        <v>2.9776239366708679</v>
      </c>
      <c r="P379" s="11">
        <f t="shared" si="56"/>
        <v>43.548575863765066</v>
      </c>
      <c r="Q379" s="12">
        <f t="shared" si="57"/>
        <v>43.548575863765073</v>
      </c>
      <c r="R379" s="13">
        <f t="shared" si="58"/>
        <v>39.279282390333343</v>
      </c>
      <c r="S379" s="3" t="s">
        <v>31</v>
      </c>
      <c r="T379" s="3" t="s">
        <v>28</v>
      </c>
      <c r="U379" s="10">
        <v>0</v>
      </c>
      <c r="V379" s="3">
        <v>0</v>
      </c>
      <c r="W379" s="3">
        <f t="shared" si="59"/>
        <v>0</v>
      </c>
      <c r="AA379" s="3">
        <v>20</v>
      </c>
    </row>
    <row r="380" spans="1:27" x14ac:dyDescent="0.3">
      <c r="A380" s="3" t="str">
        <f t="shared" si="50"/>
        <v>East9410039999190</v>
      </c>
      <c r="B380" s="3" t="str">
        <f t="shared" si="51"/>
        <v>KGP9410039999190</v>
      </c>
      <c r="C380" s="10">
        <v>9410039999190</v>
      </c>
      <c r="D380" s="10" t="str">
        <f t="shared" si="52"/>
        <v>9410039999</v>
      </c>
      <c r="E380" s="3" t="s">
        <v>6</v>
      </c>
      <c r="F380" s="3" t="s">
        <v>66</v>
      </c>
      <c r="H380" s="3">
        <v>1.0259999999999998</v>
      </c>
      <c r="I380" s="10">
        <f t="shared" si="53"/>
        <v>2249.4977859732453</v>
      </c>
      <c r="J380" s="3">
        <v>1.368305414298642E-2</v>
      </c>
      <c r="K380" s="3">
        <v>0</v>
      </c>
      <c r="L380" s="3">
        <f t="shared" si="54"/>
        <v>0</v>
      </c>
      <c r="N380" s="11">
        <f t="shared" si="55"/>
        <v>1.0123169458570134</v>
      </c>
      <c r="O380" s="3">
        <v>1.368305414298642E-2</v>
      </c>
      <c r="P380" s="11">
        <f t="shared" si="56"/>
        <v>2219.4977859732453</v>
      </c>
      <c r="Q380" s="12">
        <f t="shared" si="57"/>
        <v>2219.4977859732458</v>
      </c>
      <c r="R380" s="13">
        <f t="shared" si="58"/>
        <v>3929.8828485405229</v>
      </c>
      <c r="S380" s="3" t="s">
        <v>31</v>
      </c>
      <c r="T380" s="3" t="s">
        <v>32</v>
      </c>
      <c r="U380" s="10">
        <v>0</v>
      </c>
      <c r="V380" s="3">
        <v>0</v>
      </c>
      <c r="W380" s="3">
        <f t="shared" si="59"/>
        <v>0</v>
      </c>
      <c r="AA380" s="3">
        <v>20</v>
      </c>
    </row>
    <row r="381" spans="1:27" x14ac:dyDescent="0.3">
      <c r="A381" s="3" t="str">
        <f t="shared" si="50"/>
        <v>East9410039999836</v>
      </c>
      <c r="B381" s="3" t="str">
        <f t="shared" si="51"/>
        <v>KGP9410039999836</v>
      </c>
      <c r="C381" s="10">
        <v>9410039999836</v>
      </c>
      <c r="D381" s="10" t="str">
        <f t="shared" si="52"/>
        <v>9410039999</v>
      </c>
      <c r="E381" s="3" t="s">
        <v>6</v>
      </c>
      <c r="F381" s="3" t="s">
        <v>66</v>
      </c>
      <c r="H381" s="3">
        <v>1.7100000000000002</v>
      </c>
      <c r="I381" s="10">
        <f t="shared" si="53"/>
        <v>0</v>
      </c>
      <c r="J381" s="3">
        <v>0</v>
      </c>
      <c r="K381" s="3">
        <v>0</v>
      </c>
      <c r="L381" s="3">
        <f t="shared" si="54"/>
        <v>0</v>
      </c>
      <c r="N381" s="11">
        <f t="shared" si="55"/>
        <v>1.7100000000000002</v>
      </c>
      <c r="O381" s="3">
        <v>0</v>
      </c>
      <c r="P381" s="11">
        <f t="shared" si="56"/>
        <v>9999</v>
      </c>
      <c r="Q381" s="12">
        <f t="shared" si="57"/>
        <v>9999</v>
      </c>
      <c r="R381" s="13">
        <f t="shared" si="58"/>
        <v>2141.2782979939097</v>
      </c>
      <c r="S381" s="3" t="s">
        <v>31</v>
      </c>
      <c r="T381" s="3" t="s">
        <v>32</v>
      </c>
      <c r="U381" s="10">
        <v>0</v>
      </c>
      <c r="V381" s="3">
        <v>0</v>
      </c>
      <c r="W381" s="3">
        <f t="shared" si="59"/>
        <v>0</v>
      </c>
      <c r="AA381" s="3">
        <v>20</v>
      </c>
    </row>
    <row r="382" spans="1:27" ht="15.6" x14ac:dyDescent="0.3">
      <c r="A382" s="3" t="str">
        <f t="shared" si="50"/>
        <v>West9310039999219</v>
      </c>
      <c r="B382" s="3" t="str">
        <f t="shared" si="51"/>
        <v>Mah9310039999219</v>
      </c>
      <c r="C382" s="10">
        <v>9310039999219</v>
      </c>
      <c r="D382" s="10" t="str">
        <f t="shared" si="52"/>
        <v>9310039999</v>
      </c>
      <c r="E382" s="3" t="s">
        <v>1</v>
      </c>
      <c r="F382" s="3" t="s">
        <v>63</v>
      </c>
      <c r="H382" s="3">
        <v>3.2369999999999997</v>
      </c>
      <c r="I382" s="10">
        <f t="shared" si="53"/>
        <v>118.45974870795504</v>
      </c>
      <c r="J382" s="3">
        <v>0.81977212563070934</v>
      </c>
      <c r="K382" s="3">
        <v>0</v>
      </c>
      <c r="L382" s="3">
        <f t="shared" si="54"/>
        <v>0</v>
      </c>
      <c r="N382" s="11">
        <f t="shared" si="55"/>
        <v>2.4172278743692903</v>
      </c>
      <c r="O382" s="3">
        <v>0.81977212563070934</v>
      </c>
      <c r="P382" s="11">
        <f t="shared" si="56"/>
        <v>88.459748707955043</v>
      </c>
      <c r="Q382" s="12">
        <f t="shared" si="57"/>
        <v>88.459748707955058</v>
      </c>
      <c r="R382" s="13">
        <f t="shared" si="58"/>
        <v>66.604630363687477</v>
      </c>
      <c r="S382" s="3" t="s">
        <v>30</v>
      </c>
      <c r="T382" s="3" t="s">
        <v>32</v>
      </c>
      <c r="U382" s="10">
        <v>9310039900999</v>
      </c>
      <c r="V382" s="3">
        <v>0.1</v>
      </c>
      <c r="W382" s="3">
        <f t="shared" si="59"/>
        <v>0</v>
      </c>
      <c r="Y382">
        <v>70</v>
      </c>
      <c r="Z382" s="3">
        <v>270</v>
      </c>
      <c r="AA382" s="3">
        <v>22</v>
      </c>
    </row>
    <row r="383" spans="1:27" x14ac:dyDescent="0.3">
      <c r="A383" s="3" t="str">
        <f t="shared" si="50"/>
        <v>West9310039999839</v>
      </c>
      <c r="B383" s="3" t="str">
        <f t="shared" si="51"/>
        <v>Mah9310039999839</v>
      </c>
      <c r="C383" s="10">
        <v>9310039999839</v>
      </c>
      <c r="D383" s="10" t="str">
        <f t="shared" si="52"/>
        <v>9310039999</v>
      </c>
      <c r="E383" s="3" t="s">
        <v>1</v>
      </c>
      <c r="F383" s="3" t="s">
        <v>63</v>
      </c>
      <c r="H383" s="3">
        <v>0.98279999999999978</v>
      </c>
      <c r="I383" s="10">
        <f t="shared" si="53"/>
        <v>69.827573053106335</v>
      </c>
      <c r="J383" s="3">
        <v>0.42224007953958781</v>
      </c>
      <c r="K383" s="3">
        <v>0</v>
      </c>
      <c r="L383" s="3">
        <f t="shared" si="54"/>
        <v>0</v>
      </c>
      <c r="N383" s="11">
        <f t="shared" si="55"/>
        <v>0.56055992046041192</v>
      </c>
      <c r="O383" s="3">
        <v>0.42224007953958781</v>
      </c>
      <c r="P383" s="11">
        <f t="shared" si="56"/>
        <v>39.827573053106327</v>
      </c>
      <c r="Q383" s="12">
        <f t="shared" si="57"/>
        <v>39.827573053106327</v>
      </c>
      <c r="R383" s="13">
        <f t="shared" si="58"/>
        <v>31.244475407341508</v>
      </c>
      <c r="S383" s="3" t="s">
        <v>31</v>
      </c>
      <c r="T383" s="3" t="s">
        <v>32</v>
      </c>
      <c r="U383" s="10">
        <v>0</v>
      </c>
      <c r="V383" s="3">
        <v>0</v>
      </c>
      <c r="W383" s="3">
        <f t="shared" si="59"/>
        <v>0</v>
      </c>
      <c r="AA383" s="3">
        <v>22</v>
      </c>
    </row>
    <row r="384" spans="1:27" x14ac:dyDescent="0.3">
      <c r="A384" s="3" t="str">
        <f t="shared" si="50"/>
        <v>West9310039999097</v>
      </c>
      <c r="B384" s="3" t="str">
        <f t="shared" si="51"/>
        <v>Mah9310039999097</v>
      </c>
      <c r="C384" s="10">
        <v>9310039999097</v>
      </c>
      <c r="D384" s="10" t="str">
        <f t="shared" si="52"/>
        <v>9310039999</v>
      </c>
      <c r="E384" s="3" t="s">
        <v>1</v>
      </c>
      <c r="F384" s="3" t="s">
        <v>63</v>
      </c>
      <c r="H384" s="3">
        <v>3.7605749999999998</v>
      </c>
      <c r="I384" s="10">
        <f t="shared" si="53"/>
        <v>335.19435302341105</v>
      </c>
      <c r="J384" s="3">
        <v>0.33657264504130974</v>
      </c>
      <c r="K384" s="3">
        <v>0</v>
      </c>
      <c r="L384" s="3">
        <f t="shared" si="54"/>
        <v>0</v>
      </c>
      <c r="N384" s="11">
        <f t="shared" si="55"/>
        <v>3.4240023549586902</v>
      </c>
      <c r="O384" s="3">
        <v>0.33657264504130974</v>
      </c>
      <c r="P384" s="11">
        <f t="shared" si="56"/>
        <v>305.19435302341105</v>
      </c>
      <c r="Q384" s="12">
        <f t="shared" si="57"/>
        <v>305.19435302341105</v>
      </c>
      <c r="R384" s="13">
        <f t="shared" si="58"/>
        <v>105.48936964792743</v>
      </c>
      <c r="S384" s="3" t="s">
        <v>31</v>
      </c>
      <c r="T384" s="3" t="s">
        <v>32</v>
      </c>
      <c r="U384" s="10">
        <v>0</v>
      </c>
      <c r="V384" s="3">
        <v>0</v>
      </c>
      <c r="W384" s="3">
        <f t="shared" si="59"/>
        <v>0</v>
      </c>
      <c r="AA384" s="3">
        <v>22</v>
      </c>
    </row>
    <row r="385" spans="1:27" x14ac:dyDescent="0.3">
      <c r="A385" s="3" t="str">
        <f t="shared" si="50"/>
        <v>West9310039999297</v>
      </c>
      <c r="B385" s="3" t="str">
        <f t="shared" si="51"/>
        <v>Mah9310039999297</v>
      </c>
      <c r="C385" s="10">
        <v>9310039999297</v>
      </c>
      <c r="D385" s="10" t="str">
        <f t="shared" si="52"/>
        <v>9310039999</v>
      </c>
      <c r="E385" s="3" t="s">
        <v>1</v>
      </c>
      <c r="F385" s="3" t="s">
        <v>63</v>
      </c>
      <c r="H385" s="3">
        <v>1.0432499999999998</v>
      </c>
      <c r="I385" s="10">
        <f t="shared" si="53"/>
        <v>115.35635216662665</v>
      </c>
      <c r="J385" s="3">
        <v>0.27131145716875887</v>
      </c>
      <c r="K385" s="3">
        <v>0</v>
      </c>
      <c r="L385" s="3">
        <f t="shared" si="54"/>
        <v>0</v>
      </c>
      <c r="N385" s="11">
        <f t="shared" si="55"/>
        <v>0.77193854283124086</v>
      </c>
      <c r="O385" s="3">
        <v>0.27131145716875887</v>
      </c>
      <c r="P385" s="11">
        <f t="shared" si="56"/>
        <v>85.35635216662665</v>
      </c>
      <c r="Q385" s="12">
        <f t="shared" si="57"/>
        <v>85.356352166626664</v>
      </c>
      <c r="R385" s="13">
        <f t="shared" si="58"/>
        <v>67.595087039260903</v>
      </c>
      <c r="S385" s="3" t="s">
        <v>31</v>
      </c>
      <c r="T385" s="3" t="s">
        <v>32</v>
      </c>
      <c r="U385" s="10">
        <v>9310039900999</v>
      </c>
      <c r="V385" s="3">
        <v>0.1</v>
      </c>
      <c r="W385" s="3">
        <f t="shared" si="59"/>
        <v>0</v>
      </c>
      <c r="AA385" s="3">
        <v>22</v>
      </c>
    </row>
    <row r="386" spans="1:27" x14ac:dyDescent="0.3">
      <c r="A386" s="3" t="str">
        <f t="shared" si="50"/>
        <v>North9310039999839</v>
      </c>
      <c r="B386" s="3" t="str">
        <f t="shared" si="51"/>
        <v>Pan9310039999839</v>
      </c>
      <c r="C386" s="10">
        <v>9310039999839</v>
      </c>
      <c r="D386" s="10" t="str">
        <f t="shared" si="52"/>
        <v>9310039999</v>
      </c>
      <c r="E386" s="3" t="s">
        <v>2</v>
      </c>
      <c r="F386" s="3" t="s">
        <v>64</v>
      </c>
      <c r="H386" s="3">
        <v>1.4332499999999997</v>
      </c>
      <c r="I386" s="10">
        <f t="shared" si="53"/>
        <v>99.72801434473854</v>
      </c>
      <c r="J386" s="3">
        <v>0.43114765978761771</v>
      </c>
      <c r="K386" s="3">
        <v>0</v>
      </c>
      <c r="L386" s="3">
        <f t="shared" si="54"/>
        <v>0</v>
      </c>
      <c r="N386" s="11">
        <f t="shared" si="55"/>
        <v>1.0021023402123821</v>
      </c>
      <c r="O386" s="3">
        <v>0.43114765978761771</v>
      </c>
      <c r="P386" s="11">
        <f t="shared" si="56"/>
        <v>69.728014344738554</v>
      </c>
      <c r="Q386" s="12">
        <f t="shared" si="57"/>
        <v>80.070915225828543</v>
      </c>
      <c r="R386" s="13">
        <f t="shared" si="58"/>
        <v>31.244475407341508</v>
      </c>
      <c r="S386" s="3" t="s">
        <v>31</v>
      </c>
      <c r="T386" s="3" t="s">
        <v>32</v>
      </c>
      <c r="U386" s="10">
        <v>0</v>
      </c>
      <c r="V386" s="3">
        <v>0</v>
      </c>
      <c r="W386" s="3">
        <f t="shared" si="59"/>
        <v>0</v>
      </c>
      <c r="AA386" s="3">
        <v>22</v>
      </c>
    </row>
    <row r="387" spans="1:27" x14ac:dyDescent="0.3">
      <c r="A387" s="3" t="str">
        <f t="shared" si="50"/>
        <v>North9310039999097</v>
      </c>
      <c r="B387" s="3" t="str">
        <f t="shared" si="51"/>
        <v>Pan9310039999097</v>
      </c>
      <c r="C387" s="10">
        <v>9310039999097</v>
      </c>
      <c r="D387" s="10" t="str">
        <f t="shared" si="52"/>
        <v>9310039999</v>
      </c>
      <c r="E387" s="3" t="s">
        <v>2</v>
      </c>
      <c r="F387" s="3" t="s">
        <v>64</v>
      </c>
      <c r="H387" s="3">
        <v>1.1963249999999999</v>
      </c>
      <c r="I387" s="10">
        <f t="shared" si="53"/>
        <v>177.74996319720708</v>
      </c>
      <c r="J387" s="3">
        <v>0.20191143421043431</v>
      </c>
      <c r="K387" s="3">
        <v>0</v>
      </c>
      <c r="L387" s="3">
        <f t="shared" si="54"/>
        <v>0</v>
      </c>
      <c r="N387" s="11">
        <f t="shared" si="55"/>
        <v>0.99441356578956552</v>
      </c>
      <c r="O387" s="3">
        <v>0.20191143421043431</v>
      </c>
      <c r="P387" s="11">
        <f t="shared" si="56"/>
        <v>147.74996319720708</v>
      </c>
      <c r="Q387" s="12">
        <f t="shared" si="57"/>
        <v>168.14101727449611</v>
      </c>
      <c r="R387" s="13">
        <f t="shared" si="58"/>
        <v>105.48936964792743</v>
      </c>
      <c r="S387" s="3" t="s">
        <v>31</v>
      </c>
      <c r="T387" s="3" t="s">
        <v>32</v>
      </c>
      <c r="U387" s="10">
        <v>0</v>
      </c>
      <c r="V387" s="3">
        <v>0</v>
      </c>
      <c r="W387" s="3">
        <f t="shared" si="59"/>
        <v>0</v>
      </c>
      <c r="AA387" s="3">
        <v>22</v>
      </c>
    </row>
    <row r="388" spans="1:27" x14ac:dyDescent="0.3">
      <c r="A388" s="3" t="str">
        <f t="shared" ref="A388:A451" si="60">_xlfn.CONCAT(F388,C388)</f>
        <v>North9310039999219</v>
      </c>
      <c r="B388" s="3" t="str">
        <f t="shared" ref="B388:B451" si="61">_xlfn.CONCAT(E388,C388)</f>
        <v>Pan9310039999219</v>
      </c>
      <c r="C388" s="10">
        <v>9310039999219</v>
      </c>
      <c r="D388" s="10" t="str">
        <f t="shared" ref="D388:D451" si="62">LEFT(C388,10)</f>
        <v>9310039999</v>
      </c>
      <c r="E388" s="3" t="s">
        <v>2</v>
      </c>
      <c r="F388" s="3" t="s">
        <v>64</v>
      </c>
      <c r="H388" s="3">
        <v>2.3010000000000002</v>
      </c>
      <c r="I388" s="10">
        <f t="shared" ref="I388:I451" si="63">IFERROR(H388/J388*30,0)</f>
        <v>430.65322779127632</v>
      </c>
      <c r="J388" s="3">
        <v>0.16029137957246803</v>
      </c>
      <c r="K388" s="3">
        <v>0</v>
      </c>
      <c r="L388" s="3">
        <f t="shared" ref="L388:L451" si="64">M388*G388</f>
        <v>0</v>
      </c>
      <c r="N388" s="11">
        <f t="shared" ref="N388:N451" si="65">H388-J388+L388</f>
        <v>2.1407086204275321</v>
      </c>
      <c r="O388" s="3">
        <v>0.16029137957246803</v>
      </c>
      <c r="P388" s="11">
        <f t="shared" ref="P388:P451" si="66">IF(O388=0,9999,N388/O388*30)</f>
        <v>400.65322779127632</v>
      </c>
      <c r="Q388" s="12">
        <f t="shared" ref="Q388:Q451" si="67">IF(SUMIF($A:$A,$A388,$O:$O)=0,9999,SUMIF($A:$A,$A388,$N:$N)*30/SUMIF($A:$A,$A388,$O:$O))</f>
        <v>221.15318571987297</v>
      </c>
      <c r="R388" s="13">
        <f t="shared" ref="R388:R451" si="68">IF(SUMIF($C:$C,$C388,$O:$O)=0,9999,SUMIF($C:$C,$C388,$N:$N)*30/SUMIF($C:$C,$C388,$O:$O))</f>
        <v>66.604630363687477</v>
      </c>
      <c r="S388" s="3" t="s">
        <v>30</v>
      </c>
      <c r="T388" s="3" t="s">
        <v>32</v>
      </c>
      <c r="U388" s="10">
        <v>9310039900999</v>
      </c>
      <c r="V388" s="3">
        <v>0.1</v>
      </c>
      <c r="W388" s="3">
        <f t="shared" ref="W388:W451" si="69">IFERROR(K388*V388,0)</f>
        <v>0</v>
      </c>
      <c r="AA388" s="3">
        <v>22</v>
      </c>
    </row>
    <row r="389" spans="1:27" x14ac:dyDescent="0.3">
      <c r="A389" s="3" t="str">
        <f t="shared" si="60"/>
        <v>North9310039999297</v>
      </c>
      <c r="B389" s="3" t="str">
        <f t="shared" si="61"/>
        <v>Pan9310039999297</v>
      </c>
      <c r="C389" s="10">
        <v>9310039999297</v>
      </c>
      <c r="D389" s="10" t="str">
        <f t="shared" si="62"/>
        <v>9310039999</v>
      </c>
      <c r="E389" s="3" t="s">
        <v>2</v>
      </c>
      <c r="F389" s="3" t="s">
        <v>64</v>
      </c>
      <c r="H389" s="3">
        <v>1.1895</v>
      </c>
      <c r="I389" s="10">
        <f t="shared" si="63"/>
        <v>376.38719828284462</v>
      </c>
      <c r="J389" s="3">
        <v>9.4809281938392886E-2</v>
      </c>
      <c r="K389" s="3">
        <v>0</v>
      </c>
      <c r="L389" s="3">
        <f t="shared" si="64"/>
        <v>0</v>
      </c>
      <c r="N389" s="11">
        <f t="shared" si="65"/>
        <v>1.094690718061607</v>
      </c>
      <c r="O389" s="3">
        <v>9.4809281938392886E-2</v>
      </c>
      <c r="P389" s="11">
        <f t="shared" si="66"/>
        <v>346.38719828284457</v>
      </c>
      <c r="Q389" s="12">
        <f t="shared" si="67"/>
        <v>716.69995651084309</v>
      </c>
      <c r="R389" s="13">
        <f t="shared" si="68"/>
        <v>67.595087039260903</v>
      </c>
      <c r="S389" s="3" t="s">
        <v>31</v>
      </c>
      <c r="T389" s="3" t="s">
        <v>32</v>
      </c>
      <c r="U389" s="10">
        <v>9310039900999</v>
      </c>
      <c r="V389" s="3">
        <v>0.1</v>
      </c>
      <c r="W389" s="3">
        <f t="shared" si="69"/>
        <v>0</v>
      </c>
      <c r="AA389" s="3">
        <v>22</v>
      </c>
    </row>
    <row r="390" spans="1:27" x14ac:dyDescent="0.3">
      <c r="A390" s="3" t="str">
        <f t="shared" si="60"/>
        <v>East9310039999219</v>
      </c>
      <c r="B390" s="3" t="str">
        <f t="shared" si="61"/>
        <v>KGP9310039999219</v>
      </c>
      <c r="C390" s="10">
        <v>9310039999219</v>
      </c>
      <c r="D390" s="10" t="str">
        <f t="shared" si="62"/>
        <v>9310039999</v>
      </c>
      <c r="E390" s="3" t="s">
        <v>6</v>
      </c>
      <c r="F390" s="3" t="s">
        <v>66</v>
      </c>
      <c r="H390" s="3">
        <v>19.956299999999999</v>
      </c>
      <c r="I390" s="10">
        <f t="shared" si="63"/>
        <v>94.477023036992676</v>
      </c>
      <c r="J390" s="3">
        <v>6.3368740965259036</v>
      </c>
      <c r="K390" s="3">
        <v>11</v>
      </c>
      <c r="L390" s="3">
        <f t="shared" si="64"/>
        <v>0</v>
      </c>
      <c r="N390" s="11">
        <f t="shared" si="65"/>
        <v>13.619425903474095</v>
      </c>
      <c r="O390" s="3">
        <v>6.3368740965259036</v>
      </c>
      <c r="P390" s="11">
        <f t="shared" si="66"/>
        <v>64.477023036992676</v>
      </c>
      <c r="Q390" s="12">
        <f t="shared" si="67"/>
        <v>64.477023036992676</v>
      </c>
      <c r="R390" s="13">
        <f t="shared" si="68"/>
        <v>66.604630363687477</v>
      </c>
      <c r="S390" s="3" t="s">
        <v>30</v>
      </c>
      <c r="T390" s="3" t="s">
        <v>32</v>
      </c>
      <c r="U390" s="10">
        <v>9310039900999</v>
      </c>
      <c r="V390" s="3">
        <v>0.1</v>
      </c>
      <c r="W390" s="3">
        <f t="shared" si="69"/>
        <v>1.1000000000000001</v>
      </c>
      <c r="AA390" s="3">
        <v>22</v>
      </c>
    </row>
    <row r="391" spans="1:27" x14ac:dyDescent="0.3">
      <c r="A391" s="3" t="str">
        <f t="shared" si="60"/>
        <v>East9310039999297</v>
      </c>
      <c r="B391" s="3" t="str">
        <f t="shared" si="61"/>
        <v>KGP9310039999297</v>
      </c>
      <c r="C391" s="10">
        <v>9310039999297</v>
      </c>
      <c r="D391" s="10" t="str">
        <f t="shared" si="62"/>
        <v>9310039999</v>
      </c>
      <c r="E391" s="3" t="s">
        <v>6</v>
      </c>
      <c r="F391" s="3" t="s">
        <v>66</v>
      </c>
      <c r="H391" s="3">
        <v>4.1632500000000006</v>
      </c>
      <c r="I391" s="10">
        <f t="shared" si="63"/>
        <v>49.023162567738161</v>
      </c>
      <c r="J391" s="3">
        <v>2.5477242482555438</v>
      </c>
      <c r="K391" s="3">
        <v>0</v>
      </c>
      <c r="L391" s="3">
        <f t="shared" si="64"/>
        <v>0</v>
      </c>
      <c r="N391" s="11">
        <f t="shared" si="65"/>
        <v>1.6155257517444568</v>
      </c>
      <c r="O391" s="3">
        <v>2.5477242482555438</v>
      </c>
      <c r="P391" s="11">
        <f t="shared" si="66"/>
        <v>19.023162567738161</v>
      </c>
      <c r="Q391" s="12">
        <f t="shared" si="67"/>
        <v>19.023162567738161</v>
      </c>
      <c r="R391" s="13">
        <f t="shared" si="68"/>
        <v>67.595087039260903</v>
      </c>
      <c r="S391" s="3" t="s">
        <v>31</v>
      </c>
      <c r="T391" s="3" t="s">
        <v>32</v>
      </c>
      <c r="U391" s="10">
        <v>9310039900999</v>
      </c>
      <c r="V391" s="3">
        <v>0.1</v>
      </c>
      <c r="W391" s="3">
        <f t="shared" si="69"/>
        <v>0</v>
      </c>
      <c r="AA391" s="3">
        <v>22</v>
      </c>
    </row>
    <row r="392" spans="1:27" x14ac:dyDescent="0.3">
      <c r="A392" s="3" t="str">
        <f t="shared" si="60"/>
        <v>East9310039999839</v>
      </c>
      <c r="B392" s="3" t="str">
        <f t="shared" si="61"/>
        <v>KGP9310039999839</v>
      </c>
      <c r="C392" s="10">
        <v>9310039999839</v>
      </c>
      <c r="D392" s="10" t="str">
        <f t="shared" si="62"/>
        <v>9310039999</v>
      </c>
      <c r="E392" s="3" t="s">
        <v>6</v>
      </c>
      <c r="F392" s="3" t="s">
        <v>66</v>
      </c>
      <c r="H392" s="3">
        <v>3.9058499999999996</v>
      </c>
      <c r="I392" s="10">
        <f t="shared" si="63"/>
        <v>50.713738803150044</v>
      </c>
      <c r="J392" s="3">
        <v>2.3105277340096593</v>
      </c>
      <c r="K392" s="3">
        <v>11</v>
      </c>
      <c r="L392" s="3">
        <f t="shared" si="64"/>
        <v>0</v>
      </c>
      <c r="N392" s="11">
        <f t="shared" si="65"/>
        <v>1.5953222659903403</v>
      </c>
      <c r="O392" s="3">
        <v>2.3105277340096593</v>
      </c>
      <c r="P392" s="11">
        <f t="shared" si="66"/>
        <v>20.713738803150036</v>
      </c>
      <c r="Q392" s="12">
        <f t="shared" si="67"/>
        <v>20.71373880315004</v>
      </c>
      <c r="R392" s="13">
        <f t="shared" si="68"/>
        <v>31.244475407341508</v>
      </c>
      <c r="S392" s="3" t="s">
        <v>31</v>
      </c>
      <c r="T392" s="3" t="s">
        <v>32</v>
      </c>
      <c r="U392" s="10">
        <v>0</v>
      </c>
      <c r="V392" s="3">
        <v>0</v>
      </c>
      <c r="W392" s="3">
        <f t="shared" si="69"/>
        <v>0</v>
      </c>
      <c r="AA392" s="3">
        <v>22</v>
      </c>
    </row>
    <row r="393" spans="1:27" x14ac:dyDescent="0.3">
      <c r="A393" s="3" t="str">
        <f t="shared" si="60"/>
        <v>East9310039999097</v>
      </c>
      <c r="B393" s="3" t="str">
        <f t="shared" si="61"/>
        <v>KGP9310039999097</v>
      </c>
      <c r="C393" s="10">
        <v>9310039999097</v>
      </c>
      <c r="D393" s="10" t="str">
        <f t="shared" si="62"/>
        <v>9310039999</v>
      </c>
      <c r="E393" s="3" t="s">
        <v>6</v>
      </c>
      <c r="F393" s="3" t="s">
        <v>66</v>
      </c>
      <c r="H393" s="3">
        <v>2.1098999999999997</v>
      </c>
      <c r="I393" s="10">
        <f t="shared" si="63"/>
        <v>49.817981606163173</v>
      </c>
      <c r="J393" s="3">
        <v>1.2705653251951354</v>
      </c>
      <c r="K393" s="3">
        <v>0</v>
      </c>
      <c r="L393" s="3">
        <f t="shared" si="64"/>
        <v>0</v>
      </c>
      <c r="N393" s="11">
        <f t="shared" si="65"/>
        <v>0.83933467480486423</v>
      </c>
      <c r="O393" s="3">
        <v>1.2705653251951354</v>
      </c>
      <c r="P393" s="11">
        <f t="shared" si="66"/>
        <v>19.817981606163176</v>
      </c>
      <c r="Q393" s="12">
        <f t="shared" si="67"/>
        <v>19.817981606163176</v>
      </c>
      <c r="R393" s="13">
        <f t="shared" si="68"/>
        <v>105.48936964792743</v>
      </c>
      <c r="S393" s="3" t="s">
        <v>31</v>
      </c>
      <c r="T393" s="3" t="s">
        <v>32</v>
      </c>
      <c r="U393" s="10">
        <v>0</v>
      </c>
      <c r="V393" s="3">
        <v>0</v>
      </c>
      <c r="W393" s="3">
        <f t="shared" si="69"/>
        <v>0</v>
      </c>
      <c r="AA393" s="3">
        <v>22</v>
      </c>
    </row>
    <row r="394" spans="1:27" x14ac:dyDescent="0.3">
      <c r="A394" s="3" t="str">
        <f t="shared" si="60"/>
        <v>West9160909999219</v>
      </c>
      <c r="B394" s="3" t="str">
        <f t="shared" si="61"/>
        <v>Mah9160909999219</v>
      </c>
      <c r="C394" s="10">
        <v>9160909999219</v>
      </c>
      <c r="D394" s="10" t="str">
        <f t="shared" si="62"/>
        <v>9160909999</v>
      </c>
      <c r="E394" s="3" t="s">
        <v>1</v>
      </c>
      <c r="F394" s="3" t="s">
        <v>63</v>
      </c>
      <c r="H394" s="3">
        <v>17.3355</v>
      </c>
      <c r="I394" s="10">
        <f t="shared" si="63"/>
        <v>204.44174438780865</v>
      </c>
      <c r="J394" s="3">
        <v>2.5438297915003152</v>
      </c>
      <c r="K394" s="3">
        <v>0</v>
      </c>
      <c r="L394" s="3">
        <f t="shared" si="64"/>
        <v>0</v>
      </c>
      <c r="M394" s="32"/>
      <c r="N394" s="11">
        <f t="shared" si="65"/>
        <v>14.791670208499685</v>
      </c>
      <c r="O394" s="3">
        <v>2.5438297915003152</v>
      </c>
      <c r="P394" s="11">
        <f t="shared" si="66"/>
        <v>174.44174438780865</v>
      </c>
      <c r="Q394" s="12">
        <f t="shared" si="67"/>
        <v>174.44174438780865</v>
      </c>
      <c r="R394" s="13">
        <f t="shared" si="68"/>
        <v>292.42268786747837</v>
      </c>
      <c r="S394" s="3" t="s">
        <v>31</v>
      </c>
      <c r="T394" s="3" t="s">
        <v>34</v>
      </c>
      <c r="U394" s="10">
        <v>0</v>
      </c>
      <c r="V394" s="3">
        <v>0</v>
      </c>
      <c r="W394" s="3">
        <f t="shared" si="69"/>
        <v>0</v>
      </c>
      <c r="Y394" s="3">
        <v>2.8421709430404012E-13</v>
      </c>
      <c r="Z394" s="3">
        <v>451</v>
      </c>
      <c r="AA394" s="3">
        <v>23</v>
      </c>
    </row>
    <row r="395" spans="1:27" x14ac:dyDescent="0.3">
      <c r="A395" s="3" t="str">
        <f t="shared" si="60"/>
        <v>West9160909999097</v>
      </c>
      <c r="B395" s="3" t="str">
        <f t="shared" si="61"/>
        <v>Mah9160909999097</v>
      </c>
      <c r="C395" s="10">
        <v>9160909999097</v>
      </c>
      <c r="D395" s="10" t="str">
        <f t="shared" si="62"/>
        <v>9160909999</v>
      </c>
      <c r="E395" s="3" t="s">
        <v>1</v>
      </c>
      <c r="F395" s="3" t="s">
        <v>63</v>
      </c>
      <c r="H395" s="3">
        <v>0</v>
      </c>
      <c r="I395" s="10">
        <f t="shared" si="63"/>
        <v>0</v>
      </c>
      <c r="J395" s="3">
        <v>0</v>
      </c>
      <c r="K395" s="3">
        <v>0</v>
      </c>
      <c r="L395" s="3">
        <f t="shared" si="64"/>
        <v>0</v>
      </c>
      <c r="N395" s="11">
        <f t="shared" si="65"/>
        <v>0</v>
      </c>
      <c r="O395" s="3">
        <v>0</v>
      </c>
      <c r="P395" s="11">
        <f t="shared" si="66"/>
        <v>9999</v>
      </c>
      <c r="Q395" s="12">
        <f t="shared" si="67"/>
        <v>9999</v>
      </c>
      <c r="R395" s="13">
        <f t="shared" si="68"/>
        <v>9999</v>
      </c>
      <c r="S395" s="3" t="s">
        <v>31</v>
      </c>
      <c r="T395" s="3" t="s">
        <v>34</v>
      </c>
      <c r="U395" s="10" t="s">
        <v>72</v>
      </c>
      <c r="V395" s="3" t="s">
        <v>72</v>
      </c>
      <c r="W395" s="3">
        <f t="shared" si="69"/>
        <v>0</v>
      </c>
      <c r="AA395" s="3">
        <v>23</v>
      </c>
    </row>
    <row r="396" spans="1:27" x14ac:dyDescent="0.3">
      <c r="A396" s="3" t="str">
        <f t="shared" si="60"/>
        <v>North9330209999219</v>
      </c>
      <c r="B396" s="3" t="str">
        <f t="shared" si="61"/>
        <v>Pan9330209999219</v>
      </c>
      <c r="C396" s="10">
        <v>9330209999219</v>
      </c>
      <c r="D396" s="10" t="str">
        <f t="shared" si="62"/>
        <v>9330209999</v>
      </c>
      <c r="E396" s="3" t="s">
        <v>2</v>
      </c>
      <c r="F396" s="3" t="s">
        <v>64</v>
      </c>
      <c r="H396" s="3">
        <v>14.001000000000001</v>
      </c>
      <c r="I396" s="10">
        <f t="shared" si="63"/>
        <v>40.524822491658519</v>
      </c>
      <c r="J396" s="3">
        <v>10.364758539940736</v>
      </c>
      <c r="K396" s="3">
        <v>0</v>
      </c>
      <c r="L396" s="3">
        <f t="shared" si="64"/>
        <v>0</v>
      </c>
      <c r="N396" s="11">
        <f t="shared" si="65"/>
        <v>3.6362414600592654</v>
      </c>
      <c r="O396" s="3">
        <v>10.364758539940736</v>
      </c>
      <c r="P396" s="11">
        <f t="shared" si="66"/>
        <v>10.524822491658517</v>
      </c>
      <c r="Q396" s="12">
        <f t="shared" si="67"/>
        <v>13.918401658133408</v>
      </c>
      <c r="R396" s="13">
        <f t="shared" si="68"/>
        <v>26.810650075406716</v>
      </c>
      <c r="S396" s="3" t="s">
        <v>30</v>
      </c>
      <c r="T396" s="3" t="s">
        <v>35</v>
      </c>
      <c r="U396" s="10">
        <v>9330209900999</v>
      </c>
      <c r="V396" s="3">
        <v>0.1</v>
      </c>
      <c r="W396" s="3">
        <f t="shared" si="69"/>
        <v>0</v>
      </c>
      <c r="AA396" s="3">
        <v>23</v>
      </c>
    </row>
    <row r="397" spans="1:27" x14ac:dyDescent="0.3">
      <c r="A397" s="3" t="str">
        <f t="shared" si="60"/>
        <v>North9330209999839</v>
      </c>
      <c r="B397" s="3" t="str">
        <f t="shared" si="61"/>
        <v>Pan9330209999839</v>
      </c>
      <c r="C397" s="10">
        <v>9330209999839</v>
      </c>
      <c r="D397" s="10" t="str">
        <f t="shared" si="62"/>
        <v>9330209999</v>
      </c>
      <c r="E397" s="3" t="s">
        <v>2</v>
      </c>
      <c r="F397" s="3" t="s">
        <v>64</v>
      </c>
      <c r="H397" s="3">
        <v>6.7782000000000009</v>
      </c>
      <c r="I397" s="10">
        <f t="shared" si="63"/>
        <v>41.289940745294814</v>
      </c>
      <c r="J397" s="3">
        <v>4.9248314802479412</v>
      </c>
      <c r="K397" s="3">
        <v>0</v>
      </c>
      <c r="L397" s="3">
        <f t="shared" si="64"/>
        <v>0</v>
      </c>
      <c r="N397" s="11">
        <f t="shared" si="65"/>
        <v>1.8533685197520597</v>
      </c>
      <c r="O397" s="3">
        <v>4.9248314802479412</v>
      </c>
      <c r="P397" s="11">
        <f t="shared" si="66"/>
        <v>11.289940745294812</v>
      </c>
      <c r="Q397" s="12">
        <f t="shared" si="67"/>
        <v>9.2429297655745639</v>
      </c>
      <c r="R397" s="13">
        <f t="shared" si="68"/>
        <v>20.973866710871359</v>
      </c>
      <c r="S397" s="3" t="s">
        <v>30</v>
      </c>
      <c r="T397" s="3" t="s">
        <v>35</v>
      </c>
      <c r="U397" s="10">
        <v>0</v>
      </c>
      <c r="V397" s="3">
        <v>0</v>
      </c>
      <c r="W397" s="3">
        <f t="shared" si="69"/>
        <v>0</v>
      </c>
      <c r="AA397" s="3">
        <v>23</v>
      </c>
    </row>
    <row r="398" spans="1:27" x14ac:dyDescent="0.3">
      <c r="A398" s="3" t="str">
        <f t="shared" si="60"/>
        <v>North9330209999097</v>
      </c>
      <c r="B398" s="3" t="str">
        <f t="shared" si="61"/>
        <v>Pan9330209999097</v>
      </c>
      <c r="C398" s="10">
        <v>9330209999097</v>
      </c>
      <c r="D398" s="10" t="str">
        <f t="shared" si="62"/>
        <v>9330209999</v>
      </c>
      <c r="E398" s="3" t="s">
        <v>2</v>
      </c>
      <c r="F398" s="3" t="s">
        <v>64</v>
      </c>
      <c r="H398" s="3">
        <v>9.8660250000000005</v>
      </c>
      <c r="I398" s="10">
        <f t="shared" si="63"/>
        <v>69.267778978845243</v>
      </c>
      <c r="J398" s="3">
        <v>4.2729932208508394</v>
      </c>
      <c r="K398" s="3">
        <v>0</v>
      </c>
      <c r="L398" s="3">
        <f t="shared" si="64"/>
        <v>0</v>
      </c>
      <c r="N398" s="11">
        <f t="shared" si="65"/>
        <v>5.5930317791491611</v>
      </c>
      <c r="O398" s="3">
        <v>4.2729932208508394</v>
      </c>
      <c r="P398" s="11">
        <f t="shared" si="66"/>
        <v>39.26777897884525</v>
      </c>
      <c r="Q398" s="12">
        <f t="shared" si="67"/>
        <v>28.973732528034613</v>
      </c>
      <c r="R398" s="13">
        <f t="shared" si="68"/>
        <v>17.980438556612039</v>
      </c>
      <c r="S398" s="3" t="s">
        <v>30</v>
      </c>
      <c r="T398" s="3" t="s">
        <v>35</v>
      </c>
      <c r="U398" s="10">
        <v>0</v>
      </c>
      <c r="V398" s="3">
        <v>0</v>
      </c>
      <c r="W398" s="3">
        <f t="shared" si="69"/>
        <v>0</v>
      </c>
      <c r="AA398" s="3">
        <v>23</v>
      </c>
    </row>
    <row r="399" spans="1:27" x14ac:dyDescent="0.3">
      <c r="A399" s="3" t="str">
        <f t="shared" si="60"/>
        <v>North9330209999297</v>
      </c>
      <c r="B399" s="3" t="str">
        <f t="shared" si="61"/>
        <v>Pan9330209999297</v>
      </c>
      <c r="C399" s="10">
        <v>9330209999297</v>
      </c>
      <c r="D399" s="10" t="str">
        <f t="shared" si="62"/>
        <v>9330209999</v>
      </c>
      <c r="E399" s="3" t="s">
        <v>2</v>
      </c>
      <c r="F399" s="3" t="s">
        <v>64</v>
      </c>
      <c r="H399" s="3">
        <v>8.0730000000000004</v>
      </c>
      <c r="I399" s="10">
        <f t="shared" si="63"/>
        <v>111.41256278964616</v>
      </c>
      <c r="J399" s="3">
        <v>2.173812305684681</v>
      </c>
      <c r="K399" s="3">
        <v>0</v>
      </c>
      <c r="L399" s="3">
        <f t="shared" si="64"/>
        <v>0</v>
      </c>
      <c r="N399" s="11">
        <f t="shared" si="65"/>
        <v>5.8991876943153194</v>
      </c>
      <c r="O399" s="3">
        <v>2.173812305684681</v>
      </c>
      <c r="P399" s="11">
        <f t="shared" si="66"/>
        <v>81.412562789646159</v>
      </c>
      <c r="Q399" s="12">
        <f t="shared" si="67"/>
        <v>78.954847655936021</v>
      </c>
      <c r="R399" s="13">
        <f t="shared" si="68"/>
        <v>32.660318747786754</v>
      </c>
      <c r="S399" s="3" t="s">
        <v>30</v>
      </c>
      <c r="T399" s="3" t="s">
        <v>35</v>
      </c>
      <c r="U399" s="10">
        <v>9330209900999</v>
      </c>
      <c r="V399" s="3">
        <v>0.1</v>
      </c>
      <c r="W399" s="3">
        <f t="shared" si="69"/>
        <v>0</v>
      </c>
      <c r="AA399" s="3">
        <v>23</v>
      </c>
    </row>
    <row r="400" spans="1:27" x14ac:dyDescent="0.3">
      <c r="A400" s="3" t="str">
        <f t="shared" si="60"/>
        <v>North9160909999219</v>
      </c>
      <c r="B400" s="3" t="str">
        <f t="shared" si="61"/>
        <v>Pan9160909999219</v>
      </c>
      <c r="C400" s="10">
        <v>9160909999219</v>
      </c>
      <c r="D400" s="10" t="str">
        <f t="shared" si="62"/>
        <v>9160909999</v>
      </c>
      <c r="E400" s="3" t="s">
        <v>2</v>
      </c>
      <c r="F400" s="3" t="s">
        <v>64</v>
      </c>
      <c r="H400" s="3">
        <v>1.365</v>
      </c>
      <c r="I400" s="10">
        <f t="shared" si="63"/>
        <v>129.06398003323309</v>
      </c>
      <c r="J400" s="3">
        <v>0.31728449711108908</v>
      </c>
      <c r="K400" s="3">
        <v>0</v>
      </c>
      <c r="L400" s="3">
        <f t="shared" si="64"/>
        <v>0</v>
      </c>
      <c r="N400" s="11">
        <f t="shared" si="65"/>
        <v>1.0477155028889109</v>
      </c>
      <c r="O400" s="3">
        <v>0.31728449711108908</v>
      </c>
      <c r="P400" s="11">
        <f t="shared" si="66"/>
        <v>99.063980033233079</v>
      </c>
      <c r="Q400" s="12">
        <f t="shared" si="67"/>
        <v>58.415718981996321</v>
      </c>
      <c r="R400" s="13">
        <f t="shared" si="68"/>
        <v>292.42268786747837</v>
      </c>
      <c r="S400" s="3" t="s">
        <v>31</v>
      </c>
      <c r="T400" s="3" t="s">
        <v>34</v>
      </c>
      <c r="U400" s="10">
        <v>0</v>
      </c>
      <c r="V400" s="3">
        <v>0</v>
      </c>
      <c r="W400" s="3">
        <f t="shared" si="69"/>
        <v>0</v>
      </c>
      <c r="AA400" s="3">
        <v>23</v>
      </c>
    </row>
    <row r="401" spans="1:27" x14ac:dyDescent="0.3">
      <c r="A401" s="3" t="str">
        <f t="shared" si="60"/>
        <v>North9160909999097</v>
      </c>
      <c r="B401" s="3" t="str">
        <f t="shared" si="61"/>
        <v>Pan9160909999097</v>
      </c>
      <c r="C401" s="10">
        <v>9160909999097</v>
      </c>
      <c r="D401" s="10" t="str">
        <f t="shared" si="62"/>
        <v>9160909999</v>
      </c>
      <c r="E401" s="3" t="s">
        <v>2</v>
      </c>
      <c r="F401" s="3" t="s">
        <v>64</v>
      </c>
      <c r="H401" s="3">
        <v>0</v>
      </c>
      <c r="I401" s="10">
        <f t="shared" si="63"/>
        <v>0</v>
      </c>
      <c r="J401" s="3">
        <v>0</v>
      </c>
      <c r="K401" s="3">
        <v>0</v>
      </c>
      <c r="L401" s="3">
        <f t="shared" si="64"/>
        <v>0</v>
      </c>
      <c r="N401" s="11">
        <f t="shared" si="65"/>
        <v>0</v>
      </c>
      <c r="O401" s="3">
        <v>0</v>
      </c>
      <c r="P401" s="11">
        <f t="shared" si="66"/>
        <v>9999</v>
      </c>
      <c r="Q401" s="12">
        <f t="shared" si="67"/>
        <v>9999</v>
      </c>
      <c r="R401" s="13">
        <f t="shared" si="68"/>
        <v>9999</v>
      </c>
      <c r="S401" s="3" t="s">
        <v>31</v>
      </c>
      <c r="T401" s="3" t="s">
        <v>34</v>
      </c>
      <c r="U401" s="10" t="s">
        <v>72</v>
      </c>
      <c r="V401" s="3" t="s">
        <v>72</v>
      </c>
      <c r="W401" s="3">
        <f t="shared" si="69"/>
        <v>0</v>
      </c>
      <c r="AA401" s="3">
        <v>23</v>
      </c>
    </row>
    <row r="402" spans="1:27" x14ac:dyDescent="0.3">
      <c r="A402" s="3" t="str">
        <f t="shared" si="60"/>
        <v>North9310039999219</v>
      </c>
      <c r="B402" s="3" t="str">
        <f t="shared" si="61"/>
        <v>Lud9310039999219</v>
      </c>
      <c r="C402" s="10">
        <v>9310039999219</v>
      </c>
      <c r="D402" s="10" t="str">
        <f t="shared" si="62"/>
        <v>9310039999</v>
      </c>
      <c r="E402" s="3" t="s">
        <v>3</v>
      </c>
      <c r="F402" s="3" t="s">
        <v>64</v>
      </c>
      <c r="H402" s="3">
        <v>0.8619</v>
      </c>
      <c r="I402" s="10">
        <f t="shared" si="63"/>
        <v>118.87516055437929</v>
      </c>
      <c r="J402" s="3">
        <v>0.21751390180601898</v>
      </c>
      <c r="K402" s="3">
        <v>0</v>
      </c>
      <c r="L402" s="3">
        <f t="shared" si="64"/>
        <v>0</v>
      </c>
      <c r="N402" s="11">
        <f t="shared" si="65"/>
        <v>0.64438609819398107</v>
      </c>
      <c r="O402" s="3">
        <v>0.21751390180601898</v>
      </c>
      <c r="P402" s="11">
        <f t="shared" si="66"/>
        <v>88.875160554379306</v>
      </c>
      <c r="Q402" s="12">
        <f t="shared" si="67"/>
        <v>221.15318571987297</v>
      </c>
      <c r="R402" s="13">
        <f t="shared" si="68"/>
        <v>66.604630363687477</v>
      </c>
      <c r="S402" s="3" t="s">
        <v>30</v>
      </c>
      <c r="T402" s="3" t="s">
        <v>32</v>
      </c>
      <c r="U402" s="10">
        <v>9310039900999</v>
      </c>
      <c r="V402" s="3">
        <v>0.1</v>
      </c>
      <c r="W402" s="3">
        <f t="shared" si="69"/>
        <v>0</v>
      </c>
      <c r="AA402" s="3">
        <v>23</v>
      </c>
    </row>
    <row r="403" spans="1:27" x14ac:dyDescent="0.3">
      <c r="A403" s="3" t="str">
        <f t="shared" si="60"/>
        <v>North9160909999219</v>
      </c>
      <c r="B403" s="3" t="str">
        <f t="shared" si="61"/>
        <v>Lud9160909999219</v>
      </c>
      <c r="C403" s="10">
        <v>9160909999219</v>
      </c>
      <c r="D403" s="10" t="str">
        <f t="shared" si="62"/>
        <v>9160909999</v>
      </c>
      <c r="E403" s="3" t="s">
        <v>3</v>
      </c>
      <c r="F403" s="3" t="s">
        <v>64</v>
      </c>
      <c r="H403" s="3">
        <v>0.11700000000000001</v>
      </c>
      <c r="I403" s="10">
        <f t="shared" si="63"/>
        <v>18.914974141128688</v>
      </c>
      <c r="J403" s="3">
        <v>0.18556726399999998</v>
      </c>
      <c r="K403" s="3">
        <v>0</v>
      </c>
      <c r="L403" s="3">
        <f t="shared" si="64"/>
        <v>0</v>
      </c>
      <c r="N403" s="11">
        <f t="shared" si="65"/>
        <v>-6.8567263999999975E-2</v>
      </c>
      <c r="O403" s="3">
        <v>0.18556726399999998</v>
      </c>
      <c r="P403" s="11">
        <f t="shared" si="66"/>
        <v>-11.085025858871312</v>
      </c>
      <c r="Q403" s="12">
        <f t="shared" si="67"/>
        <v>58.415718981996321</v>
      </c>
      <c r="R403" s="13">
        <f t="shared" si="68"/>
        <v>292.42268786747837</v>
      </c>
      <c r="S403" s="3" t="s">
        <v>31</v>
      </c>
      <c r="T403" s="3" t="s">
        <v>34</v>
      </c>
      <c r="U403" s="10">
        <v>0</v>
      </c>
      <c r="V403" s="3">
        <v>0</v>
      </c>
      <c r="W403" s="3">
        <f t="shared" si="69"/>
        <v>0</v>
      </c>
      <c r="AA403" s="3">
        <v>23</v>
      </c>
    </row>
    <row r="404" spans="1:27" x14ac:dyDescent="0.3">
      <c r="A404" s="3" t="str">
        <f t="shared" si="60"/>
        <v>North9310039999839</v>
      </c>
      <c r="B404" s="3" t="str">
        <f t="shared" si="61"/>
        <v>Lud9310039999839</v>
      </c>
      <c r="C404" s="10">
        <v>9310039999839</v>
      </c>
      <c r="D404" s="10" t="str">
        <f t="shared" si="62"/>
        <v>9310039999</v>
      </c>
      <c r="E404" s="3" t="s">
        <v>3</v>
      </c>
      <c r="F404" s="3" t="s">
        <v>64</v>
      </c>
      <c r="H404" s="3">
        <v>0.43290000000000001</v>
      </c>
      <c r="I404" s="10">
        <f t="shared" si="63"/>
        <v>167.62947937660161</v>
      </c>
      <c r="J404" s="3">
        <v>7.7474439748291546E-2</v>
      </c>
      <c r="K404" s="3">
        <v>0</v>
      </c>
      <c r="L404" s="3">
        <f t="shared" si="64"/>
        <v>0</v>
      </c>
      <c r="N404" s="11">
        <f t="shared" si="65"/>
        <v>0.35542556025170846</v>
      </c>
      <c r="O404" s="3">
        <v>7.7474439748291546E-2</v>
      </c>
      <c r="P404" s="11">
        <f t="shared" si="66"/>
        <v>137.62947937660161</v>
      </c>
      <c r="Q404" s="12">
        <f t="shared" si="67"/>
        <v>80.070915225828543</v>
      </c>
      <c r="R404" s="13">
        <f t="shared" si="68"/>
        <v>31.244475407341508</v>
      </c>
      <c r="S404" s="3" t="s">
        <v>31</v>
      </c>
      <c r="T404" s="3" t="s">
        <v>32</v>
      </c>
      <c r="U404" s="10">
        <v>0</v>
      </c>
      <c r="V404" s="3">
        <v>0</v>
      </c>
      <c r="W404" s="3">
        <f t="shared" si="69"/>
        <v>0</v>
      </c>
      <c r="AA404" s="3">
        <v>23</v>
      </c>
    </row>
    <row r="405" spans="1:27" x14ac:dyDescent="0.3">
      <c r="A405" s="3" t="str">
        <f t="shared" si="60"/>
        <v>North9310039999097</v>
      </c>
      <c r="B405" s="3" t="str">
        <f t="shared" si="61"/>
        <v>Lud9310039999097</v>
      </c>
      <c r="C405" s="10">
        <v>9310039999097</v>
      </c>
      <c r="D405" s="10" t="str">
        <f t="shared" si="62"/>
        <v>9310039999</v>
      </c>
      <c r="E405" s="3" t="s">
        <v>3</v>
      </c>
      <c r="F405" s="3" t="s">
        <v>64</v>
      </c>
      <c r="H405" s="3">
        <v>0.50407499999999994</v>
      </c>
      <c r="I405" s="10">
        <f t="shared" si="63"/>
        <v>272.26904483399727</v>
      </c>
      <c r="J405" s="3">
        <v>5.5541569219593245E-2</v>
      </c>
      <c r="K405" s="3">
        <v>0</v>
      </c>
      <c r="L405" s="3">
        <f t="shared" si="64"/>
        <v>0</v>
      </c>
      <c r="N405" s="11">
        <f t="shared" si="65"/>
        <v>0.44853343078040669</v>
      </c>
      <c r="O405" s="3">
        <v>5.5541569219593245E-2</v>
      </c>
      <c r="P405" s="11">
        <f t="shared" si="66"/>
        <v>242.26904483399727</v>
      </c>
      <c r="Q405" s="12">
        <f t="shared" si="67"/>
        <v>168.14101727449611</v>
      </c>
      <c r="R405" s="13">
        <f t="shared" si="68"/>
        <v>105.48936964792743</v>
      </c>
      <c r="S405" s="3" t="s">
        <v>31</v>
      </c>
      <c r="T405" s="3" t="s">
        <v>32</v>
      </c>
      <c r="U405" s="10">
        <v>0</v>
      </c>
      <c r="V405" s="3">
        <v>0</v>
      </c>
      <c r="W405" s="3">
        <f t="shared" si="69"/>
        <v>0</v>
      </c>
      <c r="AA405" s="3">
        <v>23</v>
      </c>
    </row>
    <row r="406" spans="1:27" x14ac:dyDescent="0.3">
      <c r="A406" s="3" t="str">
        <f t="shared" si="60"/>
        <v>North9310039999297</v>
      </c>
      <c r="B406" s="3" t="str">
        <f t="shared" si="61"/>
        <v>Lud9310039999297</v>
      </c>
      <c r="C406" s="10">
        <v>9310039999297</v>
      </c>
      <c r="D406" s="10" t="str">
        <f t="shared" si="62"/>
        <v>9310039999</v>
      </c>
      <c r="E406" s="3" t="s">
        <v>3</v>
      </c>
      <c r="F406" s="3" t="s">
        <v>64</v>
      </c>
      <c r="H406" s="3">
        <v>2.4569999999999999</v>
      </c>
      <c r="I406" s="10">
        <f t="shared" si="63"/>
        <v>1425.8536674242662</v>
      </c>
      <c r="J406" s="3">
        <v>5.1695346923750912E-2</v>
      </c>
      <c r="K406" s="3">
        <v>0</v>
      </c>
      <c r="L406" s="3">
        <f t="shared" si="64"/>
        <v>0</v>
      </c>
      <c r="N406" s="11">
        <f t="shared" si="65"/>
        <v>2.4053046530762487</v>
      </c>
      <c r="O406" s="3">
        <v>5.1695346923750912E-2</v>
      </c>
      <c r="P406" s="11">
        <f t="shared" si="66"/>
        <v>1395.853667424266</v>
      </c>
      <c r="Q406" s="12">
        <f t="shared" si="67"/>
        <v>716.69995651084309</v>
      </c>
      <c r="R406" s="13">
        <f t="shared" si="68"/>
        <v>67.595087039260903</v>
      </c>
      <c r="S406" s="3" t="s">
        <v>31</v>
      </c>
      <c r="T406" s="3" t="s">
        <v>32</v>
      </c>
      <c r="U406" s="10">
        <v>9310039900999</v>
      </c>
      <c r="V406" s="3">
        <v>0.1</v>
      </c>
      <c r="W406" s="3">
        <f t="shared" si="69"/>
        <v>0</v>
      </c>
      <c r="AA406" s="3">
        <v>23</v>
      </c>
    </row>
    <row r="407" spans="1:27" x14ac:dyDescent="0.3">
      <c r="A407" s="3" t="str">
        <f t="shared" si="60"/>
        <v>North9160909999097</v>
      </c>
      <c r="B407" s="3" t="str">
        <f t="shared" si="61"/>
        <v>Lud9160909999097</v>
      </c>
      <c r="C407" s="10">
        <v>9160909999097</v>
      </c>
      <c r="D407" s="10" t="str">
        <f t="shared" si="62"/>
        <v>9160909999</v>
      </c>
      <c r="E407" s="3" t="s">
        <v>3</v>
      </c>
      <c r="F407" s="3" t="s">
        <v>64</v>
      </c>
      <c r="H407" s="3">
        <v>0</v>
      </c>
      <c r="I407" s="10">
        <f t="shared" si="63"/>
        <v>0</v>
      </c>
      <c r="J407" s="3">
        <v>0</v>
      </c>
      <c r="K407" s="3">
        <v>0</v>
      </c>
      <c r="L407" s="3">
        <f t="shared" si="64"/>
        <v>0</v>
      </c>
      <c r="N407" s="11">
        <f t="shared" si="65"/>
        <v>0</v>
      </c>
      <c r="O407" s="3">
        <v>0</v>
      </c>
      <c r="P407" s="11">
        <f t="shared" si="66"/>
        <v>9999</v>
      </c>
      <c r="Q407" s="12">
        <f t="shared" si="67"/>
        <v>9999</v>
      </c>
      <c r="R407" s="13">
        <f t="shared" si="68"/>
        <v>9999</v>
      </c>
      <c r="S407" s="3" t="s">
        <v>31</v>
      </c>
      <c r="T407" s="3" t="s">
        <v>34</v>
      </c>
      <c r="U407" s="10" t="s">
        <v>72</v>
      </c>
      <c r="V407" s="3" t="s">
        <v>72</v>
      </c>
      <c r="W407" s="3">
        <f t="shared" si="69"/>
        <v>0</v>
      </c>
      <c r="AA407" s="3">
        <v>23</v>
      </c>
    </row>
    <row r="408" spans="1:27" x14ac:dyDescent="0.3">
      <c r="A408" s="3" t="str">
        <f t="shared" si="60"/>
        <v>East9160909999219</v>
      </c>
      <c r="B408" s="3" t="str">
        <f t="shared" si="61"/>
        <v>KGP9160909999219</v>
      </c>
      <c r="C408" s="10">
        <v>9160909999219</v>
      </c>
      <c r="D408" s="10" t="str">
        <f t="shared" si="62"/>
        <v>9160909999</v>
      </c>
      <c r="E408" s="3" t="s">
        <v>6</v>
      </c>
      <c r="F408" s="3" t="s">
        <v>66</v>
      </c>
      <c r="H408" s="3">
        <v>4.2120000000000006</v>
      </c>
      <c r="I408" s="10">
        <f t="shared" si="63"/>
        <v>214.01075534335237</v>
      </c>
      <c r="J408" s="3">
        <v>0.59043761514355608</v>
      </c>
      <c r="K408" s="3">
        <v>0</v>
      </c>
      <c r="L408" s="3">
        <f t="shared" si="64"/>
        <v>0</v>
      </c>
      <c r="N408" s="11">
        <f t="shared" si="65"/>
        <v>3.6215623848564444</v>
      </c>
      <c r="O408" s="3">
        <v>0.59043761514355608</v>
      </c>
      <c r="P408" s="11">
        <f t="shared" si="66"/>
        <v>184.01075534335234</v>
      </c>
      <c r="Q408" s="12">
        <f t="shared" si="67"/>
        <v>184.01075534335234</v>
      </c>
      <c r="R408" s="13">
        <f t="shared" si="68"/>
        <v>292.42268786747837</v>
      </c>
      <c r="S408" s="3" t="s">
        <v>31</v>
      </c>
      <c r="T408" s="3" t="s">
        <v>34</v>
      </c>
      <c r="U408" s="10">
        <v>0</v>
      </c>
      <c r="V408" s="3">
        <v>0</v>
      </c>
      <c r="W408" s="3">
        <f t="shared" si="69"/>
        <v>0</v>
      </c>
      <c r="AA408" s="3">
        <v>23</v>
      </c>
    </row>
    <row r="409" spans="1:27" x14ac:dyDescent="0.3">
      <c r="A409" s="3" t="str">
        <f t="shared" si="60"/>
        <v>East9160909999097</v>
      </c>
      <c r="B409" s="3" t="str">
        <f t="shared" si="61"/>
        <v>KGP9160909999097</v>
      </c>
      <c r="C409" s="10">
        <v>9160909999097</v>
      </c>
      <c r="D409" s="10" t="str">
        <f t="shared" si="62"/>
        <v>9160909999</v>
      </c>
      <c r="E409" s="3" t="s">
        <v>6</v>
      </c>
      <c r="F409" s="3" t="s">
        <v>66</v>
      </c>
      <c r="H409" s="3">
        <v>0</v>
      </c>
      <c r="I409" s="10">
        <f t="shared" si="63"/>
        <v>0</v>
      </c>
      <c r="J409" s="3">
        <v>0</v>
      </c>
      <c r="K409" s="3">
        <v>0</v>
      </c>
      <c r="L409" s="3">
        <f t="shared" si="64"/>
        <v>0</v>
      </c>
      <c r="N409" s="11">
        <f t="shared" si="65"/>
        <v>0</v>
      </c>
      <c r="O409" s="3">
        <v>0</v>
      </c>
      <c r="P409" s="11">
        <f t="shared" si="66"/>
        <v>9999</v>
      </c>
      <c r="Q409" s="12">
        <f t="shared" si="67"/>
        <v>9999</v>
      </c>
      <c r="R409" s="13">
        <f t="shared" si="68"/>
        <v>9999</v>
      </c>
      <c r="S409" s="3" t="s">
        <v>31</v>
      </c>
      <c r="T409" s="3" t="s">
        <v>34</v>
      </c>
      <c r="U409" s="10" t="s">
        <v>72</v>
      </c>
      <c r="V409" s="3" t="s">
        <v>72</v>
      </c>
      <c r="W409" s="3">
        <f t="shared" si="69"/>
        <v>0</v>
      </c>
      <c r="AA409" s="3">
        <v>23</v>
      </c>
    </row>
    <row r="410" spans="1:27" x14ac:dyDescent="0.3">
      <c r="A410" s="3" t="str">
        <f t="shared" si="60"/>
        <v>North9431009999838</v>
      </c>
      <c r="B410" s="3" t="str">
        <f t="shared" si="61"/>
        <v>Pan9431009999838</v>
      </c>
      <c r="C410" s="10">
        <v>9431009999838</v>
      </c>
      <c r="D410" s="10" t="str">
        <f t="shared" si="62"/>
        <v>9431009999</v>
      </c>
      <c r="E410" s="3" t="s">
        <v>2</v>
      </c>
      <c r="F410" s="3" t="s">
        <v>64</v>
      </c>
      <c r="H410" s="3">
        <v>5.7114000000000003</v>
      </c>
      <c r="I410" s="10">
        <f t="shared" si="63"/>
        <v>60.983404014774877</v>
      </c>
      <c r="J410" s="3">
        <v>2.8096496541663658</v>
      </c>
      <c r="K410" s="3">
        <v>0</v>
      </c>
      <c r="L410" s="3">
        <f t="shared" si="64"/>
        <v>0</v>
      </c>
      <c r="N410" s="11">
        <f t="shared" si="65"/>
        <v>2.9017503458336344</v>
      </c>
      <c r="O410" s="3">
        <v>2.8096496541663658</v>
      </c>
      <c r="P410" s="11">
        <f t="shared" si="66"/>
        <v>30.98340401477488</v>
      </c>
      <c r="Q410" s="12">
        <f t="shared" si="67"/>
        <v>39.406110746591118</v>
      </c>
      <c r="R410" s="13">
        <f t="shared" si="68"/>
        <v>12.439444130659385</v>
      </c>
      <c r="S410" s="3" t="s">
        <v>31</v>
      </c>
      <c r="T410" s="3" t="s">
        <v>35</v>
      </c>
      <c r="U410" s="10">
        <v>0</v>
      </c>
      <c r="V410" s="3">
        <v>0</v>
      </c>
      <c r="W410" s="3">
        <f t="shared" si="69"/>
        <v>0</v>
      </c>
      <c r="AA410" s="3">
        <v>24</v>
      </c>
    </row>
    <row r="411" spans="1:27" x14ac:dyDescent="0.3">
      <c r="A411" s="3" t="str">
        <f t="shared" si="60"/>
        <v>North9432009999195</v>
      </c>
      <c r="B411" s="3" t="str">
        <f t="shared" si="61"/>
        <v>Pan9432009999195</v>
      </c>
      <c r="C411" s="10">
        <v>9432009999195</v>
      </c>
      <c r="D411" s="10" t="str">
        <f t="shared" si="62"/>
        <v>9432009999</v>
      </c>
      <c r="E411" s="3" t="s">
        <v>2</v>
      </c>
      <c r="F411" s="3" t="s">
        <v>64</v>
      </c>
      <c r="H411" s="3">
        <v>1.1741999999999999</v>
      </c>
      <c r="I411" s="10">
        <f t="shared" si="63"/>
        <v>13.947050733569604</v>
      </c>
      <c r="J411" s="3">
        <v>2.525695265108157</v>
      </c>
      <c r="K411" s="3">
        <v>0</v>
      </c>
      <c r="L411" s="3">
        <f t="shared" si="64"/>
        <v>0</v>
      </c>
      <c r="N411" s="11">
        <f t="shared" si="65"/>
        <v>-1.3514952651081571</v>
      </c>
      <c r="O411" s="3">
        <v>2.525695265108157</v>
      </c>
      <c r="P411" s="11">
        <f t="shared" si="66"/>
        <v>-16.052949266430396</v>
      </c>
      <c r="Q411" s="12">
        <f t="shared" si="67"/>
        <v>-10.051741152803023</v>
      </c>
      <c r="R411" s="13">
        <f t="shared" si="68"/>
        <v>30.757201129347859</v>
      </c>
      <c r="S411" s="3" t="s">
        <v>30</v>
      </c>
      <c r="T411" s="3" t="s">
        <v>35</v>
      </c>
      <c r="U411" s="10">
        <v>0</v>
      </c>
      <c r="V411" s="3">
        <v>0</v>
      </c>
      <c r="W411" s="3">
        <f t="shared" si="69"/>
        <v>0</v>
      </c>
      <c r="AA411" s="3">
        <v>24</v>
      </c>
    </row>
    <row r="412" spans="1:27" x14ac:dyDescent="0.3">
      <c r="A412" s="3" t="str">
        <f t="shared" si="60"/>
        <v>North9432009999838</v>
      </c>
      <c r="B412" s="3" t="str">
        <f t="shared" si="61"/>
        <v>Pan9432009999838</v>
      </c>
      <c r="C412" s="10">
        <v>9432009999838</v>
      </c>
      <c r="D412" s="10" t="str">
        <f t="shared" si="62"/>
        <v>9432009999</v>
      </c>
      <c r="E412" s="3" t="s">
        <v>2</v>
      </c>
      <c r="F412" s="3" t="s">
        <v>64</v>
      </c>
      <c r="H412" s="3">
        <v>3.3554000000000004</v>
      </c>
      <c r="I412" s="10">
        <f t="shared" si="63"/>
        <v>39.896663766039353</v>
      </c>
      <c r="J412" s="3">
        <v>2.5230681089100244</v>
      </c>
      <c r="K412" s="3">
        <v>0</v>
      </c>
      <c r="L412" s="3">
        <f t="shared" si="64"/>
        <v>0</v>
      </c>
      <c r="N412" s="11">
        <f t="shared" si="65"/>
        <v>0.83233189108997596</v>
      </c>
      <c r="O412" s="3">
        <v>2.5230681089100244</v>
      </c>
      <c r="P412" s="11">
        <f t="shared" si="66"/>
        <v>9.8966637660393566</v>
      </c>
      <c r="Q412" s="12">
        <f t="shared" si="67"/>
        <v>-2.3398857980938135</v>
      </c>
      <c r="R412" s="13">
        <f t="shared" si="68"/>
        <v>29.681856596540243</v>
      </c>
      <c r="S412" s="3" t="s">
        <v>30</v>
      </c>
      <c r="T412" s="3" t="s">
        <v>35</v>
      </c>
      <c r="U412" s="10">
        <v>0</v>
      </c>
      <c r="V412" s="3">
        <v>0</v>
      </c>
      <c r="W412" s="3">
        <f t="shared" si="69"/>
        <v>0</v>
      </c>
      <c r="AA412" s="3">
        <v>24</v>
      </c>
    </row>
    <row r="413" spans="1:27" x14ac:dyDescent="0.3">
      <c r="A413" s="3" t="str">
        <f t="shared" si="60"/>
        <v>North9431009999195</v>
      </c>
      <c r="B413" s="3" t="str">
        <f t="shared" si="61"/>
        <v>Pan9431009999195</v>
      </c>
      <c r="C413" s="10">
        <v>9431009999195</v>
      </c>
      <c r="D413" s="10" t="str">
        <f t="shared" si="62"/>
        <v>9431009999</v>
      </c>
      <c r="E413" s="3" t="s">
        <v>2</v>
      </c>
      <c r="F413" s="3" t="s">
        <v>64</v>
      </c>
      <c r="H413" s="3">
        <v>9.2919499999999982</v>
      </c>
      <c r="I413" s="10">
        <f t="shared" si="63"/>
        <v>147.24158384525472</v>
      </c>
      <c r="J413" s="3">
        <v>1.8932049813656209</v>
      </c>
      <c r="K413" s="3">
        <v>0</v>
      </c>
      <c r="L413" s="3">
        <f t="shared" si="64"/>
        <v>0</v>
      </c>
      <c r="N413" s="11">
        <f t="shared" si="65"/>
        <v>7.3987450186343775</v>
      </c>
      <c r="O413" s="3">
        <v>1.8932049813656209</v>
      </c>
      <c r="P413" s="11">
        <f t="shared" si="66"/>
        <v>117.24158384525471</v>
      </c>
      <c r="Q413" s="12">
        <f t="shared" si="67"/>
        <v>128.80611928301684</v>
      </c>
      <c r="R413" s="13">
        <f t="shared" si="68"/>
        <v>32.659545068538762</v>
      </c>
      <c r="S413" s="3" t="s">
        <v>31</v>
      </c>
      <c r="T413" s="3" t="s">
        <v>35</v>
      </c>
      <c r="U413" s="10">
        <v>0</v>
      </c>
      <c r="V413" s="3">
        <v>0</v>
      </c>
      <c r="W413" s="3">
        <f t="shared" si="69"/>
        <v>0</v>
      </c>
      <c r="AA413" s="3">
        <v>24</v>
      </c>
    </row>
    <row r="414" spans="1:27" x14ac:dyDescent="0.3">
      <c r="A414" s="3" t="str">
        <f t="shared" si="60"/>
        <v>South9330209999097</v>
      </c>
      <c r="B414" s="3" t="str">
        <f t="shared" si="61"/>
        <v>CY9330209999097</v>
      </c>
      <c r="C414" s="10">
        <v>9330209999097</v>
      </c>
      <c r="D414" s="10" t="str">
        <f t="shared" si="62"/>
        <v>9330209999</v>
      </c>
      <c r="E414" s="3" t="s">
        <v>4</v>
      </c>
      <c r="F414" s="3" t="s">
        <v>65</v>
      </c>
      <c r="H414" s="3">
        <v>11.117924999999998</v>
      </c>
      <c r="I414" s="10">
        <f t="shared" si="63"/>
        <v>34.009654067229391</v>
      </c>
      <c r="J414" s="3">
        <v>9.8071491506697281</v>
      </c>
      <c r="K414" s="3">
        <v>0</v>
      </c>
      <c r="L414" s="3">
        <f t="shared" si="64"/>
        <v>0</v>
      </c>
      <c r="N414" s="11">
        <f t="shared" si="65"/>
        <v>1.3107758493302697</v>
      </c>
      <c r="O414" s="3">
        <v>9.8071491506697281</v>
      </c>
      <c r="P414" s="11">
        <f t="shared" si="66"/>
        <v>4.0096540672293859</v>
      </c>
      <c r="Q414" s="12">
        <f t="shared" si="67"/>
        <v>0.55408154185858627</v>
      </c>
      <c r="R414" s="13">
        <f t="shared" si="68"/>
        <v>17.980438556612039</v>
      </c>
      <c r="S414" s="3" t="s">
        <v>30</v>
      </c>
      <c r="T414" s="3" t="s">
        <v>35</v>
      </c>
      <c r="U414" s="10">
        <v>0</v>
      </c>
      <c r="V414" s="3">
        <v>0</v>
      </c>
      <c r="W414" s="3">
        <f t="shared" si="69"/>
        <v>0</v>
      </c>
      <c r="AA414" s="3">
        <v>24</v>
      </c>
    </row>
    <row r="415" spans="1:27" x14ac:dyDescent="0.3">
      <c r="A415" s="3" t="str">
        <f t="shared" si="60"/>
        <v>South9700019922210</v>
      </c>
      <c r="B415" s="3" t="str">
        <f t="shared" si="61"/>
        <v>CY9700019922210</v>
      </c>
      <c r="C415" s="10">
        <v>9700019922210</v>
      </c>
      <c r="D415" s="10" t="str">
        <f t="shared" si="62"/>
        <v>9700019922</v>
      </c>
      <c r="E415" s="3" t="s">
        <v>4</v>
      </c>
      <c r="F415" s="3" t="s">
        <v>65</v>
      </c>
      <c r="H415" s="3">
        <v>14.215</v>
      </c>
      <c r="I415" s="10">
        <f t="shared" si="63"/>
        <v>51.315368888314886</v>
      </c>
      <c r="J415" s="3">
        <v>8.3103758043354468</v>
      </c>
      <c r="K415" s="3">
        <v>24</v>
      </c>
      <c r="L415" s="3">
        <f t="shared" si="64"/>
        <v>0</v>
      </c>
      <c r="N415" s="11">
        <f t="shared" si="65"/>
        <v>5.9046241956645531</v>
      </c>
      <c r="O415" s="3">
        <v>8.3103758043354468</v>
      </c>
      <c r="P415" s="11">
        <f t="shared" si="66"/>
        <v>21.31536888831489</v>
      </c>
      <c r="Q415" s="12">
        <f t="shared" si="67"/>
        <v>21.31536888831489</v>
      </c>
      <c r="R415" s="13">
        <f t="shared" si="68"/>
        <v>88.134350331630742</v>
      </c>
      <c r="S415" s="3" t="s">
        <v>29</v>
      </c>
      <c r="T415" s="3" t="s">
        <v>71</v>
      </c>
      <c r="U415" s="10">
        <v>0</v>
      </c>
      <c r="V415" s="3">
        <v>0</v>
      </c>
      <c r="W415" s="3">
        <f t="shared" si="69"/>
        <v>0</v>
      </c>
      <c r="AA415" s="3">
        <v>24</v>
      </c>
    </row>
    <row r="416" spans="1:27" x14ac:dyDescent="0.3">
      <c r="A416" s="3" t="str">
        <f t="shared" si="60"/>
        <v>South9330209999839</v>
      </c>
      <c r="B416" s="3" t="str">
        <f t="shared" si="61"/>
        <v>CY9330209999839</v>
      </c>
      <c r="C416" s="10">
        <v>9330209999839</v>
      </c>
      <c r="D416" s="10" t="str">
        <f t="shared" si="62"/>
        <v>9330209999</v>
      </c>
      <c r="E416" s="3" t="s">
        <v>4</v>
      </c>
      <c r="F416" s="3" t="s">
        <v>65</v>
      </c>
      <c r="H416" s="3">
        <v>19.328399999999995</v>
      </c>
      <c r="I416" s="10">
        <f t="shared" si="63"/>
        <v>79.049274285683879</v>
      </c>
      <c r="J416" s="3">
        <v>7.3353235085298341</v>
      </c>
      <c r="K416" s="3">
        <v>0</v>
      </c>
      <c r="L416" s="3">
        <f t="shared" si="64"/>
        <v>0</v>
      </c>
      <c r="N416" s="11">
        <f t="shared" si="65"/>
        <v>11.993076491470161</v>
      </c>
      <c r="O416" s="3">
        <v>7.3353235085298341</v>
      </c>
      <c r="P416" s="11">
        <f t="shared" si="66"/>
        <v>49.049274285683879</v>
      </c>
      <c r="Q416" s="12">
        <f t="shared" si="67"/>
        <v>26.760990057790075</v>
      </c>
      <c r="R416" s="13">
        <f t="shared" si="68"/>
        <v>20.973866710871359</v>
      </c>
      <c r="S416" s="3" t="s">
        <v>30</v>
      </c>
      <c r="T416" s="3" t="s">
        <v>35</v>
      </c>
      <c r="U416" s="10">
        <v>0</v>
      </c>
      <c r="V416" s="3">
        <v>0</v>
      </c>
      <c r="W416" s="3">
        <f t="shared" si="69"/>
        <v>0</v>
      </c>
      <c r="AA416" s="3">
        <v>24</v>
      </c>
    </row>
    <row r="417" spans="1:27" x14ac:dyDescent="0.3">
      <c r="A417" s="3" t="str">
        <f t="shared" si="60"/>
        <v>South9330209999219</v>
      </c>
      <c r="B417" s="3" t="str">
        <f t="shared" si="61"/>
        <v>CY9330209999219</v>
      </c>
      <c r="C417" s="10">
        <v>9330209999219</v>
      </c>
      <c r="D417" s="10" t="str">
        <f t="shared" si="62"/>
        <v>9330209999</v>
      </c>
      <c r="E417" s="3" t="s">
        <v>4</v>
      </c>
      <c r="F417" s="3" t="s">
        <v>65</v>
      </c>
      <c r="H417" s="3">
        <v>12.870000000000001</v>
      </c>
      <c r="I417" s="10">
        <f t="shared" si="63"/>
        <v>54.218306907002273</v>
      </c>
      <c r="J417" s="3">
        <v>7.1212109345696923</v>
      </c>
      <c r="K417" s="3">
        <v>0</v>
      </c>
      <c r="L417" s="3">
        <f t="shared" si="64"/>
        <v>0</v>
      </c>
      <c r="N417" s="11">
        <f t="shared" si="65"/>
        <v>5.7487890654303087</v>
      </c>
      <c r="O417" s="3">
        <v>7.1212109345696923</v>
      </c>
      <c r="P417" s="11">
        <f t="shared" si="66"/>
        <v>24.218306907002269</v>
      </c>
      <c r="Q417" s="12">
        <f t="shared" si="67"/>
        <v>33.191483368017806</v>
      </c>
      <c r="R417" s="13">
        <f t="shared" si="68"/>
        <v>26.810650075406716</v>
      </c>
      <c r="S417" s="3" t="s">
        <v>30</v>
      </c>
      <c r="T417" s="3" t="s">
        <v>35</v>
      </c>
      <c r="U417" s="10">
        <v>9330209900999</v>
      </c>
      <c r="V417" s="3">
        <v>0.1</v>
      </c>
      <c r="W417" s="3">
        <f t="shared" si="69"/>
        <v>0</v>
      </c>
      <c r="AA417" s="3">
        <v>24</v>
      </c>
    </row>
    <row r="418" spans="1:27" x14ac:dyDescent="0.3">
      <c r="A418" s="3" t="str">
        <f t="shared" si="60"/>
        <v>South9330209999297</v>
      </c>
      <c r="B418" s="3" t="str">
        <f t="shared" si="61"/>
        <v>CY9330209999297</v>
      </c>
      <c r="C418" s="10">
        <v>9330209999297</v>
      </c>
      <c r="D418" s="10" t="str">
        <f t="shared" si="62"/>
        <v>9330209999</v>
      </c>
      <c r="E418" s="3" t="s">
        <v>4</v>
      </c>
      <c r="F418" s="3" t="s">
        <v>65</v>
      </c>
      <c r="H418" s="3">
        <v>5.9084999999999992</v>
      </c>
      <c r="I418" s="10">
        <f t="shared" si="63"/>
        <v>41.835432199813646</v>
      </c>
      <c r="J418" s="3">
        <v>4.2369587375934783</v>
      </c>
      <c r="K418" s="3">
        <v>0</v>
      </c>
      <c r="L418" s="3">
        <f t="shared" si="64"/>
        <v>0</v>
      </c>
      <c r="N418" s="11">
        <f t="shared" si="65"/>
        <v>1.6715412624065209</v>
      </c>
      <c r="O418" s="3">
        <v>4.2369587375934783</v>
      </c>
      <c r="P418" s="11">
        <f t="shared" si="66"/>
        <v>11.835432199813646</v>
      </c>
      <c r="Q418" s="12">
        <f t="shared" si="67"/>
        <v>15.806755022827275</v>
      </c>
      <c r="R418" s="13">
        <f t="shared" si="68"/>
        <v>32.660318747786754</v>
      </c>
      <c r="S418" s="3" t="s">
        <v>30</v>
      </c>
      <c r="T418" s="3" t="s">
        <v>35</v>
      </c>
      <c r="U418" s="10">
        <v>9330209900999</v>
      </c>
      <c r="V418" s="3">
        <v>0.1</v>
      </c>
      <c r="W418" s="3">
        <f t="shared" si="69"/>
        <v>0</v>
      </c>
      <c r="AA418" s="3">
        <v>24</v>
      </c>
    </row>
    <row r="419" spans="1:27" x14ac:dyDescent="0.3">
      <c r="A419" s="3" t="str">
        <f t="shared" si="60"/>
        <v>South9700169922210</v>
      </c>
      <c r="B419" s="3" t="str">
        <f t="shared" si="61"/>
        <v>CY9700169922210</v>
      </c>
      <c r="C419" s="10">
        <v>9700169922210</v>
      </c>
      <c r="D419" s="10" t="str">
        <f t="shared" si="62"/>
        <v>9700169922</v>
      </c>
      <c r="E419" s="3" t="s">
        <v>4</v>
      </c>
      <c r="F419" s="3" t="s">
        <v>65</v>
      </c>
      <c r="H419" s="3">
        <v>6.597999999999999</v>
      </c>
      <c r="I419" s="10">
        <f t="shared" si="63"/>
        <v>61.852385932366275</v>
      </c>
      <c r="J419" s="3">
        <v>3.2001999117130491</v>
      </c>
      <c r="K419" s="3">
        <v>24</v>
      </c>
      <c r="L419" s="3">
        <f t="shared" si="64"/>
        <v>0</v>
      </c>
      <c r="N419" s="11">
        <f t="shared" si="65"/>
        <v>3.3978000882869499</v>
      </c>
      <c r="O419" s="3">
        <v>3.2001999117130491</v>
      </c>
      <c r="P419" s="11">
        <f t="shared" si="66"/>
        <v>31.852385932366268</v>
      </c>
      <c r="Q419" s="12">
        <f t="shared" si="67"/>
        <v>31.852385932366268</v>
      </c>
      <c r="R419" s="13">
        <f t="shared" si="68"/>
        <v>111.67758898129826</v>
      </c>
      <c r="S419" s="3" t="s">
        <v>29</v>
      </c>
      <c r="T419" s="3" t="s">
        <v>71</v>
      </c>
      <c r="U419" s="10">
        <v>0</v>
      </c>
      <c r="V419" s="3">
        <v>0</v>
      </c>
      <c r="W419" s="3">
        <f t="shared" si="69"/>
        <v>0</v>
      </c>
      <c r="AA419" s="3">
        <v>24</v>
      </c>
    </row>
    <row r="420" spans="1:27" x14ac:dyDescent="0.3">
      <c r="A420" s="3" t="str">
        <f t="shared" si="60"/>
        <v>South9310039999839</v>
      </c>
      <c r="B420" s="3" t="str">
        <f t="shared" si="61"/>
        <v>CY9310039999839</v>
      </c>
      <c r="C420" s="10">
        <v>9310039999839</v>
      </c>
      <c r="D420" s="10" t="str">
        <f t="shared" si="62"/>
        <v>9310039999</v>
      </c>
      <c r="E420" s="3" t="s">
        <v>4</v>
      </c>
      <c r="F420" s="3" t="s">
        <v>65</v>
      </c>
      <c r="H420" s="3">
        <v>4.8437999999999999</v>
      </c>
      <c r="I420" s="10">
        <f t="shared" si="63"/>
        <v>86.24022211175685</v>
      </c>
      <c r="J420" s="3">
        <v>1.6849910220742554</v>
      </c>
      <c r="K420" s="3">
        <v>0</v>
      </c>
      <c r="L420" s="3">
        <f t="shared" si="64"/>
        <v>0</v>
      </c>
      <c r="N420" s="11">
        <f t="shared" si="65"/>
        <v>3.1588089779257444</v>
      </c>
      <c r="O420" s="3">
        <v>1.6849910220742554</v>
      </c>
      <c r="P420" s="11">
        <f t="shared" si="66"/>
        <v>56.240222111756864</v>
      </c>
      <c r="Q420" s="12">
        <f t="shared" si="67"/>
        <v>29.938650169699073</v>
      </c>
      <c r="R420" s="13">
        <f t="shared" si="68"/>
        <v>31.244475407341508</v>
      </c>
      <c r="S420" s="3" t="s">
        <v>31</v>
      </c>
      <c r="T420" s="3" t="s">
        <v>32</v>
      </c>
      <c r="U420" s="10">
        <v>0</v>
      </c>
      <c r="V420" s="3">
        <v>0</v>
      </c>
      <c r="W420" s="3">
        <f t="shared" si="69"/>
        <v>0</v>
      </c>
      <c r="AA420" s="3">
        <v>24</v>
      </c>
    </row>
    <row r="421" spans="1:27" x14ac:dyDescent="0.3">
      <c r="A421" s="3" t="str">
        <f t="shared" si="60"/>
        <v>South9310039999097</v>
      </c>
      <c r="B421" s="3" t="str">
        <f t="shared" si="61"/>
        <v>CY9310039999097</v>
      </c>
      <c r="C421" s="10">
        <v>9310039999097</v>
      </c>
      <c r="D421" s="10" t="str">
        <f t="shared" si="62"/>
        <v>9310039999</v>
      </c>
      <c r="E421" s="3" t="s">
        <v>4</v>
      </c>
      <c r="F421" s="3" t="s">
        <v>65</v>
      </c>
      <c r="H421" s="3">
        <v>10.239449999999998</v>
      </c>
      <c r="I421" s="10">
        <f t="shared" si="63"/>
        <v>204.88593416237569</v>
      </c>
      <c r="J421" s="3">
        <v>1.4992903307679075</v>
      </c>
      <c r="K421" s="3">
        <v>0</v>
      </c>
      <c r="L421" s="3">
        <f t="shared" si="64"/>
        <v>0</v>
      </c>
      <c r="N421" s="11">
        <f t="shared" si="65"/>
        <v>8.7401596692320904</v>
      </c>
      <c r="O421" s="3">
        <v>1.4992903307679075</v>
      </c>
      <c r="P421" s="11">
        <f t="shared" si="66"/>
        <v>174.88593416237569</v>
      </c>
      <c r="Q421" s="12">
        <f t="shared" si="67"/>
        <v>116.51360765768297</v>
      </c>
      <c r="R421" s="13">
        <f t="shared" si="68"/>
        <v>105.48936964792743</v>
      </c>
      <c r="S421" s="3" t="s">
        <v>31</v>
      </c>
      <c r="T421" s="3" t="s">
        <v>32</v>
      </c>
      <c r="U421" s="10">
        <v>0</v>
      </c>
      <c r="V421" s="3">
        <v>0</v>
      </c>
      <c r="W421" s="3">
        <f t="shared" si="69"/>
        <v>0</v>
      </c>
      <c r="AA421" s="3">
        <v>24</v>
      </c>
    </row>
    <row r="422" spans="1:27" x14ac:dyDescent="0.3">
      <c r="A422" s="3" t="str">
        <f t="shared" si="60"/>
        <v>South9310039999219</v>
      </c>
      <c r="B422" s="3" t="str">
        <f t="shared" si="61"/>
        <v>CY9310039999219</v>
      </c>
      <c r="C422" s="10">
        <v>9310039999219</v>
      </c>
      <c r="D422" s="10" t="str">
        <f t="shared" si="62"/>
        <v>9310039999</v>
      </c>
      <c r="E422" s="3" t="s">
        <v>4</v>
      </c>
      <c r="F422" s="3" t="s">
        <v>65</v>
      </c>
      <c r="H422" s="3">
        <v>2.73</v>
      </c>
      <c r="I422" s="10">
        <f t="shared" si="63"/>
        <v>64.275465387617572</v>
      </c>
      <c r="J422" s="3">
        <v>1.2742031427714522</v>
      </c>
      <c r="K422" s="3">
        <v>0</v>
      </c>
      <c r="L422" s="3">
        <f t="shared" si="64"/>
        <v>0</v>
      </c>
      <c r="N422" s="11">
        <f t="shared" si="65"/>
        <v>1.4557968572285478</v>
      </c>
      <c r="O422" s="3">
        <v>1.2742031427714522</v>
      </c>
      <c r="P422" s="11">
        <f t="shared" si="66"/>
        <v>34.275465387617565</v>
      </c>
      <c r="Q422" s="12">
        <f t="shared" si="67"/>
        <v>36.654674320434232</v>
      </c>
      <c r="R422" s="13">
        <f t="shared" si="68"/>
        <v>66.604630363687477</v>
      </c>
      <c r="S422" s="3" t="s">
        <v>30</v>
      </c>
      <c r="T422" s="3" t="s">
        <v>32</v>
      </c>
      <c r="U422" s="10">
        <v>9310039900999</v>
      </c>
      <c r="V422" s="3">
        <v>0.1</v>
      </c>
      <c r="W422" s="3">
        <f t="shared" si="69"/>
        <v>0</v>
      </c>
      <c r="AA422" s="3">
        <v>24</v>
      </c>
    </row>
    <row r="423" spans="1:27" x14ac:dyDescent="0.3">
      <c r="A423" s="3" t="str">
        <f t="shared" si="60"/>
        <v>South9310039999297</v>
      </c>
      <c r="B423" s="3" t="str">
        <f t="shared" si="61"/>
        <v>CY9310039999297</v>
      </c>
      <c r="C423" s="10">
        <v>9310039999297</v>
      </c>
      <c r="D423" s="10" t="str">
        <f t="shared" si="62"/>
        <v>9310039999</v>
      </c>
      <c r="E423" s="3" t="s">
        <v>4</v>
      </c>
      <c r="F423" s="3" t="s">
        <v>65</v>
      </c>
      <c r="H423" s="3">
        <v>0.84824999999999995</v>
      </c>
      <c r="I423" s="10">
        <f t="shared" si="63"/>
        <v>58.548349041487185</v>
      </c>
      <c r="J423" s="3">
        <v>0.43464077837562892</v>
      </c>
      <c r="K423" s="3">
        <v>0</v>
      </c>
      <c r="L423" s="3">
        <f t="shared" si="64"/>
        <v>0</v>
      </c>
      <c r="N423" s="11">
        <f t="shared" si="65"/>
        <v>0.41360922162437103</v>
      </c>
      <c r="O423" s="3">
        <v>0.43464077837562892</v>
      </c>
      <c r="P423" s="11">
        <f t="shared" si="66"/>
        <v>28.548349041487185</v>
      </c>
      <c r="Q423" s="12">
        <f t="shared" si="67"/>
        <v>88.940919868593483</v>
      </c>
      <c r="R423" s="13">
        <f t="shared" si="68"/>
        <v>67.595087039260903</v>
      </c>
      <c r="S423" s="3" t="s">
        <v>31</v>
      </c>
      <c r="T423" s="3" t="s">
        <v>32</v>
      </c>
      <c r="U423" s="10">
        <v>9310039900999</v>
      </c>
      <c r="V423" s="3">
        <v>0.1</v>
      </c>
      <c r="W423" s="3">
        <f t="shared" si="69"/>
        <v>0</v>
      </c>
      <c r="AA423" s="3">
        <v>24</v>
      </c>
    </row>
    <row r="424" spans="1:27" x14ac:dyDescent="0.3">
      <c r="A424" s="3" t="str">
        <f t="shared" si="60"/>
        <v>South9160909999219</v>
      </c>
      <c r="B424" s="3" t="str">
        <f t="shared" si="61"/>
        <v>CY9160909999219</v>
      </c>
      <c r="C424" s="10">
        <v>9160909999219</v>
      </c>
      <c r="D424" s="10" t="str">
        <f t="shared" si="62"/>
        <v>9160909999</v>
      </c>
      <c r="E424" s="3" t="s">
        <v>4</v>
      </c>
      <c r="F424" s="3" t="s">
        <v>65</v>
      </c>
      <c r="H424" s="3">
        <v>20.1435</v>
      </c>
      <c r="I424" s="10">
        <f t="shared" si="63"/>
        <v>2633.7287563114114</v>
      </c>
      <c r="J424" s="3">
        <v>0.22944845726875115</v>
      </c>
      <c r="K424" s="3">
        <v>0</v>
      </c>
      <c r="L424" s="3">
        <f t="shared" si="64"/>
        <v>0</v>
      </c>
      <c r="N424" s="11">
        <f t="shared" si="65"/>
        <v>19.914051542731247</v>
      </c>
      <c r="O424" s="3">
        <v>0.22944845726875115</v>
      </c>
      <c r="P424" s="11">
        <f t="shared" si="66"/>
        <v>2603.728756311411</v>
      </c>
      <c r="Q424" s="12">
        <f t="shared" si="67"/>
        <v>1348.6850264524787</v>
      </c>
      <c r="R424" s="13">
        <f t="shared" si="68"/>
        <v>292.42268786747837</v>
      </c>
      <c r="S424" s="3" t="s">
        <v>31</v>
      </c>
      <c r="T424" s="3" t="s">
        <v>34</v>
      </c>
      <c r="U424" s="10">
        <v>0</v>
      </c>
      <c r="V424" s="3">
        <v>0</v>
      </c>
      <c r="W424" s="3">
        <f t="shared" si="69"/>
        <v>0</v>
      </c>
      <c r="AA424" s="3">
        <v>24</v>
      </c>
    </row>
    <row r="425" spans="1:27" x14ac:dyDescent="0.3">
      <c r="A425" s="3" t="str">
        <f t="shared" si="60"/>
        <v>South9160909999097</v>
      </c>
      <c r="B425" s="3" t="str">
        <f t="shared" si="61"/>
        <v>CY9160909999097</v>
      </c>
      <c r="C425" s="10">
        <v>9160909999097</v>
      </c>
      <c r="D425" s="10" t="str">
        <f t="shared" si="62"/>
        <v>9160909999</v>
      </c>
      <c r="E425" s="3" t="s">
        <v>4</v>
      </c>
      <c r="F425" s="3" t="s">
        <v>65</v>
      </c>
      <c r="H425" s="3">
        <v>0</v>
      </c>
      <c r="I425" s="10">
        <f t="shared" si="63"/>
        <v>0</v>
      </c>
      <c r="J425" s="3">
        <v>0</v>
      </c>
      <c r="K425" s="3">
        <v>0</v>
      </c>
      <c r="L425" s="3">
        <f t="shared" si="64"/>
        <v>0</v>
      </c>
      <c r="N425" s="11">
        <f t="shared" si="65"/>
        <v>0</v>
      </c>
      <c r="O425" s="3">
        <v>0</v>
      </c>
      <c r="P425" s="11">
        <f t="shared" si="66"/>
        <v>9999</v>
      </c>
      <c r="Q425" s="12">
        <f t="shared" si="67"/>
        <v>9999</v>
      </c>
      <c r="R425" s="13">
        <f t="shared" si="68"/>
        <v>9999</v>
      </c>
      <c r="S425" s="3" t="s">
        <v>31</v>
      </c>
      <c r="T425" s="3" t="s">
        <v>34</v>
      </c>
      <c r="U425" s="10" t="s">
        <v>72</v>
      </c>
      <c r="V425" s="3" t="s">
        <v>72</v>
      </c>
      <c r="W425" s="3">
        <f t="shared" si="69"/>
        <v>0</v>
      </c>
      <c r="AA425" s="3">
        <v>24</v>
      </c>
    </row>
    <row r="426" spans="1:27" x14ac:dyDescent="0.3">
      <c r="A426" s="3" t="str">
        <f t="shared" si="60"/>
        <v>South9310039999839</v>
      </c>
      <c r="B426" s="3" t="str">
        <f t="shared" si="61"/>
        <v>CMR9310039999839</v>
      </c>
      <c r="C426" s="10">
        <v>9310039999839</v>
      </c>
      <c r="D426" s="10" t="str">
        <f t="shared" si="62"/>
        <v>9310039999</v>
      </c>
      <c r="E426" s="3" t="s">
        <v>5</v>
      </c>
      <c r="F426" s="3" t="s">
        <v>65</v>
      </c>
      <c r="H426" s="3">
        <v>1.4702999999999997</v>
      </c>
      <c r="I426" s="10">
        <f t="shared" si="63"/>
        <v>29.898521196022116</v>
      </c>
      <c r="J426" s="3">
        <v>1.4752903566972579</v>
      </c>
      <c r="K426" s="3">
        <v>0</v>
      </c>
      <c r="L426" s="3">
        <f t="shared" si="64"/>
        <v>0</v>
      </c>
      <c r="N426" s="11">
        <f t="shared" si="65"/>
        <v>-4.9903566972582247E-3</v>
      </c>
      <c r="O426" s="3">
        <v>1.4752903566972579</v>
      </c>
      <c r="P426" s="11">
        <f t="shared" si="66"/>
        <v>-0.10147880397788613</v>
      </c>
      <c r="Q426" s="12">
        <f t="shared" si="67"/>
        <v>29.938650169699073</v>
      </c>
      <c r="R426" s="13">
        <f t="shared" si="68"/>
        <v>31.244475407341508</v>
      </c>
      <c r="S426" s="3" t="s">
        <v>31</v>
      </c>
      <c r="T426" s="3" t="s">
        <v>32</v>
      </c>
      <c r="U426" s="10">
        <v>0</v>
      </c>
      <c r="V426" s="3">
        <v>0</v>
      </c>
      <c r="W426" s="3">
        <f t="shared" si="69"/>
        <v>0</v>
      </c>
      <c r="AA426" s="3">
        <v>24</v>
      </c>
    </row>
    <row r="427" spans="1:27" x14ac:dyDescent="0.3">
      <c r="A427" s="3" t="str">
        <f t="shared" si="60"/>
        <v>South9310039999219</v>
      </c>
      <c r="B427" s="3" t="str">
        <f t="shared" si="61"/>
        <v>CMR9310039999219</v>
      </c>
      <c r="C427" s="10">
        <v>9310039999219</v>
      </c>
      <c r="D427" s="10" t="str">
        <f t="shared" si="62"/>
        <v>9310039999</v>
      </c>
      <c r="E427" s="3" t="s">
        <v>5</v>
      </c>
      <c r="F427" s="3" t="s">
        <v>65</v>
      </c>
      <c r="H427" s="3">
        <v>1.9304999999999999</v>
      </c>
      <c r="I427" s="10">
        <f t="shared" si="63"/>
        <v>70.336479640819775</v>
      </c>
      <c r="J427" s="3">
        <v>0.82339918482910579</v>
      </c>
      <c r="K427" s="3">
        <v>0</v>
      </c>
      <c r="L427" s="3">
        <f t="shared" si="64"/>
        <v>0</v>
      </c>
      <c r="N427" s="11">
        <f t="shared" si="65"/>
        <v>1.1071008151708941</v>
      </c>
      <c r="O427" s="3">
        <v>0.82339918482910579</v>
      </c>
      <c r="P427" s="11">
        <f t="shared" si="66"/>
        <v>40.336479640819775</v>
      </c>
      <c r="Q427" s="12">
        <f t="shared" si="67"/>
        <v>36.654674320434232</v>
      </c>
      <c r="R427" s="13">
        <f t="shared" si="68"/>
        <v>66.604630363687477</v>
      </c>
      <c r="S427" s="3" t="s">
        <v>30</v>
      </c>
      <c r="T427" s="3" t="s">
        <v>32</v>
      </c>
      <c r="U427" s="10">
        <v>9310039900999</v>
      </c>
      <c r="V427" s="3">
        <v>0.1</v>
      </c>
      <c r="W427" s="3">
        <f t="shared" si="69"/>
        <v>0</v>
      </c>
      <c r="AA427" s="3">
        <v>24</v>
      </c>
    </row>
    <row r="428" spans="1:27" x14ac:dyDescent="0.3">
      <c r="A428" s="3" t="str">
        <f t="shared" si="60"/>
        <v>South9310039999097</v>
      </c>
      <c r="B428" s="3" t="str">
        <f t="shared" si="61"/>
        <v>CMR9310039999097</v>
      </c>
      <c r="C428" s="10">
        <v>9310039999097</v>
      </c>
      <c r="D428" s="10" t="str">
        <f t="shared" si="62"/>
        <v>9310039999</v>
      </c>
      <c r="E428" s="3" t="s">
        <v>5</v>
      </c>
      <c r="F428" s="3" t="s">
        <v>65</v>
      </c>
      <c r="H428" s="3">
        <v>1.0598249999999998</v>
      </c>
      <c r="I428" s="10">
        <f t="shared" si="63"/>
        <v>39.043606354349961</v>
      </c>
      <c r="J428" s="3">
        <v>0.81433947754310476</v>
      </c>
      <c r="K428" s="3">
        <v>0</v>
      </c>
      <c r="L428" s="3">
        <f t="shared" si="64"/>
        <v>0</v>
      </c>
      <c r="N428" s="11">
        <f t="shared" si="65"/>
        <v>0.24548552245689503</v>
      </c>
      <c r="O428" s="3">
        <v>0.81433947754310476</v>
      </c>
      <c r="P428" s="11">
        <f t="shared" si="66"/>
        <v>9.0436063543499632</v>
      </c>
      <c r="Q428" s="12">
        <f t="shared" si="67"/>
        <v>116.51360765768297</v>
      </c>
      <c r="R428" s="13">
        <f t="shared" si="68"/>
        <v>105.48936964792743</v>
      </c>
      <c r="S428" s="3" t="s">
        <v>31</v>
      </c>
      <c r="T428" s="3" t="s">
        <v>32</v>
      </c>
      <c r="U428" s="10">
        <v>0</v>
      </c>
      <c r="V428" s="3">
        <v>0</v>
      </c>
      <c r="W428" s="3">
        <f t="shared" si="69"/>
        <v>0</v>
      </c>
      <c r="AA428" s="3">
        <v>24</v>
      </c>
    </row>
    <row r="429" spans="1:27" x14ac:dyDescent="0.3">
      <c r="A429" s="3" t="str">
        <f t="shared" si="60"/>
        <v>South9310039999297</v>
      </c>
      <c r="B429" s="3" t="str">
        <f t="shared" si="61"/>
        <v>CMR9310039999297</v>
      </c>
      <c r="C429" s="10">
        <v>9310039999297</v>
      </c>
      <c r="D429" s="10" t="str">
        <f t="shared" si="62"/>
        <v>9310039999</v>
      </c>
      <c r="E429" s="3" t="s">
        <v>5</v>
      </c>
      <c r="F429" s="3" t="s">
        <v>65</v>
      </c>
      <c r="H429" s="3">
        <v>3.5782499999999997</v>
      </c>
      <c r="I429" s="10">
        <f t="shared" si="63"/>
        <v>157.4384488596254</v>
      </c>
      <c r="J429" s="3">
        <v>0.68183789142709805</v>
      </c>
      <c r="K429" s="3">
        <v>0</v>
      </c>
      <c r="L429" s="3">
        <f t="shared" si="64"/>
        <v>0</v>
      </c>
      <c r="N429" s="11">
        <f t="shared" si="65"/>
        <v>2.8964121085729015</v>
      </c>
      <c r="O429" s="3">
        <v>0.68183789142709805</v>
      </c>
      <c r="P429" s="11">
        <f t="shared" si="66"/>
        <v>127.43844885962538</v>
      </c>
      <c r="Q429" s="12">
        <f t="shared" si="67"/>
        <v>88.940919868593483</v>
      </c>
      <c r="R429" s="13">
        <f t="shared" si="68"/>
        <v>67.595087039260903</v>
      </c>
      <c r="S429" s="3" t="s">
        <v>31</v>
      </c>
      <c r="T429" s="3" t="s">
        <v>32</v>
      </c>
      <c r="U429" s="10">
        <v>9310039900999</v>
      </c>
      <c r="V429" s="3">
        <v>0.1</v>
      </c>
      <c r="W429" s="3">
        <f t="shared" si="69"/>
        <v>0</v>
      </c>
      <c r="AA429" s="3">
        <v>24</v>
      </c>
    </row>
    <row r="430" spans="1:27" x14ac:dyDescent="0.3">
      <c r="A430" s="3" t="str">
        <f t="shared" si="60"/>
        <v>South9160909999219</v>
      </c>
      <c r="B430" s="3" t="str">
        <f t="shared" si="61"/>
        <v>CMR9160909999219</v>
      </c>
      <c r="C430" s="10">
        <v>9160909999219</v>
      </c>
      <c r="D430" s="10" t="str">
        <f t="shared" si="62"/>
        <v>9160909999</v>
      </c>
      <c r="E430" s="3" t="s">
        <v>5</v>
      </c>
      <c r="F430" s="3" t="s">
        <v>65</v>
      </c>
      <c r="H430" s="3">
        <v>0.81899999999999995</v>
      </c>
      <c r="I430" s="10">
        <f t="shared" si="63"/>
        <v>108.38460480159327</v>
      </c>
      <c r="J430" s="3">
        <v>0.22669271198596291</v>
      </c>
      <c r="K430" s="3">
        <v>0</v>
      </c>
      <c r="L430" s="3">
        <f t="shared" si="64"/>
        <v>0</v>
      </c>
      <c r="N430" s="11">
        <f t="shared" si="65"/>
        <v>0.59230728801403698</v>
      </c>
      <c r="O430" s="3">
        <v>0.22669271198596291</v>
      </c>
      <c r="P430" s="11">
        <f t="shared" si="66"/>
        <v>78.384604801593269</v>
      </c>
      <c r="Q430" s="12">
        <f t="shared" si="67"/>
        <v>1348.6850264524787</v>
      </c>
      <c r="R430" s="13">
        <f t="shared" si="68"/>
        <v>292.42268786747837</v>
      </c>
      <c r="S430" s="3" t="s">
        <v>31</v>
      </c>
      <c r="T430" s="3" t="s">
        <v>34</v>
      </c>
      <c r="U430" s="10">
        <v>0</v>
      </c>
      <c r="V430" s="3">
        <v>0</v>
      </c>
      <c r="W430" s="3">
        <f t="shared" si="69"/>
        <v>0</v>
      </c>
      <c r="AA430" s="3">
        <v>24</v>
      </c>
    </row>
    <row r="431" spans="1:27" x14ac:dyDescent="0.3">
      <c r="A431" s="3" t="str">
        <f t="shared" si="60"/>
        <v>South9160909999097</v>
      </c>
      <c r="B431" s="3" t="str">
        <f t="shared" si="61"/>
        <v>CMR9160909999097</v>
      </c>
      <c r="C431" s="10">
        <v>9160909999097</v>
      </c>
      <c r="D431" s="10" t="str">
        <f t="shared" si="62"/>
        <v>9160909999</v>
      </c>
      <c r="E431" s="3" t="s">
        <v>5</v>
      </c>
      <c r="F431" s="3" t="s">
        <v>65</v>
      </c>
      <c r="H431" s="3">
        <v>0</v>
      </c>
      <c r="I431" s="10">
        <f t="shared" si="63"/>
        <v>0</v>
      </c>
      <c r="J431" s="3">
        <v>0</v>
      </c>
      <c r="K431" s="3">
        <v>0</v>
      </c>
      <c r="L431" s="3">
        <f t="shared" si="64"/>
        <v>0</v>
      </c>
      <c r="N431" s="11">
        <f t="shared" si="65"/>
        <v>0</v>
      </c>
      <c r="O431" s="3">
        <v>0</v>
      </c>
      <c r="P431" s="11">
        <f t="shared" si="66"/>
        <v>9999</v>
      </c>
      <c r="Q431" s="12">
        <f t="shared" si="67"/>
        <v>9999</v>
      </c>
      <c r="R431" s="13">
        <f t="shared" si="68"/>
        <v>9999</v>
      </c>
      <c r="S431" s="3" t="s">
        <v>31</v>
      </c>
      <c r="T431" s="3" t="s">
        <v>34</v>
      </c>
      <c r="U431" s="10" t="s">
        <v>72</v>
      </c>
      <c r="V431" s="3" t="s">
        <v>72</v>
      </c>
      <c r="W431" s="3">
        <f t="shared" si="69"/>
        <v>0</v>
      </c>
      <c r="AA431" s="3">
        <v>24</v>
      </c>
    </row>
    <row r="432" spans="1:27" x14ac:dyDescent="0.3">
      <c r="A432" s="3" t="str">
        <f t="shared" si="60"/>
        <v>East9330209999219</v>
      </c>
      <c r="B432" s="3" t="str">
        <f t="shared" si="61"/>
        <v>KGP9330209999219</v>
      </c>
      <c r="C432" s="10">
        <v>9330209999219</v>
      </c>
      <c r="D432" s="10" t="str">
        <f t="shared" si="62"/>
        <v>9330209999</v>
      </c>
      <c r="E432" s="3" t="s">
        <v>6</v>
      </c>
      <c r="F432" s="3" t="s">
        <v>66</v>
      </c>
      <c r="H432" s="3">
        <v>25.1355</v>
      </c>
      <c r="I432" s="10">
        <f t="shared" si="63"/>
        <v>73.228909757231051</v>
      </c>
      <c r="J432" s="3">
        <v>10.297367562891228</v>
      </c>
      <c r="K432" s="3">
        <v>0</v>
      </c>
      <c r="L432" s="3">
        <f t="shared" si="64"/>
        <v>0</v>
      </c>
      <c r="N432" s="11">
        <f t="shared" si="65"/>
        <v>14.838132437108772</v>
      </c>
      <c r="O432" s="3">
        <v>10.297367562891228</v>
      </c>
      <c r="P432" s="11">
        <f t="shared" si="66"/>
        <v>43.228909757231051</v>
      </c>
      <c r="Q432" s="12">
        <f t="shared" si="67"/>
        <v>43.228909757231051</v>
      </c>
      <c r="R432" s="13">
        <f t="shared" si="68"/>
        <v>26.810650075406716</v>
      </c>
      <c r="S432" s="3" t="s">
        <v>30</v>
      </c>
      <c r="T432" s="3" t="s">
        <v>35</v>
      </c>
      <c r="U432" s="10">
        <v>9330209900999</v>
      </c>
      <c r="V432" s="3">
        <v>0.1</v>
      </c>
      <c r="W432" s="3">
        <f t="shared" si="69"/>
        <v>0</v>
      </c>
      <c r="AA432" s="3">
        <v>24</v>
      </c>
    </row>
    <row r="433" spans="1:27" x14ac:dyDescent="0.3">
      <c r="A433" s="3" t="str">
        <f t="shared" si="60"/>
        <v>East9330219996210</v>
      </c>
      <c r="B433" s="3" t="str">
        <f t="shared" si="61"/>
        <v>KGP9330219996210</v>
      </c>
      <c r="C433" s="10">
        <v>9330219996210</v>
      </c>
      <c r="D433" s="10" t="str">
        <f t="shared" si="62"/>
        <v>9330219996</v>
      </c>
      <c r="E433" s="3" t="s">
        <v>6</v>
      </c>
      <c r="F433" s="3" t="s">
        <v>66</v>
      </c>
      <c r="H433" s="3">
        <v>22.523</v>
      </c>
      <c r="I433" s="10">
        <f t="shared" si="63"/>
        <v>80.368793776018407</v>
      </c>
      <c r="J433" s="3">
        <v>8.4073676890447757</v>
      </c>
      <c r="K433" s="3">
        <v>0</v>
      </c>
      <c r="L433" s="3">
        <f t="shared" si="64"/>
        <v>0</v>
      </c>
      <c r="N433" s="11">
        <f t="shared" si="65"/>
        <v>14.115632310955224</v>
      </c>
      <c r="O433" s="3">
        <v>8.4073676890447757</v>
      </c>
      <c r="P433" s="11">
        <f t="shared" si="66"/>
        <v>50.368793776018407</v>
      </c>
      <c r="Q433" s="12">
        <f t="shared" si="67"/>
        <v>50.3687937760184</v>
      </c>
      <c r="R433" s="13">
        <f t="shared" si="68"/>
        <v>40.715644704001072</v>
      </c>
      <c r="S433" s="3" t="s">
        <v>30</v>
      </c>
      <c r="T433" s="3" t="s">
        <v>35</v>
      </c>
      <c r="U433" s="10">
        <v>0</v>
      </c>
      <c r="V433" s="3">
        <v>0</v>
      </c>
      <c r="W433" s="3">
        <f t="shared" si="69"/>
        <v>0</v>
      </c>
      <c r="AA433" s="3">
        <v>24</v>
      </c>
    </row>
    <row r="434" spans="1:27" x14ac:dyDescent="0.3">
      <c r="A434" s="3" t="str">
        <f t="shared" si="60"/>
        <v>East9330219996840</v>
      </c>
      <c r="B434" s="3" t="str">
        <f t="shared" si="61"/>
        <v>KGP9330219996840</v>
      </c>
      <c r="C434" s="10">
        <v>9330219996840</v>
      </c>
      <c r="D434" s="10" t="str">
        <f t="shared" si="62"/>
        <v>9330219996</v>
      </c>
      <c r="E434" s="3" t="s">
        <v>6</v>
      </c>
      <c r="F434" s="3" t="s">
        <v>66</v>
      </c>
      <c r="H434" s="3">
        <v>12.696000000000005</v>
      </c>
      <c r="I434" s="10">
        <f t="shared" si="63"/>
        <v>59.442159011121056</v>
      </c>
      <c r="J434" s="3">
        <v>6.4075734518448622</v>
      </c>
      <c r="K434" s="3">
        <v>0</v>
      </c>
      <c r="L434" s="3">
        <f t="shared" si="64"/>
        <v>0</v>
      </c>
      <c r="N434" s="11">
        <f t="shared" si="65"/>
        <v>6.2884265481551429</v>
      </c>
      <c r="O434" s="3">
        <v>6.4075734518448622</v>
      </c>
      <c r="P434" s="11">
        <f t="shared" si="66"/>
        <v>29.442159011121063</v>
      </c>
      <c r="Q434" s="12">
        <f t="shared" si="67"/>
        <v>29.44215901112106</v>
      </c>
      <c r="R434" s="13">
        <f t="shared" si="68"/>
        <v>38.158742632968341</v>
      </c>
      <c r="S434" s="3" t="s">
        <v>30</v>
      </c>
      <c r="T434" s="3" t="s">
        <v>35</v>
      </c>
      <c r="U434" s="10">
        <v>0</v>
      </c>
      <c r="V434" s="3">
        <v>0</v>
      </c>
      <c r="W434" s="3">
        <f t="shared" si="69"/>
        <v>0</v>
      </c>
      <c r="AA434" s="3">
        <v>24</v>
      </c>
    </row>
    <row r="435" spans="1:27" x14ac:dyDescent="0.3">
      <c r="A435" s="3" t="str">
        <f t="shared" si="60"/>
        <v>East9330209999839</v>
      </c>
      <c r="B435" s="3" t="str">
        <f t="shared" si="61"/>
        <v>KGP9330209999839</v>
      </c>
      <c r="C435" s="10">
        <v>9330209999839</v>
      </c>
      <c r="D435" s="10" t="str">
        <f t="shared" si="62"/>
        <v>9330209999</v>
      </c>
      <c r="E435" s="3" t="s">
        <v>6</v>
      </c>
      <c r="F435" s="3" t="s">
        <v>66</v>
      </c>
      <c r="H435" s="3">
        <v>6.7781999999999991</v>
      </c>
      <c r="I435" s="10">
        <f t="shared" si="63"/>
        <v>34.358990901555302</v>
      </c>
      <c r="J435" s="3">
        <v>5.9182762550455248</v>
      </c>
      <c r="K435" s="3">
        <v>0</v>
      </c>
      <c r="L435" s="3">
        <f t="shared" si="64"/>
        <v>0</v>
      </c>
      <c r="N435" s="11">
        <f t="shared" si="65"/>
        <v>0.85992374495447432</v>
      </c>
      <c r="O435" s="3">
        <v>5.9182762550455248</v>
      </c>
      <c r="P435" s="11">
        <f t="shared" si="66"/>
        <v>4.3589909015553019</v>
      </c>
      <c r="Q435" s="12">
        <f t="shared" si="67"/>
        <v>4.3589909015553019</v>
      </c>
      <c r="R435" s="13">
        <f t="shared" si="68"/>
        <v>20.973866710871359</v>
      </c>
      <c r="S435" s="3" t="s">
        <v>30</v>
      </c>
      <c r="T435" s="3" t="s">
        <v>35</v>
      </c>
      <c r="U435" s="10">
        <v>0</v>
      </c>
      <c r="V435" s="3">
        <v>0</v>
      </c>
      <c r="W435" s="3">
        <f t="shared" si="69"/>
        <v>0</v>
      </c>
      <c r="AA435" s="3">
        <v>24</v>
      </c>
    </row>
    <row r="436" spans="1:27" x14ac:dyDescent="0.3">
      <c r="A436" s="3" t="str">
        <f t="shared" si="60"/>
        <v>East9330209999297</v>
      </c>
      <c r="B436" s="3" t="str">
        <f t="shared" si="61"/>
        <v>KGP9330209999297</v>
      </c>
      <c r="C436" s="10">
        <v>9330209999297</v>
      </c>
      <c r="D436" s="10" t="str">
        <f t="shared" si="62"/>
        <v>9330209999</v>
      </c>
      <c r="E436" s="3" t="s">
        <v>6</v>
      </c>
      <c r="F436" s="3" t="s">
        <v>66</v>
      </c>
      <c r="H436" s="3">
        <v>10.344749999999999</v>
      </c>
      <c r="I436" s="10">
        <f t="shared" si="63"/>
        <v>58.526128288706524</v>
      </c>
      <c r="J436" s="3">
        <v>5.3026316463152261</v>
      </c>
      <c r="K436" s="3">
        <v>0</v>
      </c>
      <c r="L436" s="3">
        <f t="shared" si="64"/>
        <v>0</v>
      </c>
      <c r="N436" s="11">
        <f t="shared" si="65"/>
        <v>5.0421183536847733</v>
      </c>
      <c r="O436" s="3">
        <v>5.3026316463152261</v>
      </c>
      <c r="P436" s="11">
        <f t="shared" si="66"/>
        <v>28.52612828870652</v>
      </c>
      <c r="Q436" s="12">
        <f t="shared" si="67"/>
        <v>28.52612828870652</v>
      </c>
      <c r="R436" s="13">
        <f t="shared" si="68"/>
        <v>32.660318747786754</v>
      </c>
      <c r="S436" s="3" t="s">
        <v>30</v>
      </c>
      <c r="T436" s="3" t="s">
        <v>35</v>
      </c>
      <c r="U436" s="10">
        <v>9330209900999</v>
      </c>
      <c r="V436" s="3">
        <v>0.1</v>
      </c>
      <c r="W436" s="3">
        <f t="shared" si="69"/>
        <v>0</v>
      </c>
      <c r="AA436" s="3">
        <v>24</v>
      </c>
    </row>
    <row r="437" spans="1:27" x14ac:dyDescent="0.3">
      <c r="A437" s="3" t="str">
        <f t="shared" si="60"/>
        <v>East9330209999097</v>
      </c>
      <c r="B437" s="3" t="str">
        <f t="shared" si="61"/>
        <v>KGP9330209999097</v>
      </c>
      <c r="C437" s="10">
        <v>9330209999097</v>
      </c>
      <c r="D437" s="10" t="str">
        <f t="shared" si="62"/>
        <v>9330209999</v>
      </c>
      <c r="E437" s="3" t="s">
        <v>6</v>
      </c>
      <c r="F437" s="3" t="s">
        <v>66</v>
      </c>
      <c r="H437" s="3">
        <v>13.857674999999999</v>
      </c>
      <c r="I437" s="10">
        <f t="shared" si="63"/>
        <v>89.160967231539502</v>
      </c>
      <c r="J437" s="3">
        <v>4.6626933613270731</v>
      </c>
      <c r="K437" s="3">
        <v>0</v>
      </c>
      <c r="L437" s="3">
        <f t="shared" si="64"/>
        <v>0</v>
      </c>
      <c r="N437" s="11">
        <f t="shared" si="65"/>
        <v>9.1949816386729246</v>
      </c>
      <c r="O437" s="3">
        <v>4.6626933613270731</v>
      </c>
      <c r="P437" s="11">
        <f t="shared" si="66"/>
        <v>59.160967231539502</v>
      </c>
      <c r="Q437" s="12">
        <f t="shared" si="67"/>
        <v>59.160967231539502</v>
      </c>
      <c r="R437" s="13">
        <f t="shared" si="68"/>
        <v>17.980438556612039</v>
      </c>
      <c r="S437" s="3" t="s">
        <v>30</v>
      </c>
      <c r="T437" s="3" t="s">
        <v>35</v>
      </c>
      <c r="U437" s="10">
        <v>0</v>
      </c>
      <c r="V437" s="3">
        <v>0</v>
      </c>
      <c r="W437" s="3">
        <f t="shared" si="69"/>
        <v>0</v>
      </c>
      <c r="AA437" s="3">
        <v>24</v>
      </c>
    </row>
    <row r="438" spans="1:27" x14ac:dyDescent="0.3">
      <c r="A438" s="3" t="str">
        <f t="shared" si="60"/>
        <v>East9432009999838</v>
      </c>
      <c r="B438" s="3" t="str">
        <f t="shared" si="61"/>
        <v>KGP9432009999838</v>
      </c>
      <c r="C438" s="10">
        <v>9432009999838</v>
      </c>
      <c r="D438" s="10" t="str">
        <f t="shared" si="62"/>
        <v>9432009999</v>
      </c>
      <c r="E438" s="3" t="s">
        <v>6</v>
      </c>
      <c r="F438" s="3" t="s">
        <v>66</v>
      </c>
      <c r="H438" s="3">
        <v>3.2262000000000008</v>
      </c>
      <c r="I438" s="10">
        <f t="shared" si="63"/>
        <v>22.752652410245162</v>
      </c>
      <c r="J438" s="3">
        <v>4.2538337181479031</v>
      </c>
      <c r="K438" s="3">
        <v>12</v>
      </c>
      <c r="L438" s="3">
        <f t="shared" si="64"/>
        <v>0</v>
      </c>
      <c r="N438" s="11">
        <f t="shared" si="65"/>
        <v>-1.0276337181479023</v>
      </c>
      <c r="O438" s="3">
        <v>4.2538337181479031</v>
      </c>
      <c r="P438" s="11">
        <f t="shared" si="66"/>
        <v>-7.2473475897548383</v>
      </c>
      <c r="Q438" s="12">
        <f t="shared" si="67"/>
        <v>-7.2473475897548383</v>
      </c>
      <c r="R438" s="13">
        <f t="shared" si="68"/>
        <v>29.681856596540243</v>
      </c>
      <c r="S438" s="3" t="s">
        <v>30</v>
      </c>
      <c r="T438" s="3" t="s">
        <v>35</v>
      </c>
      <c r="U438" s="10">
        <v>0</v>
      </c>
      <c r="V438" s="3">
        <v>0</v>
      </c>
      <c r="W438" s="3">
        <f t="shared" si="69"/>
        <v>0</v>
      </c>
      <c r="AA438" s="3">
        <v>24</v>
      </c>
    </row>
    <row r="439" spans="1:27" x14ac:dyDescent="0.3">
      <c r="A439" s="3" t="str">
        <f t="shared" si="60"/>
        <v>East9432009999195</v>
      </c>
      <c r="B439" s="3" t="str">
        <f t="shared" si="61"/>
        <v>KGP9432009999195</v>
      </c>
      <c r="C439" s="10">
        <v>9432009999195</v>
      </c>
      <c r="D439" s="10" t="str">
        <f t="shared" si="62"/>
        <v>9432009999</v>
      </c>
      <c r="E439" s="3" t="s">
        <v>6</v>
      </c>
      <c r="F439" s="3" t="s">
        <v>66</v>
      </c>
      <c r="H439" s="3">
        <v>4.4136999999999995</v>
      </c>
      <c r="I439" s="10">
        <f t="shared" si="63"/>
        <v>42.312744792766345</v>
      </c>
      <c r="J439" s="3">
        <v>3.1293408321418221</v>
      </c>
      <c r="K439" s="3">
        <v>12</v>
      </c>
      <c r="L439" s="3">
        <f t="shared" si="64"/>
        <v>0</v>
      </c>
      <c r="N439" s="11">
        <f t="shared" si="65"/>
        <v>1.2843591678581774</v>
      </c>
      <c r="O439" s="3">
        <v>3.1293408321418221</v>
      </c>
      <c r="P439" s="11">
        <f t="shared" si="66"/>
        <v>12.312744792766345</v>
      </c>
      <c r="Q439" s="12">
        <f t="shared" si="67"/>
        <v>12.312744792766345</v>
      </c>
      <c r="R439" s="13">
        <f t="shared" si="68"/>
        <v>30.757201129347859</v>
      </c>
      <c r="S439" s="3" t="s">
        <v>30</v>
      </c>
      <c r="T439" s="3" t="s">
        <v>35</v>
      </c>
      <c r="U439" s="10">
        <v>0</v>
      </c>
      <c r="V439" s="3">
        <v>0</v>
      </c>
      <c r="W439" s="3">
        <f t="shared" si="69"/>
        <v>0</v>
      </c>
      <c r="AA439" s="3">
        <v>24</v>
      </c>
    </row>
    <row r="440" spans="1:27" x14ac:dyDescent="0.3">
      <c r="A440" s="3" t="str">
        <f t="shared" si="60"/>
        <v>East9700169922210</v>
      </c>
      <c r="B440" s="3" t="str">
        <f t="shared" si="61"/>
        <v>KGP9700169922210</v>
      </c>
      <c r="C440" s="10">
        <v>9700169922210</v>
      </c>
      <c r="D440" s="10" t="str">
        <f t="shared" si="62"/>
        <v>9700169922</v>
      </c>
      <c r="E440" s="3" t="s">
        <v>6</v>
      </c>
      <c r="F440" s="3" t="s">
        <v>66</v>
      </c>
      <c r="H440" s="3">
        <v>22.896000000000001</v>
      </c>
      <c r="I440" s="10">
        <f t="shared" si="63"/>
        <v>225.56844173856763</v>
      </c>
      <c r="J440" s="3">
        <v>3.045106818604038</v>
      </c>
      <c r="K440" s="3">
        <v>0</v>
      </c>
      <c r="L440" s="3">
        <f t="shared" si="64"/>
        <v>0</v>
      </c>
      <c r="N440" s="11">
        <f t="shared" si="65"/>
        <v>19.850893181395964</v>
      </c>
      <c r="O440" s="3">
        <v>3.045106818604038</v>
      </c>
      <c r="P440" s="11">
        <f t="shared" si="66"/>
        <v>195.56844173856766</v>
      </c>
      <c r="Q440" s="12">
        <f t="shared" si="67"/>
        <v>195.56844173856766</v>
      </c>
      <c r="R440" s="13">
        <f t="shared" si="68"/>
        <v>111.67758898129826</v>
      </c>
      <c r="S440" s="3" t="s">
        <v>29</v>
      </c>
      <c r="T440" s="3" t="s">
        <v>71</v>
      </c>
      <c r="U440" s="10">
        <v>0</v>
      </c>
      <c r="V440" s="3">
        <v>0</v>
      </c>
      <c r="W440" s="3">
        <f t="shared" si="69"/>
        <v>0</v>
      </c>
      <c r="AA440" s="3">
        <v>24</v>
      </c>
    </row>
    <row r="441" spans="1:27" x14ac:dyDescent="0.3">
      <c r="A441" s="3" t="str">
        <f t="shared" si="60"/>
        <v>West9330209999219</v>
      </c>
      <c r="B441" s="3" t="str">
        <f t="shared" si="61"/>
        <v>Mah9330209999219</v>
      </c>
      <c r="C441" s="10">
        <v>9330209999219</v>
      </c>
      <c r="D441" s="10" t="str">
        <f t="shared" si="62"/>
        <v>9330209999</v>
      </c>
      <c r="E441" s="3" t="s">
        <v>1</v>
      </c>
      <c r="F441" s="3" t="s">
        <v>63</v>
      </c>
      <c r="H441" s="3">
        <v>6.8055000000000003</v>
      </c>
      <c r="I441" s="10">
        <f t="shared" si="63"/>
        <v>40.405211430381499</v>
      </c>
      <c r="J441" s="3">
        <v>5.0529373012136798</v>
      </c>
      <c r="K441" s="3">
        <v>12.5</v>
      </c>
      <c r="L441" s="3">
        <f t="shared" si="64"/>
        <v>0</v>
      </c>
      <c r="M441" s="32"/>
      <c r="N441" s="11">
        <f t="shared" si="65"/>
        <v>1.7525626987863205</v>
      </c>
      <c r="O441" s="3">
        <v>5.0529373012136798</v>
      </c>
      <c r="P441" s="11">
        <f t="shared" si="66"/>
        <v>10.405211430381497</v>
      </c>
      <c r="Q441" s="12">
        <f t="shared" si="67"/>
        <v>10.405211430381497</v>
      </c>
      <c r="R441" s="13">
        <f t="shared" si="68"/>
        <v>26.810650075406716</v>
      </c>
      <c r="S441" s="3" t="s">
        <v>30</v>
      </c>
      <c r="T441" s="3" t="s">
        <v>35</v>
      </c>
      <c r="U441" s="10">
        <v>9330209900999</v>
      </c>
      <c r="V441" s="3">
        <v>0.1</v>
      </c>
      <c r="W441" s="3">
        <f t="shared" si="69"/>
        <v>1.25</v>
      </c>
      <c r="Y441" s="3">
        <v>0</v>
      </c>
      <c r="Z441" s="3">
        <v>27</v>
      </c>
      <c r="AA441" s="3">
        <v>25</v>
      </c>
    </row>
    <row r="442" spans="1:27" x14ac:dyDescent="0.3">
      <c r="A442" s="3" t="str">
        <f t="shared" si="60"/>
        <v>West9432009999195</v>
      </c>
      <c r="B442" s="3" t="str">
        <f t="shared" si="61"/>
        <v>Mah9432009999195</v>
      </c>
      <c r="C442" s="10">
        <v>9432009999195</v>
      </c>
      <c r="D442" s="10" t="str">
        <f t="shared" si="62"/>
        <v>9432009999</v>
      </c>
      <c r="E442" s="3" t="s">
        <v>1</v>
      </c>
      <c r="F442" s="3" t="s">
        <v>63</v>
      </c>
      <c r="H442" s="3">
        <v>13.390249999999998</v>
      </c>
      <c r="I442" s="10">
        <f t="shared" si="63"/>
        <v>102.39822766936071</v>
      </c>
      <c r="J442" s="3">
        <v>3.9229927035172474</v>
      </c>
      <c r="K442" s="3">
        <v>0</v>
      </c>
      <c r="L442" s="3">
        <f t="shared" si="64"/>
        <v>0</v>
      </c>
      <c r="M442" s="32"/>
      <c r="N442" s="11">
        <f t="shared" si="65"/>
        <v>9.4672572964827513</v>
      </c>
      <c r="O442" s="3">
        <v>3.9229927035172474</v>
      </c>
      <c r="P442" s="11">
        <f t="shared" si="66"/>
        <v>72.398227669360708</v>
      </c>
      <c r="Q442" s="12">
        <f t="shared" si="67"/>
        <v>72.398227669360708</v>
      </c>
      <c r="R442" s="13">
        <f t="shared" si="68"/>
        <v>30.757201129347859</v>
      </c>
      <c r="S442" s="3" t="s">
        <v>30</v>
      </c>
      <c r="T442" s="3" t="s">
        <v>35</v>
      </c>
      <c r="U442" s="10">
        <v>0</v>
      </c>
      <c r="V442" s="3">
        <v>0</v>
      </c>
      <c r="W442" s="3">
        <f t="shared" si="69"/>
        <v>0</v>
      </c>
      <c r="Y442" s="3">
        <v>0</v>
      </c>
      <c r="Z442" s="3">
        <v>105</v>
      </c>
      <c r="AA442" s="3">
        <v>25</v>
      </c>
    </row>
    <row r="443" spans="1:27" x14ac:dyDescent="0.3">
      <c r="A443" s="3" t="str">
        <f t="shared" si="60"/>
        <v>West9330209999839</v>
      </c>
      <c r="B443" s="3" t="str">
        <f t="shared" si="61"/>
        <v>Mah9330209999839</v>
      </c>
      <c r="C443" s="10">
        <v>9330209999839</v>
      </c>
      <c r="D443" s="10" t="str">
        <f t="shared" si="62"/>
        <v>9330209999</v>
      </c>
      <c r="E443" s="3" t="s">
        <v>1</v>
      </c>
      <c r="F443" s="3" t="s">
        <v>63</v>
      </c>
      <c r="H443" s="3">
        <v>7.7454000000000001</v>
      </c>
      <c r="I443" s="10">
        <f t="shared" si="63"/>
        <v>88.065391122827592</v>
      </c>
      <c r="J443" s="3">
        <v>2.6385166412980254</v>
      </c>
      <c r="K443" s="3">
        <v>0</v>
      </c>
      <c r="L443" s="3">
        <f t="shared" si="64"/>
        <v>0</v>
      </c>
      <c r="M443" s="32"/>
      <c r="N443" s="11">
        <f t="shared" si="65"/>
        <v>5.1068833587019746</v>
      </c>
      <c r="O443" s="3">
        <v>2.6385166412980254</v>
      </c>
      <c r="P443" s="11">
        <f t="shared" si="66"/>
        <v>58.065391122827592</v>
      </c>
      <c r="Q443" s="12">
        <f t="shared" si="67"/>
        <v>58.065391122827592</v>
      </c>
      <c r="R443" s="13">
        <f t="shared" si="68"/>
        <v>20.973866710871359</v>
      </c>
      <c r="S443" s="3" t="s">
        <v>30</v>
      </c>
      <c r="T443" s="3" t="s">
        <v>35</v>
      </c>
      <c r="U443" s="10">
        <v>0</v>
      </c>
      <c r="V443" s="3">
        <v>0</v>
      </c>
      <c r="W443" s="3">
        <f t="shared" si="69"/>
        <v>0</v>
      </c>
      <c r="Y443" s="3">
        <v>0</v>
      </c>
      <c r="Z443" s="3">
        <v>90</v>
      </c>
      <c r="AA443" s="3">
        <v>25</v>
      </c>
    </row>
    <row r="444" spans="1:27" x14ac:dyDescent="0.3">
      <c r="A444" s="3" t="str">
        <f t="shared" si="60"/>
        <v>West9330209999097</v>
      </c>
      <c r="B444" s="3" t="str">
        <f t="shared" si="61"/>
        <v>Mah9330209999097</v>
      </c>
      <c r="C444" s="10">
        <v>9330209999097</v>
      </c>
      <c r="D444" s="10" t="str">
        <f t="shared" si="62"/>
        <v>9330209999</v>
      </c>
      <c r="E444" s="3" t="s">
        <v>1</v>
      </c>
      <c r="F444" s="3" t="s">
        <v>63</v>
      </c>
      <c r="H444" s="3">
        <v>4.7131500000000006</v>
      </c>
      <c r="I444" s="10">
        <f t="shared" si="63"/>
        <v>54.062404453969172</v>
      </c>
      <c r="J444" s="3">
        <v>2.6153942176284222</v>
      </c>
      <c r="K444" s="3">
        <v>12.5</v>
      </c>
      <c r="L444" s="3">
        <f t="shared" si="64"/>
        <v>0</v>
      </c>
      <c r="M444" s="32"/>
      <c r="N444" s="11">
        <f t="shared" si="65"/>
        <v>2.0977557823715784</v>
      </c>
      <c r="O444" s="3">
        <v>2.6153942176284222</v>
      </c>
      <c r="P444" s="11">
        <f t="shared" si="66"/>
        <v>24.062404453969169</v>
      </c>
      <c r="Q444" s="12">
        <f t="shared" si="67"/>
        <v>24.062404453969169</v>
      </c>
      <c r="R444" s="13">
        <f t="shared" si="68"/>
        <v>17.980438556612039</v>
      </c>
      <c r="S444" s="3" t="s">
        <v>30</v>
      </c>
      <c r="T444" s="3" t="s">
        <v>35</v>
      </c>
      <c r="U444" s="10">
        <v>0</v>
      </c>
      <c r="V444" s="3">
        <v>0</v>
      </c>
      <c r="W444" s="3">
        <f t="shared" si="69"/>
        <v>0</v>
      </c>
      <c r="Y444" s="3">
        <v>0</v>
      </c>
      <c r="Z444" s="3">
        <v>13.5</v>
      </c>
      <c r="AA444" s="3">
        <v>25</v>
      </c>
    </row>
    <row r="445" spans="1:27" x14ac:dyDescent="0.3">
      <c r="A445" s="3" t="str">
        <f t="shared" si="60"/>
        <v>West9432009999838</v>
      </c>
      <c r="B445" s="3" t="str">
        <f t="shared" si="61"/>
        <v>Mah9432009999838</v>
      </c>
      <c r="C445" s="10">
        <v>9432009999838</v>
      </c>
      <c r="D445" s="10" t="str">
        <f t="shared" si="62"/>
        <v>9432009999</v>
      </c>
      <c r="E445" s="3" t="s">
        <v>1</v>
      </c>
      <c r="F445" s="3" t="s">
        <v>63</v>
      </c>
      <c r="H445" s="3">
        <v>15.560999999999998</v>
      </c>
      <c r="I445" s="10">
        <f t="shared" si="63"/>
        <v>187.66539768523228</v>
      </c>
      <c r="J445" s="3">
        <v>2.4875656661171246</v>
      </c>
      <c r="K445" s="3">
        <v>0</v>
      </c>
      <c r="L445" s="3">
        <f t="shared" si="64"/>
        <v>0</v>
      </c>
      <c r="M445" s="32"/>
      <c r="N445" s="11">
        <f t="shared" si="65"/>
        <v>13.073434333882874</v>
      </c>
      <c r="O445" s="3">
        <v>2.4875656661171246</v>
      </c>
      <c r="P445" s="11">
        <f t="shared" si="66"/>
        <v>157.66539768523228</v>
      </c>
      <c r="Q445" s="12">
        <f t="shared" si="67"/>
        <v>157.66539768523228</v>
      </c>
      <c r="R445" s="13">
        <f t="shared" si="68"/>
        <v>29.681856596540243</v>
      </c>
      <c r="S445" s="3" t="s">
        <v>30</v>
      </c>
      <c r="T445" s="3" t="s">
        <v>35</v>
      </c>
      <c r="U445" s="10">
        <v>0</v>
      </c>
      <c r="V445" s="3">
        <v>0</v>
      </c>
      <c r="W445" s="3">
        <f t="shared" si="69"/>
        <v>0</v>
      </c>
      <c r="Y445" s="3">
        <v>0</v>
      </c>
      <c r="Z445" s="3">
        <v>202.5</v>
      </c>
      <c r="AA445" s="3">
        <v>25</v>
      </c>
    </row>
    <row r="446" spans="1:27" x14ac:dyDescent="0.3">
      <c r="A446" s="3" t="str">
        <f t="shared" si="60"/>
        <v>West9431009999195</v>
      </c>
      <c r="B446" s="3" t="str">
        <f t="shared" si="61"/>
        <v>Mah9431009999195</v>
      </c>
      <c r="C446" s="10">
        <v>9431009999195</v>
      </c>
      <c r="D446" s="10" t="str">
        <f t="shared" si="62"/>
        <v>9431009999</v>
      </c>
      <c r="E446" s="3" t="s">
        <v>1</v>
      </c>
      <c r="F446" s="3" t="s">
        <v>63</v>
      </c>
      <c r="H446" s="3">
        <v>2.1232500000000001</v>
      </c>
      <c r="I446" s="10">
        <f t="shared" si="63"/>
        <v>28.728414960043818</v>
      </c>
      <c r="J446" s="3">
        <v>2.2172298781047282</v>
      </c>
      <c r="K446" s="3">
        <v>12.5</v>
      </c>
      <c r="L446" s="3">
        <f t="shared" si="64"/>
        <v>0</v>
      </c>
      <c r="M446" s="32"/>
      <c r="N446" s="11">
        <f t="shared" si="65"/>
        <v>-9.3979878104728076E-2</v>
      </c>
      <c r="O446" s="3">
        <v>2.2172298781047282</v>
      </c>
      <c r="P446" s="11">
        <f t="shared" si="66"/>
        <v>-1.2715850399561823</v>
      </c>
      <c r="Q446" s="12">
        <f t="shared" si="67"/>
        <v>-1.2715850399561826</v>
      </c>
      <c r="R446" s="13">
        <f t="shared" si="68"/>
        <v>32.659545068538762</v>
      </c>
      <c r="S446" s="3" t="s">
        <v>31</v>
      </c>
      <c r="T446" s="3" t="s">
        <v>35</v>
      </c>
      <c r="U446" s="10">
        <v>0</v>
      </c>
      <c r="V446" s="3">
        <v>0</v>
      </c>
      <c r="W446" s="3">
        <f t="shared" si="69"/>
        <v>0</v>
      </c>
      <c r="Y446" s="3">
        <v>0</v>
      </c>
      <c r="Z446" s="3">
        <v>640</v>
      </c>
      <c r="AA446" s="3">
        <v>25</v>
      </c>
    </row>
    <row r="447" spans="1:27" x14ac:dyDescent="0.3">
      <c r="A447" s="3" t="str">
        <f t="shared" si="60"/>
        <v>West9431009999838</v>
      </c>
      <c r="B447" s="3" t="str">
        <f t="shared" si="61"/>
        <v>Mah9431009999838</v>
      </c>
      <c r="C447" s="10">
        <v>9431009999838</v>
      </c>
      <c r="D447" s="10" t="str">
        <f t="shared" si="62"/>
        <v>9431009999</v>
      </c>
      <c r="E447" s="3" t="s">
        <v>1</v>
      </c>
      <c r="F447" s="3" t="s">
        <v>63</v>
      </c>
      <c r="H447" s="3">
        <v>1.2653999999999999</v>
      </c>
      <c r="I447" s="10">
        <f t="shared" si="63"/>
        <v>21.89384688053498</v>
      </c>
      <c r="J447" s="3">
        <v>1.7339118249589398</v>
      </c>
      <c r="K447" s="3">
        <v>12.5</v>
      </c>
      <c r="L447" s="3">
        <f t="shared" si="64"/>
        <v>0</v>
      </c>
      <c r="M447" s="32"/>
      <c r="N447" s="11">
        <f t="shared" si="65"/>
        <v>-0.46851182495893995</v>
      </c>
      <c r="O447" s="3">
        <v>1.7339118249589398</v>
      </c>
      <c r="P447" s="11">
        <f t="shared" si="66"/>
        <v>-8.1061531194650218</v>
      </c>
      <c r="Q447" s="12">
        <f t="shared" si="67"/>
        <v>-8.1061531194650218</v>
      </c>
      <c r="R447" s="13">
        <f t="shared" si="68"/>
        <v>12.439444130659385</v>
      </c>
      <c r="S447" s="3" t="s">
        <v>31</v>
      </c>
      <c r="T447" s="3" t="s">
        <v>35</v>
      </c>
      <c r="U447" s="10">
        <v>0</v>
      </c>
      <c r="V447" s="3">
        <v>0</v>
      </c>
      <c r="W447" s="3">
        <f t="shared" si="69"/>
        <v>0</v>
      </c>
      <c r="Y447" s="3">
        <v>0</v>
      </c>
      <c r="Z447" s="3">
        <v>689</v>
      </c>
      <c r="AA447" s="3">
        <v>25</v>
      </c>
    </row>
    <row r="448" spans="1:27" x14ac:dyDescent="0.3">
      <c r="A448" s="3" t="str">
        <f t="shared" si="60"/>
        <v>West9330209999297</v>
      </c>
      <c r="B448" s="3" t="str">
        <f t="shared" si="61"/>
        <v>Mah9330209999297</v>
      </c>
      <c r="C448" s="10">
        <v>9330209999297</v>
      </c>
      <c r="D448" s="10" t="str">
        <f t="shared" si="62"/>
        <v>9330209999</v>
      </c>
      <c r="E448" s="3" t="s">
        <v>1</v>
      </c>
      <c r="F448" s="3" t="s">
        <v>63</v>
      </c>
      <c r="H448" s="3">
        <v>4.6312499999999996</v>
      </c>
      <c r="I448" s="10">
        <f t="shared" si="63"/>
        <v>87.655971693732695</v>
      </c>
      <c r="J448" s="3">
        <v>1.5850317704017176</v>
      </c>
      <c r="K448" s="3">
        <v>0</v>
      </c>
      <c r="L448" s="3">
        <f t="shared" si="64"/>
        <v>0</v>
      </c>
      <c r="M448" s="32"/>
      <c r="N448" s="11">
        <f t="shared" si="65"/>
        <v>3.0462182295982823</v>
      </c>
      <c r="O448" s="3">
        <v>1.5850317704017176</v>
      </c>
      <c r="P448" s="11">
        <f t="shared" si="66"/>
        <v>57.65597169373271</v>
      </c>
      <c r="Q448" s="12">
        <f t="shared" si="67"/>
        <v>57.65597169373271</v>
      </c>
      <c r="R448" s="13">
        <f t="shared" si="68"/>
        <v>32.660318747786754</v>
      </c>
      <c r="S448" s="3" t="s">
        <v>30</v>
      </c>
      <c r="T448" s="3" t="s">
        <v>35</v>
      </c>
      <c r="U448" s="10">
        <v>9330209900999</v>
      </c>
      <c r="V448" s="3">
        <v>0.1</v>
      </c>
      <c r="W448" s="3">
        <f t="shared" si="69"/>
        <v>0</v>
      </c>
      <c r="Y448" s="3">
        <v>0</v>
      </c>
      <c r="Z448" s="3">
        <v>0</v>
      </c>
      <c r="AA448" s="3">
        <v>25</v>
      </c>
    </row>
    <row r="449" spans="1:27" x14ac:dyDescent="0.3">
      <c r="A449" s="3" t="str">
        <f t="shared" si="60"/>
        <v>North9310049999219</v>
      </c>
      <c r="B449" s="3" t="str">
        <f t="shared" si="61"/>
        <v>Pan9310049999219</v>
      </c>
      <c r="C449" s="10">
        <v>9310049999219</v>
      </c>
      <c r="D449" s="10" t="str">
        <f t="shared" si="62"/>
        <v>9310049999</v>
      </c>
      <c r="E449" s="3" t="s">
        <v>2</v>
      </c>
      <c r="F449" s="3" t="s">
        <v>64</v>
      </c>
      <c r="H449" s="3">
        <v>23.302500000000013</v>
      </c>
      <c r="I449" s="10">
        <f t="shared" si="63"/>
        <v>265.09604114706821</v>
      </c>
      <c r="J449" s="3">
        <v>2.6370631450213629</v>
      </c>
      <c r="K449" s="3">
        <v>0</v>
      </c>
      <c r="L449" s="3">
        <f t="shared" si="64"/>
        <v>0</v>
      </c>
      <c r="N449" s="11">
        <f t="shared" si="65"/>
        <v>20.665436854978651</v>
      </c>
      <c r="O449" s="3">
        <v>2.6370631450213629</v>
      </c>
      <c r="P449" s="11">
        <f t="shared" si="66"/>
        <v>235.09604114706823</v>
      </c>
      <c r="Q449" s="12">
        <f t="shared" si="67"/>
        <v>235.09604114706823</v>
      </c>
      <c r="R449" s="13">
        <f t="shared" si="68"/>
        <v>235.09604114706823</v>
      </c>
      <c r="S449" s="3" t="s">
        <v>31</v>
      </c>
      <c r="T449" s="3" t="s">
        <v>32</v>
      </c>
      <c r="U449" s="10">
        <v>9310049900999</v>
      </c>
      <c r="V449" s="3">
        <v>0.1</v>
      </c>
      <c r="W449" s="3">
        <f t="shared" si="69"/>
        <v>0</v>
      </c>
      <c r="AA449" s="3">
        <v>25</v>
      </c>
    </row>
    <row r="450" spans="1:27" x14ac:dyDescent="0.3">
      <c r="A450" s="3" t="str">
        <f t="shared" si="60"/>
        <v>North9432019999195</v>
      </c>
      <c r="B450" s="3" t="str">
        <f t="shared" si="61"/>
        <v>Pan9432019999195</v>
      </c>
      <c r="C450" s="10">
        <v>9432019999195</v>
      </c>
      <c r="D450" s="10" t="str">
        <f t="shared" si="62"/>
        <v>9432019999</v>
      </c>
      <c r="E450" s="3" t="s">
        <v>2</v>
      </c>
      <c r="F450" s="3" t="s">
        <v>64</v>
      </c>
      <c r="H450" s="3">
        <v>2.5906500000000006</v>
      </c>
      <c r="I450" s="10">
        <f t="shared" si="63"/>
        <v>37.664449055000006</v>
      </c>
      <c r="J450" s="3">
        <v>2.0634710436493866</v>
      </c>
      <c r="K450" s="3">
        <v>0</v>
      </c>
      <c r="L450" s="3">
        <f t="shared" si="64"/>
        <v>0</v>
      </c>
      <c r="N450" s="11">
        <f t="shared" si="65"/>
        <v>0.52717895635061396</v>
      </c>
      <c r="O450" s="3">
        <v>2.0634710436493866</v>
      </c>
      <c r="P450" s="11">
        <f t="shared" si="66"/>
        <v>7.6644490550000066</v>
      </c>
      <c r="Q450" s="12">
        <f t="shared" si="67"/>
        <v>12.363519648610513</v>
      </c>
      <c r="R450" s="13">
        <f t="shared" si="68"/>
        <v>6.1005383184753246</v>
      </c>
      <c r="S450" s="3" t="s">
        <v>31</v>
      </c>
      <c r="T450" s="3" t="s">
        <v>35</v>
      </c>
      <c r="U450" s="10">
        <v>0</v>
      </c>
      <c r="V450" s="3">
        <v>0</v>
      </c>
      <c r="W450" s="3">
        <f t="shared" si="69"/>
        <v>0</v>
      </c>
      <c r="AA450" s="3">
        <v>25</v>
      </c>
    </row>
    <row r="451" spans="1:27" x14ac:dyDescent="0.3">
      <c r="A451" s="3" t="str">
        <f t="shared" si="60"/>
        <v>North9432019999838</v>
      </c>
      <c r="B451" s="3" t="str">
        <f t="shared" si="61"/>
        <v>Pan9432019999838</v>
      </c>
      <c r="C451" s="10">
        <v>9432019999838</v>
      </c>
      <c r="D451" s="10" t="str">
        <f t="shared" si="62"/>
        <v>9432019999</v>
      </c>
      <c r="E451" s="3" t="s">
        <v>2</v>
      </c>
      <c r="F451" s="3" t="s">
        <v>64</v>
      </c>
      <c r="H451" s="3">
        <v>3.8570000000000015</v>
      </c>
      <c r="I451" s="10">
        <f t="shared" si="63"/>
        <v>73.695546731600388</v>
      </c>
      <c r="J451" s="3">
        <v>1.5701084411710324</v>
      </c>
      <c r="K451" s="3">
        <v>0</v>
      </c>
      <c r="L451" s="3">
        <f t="shared" si="64"/>
        <v>0</v>
      </c>
      <c r="N451" s="11">
        <f t="shared" si="65"/>
        <v>2.2868915588289691</v>
      </c>
      <c r="O451" s="3">
        <v>1.5701084411710324</v>
      </c>
      <c r="P451" s="11">
        <f t="shared" si="66"/>
        <v>43.695546731600373</v>
      </c>
      <c r="Q451" s="12">
        <f t="shared" si="67"/>
        <v>45.330892423160762</v>
      </c>
      <c r="R451" s="13">
        <f t="shared" si="68"/>
        <v>17.535302156467548</v>
      </c>
      <c r="S451" s="3" t="s">
        <v>31</v>
      </c>
      <c r="T451" s="3" t="s">
        <v>35</v>
      </c>
      <c r="U451" s="10">
        <v>0</v>
      </c>
      <c r="V451" s="3">
        <v>0</v>
      </c>
      <c r="W451" s="3">
        <f t="shared" si="69"/>
        <v>0</v>
      </c>
      <c r="AA451" s="3">
        <v>25</v>
      </c>
    </row>
    <row r="452" spans="1:27" x14ac:dyDescent="0.3">
      <c r="A452" s="3" t="str">
        <f t="shared" ref="A452:A515" si="70">_xlfn.CONCAT(F452,C452)</f>
        <v>North9310049999297</v>
      </c>
      <c r="B452" s="3" t="str">
        <f t="shared" ref="B452:B515" si="71">_xlfn.CONCAT(E452,C452)</f>
        <v>Pan9310049999297</v>
      </c>
      <c r="C452" s="10">
        <v>9310049999297</v>
      </c>
      <c r="D452" s="10" t="str">
        <f t="shared" ref="D452:D515" si="72">LEFT(C452,10)</f>
        <v>9310049999</v>
      </c>
      <c r="E452" s="3" t="s">
        <v>2</v>
      </c>
      <c r="F452" s="3" t="s">
        <v>64</v>
      </c>
      <c r="H452" s="3">
        <v>8.736000000000006</v>
      </c>
      <c r="I452" s="10">
        <f t="shared" ref="I452:I515" si="73">IFERROR(H452/J452*30,0)</f>
        <v>169.98733563254228</v>
      </c>
      <c r="J452" s="3">
        <v>1.5417619143495047</v>
      </c>
      <c r="K452" s="3">
        <v>0</v>
      </c>
      <c r="L452" s="3">
        <f t="shared" ref="L452:L515" si="74">M452*G452</f>
        <v>0</v>
      </c>
      <c r="N452" s="11">
        <f t="shared" ref="N452:N515" si="75">H452-J452+L452</f>
        <v>7.1942380856505013</v>
      </c>
      <c r="O452" s="3">
        <v>1.5417619143495047</v>
      </c>
      <c r="P452" s="11">
        <f t="shared" ref="P452:P515" si="76">IF(O452=0,9999,N452/O452*30)</f>
        <v>139.98733563254228</v>
      </c>
      <c r="Q452" s="12">
        <f t="shared" ref="Q452:Q515" si="77">IF(SUMIF($A:$A,$A452,$O:$O)=0,9999,SUMIF($A:$A,$A452,$N:$N)*30/SUMIF($A:$A,$A452,$O:$O))</f>
        <v>139.98733563254228</v>
      </c>
      <c r="R452" s="13">
        <f t="shared" ref="R452:R515" si="78">IF(SUMIF($C:$C,$C452,$O:$O)=0,9999,SUMIF($C:$C,$C452,$N:$N)*30/SUMIF($C:$C,$C452,$O:$O))</f>
        <v>139.98733563254228</v>
      </c>
      <c r="S452" s="3" t="s">
        <v>31</v>
      </c>
      <c r="T452" s="3" t="s">
        <v>32</v>
      </c>
      <c r="U452" s="10">
        <v>9310049900999</v>
      </c>
      <c r="V452" s="3">
        <v>0.1</v>
      </c>
      <c r="W452" s="3">
        <f t="shared" ref="W452:W515" si="79">IFERROR(K452*V452,0)</f>
        <v>0</v>
      </c>
      <c r="AA452" s="3">
        <v>25</v>
      </c>
    </row>
    <row r="453" spans="1:27" x14ac:dyDescent="0.3">
      <c r="A453" s="3" t="str">
        <f t="shared" si="70"/>
        <v>North9310049999097</v>
      </c>
      <c r="B453" s="3" t="str">
        <f t="shared" si="71"/>
        <v>Pan9310049999097</v>
      </c>
      <c r="C453" s="10">
        <v>9310049999097</v>
      </c>
      <c r="D453" s="10" t="str">
        <f t="shared" si="72"/>
        <v>9310049999</v>
      </c>
      <c r="E453" s="3" t="s">
        <v>2</v>
      </c>
      <c r="F453" s="3" t="s">
        <v>64</v>
      </c>
      <c r="H453" s="3">
        <v>4.7570249999999987</v>
      </c>
      <c r="I453" s="10">
        <f t="shared" si="73"/>
        <v>93.3836669973727</v>
      </c>
      <c r="J453" s="3">
        <v>1.5282195975878208</v>
      </c>
      <c r="K453" s="3">
        <v>0</v>
      </c>
      <c r="L453" s="3">
        <f t="shared" si="74"/>
        <v>0</v>
      </c>
      <c r="N453" s="11">
        <f t="shared" si="75"/>
        <v>3.2288054024121777</v>
      </c>
      <c r="O453" s="3">
        <v>1.5282195975878208</v>
      </c>
      <c r="P453" s="11">
        <f t="shared" si="76"/>
        <v>63.383666997372686</v>
      </c>
      <c r="Q453" s="12">
        <f t="shared" si="77"/>
        <v>63.383666997372693</v>
      </c>
      <c r="R453" s="13">
        <f t="shared" si="78"/>
        <v>63.383666997372693</v>
      </c>
      <c r="S453" s="3" t="s">
        <v>31</v>
      </c>
      <c r="T453" s="3" t="s">
        <v>32</v>
      </c>
      <c r="U453" s="10">
        <v>0</v>
      </c>
      <c r="V453" s="3">
        <v>0</v>
      </c>
      <c r="W453" s="3">
        <f t="shared" si="79"/>
        <v>0</v>
      </c>
      <c r="AA453" s="3">
        <v>25</v>
      </c>
    </row>
    <row r="454" spans="1:27" x14ac:dyDescent="0.3">
      <c r="A454" s="3" t="str">
        <f t="shared" si="70"/>
        <v>North9310049999839</v>
      </c>
      <c r="B454" s="3" t="str">
        <f t="shared" si="71"/>
        <v>Pan9310049999839</v>
      </c>
      <c r="C454" s="10">
        <v>9310049999839</v>
      </c>
      <c r="D454" s="10" t="str">
        <f t="shared" si="72"/>
        <v>9310049999</v>
      </c>
      <c r="E454" s="3" t="s">
        <v>2</v>
      </c>
      <c r="F454" s="3" t="s">
        <v>64</v>
      </c>
      <c r="H454" s="3">
        <v>2.4141000000000004</v>
      </c>
      <c r="I454" s="10">
        <f t="shared" si="73"/>
        <v>50.554960721132986</v>
      </c>
      <c r="J454" s="3">
        <v>1.4325597125768461</v>
      </c>
      <c r="K454" s="3">
        <v>0</v>
      </c>
      <c r="L454" s="3">
        <f t="shared" si="74"/>
        <v>0</v>
      </c>
      <c r="N454" s="11">
        <f t="shared" si="75"/>
        <v>0.98154028742315425</v>
      </c>
      <c r="O454" s="3">
        <v>1.4325597125768461</v>
      </c>
      <c r="P454" s="11">
        <f t="shared" si="76"/>
        <v>20.554960721132982</v>
      </c>
      <c r="Q454" s="12">
        <f t="shared" si="77"/>
        <v>20.554960721132982</v>
      </c>
      <c r="R454" s="13">
        <f t="shared" si="78"/>
        <v>20.554960721132982</v>
      </c>
      <c r="S454" s="3" t="s">
        <v>31</v>
      </c>
      <c r="T454" s="3" t="s">
        <v>32</v>
      </c>
      <c r="U454" s="10">
        <v>0</v>
      </c>
      <c r="V454" s="3">
        <v>0</v>
      </c>
      <c r="W454" s="3">
        <f t="shared" si="79"/>
        <v>0</v>
      </c>
      <c r="AA454" s="3">
        <v>25</v>
      </c>
    </row>
    <row r="455" spans="1:27" x14ac:dyDescent="0.3">
      <c r="A455" s="3" t="str">
        <f t="shared" si="70"/>
        <v>North9410029999190</v>
      </c>
      <c r="B455" s="3" t="str">
        <f t="shared" si="71"/>
        <v>Pan9410029999190</v>
      </c>
      <c r="C455" s="10">
        <v>9410029999190</v>
      </c>
      <c r="D455" s="10" t="str">
        <f t="shared" si="72"/>
        <v>9410029999</v>
      </c>
      <c r="E455" s="3" t="s">
        <v>2</v>
      </c>
      <c r="F455" s="3" t="s">
        <v>64</v>
      </c>
      <c r="H455" s="3">
        <v>2.0024999999999999</v>
      </c>
      <c r="I455" s="10">
        <f t="shared" si="73"/>
        <v>43.855953672241235</v>
      </c>
      <c r="J455" s="3">
        <v>1.3698254163841079</v>
      </c>
      <c r="K455" s="3">
        <v>0</v>
      </c>
      <c r="L455" s="3">
        <f t="shared" si="74"/>
        <v>0</v>
      </c>
      <c r="N455" s="11">
        <f t="shared" si="75"/>
        <v>0.63267458361589202</v>
      </c>
      <c r="O455" s="3">
        <v>1.3698254163841079</v>
      </c>
      <c r="P455" s="11">
        <f t="shared" si="76"/>
        <v>13.855953672241236</v>
      </c>
      <c r="Q455" s="12">
        <f t="shared" si="77"/>
        <v>13.855953672241236</v>
      </c>
      <c r="R455" s="13">
        <f t="shared" si="78"/>
        <v>-5.105194524524161</v>
      </c>
      <c r="S455" s="3" t="s">
        <v>31</v>
      </c>
      <c r="T455" s="3" t="s">
        <v>32</v>
      </c>
      <c r="U455" s="10">
        <v>0</v>
      </c>
      <c r="V455" s="3">
        <v>0</v>
      </c>
      <c r="W455" s="3">
        <f t="shared" si="79"/>
        <v>0</v>
      </c>
      <c r="AA455" s="3">
        <v>25</v>
      </c>
    </row>
    <row r="456" spans="1:27" x14ac:dyDescent="0.3">
      <c r="A456" s="3" t="str">
        <f t="shared" si="70"/>
        <v>North9410019999190</v>
      </c>
      <c r="B456" s="3" t="str">
        <f t="shared" si="71"/>
        <v>Pan9410019999190</v>
      </c>
      <c r="C456" s="10">
        <v>9410019999190</v>
      </c>
      <c r="D456" s="10" t="str">
        <f t="shared" si="72"/>
        <v>9410019999</v>
      </c>
      <c r="E456" s="3" t="s">
        <v>2</v>
      </c>
      <c r="F456" s="3" t="s">
        <v>64</v>
      </c>
      <c r="H456" s="3">
        <v>1.5182999999999995</v>
      </c>
      <c r="I456" s="10">
        <f t="shared" si="73"/>
        <v>57.600185450967814</v>
      </c>
      <c r="J456" s="3">
        <v>0.79077870398131955</v>
      </c>
      <c r="K456" s="3">
        <v>0</v>
      </c>
      <c r="L456" s="3">
        <f t="shared" si="74"/>
        <v>0</v>
      </c>
      <c r="N456" s="11">
        <f t="shared" si="75"/>
        <v>0.72752129601867999</v>
      </c>
      <c r="O456" s="3">
        <v>0.79077870398131955</v>
      </c>
      <c r="P456" s="11">
        <f t="shared" si="76"/>
        <v>27.600185450967814</v>
      </c>
      <c r="Q456" s="12">
        <f t="shared" si="77"/>
        <v>27.600185450967818</v>
      </c>
      <c r="R456" s="13">
        <f t="shared" si="78"/>
        <v>-4.6134217416350287</v>
      </c>
      <c r="S456" s="3" t="s">
        <v>31</v>
      </c>
      <c r="T456" s="3" t="s">
        <v>32</v>
      </c>
      <c r="U456" s="10">
        <v>0</v>
      </c>
      <c r="V456" s="3">
        <v>0</v>
      </c>
      <c r="W456" s="3">
        <f t="shared" si="79"/>
        <v>0</v>
      </c>
      <c r="AA456" s="3">
        <v>25</v>
      </c>
    </row>
    <row r="457" spans="1:27" x14ac:dyDescent="0.3">
      <c r="A457" s="3" t="str">
        <f t="shared" si="70"/>
        <v>North9410019999836</v>
      </c>
      <c r="B457" s="3" t="str">
        <f t="shared" si="71"/>
        <v>Pan9410019999836</v>
      </c>
      <c r="C457" s="10">
        <v>9410019999836</v>
      </c>
      <c r="D457" s="10" t="str">
        <f t="shared" si="72"/>
        <v>9410019999</v>
      </c>
      <c r="E457" s="3" t="s">
        <v>2</v>
      </c>
      <c r="F457" s="3" t="s">
        <v>64</v>
      </c>
      <c r="H457" s="3">
        <v>1.9943999999999997</v>
      </c>
      <c r="I457" s="10">
        <f t="shared" si="73"/>
        <v>126.34172667125792</v>
      </c>
      <c r="J457" s="3">
        <v>0.47357275839425</v>
      </c>
      <c r="K457" s="3">
        <v>0</v>
      </c>
      <c r="L457" s="3">
        <f t="shared" si="74"/>
        <v>0</v>
      </c>
      <c r="N457" s="11">
        <f t="shared" si="75"/>
        <v>1.5208272416057498</v>
      </c>
      <c r="O457" s="3">
        <v>0.47357275839425</v>
      </c>
      <c r="P457" s="11">
        <f t="shared" si="76"/>
        <v>96.341726671257916</v>
      </c>
      <c r="Q457" s="12">
        <f t="shared" si="77"/>
        <v>96.341726671257902</v>
      </c>
      <c r="R457" s="13">
        <f t="shared" si="78"/>
        <v>20.800814485774602</v>
      </c>
      <c r="S457" s="3" t="s">
        <v>31</v>
      </c>
      <c r="T457" s="3" t="s">
        <v>32</v>
      </c>
      <c r="U457" s="10">
        <v>0</v>
      </c>
      <c r="V457" s="3">
        <v>0</v>
      </c>
      <c r="W457" s="3">
        <f t="shared" si="79"/>
        <v>0</v>
      </c>
      <c r="AA457" s="3">
        <v>25</v>
      </c>
    </row>
    <row r="458" spans="1:27" x14ac:dyDescent="0.3">
      <c r="A458" s="3" t="str">
        <f t="shared" si="70"/>
        <v>North9410029999836</v>
      </c>
      <c r="B458" s="3" t="str">
        <f t="shared" si="71"/>
        <v>Pan9410029999836</v>
      </c>
      <c r="C458" s="10">
        <v>9410029999836</v>
      </c>
      <c r="D458" s="10" t="str">
        <f t="shared" si="72"/>
        <v>9410029999</v>
      </c>
      <c r="E458" s="3" t="s">
        <v>2</v>
      </c>
      <c r="F458" s="3" t="s">
        <v>64</v>
      </c>
      <c r="H458" s="3">
        <v>1.0295999999999998</v>
      </c>
      <c r="I458" s="10">
        <f t="shared" si="73"/>
        <v>109.33269366270633</v>
      </c>
      <c r="J458" s="3">
        <v>0.28251384801045998</v>
      </c>
      <c r="K458" s="3">
        <v>0</v>
      </c>
      <c r="L458" s="3">
        <f t="shared" si="74"/>
        <v>0</v>
      </c>
      <c r="N458" s="11">
        <f t="shared" si="75"/>
        <v>0.74708615198953987</v>
      </c>
      <c r="O458" s="3">
        <v>0.28251384801045998</v>
      </c>
      <c r="P458" s="11">
        <f t="shared" si="76"/>
        <v>79.332693662706333</v>
      </c>
      <c r="Q458" s="12">
        <f t="shared" si="77"/>
        <v>79.332693662706319</v>
      </c>
      <c r="R458" s="13">
        <f t="shared" si="78"/>
        <v>21.8480649509738</v>
      </c>
      <c r="S458" s="3" t="s">
        <v>31</v>
      </c>
      <c r="T458" s="3" t="s">
        <v>32</v>
      </c>
      <c r="U458" s="10">
        <v>0</v>
      </c>
      <c r="V458" s="3">
        <v>0</v>
      </c>
      <c r="W458" s="3">
        <f t="shared" si="79"/>
        <v>0</v>
      </c>
      <c r="AA458" s="3">
        <v>25</v>
      </c>
    </row>
    <row r="459" spans="1:27" x14ac:dyDescent="0.3">
      <c r="A459" s="3" t="str">
        <f t="shared" si="70"/>
        <v>North9431009999838</v>
      </c>
      <c r="B459" s="3" t="str">
        <f t="shared" si="71"/>
        <v>Lud9431009999838</v>
      </c>
      <c r="C459" s="10">
        <v>9431009999838</v>
      </c>
      <c r="D459" s="10" t="str">
        <f t="shared" si="72"/>
        <v>9431009999</v>
      </c>
      <c r="E459" s="3" t="s">
        <v>3</v>
      </c>
      <c r="F459" s="3" t="s">
        <v>64</v>
      </c>
      <c r="H459" s="3">
        <v>0.98039999999999983</v>
      </c>
      <c r="I459" s="10">
        <f t="shared" si="73"/>
        <v>355.19767627893287</v>
      </c>
      <c r="J459" s="3">
        <v>8.2804595762341282E-2</v>
      </c>
      <c r="K459" s="3">
        <v>0</v>
      </c>
      <c r="L459" s="3">
        <f t="shared" si="74"/>
        <v>0</v>
      </c>
      <c r="N459" s="11">
        <f t="shared" si="75"/>
        <v>0.8975954042376586</v>
      </c>
      <c r="O459" s="3">
        <v>8.2804595762341282E-2</v>
      </c>
      <c r="P459" s="11">
        <f t="shared" si="76"/>
        <v>325.19767627893293</v>
      </c>
      <c r="Q459" s="12">
        <f t="shared" si="77"/>
        <v>39.406110746591118</v>
      </c>
      <c r="R459" s="13">
        <f t="shared" si="78"/>
        <v>12.439444130659385</v>
      </c>
      <c r="S459" s="3" t="s">
        <v>31</v>
      </c>
      <c r="T459" s="3" t="s">
        <v>35</v>
      </c>
      <c r="U459" s="10">
        <v>0</v>
      </c>
      <c r="V459" s="3">
        <v>0</v>
      </c>
      <c r="W459" s="3">
        <f t="shared" si="79"/>
        <v>0</v>
      </c>
      <c r="AA459" s="3">
        <v>25</v>
      </c>
    </row>
    <row r="460" spans="1:27" x14ac:dyDescent="0.3">
      <c r="A460" s="3" t="str">
        <f t="shared" si="70"/>
        <v>North9431009999195</v>
      </c>
      <c r="B460" s="3" t="str">
        <f t="shared" si="71"/>
        <v>Lud9431009999195</v>
      </c>
      <c r="C460" s="10">
        <v>9431009999195</v>
      </c>
      <c r="D460" s="10" t="str">
        <f t="shared" si="72"/>
        <v>9431009999</v>
      </c>
      <c r="E460" s="3" t="s">
        <v>3</v>
      </c>
      <c r="F460" s="3" t="s">
        <v>64</v>
      </c>
      <c r="H460" s="3">
        <v>1.1057999999999999</v>
      </c>
      <c r="I460" s="10">
        <f t="shared" si="73"/>
        <v>467.04353372421696</v>
      </c>
      <c r="J460" s="3">
        <v>7.1029781175792506E-2</v>
      </c>
      <c r="K460" s="3">
        <v>0</v>
      </c>
      <c r="L460" s="3">
        <f t="shared" si="74"/>
        <v>0</v>
      </c>
      <c r="N460" s="11">
        <f t="shared" si="75"/>
        <v>1.0347702188242074</v>
      </c>
      <c r="O460" s="3">
        <v>7.1029781175792506E-2</v>
      </c>
      <c r="P460" s="11">
        <f t="shared" si="76"/>
        <v>437.04353372421696</v>
      </c>
      <c r="Q460" s="12">
        <f t="shared" si="77"/>
        <v>128.80611928301684</v>
      </c>
      <c r="R460" s="13">
        <f t="shared" si="78"/>
        <v>32.659545068538762</v>
      </c>
      <c r="S460" s="3" t="s">
        <v>31</v>
      </c>
      <c r="T460" s="3" t="s">
        <v>35</v>
      </c>
      <c r="U460" s="10">
        <v>0</v>
      </c>
      <c r="V460" s="3">
        <v>0</v>
      </c>
      <c r="W460" s="3">
        <f t="shared" si="79"/>
        <v>0</v>
      </c>
      <c r="AA460" s="3">
        <v>25</v>
      </c>
    </row>
    <row r="461" spans="1:27" x14ac:dyDescent="0.3">
      <c r="A461" s="3" t="str">
        <f t="shared" si="70"/>
        <v>East9410029999190</v>
      </c>
      <c r="B461" s="3" t="str">
        <f t="shared" si="71"/>
        <v>KGP9410029999190</v>
      </c>
      <c r="C461" s="10">
        <v>9410029999190</v>
      </c>
      <c r="D461" s="10" t="str">
        <f t="shared" si="72"/>
        <v>9410029999</v>
      </c>
      <c r="E461" s="3" t="s">
        <v>6</v>
      </c>
      <c r="F461" s="3" t="s">
        <v>66</v>
      </c>
      <c r="H461" s="3">
        <v>1.8162</v>
      </c>
      <c r="I461" s="10">
        <f t="shared" si="73"/>
        <v>13.866809206300903</v>
      </c>
      <c r="J461" s="3">
        <v>3.9292384563308369</v>
      </c>
      <c r="K461" s="3">
        <v>12.5</v>
      </c>
      <c r="L461" s="3">
        <f t="shared" si="74"/>
        <v>0</v>
      </c>
      <c r="N461" s="11">
        <f t="shared" si="75"/>
        <v>-2.1130384563308366</v>
      </c>
      <c r="O461" s="3">
        <v>3.9292384563308369</v>
      </c>
      <c r="P461" s="11">
        <f t="shared" si="76"/>
        <v>-16.133190793699093</v>
      </c>
      <c r="Q461" s="12">
        <f t="shared" si="77"/>
        <v>-16.133190793699093</v>
      </c>
      <c r="R461" s="13">
        <f t="shared" si="78"/>
        <v>-5.105194524524161</v>
      </c>
      <c r="S461" s="3" t="s">
        <v>31</v>
      </c>
      <c r="T461" s="3" t="s">
        <v>32</v>
      </c>
      <c r="U461" s="10">
        <v>0</v>
      </c>
      <c r="V461" s="3">
        <v>0</v>
      </c>
      <c r="W461" s="3">
        <f t="shared" si="79"/>
        <v>0</v>
      </c>
      <c r="AA461" s="3">
        <v>25</v>
      </c>
    </row>
    <row r="462" spans="1:27" x14ac:dyDescent="0.3">
      <c r="A462" s="3" t="str">
        <f t="shared" si="70"/>
        <v>East9410029999836</v>
      </c>
      <c r="B462" s="3" t="str">
        <f t="shared" si="71"/>
        <v>KGP9410029999836</v>
      </c>
      <c r="C462" s="10">
        <v>9410029999836</v>
      </c>
      <c r="D462" s="10" t="str">
        <f t="shared" si="72"/>
        <v>9410029999</v>
      </c>
      <c r="E462" s="3" t="s">
        <v>6</v>
      </c>
      <c r="F462" s="3" t="s">
        <v>66</v>
      </c>
      <c r="H462" s="3">
        <v>1.4616</v>
      </c>
      <c r="I462" s="10">
        <f t="shared" si="73"/>
        <v>18.14619735511349</v>
      </c>
      <c r="J462" s="3">
        <v>2.4163740282282284</v>
      </c>
      <c r="K462" s="3">
        <v>12.5</v>
      </c>
      <c r="L462" s="3">
        <f t="shared" si="74"/>
        <v>0</v>
      </c>
      <c r="N462" s="11">
        <f t="shared" si="75"/>
        <v>-0.95477402822822843</v>
      </c>
      <c r="O462" s="3">
        <v>2.4163740282282284</v>
      </c>
      <c r="P462" s="11">
        <f t="shared" si="76"/>
        <v>-11.853802644886514</v>
      </c>
      <c r="Q462" s="12">
        <f t="shared" si="77"/>
        <v>-11.853802644886512</v>
      </c>
      <c r="R462" s="13">
        <f t="shared" si="78"/>
        <v>21.8480649509738</v>
      </c>
      <c r="S462" s="3" t="s">
        <v>31</v>
      </c>
      <c r="T462" s="3" t="s">
        <v>32</v>
      </c>
      <c r="U462" s="10">
        <v>0</v>
      </c>
      <c r="V462" s="3">
        <v>0</v>
      </c>
      <c r="W462" s="3">
        <f t="shared" si="79"/>
        <v>0</v>
      </c>
      <c r="AA462" s="3">
        <v>25</v>
      </c>
    </row>
    <row r="463" spans="1:27" x14ac:dyDescent="0.3">
      <c r="A463" s="3" t="str">
        <f t="shared" si="70"/>
        <v>East9432019999838</v>
      </c>
      <c r="B463" s="3" t="str">
        <f t="shared" si="71"/>
        <v>KGP9432019999838</v>
      </c>
      <c r="C463" s="10">
        <v>9432019999838</v>
      </c>
      <c r="D463" s="10" t="str">
        <f t="shared" si="72"/>
        <v>9432019999</v>
      </c>
      <c r="E463" s="3" t="s">
        <v>6</v>
      </c>
      <c r="F463" s="3" t="s">
        <v>66</v>
      </c>
      <c r="H463" s="3">
        <v>2.4434000000000005</v>
      </c>
      <c r="I463" s="10">
        <f t="shared" si="73"/>
        <v>35.310642232084334</v>
      </c>
      <c r="J463" s="3">
        <v>2.0759180622717635</v>
      </c>
      <c r="K463" s="3">
        <v>0</v>
      </c>
      <c r="L463" s="3">
        <f t="shared" si="74"/>
        <v>0</v>
      </c>
      <c r="N463" s="11">
        <f t="shared" si="75"/>
        <v>0.36748193772823701</v>
      </c>
      <c r="O463" s="3">
        <v>2.0759180622717635</v>
      </c>
      <c r="P463" s="11">
        <f t="shared" si="76"/>
        <v>5.3106422320843372</v>
      </c>
      <c r="Q463" s="12">
        <f t="shared" si="77"/>
        <v>5.3106422320843372</v>
      </c>
      <c r="R463" s="13">
        <f t="shared" si="78"/>
        <v>17.535302156467548</v>
      </c>
      <c r="S463" s="3" t="s">
        <v>31</v>
      </c>
      <c r="T463" s="3" t="s">
        <v>35</v>
      </c>
      <c r="U463" s="10">
        <v>0</v>
      </c>
      <c r="V463" s="3">
        <v>0</v>
      </c>
      <c r="W463" s="3">
        <f t="shared" si="79"/>
        <v>0</v>
      </c>
      <c r="AA463" s="3">
        <v>25</v>
      </c>
    </row>
    <row r="464" spans="1:27" x14ac:dyDescent="0.3">
      <c r="A464" s="3" t="str">
        <f t="shared" si="70"/>
        <v>East9432019999195</v>
      </c>
      <c r="B464" s="3" t="str">
        <f t="shared" si="71"/>
        <v>KGP9432019999195</v>
      </c>
      <c r="C464" s="10">
        <v>9432019999195</v>
      </c>
      <c r="D464" s="10" t="str">
        <f t="shared" si="72"/>
        <v>9432019999</v>
      </c>
      <c r="E464" s="3" t="s">
        <v>6</v>
      </c>
      <c r="F464" s="3" t="s">
        <v>66</v>
      </c>
      <c r="H464" s="3">
        <v>2.2553000000000001</v>
      </c>
      <c r="I464" s="10">
        <f t="shared" si="73"/>
        <v>42.24242106763748</v>
      </c>
      <c r="J464" s="3">
        <v>1.6016837645661015</v>
      </c>
      <c r="K464" s="3">
        <v>0</v>
      </c>
      <c r="L464" s="3">
        <f t="shared" si="74"/>
        <v>0</v>
      </c>
      <c r="N464" s="11">
        <f t="shared" si="75"/>
        <v>0.65361623543389857</v>
      </c>
      <c r="O464" s="3">
        <v>1.6016837645661015</v>
      </c>
      <c r="P464" s="11">
        <f t="shared" si="76"/>
        <v>12.242421067637485</v>
      </c>
      <c r="Q464" s="12">
        <f t="shared" si="77"/>
        <v>12.242421067637485</v>
      </c>
      <c r="R464" s="13">
        <f t="shared" si="78"/>
        <v>6.1005383184753246</v>
      </c>
      <c r="S464" s="3" t="s">
        <v>31</v>
      </c>
      <c r="T464" s="3" t="s">
        <v>35</v>
      </c>
      <c r="U464" s="10">
        <v>0</v>
      </c>
      <c r="V464" s="3">
        <v>0</v>
      </c>
      <c r="W464" s="3">
        <f t="shared" si="79"/>
        <v>0</v>
      </c>
      <c r="AA464" s="3">
        <v>25</v>
      </c>
    </row>
    <row r="465" spans="1:27" x14ac:dyDescent="0.3">
      <c r="A465" s="3" t="str">
        <f t="shared" si="70"/>
        <v>West9320059999219</v>
      </c>
      <c r="B465" s="3" t="str">
        <f t="shared" si="71"/>
        <v>Mah9320059999219</v>
      </c>
      <c r="C465" s="14">
        <v>9320059999219</v>
      </c>
      <c r="D465" s="10" t="str">
        <f t="shared" si="72"/>
        <v>9320059999</v>
      </c>
      <c r="E465" s="3" t="s">
        <v>1</v>
      </c>
      <c r="F465" s="3" t="s">
        <v>63</v>
      </c>
      <c r="H465" s="3">
        <v>55.770000000000024</v>
      </c>
      <c r="I465" s="10">
        <f t="shared" si="73"/>
        <v>181.40310638695107</v>
      </c>
      <c r="J465" s="3">
        <v>9.2231055648579154</v>
      </c>
      <c r="K465" s="3">
        <v>0</v>
      </c>
      <c r="L465" s="3">
        <f t="shared" si="74"/>
        <v>0</v>
      </c>
      <c r="M465" s="32"/>
      <c r="N465" s="11">
        <f t="shared" si="75"/>
        <v>46.546894435142107</v>
      </c>
      <c r="O465" s="3">
        <v>9.2231055648579154</v>
      </c>
      <c r="P465" s="11">
        <f t="shared" si="76"/>
        <v>151.40310638695107</v>
      </c>
      <c r="Q465" s="12">
        <f t="shared" si="77"/>
        <v>151.40310638695104</v>
      </c>
      <c r="R465" s="13">
        <f t="shared" si="78"/>
        <v>151.40310638695104</v>
      </c>
      <c r="S465" s="3" t="s">
        <v>30</v>
      </c>
      <c r="T465" s="3" t="s">
        <v>28</v>
      </c>
      <c r="U465" s="10">
        <v>0</v>
      </c>
      <c r="V465" s="3">
        <v>0</v>
      </c>
      <c r="W465" s="3">
        <f t="shared" si="79"/>
        <v>0</v>
      </c>
      <c r="Y465" s="3">
        <v>0</v>
      </c>
      <c r="Z465" s="3">
        <v>184</v>
      </c>
      <c r="AA465" s="3">
        <v>26</v>
      </c>
    </row>
    <row r="466" spans="1:27" x14ac:dyDescent="0.3">
      <c r="A466" s="3" t="str">
        <f t="shared" si="70"/>
        <v>West9320059999297</v>
      </c>
      <c r="B466" s="3" t="str">
        <f t="shared" si="71"/>
        <v>Mah9320059999297</v>
      </c>
      <c r="C466" s="10">
        <v>9320059999297</v>
      </c>
      <c r="D466" s="10" t="str">
        <f t="shared" si="72"/>
        <v>9320059999</v>
      </c>
      <c r="E466" s="3" t="s">
        <v>1</v>
      </c>
      <c r="F466" s="3" t="s">
        <v>63</v>
      </c>
      <c r="H466" s="3">
        <v>19.485472500000004</v>
      </c>
      <c r="I466" s="10">
        <f t="shared" si="73"/>
        <v>98.631724751577565</v>
      </c>
      <c r="J466" s="3">
        <v>5.9267358091155176</v>
      </c>
      <c r="K466" s="3">
        <v>0</v>
      </c>
      <c r="L466" s="3">
        <f t="shared" si="74"/>
        <v>0</v>
      </c>
      <c r="M466" s="32"/>
      <c r="N466" s="11">
        <f t="shared" si="75"/>
        <v>13.558736690884487</v>
      </c>
      <c r="O466" s="3">
        <v>5.9267358091155176</v>
      </c>
      <c r="P466" s="11">
        <f t="shared" si="76"/>
        <v>68.631724751577579</v>
      </c>
      <c r="Q466" s="12">
        <f t="shared" si="77"/>
        <v>68.631724751577579</v>
      </c>
      <c r="R466" s="13">
        <f t="shared" si="78"/>
        <v>68.631724751577579</v>
      </c>
      <c r="S466" s="3" t="s">
        <v>31</v>
      </c>
      <c r="T466" s="3" t="s">
        <v>28</v>
      </c>
      <c r="U466" s="10">
        <v>0</v>
      </c>
      <c r="V466" s="3">
        <v>0</v>
      </c>
      <c r="W466" s="3">
        <f t="shared" si="79"/>
        <v>0</v>
      </c>
      <c r="Y466" s="3">
        <v>0</v>
      </c>
      <c r="Z466" s="3">
        <v>90</v>
      </c>
      <c r="AA466" s="3">
        <v>26</v>
      </c>
    </row>
    <row r="467" spans="1:27" x14ac:dyDescent="0.3">
      <c r="A467" s="3" t="str">
        <f t="shared" si="70"/>
        <v>West9320059999239</v>
      </c>
      <c r="B467" s="3" t="str">
        <f t="shared" si="71"/>
        <v>Mah9320059999239</v>
      </c>
      <c r="C467" s="10">
        <v>9320059999239</v>
      </c>
      <c r="D467" s="10" t="str">
        <f t="shared" si="72"/>
        <v>9320059999</v>
      </c>
      <c r="E467" s="3" t="s">
        <v>1</v>
      </c>
      <c r="F467" s="3" t="s">
        <v>63</v>
      </c>
      <c r="H467" s="3">
        <v>13.462799999999985</v>
      </c>
      <c r="I467" s="10">
        <f t="shared" si="73"/>
        <v>89.472453146328462</v>
      </c>
      <c r="J467" s="3">
        <v>4.5140597557939328</v>
      </c>
      <c r="K467" s="3">
        <v>0</v>
      </c>
      <c r="L467" s="3">
        <f t="shared" si="74"/>
        <v>0</v>
      </c>
      <c r="M467" s="32"/>
      <c r="N467" s="11">
        <f t="shared" si="75"/>
        <v>8.9487402442060535</v>
      </c>
      <c r="O467" s="3">
        <v>4.5140597557939328</v>
      </c>
      <c r="P467" s="11">
        <f t="shared" si="76"/>
        <v>59.472453146328469</v>
      </c>
      <c r="Q467" s="12">
        <f t="shared" si="77"/>
        <v>59.472453146328469</v>
      </c>
      <c r="R467" s="13">
        <f t="shared" si="78"/>
        <v>59.472453146328469</v>
      </c>
      <c r="S467" s="3" t="s">
        <v>31</v>
      </c>
      <c r="T467" s="3" t="s">
        <v>28</v>
      </c>
      <c r="U467" s="10">
        <v>0</v>
      </c>
      <c r="V467" s="3">
        <v>0</v>
      </c>
      <c r="W467" s="3">
        <f t="shared" si="79"/>
        <v>0</v>
      </c>
      <c r="Y467" s="3">
        <v>0</v>
      </c>
      <c r="Z467" s="3">
        <v>684</v>
      </c>
      <c r="AA467" s="3">
        <v>26</v>
      </c>
    </row>
    <row r="468" spans="1:27" x14ac:dyDescent="0.3">
      <c r="A468" s="3" t="str">
        <f t="shared" si="70"/>
        <v>West9320059999097</v>
      </c>
      <c r="B468" s="3" t="str">
        <f t="shared" si="71"/>
        <v>Mah9320059999097</v>
      </c>
      <c r="C468" s="10">
        <v>9320059999097</v>
      </c>
      <c r="D468" s="10" t="str">
        <f t="shared" si="72"/>
        <v>9320059999</v>
      </c>
      <c r="E468" s="3" t="s">
        <v>1</v>
      </c>
      <c r="F468" s="3" t="s">
        <v>63</v>
      </c>
      <c r="H468" s="3">
        <v>9.5276999999999976</v>
      </c>
      <c r="I468" s="10">
        <f t="shared" si="73"/>
        <v>108.32086596972132</v>
      </c>
      <c r="J468" s="3">
        <v>2.6387436754789015</v>
      </c>
      <c r="K468" s="3">
        <v>0</v>
      </c>
      <c r="L468" s="3">
        <f t="shared" si="74"/>
        <v>0</v>
      </c>
      <c r="M468" s="32"/>
      <c r="N468" s="11">
        <f t="shared" si="75"/>
        <v>6.8889563245210965</v>
      </c>
      <c r="O468" s="3">
        <v>2.6387436754789015</v>
      </c>
      <c r="P468" s="11">
        <f t="shared" si="76"/>
        <v>78.320865969721339</v>
      </c>
      <c r="Q468" s="12">
        <f t="shared" si="77"/>
        <v>78.320865969721325</v>
      </c>
      <c r="R468" s="13">
        <f t="shared" si="78"/>
        <v>78.320865969721325</v>
      </c>
      <c r="S468" s="3" t="s">
        <v>31</v>
      </c>
      <c r="T468" s="3" t="s">
        <v>28</v>
      </c>
      <c r="U468" s="10">
        <v>0</v>
      </c>
      <c r="V468" s="3">
        <v>0</v>
      </c>
      <c r="W468" s="3">
        <f t="shared" si="79"/>
        <v>0</v>
      </c>
      <c r="Y468" s="3">
        <v>0</v>
      </c>
      <c r="Z468" s="3">
        <v>22</v>
      </c>
      <c r="AA468" s="3">
        <v>26</v>
      </c>
    </row>
    <row r="469" spans="1:27" x14ac:dyDescent="0.3">
      <c r="A469" s="3" t="str">
        <f t="shared" si="70"/>
        <v>West9410029999190</v>
      </c>
      <c r="B469" s="3" t="str">
        <f t="shared" si="71"/>
        <v>Mah9410029999190</v>
      </c>
      <c r="C469" s="10">
        <v>9410029999190</v>
      </c>
      <c r="D469" s="10" t="str">
        <f t="shared" si="72"/>
        <v>9410029999</v>
      </c>
      <c r="E469" s="3" t="s">
        <v>1</v>
      </c>
      <c r="F469" s="3" t="s">
        <v>63</v>
      </c>
      <c r="H469" s="3">
        <v>0.67500000000000004</v>
      </c>
      <c r="I469" s="10">
        <f t="shared" si="73"/>
        <v>33.730420807089189</v>
      </c>
      <c r="J469" s="3">
        <v>0.60034827658432355</v>
      </c>
      <c r="K469" s="3">
        <v>0</v>
      </c>
      <c r="L469" s="3">
        <f t="shared" si="74"/>
        <v>0</v>
      </c>
      <c r="N469" s="11">
        <f t="shared" si="75"/>
        <v>7.4651723415676496E-2</v>
      </c>
      <c r="O469" s="3">
        <v>0.60034827658432355</v>
      </c>
      <c r="P469" s="11">
        <f t="shared" si="76"/>
        <v>3.7304208070891871</v>
      </c>
      <c r="Q469" s="12">
        <f t="shared" si="77"/>
        <v>3.7304208070891871</v>
      </c>
      <c r="R469" s="13">
        <f t="shared" si="78"/>
        <v>-5.105194524524161</v>
      </c>
      <c r="S469" s="3" t="s">
        <v>31</v>
      </c>
      <c r="T469" s="3" t="s">
        <v>32</v>
      </c>
      <c r="U469" s="10">
        <v>0</v>
      </c>
      <c r="V469" s="3">
        <v>0</v>
      </c>
      <c r="W469" s="3">
        <f t="shared" si="79"/>
        <v>0</v>
      </c>
      <c r="AA469" s="3">
        <v>26</v>
      </c>
    </row>
    <row r="470" spans="1:27" x14ac:dyDescent="0.3">
      <c r="A470" s="3" t="str">
        <f t="shared" si="70"/>
        <v>West9420019999195</v>
      </c>
      <c r="B470" s="3" t="str">
        <f t="shared" si="71"/>
        <v>Mah9420019999195</v>
      </c>
      <c r="C470" s="10">
        <v>9420019999195</v>
      </c>
      <c r="D470" s="10" t="str">
        <f t="shared" si="72"/>
        <v>9420019999</v>
      </c>
      <c r="E470" s="3" t="s">
        <v>1</v>
      </c>
      <c r="F470" s="3" t="s">
        <v>63</v>
      </c>
      <c r="H470" s="3">
        <v>1.1399999999999999E-2</v>
      </c>
      <c r="I470" s="10">
        <f t="shared" si="73"/>
        <v>1.8860933663490556</v>
      </c>
      <c r="J470" s="3">
        <v>0.18132718459320785</v>
      </c>
      <c r="K470" s="3">
        <v>26</v>
      </c>
      <c r="L470" s="3">
        <f t="shared" si="74"/>
        <v>0</v>
      </c>
      <c r="N470" s="11">
        <f t="shared" si="75"/>
        <v>-0.16992718459320785</v>
      </c>
      <c r="O470" s="3">
        <v>0.18132718459320785</v>
      </c>
      <c r="P470" s="11">
        <f t="shared" si="76"/>
        <v>-28.113906633650945</v>
      </c>
      <c r="Q470" s="12">
        <f t="shared" si="77"/>
        <v>-28.113906633650945</v>
      </c>
      <c r="R470" s="13">
        <f t="shared" si="78"/>
        <v>-25.598592451231163</v>
      </c>
      <c r="S470" s="3" t="s">
        <v>31</v>
      </c>
      <c r="T470" s="3" t="s">
        <v>28</v>
      </c>
      <c r="U470" s="10">
        <v>0</v>
      </c>
      <c r="V470" s="3">
        <v>0</v>
      </c>
      <c r="W470" s="3">
        <f t="shared" si="79"/>
        <v>0</v>
      </c>
      <c r="AA470" s="3">
        <v>26</v>
      </c>
    </row>
    <row r="471" spans="1:27" x14ac:dyDescent="0.3">
      <c r="A471" s="3" t="str">
        <f t="shared" si="70"/>
        <v>West9410029999836</v>
      </c>
      <c r="B471" s="3" t="str">
        <f t="shared" si="71"/>
        <v>Mah9410029999836</v>
      </c>
      <c r="C471" s="10">
        <v>9410029999836</v>
      </c>
      <c r="D471" s="10" t="str">
        <f t="shared" si="72"/>
        <v>9410029999</v>
      </c>
      <c r="E471" s="3" t="s">
        <v>1</v>
      </c>
      <c r="F471" s="3" t="s">
        <v>63</v>
      </c>
      <c r="H471" s="3">
        <v>1.0619999999999998</v>
      </c>
      <c r="I471" s="10">
        <f t="shared" si="73"/>
        <v>177.01253979920168</v>
      </c>
      <c r="J471" s="3">
        <v>0.17998724856522105</v>
      </c>
      <c r="K471" s="3">
        <v>0</v>
      </c>
      <c r="L471" s="3">
        <f t="shared" si="74"/>
        <v>0</v>
      </c>
      <c r="N471" s="11">
        <f t="shared" si="75"/>
        <v>0.88201275143477875</v>
      </c>
      <c r="O471" s="3">
        <v>0.17998724856522105</v>
      </c>
      <c r="P471" s="11">
        <f t="shared" si="76"/>
        <v>147.01253979920168</v>
      </c>
      <c r="Q471" s="12">
        <f t="shared" si="77"/>
        <v>147.01253979920168</v>
      </c>
      <c r="R471" s="13">
        <f t="shared" si="78"/>
        <v>21.8480649509738</v>
      </c>
      <c r="S471" s="3" t="s">
        <v>31</v>
      </c>
      <c r="T471" s="3" t="s">
        <v>32</v>
      </c>
      <c r="U471" s="10">
        <v>0</v>
      </c>
      <c r="V471" s="3">
        <v>0</v>
      </c>
      <c r="W471" s="3">
        <f t="shared" si="79"/>
        <v>0</v>
      </c>
      <c r="AA471" s="3">
        <v>26</v>
      </c>
    </row>
    <row r="472" spans="1:27" x14ac:dyDescent="0.3">
      <c r="A472" s="3" t="str">
        <f t="shared" si="70"/>
        <v>West9420019999838</v>
      </c>
      <c r="B472" s="3" t="str">
        <f t="shared" si="71"/>
        <v>Mah9420019999838</v>
      </c>
      <c r="C472" s="10">
        <v>9420019999838</v>
      </c>
      <c r="D472" s="10" t="str">
        <f t="shared" si="72"/>
        <v>9420019999</v>
      </c>
      <c r="E472" s="3" t="s">
        <v>1</v>
      </c>
      <c r="F472" s="3" t="s">
        <v>63</v>
      </c>
      <c r="H472" s="3">
        <v>0.32299999999999995</v>
      </c>
      <c r="I472" s="10">
        <f t="shared" si="73"/>
        <v>108.3866877084169</v>
      </c>
      <c r="J472" s="3">
        <v>8.9402123128516919E-2</v>
      </c>
      <c r="K472" s="3">
        <v>0</v>
      </c>
      <c r="L472" s="3">
        <f t="shared" si="74"/>
        <v>0</v>
      </c>
      <c r="N472" s="11">
        <f t="shared" si="75"/>
        <v>0.23359787687148303</v>
      </c>
      <c r="O472" s="3">
        <v>8.9402123128516919E-2</v>
      </c>
      <c r="P472" s="11">
        <f t="shared" si="76"/>
        <v>78.3866877084169</v>
      </c>
      <c r="Q472" s="12">
        <f t="shared" si="77"/>
        <v>78.3866877084169</v>
      </c>
      <c r="R472" s="13">
        <f t="shared" si="78"/>
        <v>115.48988822119654</v>
      </c>
      <c r="S472" s="3" t="s">
        <v>31</v>
      </c>
      <c r="T472" s="3" t="s">
        <v>28</v>
      </c>
      <c r="U472" s="10">
        <v>0</v>
      </c>
      <c r="V472" s="3">
        <v>0</v>
      </c>
      <c r="W472" s="3">
        <f t="shared" si="79"/>
        <v>0</v>
      </c>
      <c r="AA472" s="3">
        <v>26</v>
      </c>
    </row>
    <row r="473" spans="1:27" x14ac:dyDescent="0.3">
      <c r="A473" s="3" t="str">
        <f t="shared" si="70"/>
        <v>North9420029999195</v>
      </c>
      <c r="B473" s="3" t="str">
        <f t="shared" si="71"/>
        <v>Pan9420029999195</v>
      </c>
      <c r="C473" s="10">
        <v>9420029999195</v>
      </c>
      <c r="D473" s="10" t="str">
        <f t="shared" si="72"/>
        <v>9420029999</v>
      </c>
      <c r="E473" s="3" t="s">
        <v>2</v>
      </c>
      <c r="F473" s="3" t="s">
        <v>64</v>
      </c>
      <c r="H473" s="3">
        <v>0.84835000000000016</v>
      </c>
      <c r="I473" s="10">
        <f t="shared" si="73"/>
        <v>33.403039982592183</v>
      </c>
      <c r="J473" s="3">
        <v>0.76192166980201204</v>
      </c>
      <c r="K473" s="3">
        <v>0</v>
      </c>
      <c r="L473" s="3">
        <f t="shared" si="74"/>
        <v>0</v>
      </c>
      <c r="N473" s="11">
        <f t="shared" si="75"/>
        <v>8.6428330197988124E-2</v>
      </c>
      <c r="O473" s="3">
        <v>0.76192166980201204</v>
      </c>
      <c r="P473" s="11">
        <f t="shared" si="76"/>
        <v>3.4030399825921798</v>
      </c>
      <c r="Q473" s="12">
        <f t="shared" si="77"/>
        <v>3.858216653227843</v>
      </c>
      <c r="R473" s="13">
        <f t="shared" si="78"/>
        <v>7.550065878312501</v>
      </c>
      <c r="S473" s="3" t="s">
        <v>31</v>
      </c>
      <c r="T473" s="3" t="s">
        <v>28</v>
      </c>
      <c r="U473" s="10">
        <v>0</v>
      </c>
      <c r="V473" s="3">
        <v>0</v>
      </c>
      <c r="W473" s="3">
        <f t="shared" si="79"/>
        <v>0</v>
      </c>
      <c r="AA473" s="3">
        <v>26</v>
      </c>
    </row>
    <row r="474" spans="1:27" x14ac:dyDescent="0.3">
      <c r="A474" s="3" t="str">
        <f t="shared" si="70"/>
        <v>North9420029999838</v>
      </c>
      <c r="B474" s="3" t="str">
        <f t="shared" si="71"/>
        <v>Pan9420029999838</v>
      </c>
      <c r="C474" s="10">
        <v>9420029999838</v>
      </c>
      <c r="D474" s="10" t="str">
        <f t="shared" si="72"/>
        <v>9420029999</v>
      </c>
      <c r="E474" s="3" t="s">
        <v>2</v>
      </c>
      <c r="F474" s="3" t="s">
        <v>64</v>
      </c>
      <c r="H474" s="3">
        <v>1.4972000000000001</v>
      </c>
      <c r="I474" s="10">
        <f t="shared" si="73"/>
        <v>88.631452144263491</v>
      </c>
      <c r="J474" s="3">
        <v>0.50677269652415491</v>
      </c>
      <c r="K474" s="3">
        <v>0</v>
      </c>
      <c r="L474" s="3">
        <f t="shared" si="74"/>
        <v>0</v>
      </c>
      <c r="N474" s="11">
        <f t="shared" si="75"/>
        <v>0.99042730347584518</v>
      </c>
      <c r="O474" s="3">
        <v>0.50677269652415491</v>
      </c>
      <c r="P474" s="11">
        <f t="shared" si="76"/>
        <v>58.631452144263491</v>
      </c>
      <c r="Q474" s="12">
        <f t="shared" si="77"/>
        <v>30.926417800869661</v>
      </c>
      <c r="R474" s="13">
        <f t="shared" si="78"/>
        <v>-1.5040952227448274</v>
      </c>
      <c r="S474" s="3" t="s">
        <v>31</v>
      </c>
      <c r="T474" s="3" t="s">
        <v>28</v>
      </c>
      <c r="U474" s="10">
        <v>0</v>
      </c>
      <c r="V474" s="3">
        <v>0</v>
      </c>
      <c r="W474" s="3">
        <f t="shared" si="79"/>
        <v>0</v>
      </c>
      <c r="AA474" s="3">
        <v>26</v>
      </c>
    </row>
    <row r="475" spans="1:27" x14ac:dyDescent="0.3">
      <c r="A475" s="3" t="str">
        <f t="shared" si="70"/>
        <v>North9420019999195</v>
      </c>
      <c r="B475" s="3" t="str">
        <f t="shared" si="71"/>
        <v>Pan9420019999195</v>
      </c>
      <c r="C475" s="10">
        <v>9420019999195</v>
      </c>
      <c r="D475" s="10" t="str">
        <f t="shared" si="72"/>
        <v>9420019999</v>
      </c>
      <c r="E475" s="3" t="s">
        <v>2</v>
      </c>
      <c r="F475" s="3" t="s">
        <v>64</v>
      </c>
      <c r="H475" s="3">
        <v>9.6899999999999986E-2</v>
      </c>
      <c r="I475" s="10">
        <f t="shared" si="73"/>
        <v>0</v>
      </c>
      <c r="J475" s="3">
        <v>0</v>
      </c>
      <c r="K475" s="3">
        <v>0</v>
      </c>
      <c r="L475" s="3">
        <f t="shared" si="74"/>
        <v>0</v>
      </c>
      <c r="N475" s="11">
        <f t="shared" si="75"/>
        <v>9.6899999999999986E-2</v>
      </c>
      <c r="O475" s="3">
        <v>0</v>
      </c>
      <c r="P475" s="11">
        <f t="shared" si="76"/>
        <v>9999</v>
      </c>
      <c r="Q475" s="12">
        <f t="shared" si="77"/>
        <v>-4.3735090010229891</v>
      </c>
      <c r="R475" s="13">
        <f t="shared" si="78"/>
        <v>-25.598592451231163</v>
      </c>
      <c r="S475" s="3" t="s">
        <v>31</v>
      </c>
      <c r="T475" s="3" t="s">
        <v>28</v>
      </c>
      <c r="U475" s="10">
        <v>0</v>
      </c>
      <c r="V475" s="3">
        <v>0</v>
      </c>
      <c r="W475" s="3">
        <f t="shared" si="79"/>
        <v>0</v>
      </c>
      <c r="AA475" s="3">
        <v>26</v>
      </c>
    </row>
    <row r="476" spans="1:27" x14ac:dyDescent="0.3">
      <c r="A476" s="3" t="str">
        <f t="shared" si="70"/>
        <v>North9420019999838</v>
      </c>
      <c r="B476" s="3" t="str">
        <f t="shared" si="71"/>
        <v>Pan9420019999838</v>
      </c>
      <c r="C476" s="10">
        <v>9420019999838</v>
      </c>
      <c r="D476" s="10" t="str">
        <f t="shared" si="72"/>
        <v>9420019999</v>
      </c>
      <c r="E476" s="3" t="s">
        <v>2</v>
      </c>
      <c r="F476" s="3" t="s">
        <v>64</v>
      </c>
      <c r="H476" s="3">
        <v>2.8271999999999999</v>
      </c>
      <c r="I476" s="10">
        <f t="shared" si="73"/>
        <v>0</v>
      </c>
      <c r="J476" s="3">
        <v>0</v>
      </c>
      <c r="K476" s="3">
        <v>0</v>
      </c>
      <c r="L476" s="3">
        <f t="shared" si="74"/>
        <v>0</v>
      </c>
      <c r="N476" s="11">
        <f t="shared" si="75"/>
        <v>2.8271999999999999</v>
      </c>
      <c r="O476" s="3">
        <v>0</v>
      </c>
      <c r="P476" s="11">
        <f t="shared" si="76"/>
        <v>9999</v>
      </c>
      <c r="Q476" s="12">
        <f t="shared" si="77"/>
        <v>290.21455546983293</v>
      </c>
      <c r="R476" s="13">
        <f t="shared" si="78"/>
        <v>115.48988822119654</v>
      </c>
      <c r="S476" s="3" t="s">
        <v>31</v>
      </c>
      <c r="T476" s="3" t="s">
        <v>28</v>
      </c>
      <c r="U476" s="10">
        <v>0</v>
      </c>
      <c r="V476" s="3">
        <v>0</v>
      </c>
      <c r="W476" s="3">
        <f t="shared" si="79"/>
        <v>0</v>
      </c>
      <c r="AA476" s="3">
        <v>26</v>
      </c>
    </row>
    <row r="477" spans="1:27" x14ac:dyDescent="0.3">
      <c r="A477" s="3" t="str">
        <f t="shared" si="70"/>
        <v>North9330209999219</v>
      </c>
      <c r="B477" s="3" t="str">
        <f t="shared" si="71"/>
        <v>Lud9330209999219</v>
      </c>
      <c r="C477" s="10">
        <v>9330209999219</v>
      </c>
      <c r="D477" s="10" t="str">
        <f t="shared" si="72"/>
        <v>9330209999</v>
      </c>
      <c r="E477" s="3" t="s">
        <v>3</v>
      </c>
      <c r="F477" s="3" t="s">
        <v>64</v>
      </c>
      <c r="H477" s="3">
        <v>3.9000000000000004</v>
      </c>
      <c r="I477" s="10">
        <f t="shared" si="73"/>
        <v>62.79702874534803</v>
      </c>
      <c r="J477" s="3">
        <v>1.8631454757908001</v>
      </c>
      <c r="K477" s="3">
        <v>13</v>
      </c>
      <c r="L477" s="3">
        <f t="shared" si="74"/>
        <v>0</v>
      </c>
      <c r="N477" s="11">
        <f t="shared" si="75"/>
        <v>2.0368545242092004</v>
      </c>
      <c r="O477" s="3">
        <v>1.8631454757908001</v>
      </c>
      <c r="P477" s="11">
        <f t="shared" si="76"/>
        <v>32.797028745348037</v>
      </c>
      <c r="Q477" s="12">
        <f t="shared" si="77"/>
        <v>13.918401658133408</v>
      </c>
      <c r="R477" s="13">
        <f t="shared" si="78"/>
        <v>26.810650075406716</v>
      </c>
      <c r="S477" s="3" t="s">
        <v>30</v>
      </c>
      <c r="T477" s="3" t="s">
        <v>35</v>
      </c>
      <c r="U477" s="10">
        <v>9330209900999</v>
      </c>
      <c r="V477" s="3">
        <v>0.1</v>
      </c>
      <c r="W477" s="3">
        <f t="shared" si="79"/>
        <v>1.3</v>
      </c>
      <c r="AA477" s="3">
        <v>26</v>
      </c>
    </row>
    <row r="478" spans="1:27" x14ac:dyDescent="0.3">
      <c r="A478" s="3" t="str">
        <f t="shared" si="70"/>
        <v>North9432009999838</v>
      </c>
      <c r="B478" s="3" t="str">
        <f t="shared" si="71"/>
        <v>Lud9432009999838</v>
      </c>
      <c r="C478" s="10">
        <v>9432009999838</v>
      </c>
      <c r="D478" s="10" t="str">
        <f t="shared" si="72"/>
        <v>9432009999</v>
      </c>
      <c r="E478" s="3" t="s">
        <v>3</v>
      </c>
      <c r="F478" s="3" t="s">
        <v>64</v>
      </c>
      <c r="H478" s="3">
        <v>0.28499999999999998</v>
      </c>
      <c r="I478" s="10">
        <f t="shared" si="73"/>
        <v>5.9987847044518023</v>
      </c>
      <c r="J478" s="3">
        <v>1.4252886911668785</v>
      </c>
      <c r="K478" s="3">
        <v>0</v>
      </c>
      <c r="L478" s="3">
        <f t="shared" si="74"/>
        <v>0</v>
      </c>
      <c r="N478" s="11">
        <f t="shared" si="75"/>
        <v>-1.1402886911668786</v>
      </c>
      <c r="O478" s="3">
        <v>1.4252886911668785</v>
      </c>
      <c r="P478" s="11">
        <f t="shared" si="76"/>
        <v>-24.001215295548199</v>
      </c>
      <c r="Q478" s="12">
        <f t="shared" si="77"/>
        <v>-2.3398857980938135</v>
      </c>
      <c r="R478" s="13">
        <f t="shared" si="78"/>
        <v>29.681856596540243</v>
      </c>
      <c r="S478" s="3" t="s">
        <v>30</v>
      </c>
      <c r="T478" s="3" t="s">
        <v>35</v>
      </c>
      <c r="U478" s="10">
        <v>0</v>
      </c>
      <c r="V478" s="3">
        <v>0</v>
      </c>
      <c r="W478" s="3">
        <f t="shared" si="79"/>
        <v>0</v>
      </c>
      <c r="AA478" s="3">
        <v>26</v>
      </c>
    </row>
    <row r="479" spans="1:27" x14ac:dyDescent="0.3">
      <c r="A479" s="3" t="str">
        <f t="shared" si="70"/>
        <v>North9330209999839</v>
      </c>
      <c r="B479" s="3" t="str">
        <f t="shared" si="71"/>
        <v>Lud9330209999839</v>
      </c>
      <c r="C479" s="10">
        <v>9330209999839</v>
      </c>
      <c r="D479" s="10" t="str">
        <f t="shared" si="72"/>
        <v>9330209999</v>
      </c>
      <c r="E479" s="3" t="s">
        <v>3</v>
      </c>
      <c r="F479" s="3" t="s">
        <v>64</v>
      </c>
      <c r="H479" s="3">
        <v>1.4741999999999997</v>
      </c>
      <c r="I479" s="10">
        <f t="shared" si="73"/>
        <v>31.958162444773052</v>
      </c>
      <c r="J479" s="3">
        <v>1.383871806660568</v>
      </c>
      <c r="K479" s="3">
        <v>13</v>
      </c>
      <c r="L479" s="3">
        <f t="shared" si="74"/>
        <v>0</v>
      </c>
      <c r="N479" s="11">
        <f t="shared" si="75"/>
        <v>9.0328193339431762E-2</v>
      </c>
      <c r="O479" s="3">
        <v>1.383871806660568</v>
      </c>
      <c r="P479" s="11">
        <f t="shared" si="76"/>
        <v>1.9581624447730481</v>
      </c>
      <c r="Q479" s="12">
        <f t="shared" si="77"/>
        <v>9.2429297655745639</v>
      </c>
      <c r="R479" s="13">
        <f t="shared" si="78"/>
        <v>20.973866710871359</v>
      </c>
      <c r="S479" s="3" t="s">
        <v>30</v>
      </c>
      <c r="T479" s="3" t="s">
        <v>35</v>
      </c>
      <c r="U479" s="10">
        <v>0</v>
      </c>
      <c r="V479" s="3">
        <v>0</v>
      </c>
      <c r="W479" s="3">
        <f t="shared" si="79"/>
        <v>0</v>
      </c>
      <c r="AA479" s="3">
        <v>26</v>
      </c>
    </row>
    <row r="480" spans="1:27" x14ac:dyDescent="0.3">
      <c r="A480" s="3" t="str">
        <f t="shared" si="70"/>
        <v>North9330209999097</v>
      </c>
      <c r="B480" s="3" t="str">
        <f t="shared" si="71"/>
        <v>Lud9330209999097</v>
      </c>
      <c r="C480" s="10">
        <v>9330209999097</v>
      </c>
      <c r="D480" s="10" t="str">
        <f t="shared" si="72"/>
        <v>9330209999</v>
      </c>
      <c r="E480" s="3" t="s">
        <v>3</v>
      </c>
      <c r="F480" s="3" t="s">
        <v>64</v>
      </c>
      <c r="H480" s="3">
        <v>1.1261249999999998</v>
      </c>
      <c r="I480" s="10">
        <f t="shared" si="73"/>
        <v>25.618493400879238</v>
      </c>
      <c r="J480" s="3">
        <v>1.3187250893856435</v>
      </c>
      <c r="K480" s="3">
        <v>0</v>
      </c>
      <c r="L480" s="3">
        <f t="shared" si="74"/>
        <v>0</v>
      </c>
      <c r="N480" s="11">
        <f t="shared" si="75"/>
        <v>-0.19260008938564366</v>
      </c>
      <c r="O480" s="3">
        <v>1.3187250893856435</v>
      </c>
      <c r="P480" s="11">
        <f t="shared" si="76"/>
        <v>-4.3815065991207591</v>
      </c>
      <c r="Q480" s="12">
        <f t="shared" si="77"/>
        <v>28.973732528034613</v>
      </c>
      <c r="R480" s="13">
        <f t="shared" si="78"/>
        <v>17.980438556612039</v>
      </c>
      <c r="S480" s="3" t="s">
        <v>30</v>
      </c>
      <c r="T480" s="3" t="s">
        <v>35</v>
      </c>
      <c r="U480" s="10">
        <v>0</v>
      </c>
      <c r="V480" s="3">
        <v>0</v>
      </c>
      <c r="W480" s="3">
        <f t="shared" si="79"/>
        <v>0</v>
      </c>
      <c r="AA480" s="3">
        <v>26</v>
      </c>
    </row>
    <row r="481" spans="1:27" x14ac:dyDescent="0.3">
      <c r="A481" s="3" t="str">
        <f t="shared" si="70"/>
        <v>North9432009999195</v>
      </c>
      <c r="B481" s="3" t="str">
        <f t="shared" si="71"/>
        <v>Lud9432009999195</v>
      </c>
      <c r="C481" s="10">
        <v>9432009999195</v>
      </c>
      <c r="D481" s="10" t="str">
        <f t="shared" si="72"/>
        <v>9432009999</v>
      </c>
      <c r="E481" s="3" t="s">
        <v>3</v>
      </c>
      <c r="F481" s="3" t="s">
        <v>64</v>
      </c>
      <c r="H481" s="3">
        <v>0.90059999999999996</v>
      </c>
      <c r="I481" s="10">
        <f t="shared" si="73"/>
        <v>45.440703740193094</v>
      </c>
      <c r="J481" s="3">
        <v>0.5945770592479207</v>
      </c>
      <c r="K481" s="3">
        <v>0</v>
      </c>
      <c r="L481" s="3">
        <f t="shared" si="74"/>
        <v>0</v>
      </c>
      <c r="N481" s="11">
        <f t="shared" si="75"/>
        <v>0.30602294075207925</v>
      </c>
      <c r="O481" s="3">
        <v>0.5945770592479207</v>
      </c>
      <c r="P481" s="11">
        <f t="shared" si="76"/>
        <v>15.440703740193092</v>
      </c>
      <c r="Q481" s="12">
        <f t="shared" si="77"/>
        <v>-10.051741152803023</v>
      </c>
      <c r="R481" s="13">
        <f t="shared" si="78"/>
        <v>30.757201129347859</v>
      </c>
      <c r="S481" s="3" t="s">
        <v>30</v>
      </c>
      <c r="T481" s="3" t="s">
        <v>35</v>
      </c>
      <c r="U481" s="10">
        <v>0</v>
      </c>
      <c r="V481" s="3">
        <v>0</v>
      </c>
      <c r="W481" s="3">
        <f t="shared" si="79"/>
        <v>0</v>
      </c>
      <c r="AA481" s="3">
        <v>26</v>
      </c>
    </row>
    <row r="482" spans="1:27" x14ac:dyDescent="0.3">
      <c r="A482" s="3" t="str">
        <f t="shared" si="70"/>
        <v>North9330209999297</v>
      </c>
      <c r="B482" s="3" t="str">
        <f t="shared" si="71"/>
        <v>Lud9330209999297</v>
      </c>
      <c r="C482" s="10">
        <v>9330209999297</v>
      </c>
      <c r="D482" s="10" t="str">
        <f t="shared" si="72"/>
        <v>9330209999</v>
      </c>
      <c r="E482" s="3" t="s">
        <v>3</v>
      </c>
      <c r="F482" s="3" t="s">
        <v>64</v>
      </c>
      <c r="H482" s="3">
        <v>1.2187499999999998</v>
      </c>
      <c r="I482" s="10">
        <f t="shared" si="73"/>
        <v>95.063859376234419</v>
      </c>
      <c r="J482" s="3">
        <v>0.38460988476489805</v>
      </c>
      <c r="K482" s="3">
        <v>0</v>
      </c>
      <c r="L482" s="3">
        <f t="shared" si="74"/>
        <v>0</v>
      </c>
      <c r="N482" s="11">
        <f t="shared" si="75"/>
        <v>0.83414011523510179</v>
      </c>
      <c r="O482" s="3">
        <v>0.38460988476489805</v>
      </c>
      <c r="P482" s="11">
        <f t="shared" si="76"/>
        <v>65.063859376234419</v>
      </c>
      <c r="Q482" s="12">
        <f t="shared" si="77"/>
        <v>78.954847655936021</v>
      </c>
      <c r="R482" s="13">
        <f t="shared" si="78"/>
        <v>32.660318747786754</v>
      </c>
      <c r="S482" s="3" t="s">
        <v>30</v>
      </c>
      <c r="T482" s="3" t="s">
        <v>35</v>
      </c>
      <c r="U482" s="10">
        <v>9330209900999</v>
      </c>
      <c r="V482" s="3">
        <v>0.1</v>
      </c>
      <c r="W482" s="3">
        <f t="shared" si="79"/>
        <v>0</v>
      </c>
      <c r="AA482" s="3">
        <v>26</v>
      </c>
    </row>
    <row r="483" spans="1:27" x14ac:dyDescent="0.3">
      <c r="A483" s="3" t="str">
        <f t="shared" si="70"/>
        <v>North9420019999838</v>
      </c>
      <c r="B483" s="3" t="str">
        <f t="shared" si="71"/>
        <v>Lud9420019999838</v>
      </c>
      <c r="C483" s="10">
        <v>9420019999838</v>
      </c>
      <c r="D483" s="10" t="str">
        <f t="shared" si="72"/>
        <v>9420019999</v>
      </c>
      <c r="E483" s="3" t="s">
        <v>3</v>
      </c>
      <c r="F483" s="3" t="s">
        <v>64</v>
      </c>
      <c r="H483" s="3">
        <v>0.38</v>
      </c>
      <c r="I483" s="10">
        <f t="shared" si="73"/>
        <v>37.940113207326178</v>
      </c>
      <c r="J483" s="3">
        <v>0.30047353674734628</v>
      </c>
      <c r="K483" s="3">
        <v>0</v>
      </c>
      <c r="L483" s="3">
        <f t="shared" si="74"/>
        <v>0</v>
      </c>
      <c r="N483" s="11">
        <f t="shared" si="75"/>
        <v>7.9526463252653723E-2</v>
      </c>
      <c r="O483" s="3">
        <v>0.30047353674734628</v>
      </c>
      <c r="P483" s="11">
        <f t="shared" si="76"/>
        <v>7.9401132073261769</v>
      </c>
      <c r="Q483" s="12">
        <f t="shared" si="77"/>
        <v>290.21455546983293</v>
      </c>
      <c r="R483" s="13">
        <f t="shared" si="78"/>
        <v>115.48988822119654</v>
      </c>
      <c r="S483" s="3" t="s">
        <v>31</v>
      </c>
      <c r="T483" s="3" t="s">
        <v>28</v>
      </c>
      <c r="U483" s="10">
        <v>0</v>
      </c>
      <c r="V483" s="3">
        <v>0</v>
      </c>
      <c r="W483" s="3">
        <f t="shared" si="79"/>
        <v>0</v>
      </c>
      <c r="AA483" s="3">
        <v>26</v>
      </c>
    </row>
    <row r="484" spans="1:27" x14ac:dyDescent="0.3">
      <c r="A484" s="3" t="str">
        <f t="shared" si="70"/>
        <v>North9420019999195</v>
      </c>
      <c r="B484" s="3" t="str">
        <f t="shared" si="71"/>
        <v>Lud9420019999195</v>
      </c>
      <c r="C484" s="10">
        <v>9420019999195</v>
      </c>
      <c r="D484" s="10" t="str">
        <f t="shared" si="72"/>
        <v>9420019999</v>
      </c>
      <c r="E484" s="3" t="s">
        <v>3</v>
      </c>
      <c r="F484" s="3" t="s">
        <v>64</v>
      </c>
      <c r="H484" s="3">
        <v>1.1399999999999999E-2</v>
      </c>
      <c r="I484" s="10">
        <f t="shared" si="73"/>
        <v>2.6975253683133698</v>
      </c>
      <c r="J484" s="3">
        <v>0.12678286699999999</v>
      </c>
      <c r="K484" s="3">
        <v>0</v>
      </c>
      <c r="L484" s="3">
        <f t="shared" si="74"/>
        <v>0</v>
      </c>
      <c r="N484" s="11">
        <f t="shared" si="75"/>
        <v>-0.115382867</v>
      </c>
      <c r="O484" s="3">
        <v>0.12678286699999999</v>
      </c>
      <c r="P484" s="11">
        <f t="shared" si="76"/>
        <v>-27.302474631686632</v>
      </c>
      <c r="Q484" s="12">
        <f t="shared" si="77"/>
        <v>-4.3735090010229891</v>
      </c>
      <c r="R484" s="13">
        <f t="shared" si="78"/>
        <v>-25.598592451231163</v>
      </c>
      <c r="S484" s="3" t="s">
        <v>31</v>
      </c>
      <c r="T484" s="3" t="s">
        <v>28</v>
      </c>
      <c r="U484" s="10">
        <v>0</v>
      </c>
      <c r="V484" s="3">
        <v>0</v>
      </c>
      <c r="W484" s="3">
        <f t="shared" si="79"/>
        <v>0</v>
      </c>
      <c r="AA484" s="3">
        <v>26</v>
      </c>
    </row>
    <row r="485" spans="1:27" x14ac:dyDescent="0.3">
      <c r="A485" s="3" t="str">
        <f t="shared" si="70"/>
        <v>South9330219996210</v>
      </c>
      <c r="B485" s="3" t="str">
        <f t="shared" si="71"/>
        <v>CY9330219996210</v>
      </c>
      <c r="C485" s="10">
        <v>9330219996210</v>
      </c>
      <c r="D485" s="10" t="str">
        <f t="shared" si="72"/>
        <v>9330219996</v>
      </c>
      <c r="E485" s="3" t="s">
        <v>4</v>
      </c>
      <c r="F485" s="3" t="s">
        <v>65</v>
      </c>
      <c r="H485" s="3">
        <v>15.102000000000004</v>
      </c>
      <c r="I485" s="10">
        <f t="shared" si="73"/>
        <v>59.972624586938927</v>
      </c>
      <c r="J485" s="3">
        <v>7.5544467683455245</v>
      </c>
      <c r="K485" s="3">
        <v>0</v>
      </c>
      <c r="L485" s="3">
        <f t="shared" si="74"/>
        <v>0</v>
      </c>
      <c r="N485" s="11">
        <f t="shared" si="75"/>
        <v>7.5475532316544793</v>
      </c>
      <c r="O485" s="3">
        <v>7.5544467683455245</v>
      </c>
      <c r="P485" s="11">
        <f t="shared" si="76"/>
        <v>29.972624586938924</v>
      </c>
      <c r="Q485" s="12">
        <f t="shared" si="77"/>
        <v>29.972624586938927</v>
      </c>
      <c r="R485" s="13">
        <f t="shared" si="78"/>
        <v>40.715644704001072</v>
      </c>
      <c r="S485" s="3" t="s">
        <v>30</v>
      </c>
      <c r="T485" s="3" t="s">
        <v>35</v>
      </c>
      <c r="U485" s="10">
        <v>0</v>
      </c>
      <c r="V485" s="3">
        <v>0</v>
      </c>
      <c r="W485" s="3">
        <f t="shared" si="79"/>
        <v>0</v>
      </c>
      <c r="AA485" s="3">
        <v>26</v>
      </c>
    </row>
    <row r="486" spans="1:27" x14ac:dyDescent="0.3">
      <c r="A486" s="3" t="str">
        <f t="shared" si="70"/>
        <v>South9330219996840</v>
      </c>
      <c r="B486" s="3" t="str">
        <f t="shared" si="71"/>
        <v>CY9330219996840</v>
      </c>
      <c r="C486" s="10">
        <v>9330219996840</v>
      </c>
      <c r="D486" s="10" t="str">
        <f t="shared" si="72"/>
        <v>9330219996</v>
      </c>
      <c r="E486" s="3" t="s">
        <v>4</v>
      </c>
      <c r="F486" s="3" t="s">
        <v>65</v>
      </c>
      <c r="H486" s="3">
        <v>16.752000000000006</v>
      </c>
      <c r="I486" s="10">
        <f t="shared" si="73"/>
        <v>76.680671008487593</v>
      </c>
      <c r="J486" s="3">
        <v>6.5539332584136236</v>
      </c>
      <c r="K486" s="3">
        <v>0</v>
      </c>
      <c r="L486" s="3">
        <f t="shared" si="74"/>
        <v>0</v>
      </c>
      <c r="N486" s="11">
        <f t="shared" si="75"/>
        <v>10.198066741586382</v>
      </c>
      <c r="O486" s="3">
        <v>6.5539332584136236</v>
      </c>
      <c r="P486" s="11">
        <f t="shared" si="76"/>
        <v>46.680671008487593</v>
      </c>
      <c r="Q486" s="12">
        <f t="shared" si="77"/>
        <v>46.680671008487593</v>
      </c>
      <c r="R486" s="13">
        <f t="shared" si="78"/>
        <v>38.158742632968341</v>
      </c>
      <c r="S486" s="3" t="s">
        <v>30</v>
      </c>
      <c r="T486" s="3" t="s">
        <v>35</v>
      </c>
      <c r="U486" s="10">
        <v>0</v>
      </c>
      <c r="V486" s="3">
        <v>0</v>
      </c>
      <c r="W486" s="3">
        <f t="shared" si="79"/>
        <v>0</v>
      </c>
      <c r="AA486" s="3">
        <v>26</v>
      </c>
    </row>
    <row r="487" spans="1:27" x14ac:dyDescent="0.3">
      <c r="A487" s="3" t="str">
        <f t="shared" si="70"/>
        <v>South9432009999195</v>
      </c>
      <c r="B487" s="3" t="str">
        <f t="shared" si="71"/>
        <v>CY9432009999195</v>
      </c>
      <c r="C487" s="10">
        <v>9432009999195</v>
      </c>
      <c r="D487" s="10" t="str">
        <f t="shared" si="72"/>
        <v>9432009999</v>
      </c>
      <c r="E487" s="3" t="s">
        <v>4</v>
      </c>
      <c r="F487" s="3" t="s">
        <v>65</v>
      </c>
      <c r="H487" s="3">
        <v>5.0938999999999997</v>
      </c>
      <c r="I487" s="10">
        <f t="shared" si="73"/>
        <v>28.383886044032185</v>
      </c>
      <c r="J487" s="3">
        <v>5.3839350877795082</v>
      </c>
      <c r="K487" s="3">
        <v>0</v>
      </c>
      <c r="L487" s="3">
        <f t="shared" si="74"/>
        <v>0</v>
      </c>
      <c r="N487" s="11">
        <f t="shared" si="75"/>
        <v>-0.29003508777950859</v>
      </c>
      <c r="O487" s="3">
        <v>5.3839350877795082</v>
      </c>
      <c r="P487" s="11">
        <f t="shared" si="76"/>
        <v>-1.6161139559678133</v>
      </c>
      <c r="Q487" s="12">
        <f t="shared" si="77"/>
        <v>33.429616714558321</v>
      </c>
      <c r="R487" s="13">
        <f t="shared" si="78"/>
        <v>30.757201129347859</v>
      </c>
      <c r="S487" s="3" t="s">
        <v>30</v>
      </c>
      <c r="T487" s="3" t="s">
        <v>35</v>
      </c>
      <c r="U487" s="10">
        <v>0</v>
      </c>
      <c r="V487" s="3">
        <v>0</v>
      </c>
      <c r="W487" s="3">
        <f t="shared" si="79"/>
        <v>0</v>
      </c>
      <c r="AA487" s="3">
        <v>26</v>
      </c>
    </row>
    <row r="488" spans="1:27" x14ac:dyDescent="0.3">
      <c r="A488" s="3" t="str">
        <f t="shared" si="70"/>
        <v>South9432009999838</v>
      </c>
      <c r="B488" s="3" t="str">
        <f t="shared" si="71"/>
        <v>CY9432009999838</v>
      </c>
      <c r="C488" s="10">
        <v>9432009999838</v>
      </c>
      <c r="D488" s="10" t="str">
        <f t="shared" si="72"/>
        <v>9432009999</v>
      </c>
      <c r="E488" s="3" t="s">
        <v>4</v>
      </c>
      <c r="F488" s="3" t="s">
        <v>65</v>
      </c>
      <c r="H488" s="3">
        <v>4.107800000000001</v>
      </c>
      <c r="I488" s="10">
        <f t="shared" si="73"/>
        <v>32.460305292677319</v>
      </c>
      <c r="J488" s="3">
        <v>3.79645227883301</v>
      </c>
      <c r="K488" s="3">
        <v>0</v>
      </c>
      <c r="L488" s="3">
        <f t="shared" si="74"/>
        <v>0</v>
      </c>
      <c r="N488" s="11">
        <f t="shared" si="75"/>
        <v>0.31134772116699105</v>
      </c>
      <c r="O488" s="3">
        <v>3.79645227883301</v>
      </c>
      <c r="P488" s="11">
        <f t="shared" si="76"/>
        <v>2.4603052926773215</v>
      </c>
      <c r="Q488" s="12">
        <f t="shared" si="77"/>
        <v>24.306677742413655</v>
      </c>
      <c r="R488" s="13">
        <f t="shared" si="78"/>
        <v>29.681856596540243</v>
      </c>
      <c r="S488" s="3" t="s">
        <v>30</v>
      </c>
      <c r="T488" s="3" t="s">
        <v>35</v>
      </c>
      <c r="U488" s="10">
        <v>0</v>
      </c>
      <c r="V488" s="3">
        <v>0</v>
      </c>
      <c r="W488" s="3">
        <f t="shared" si="79"/>
        <v>0</v>
      </c>
      <c r="AA488" s="3">
        <v>26</v>
      </c>
    </row>
    <row r="489" spans="1:27" x14ac:dyDescent="0.3">
      <c r="A489" s="3" t="str">
        <f t="shared" si="70"/>
        <v>South9431009999195</v>
      </c>
      <c r="B489" s="3" t="str">
        <f t="shared" si="71"/>
        <v>CY9431009999195</v>
      </c>
      <c r="C489" s="10">
        <v>9431009999195</v>
      </c>
      <c r="D489" s="10" t="str">
        <f t="shared" si="72"/>
        <v>9431009999</v>
      </c>
      <c r="E489" s="3" t="s">
        <v>4</v>
      </c>
      <c r="F489" s="3" t="s">
        <v>65</v>
      </c>
      <c r="H489" s="3">
        <v>1.7537</v>
      </c>
      <c r="I489" s="10">
        <f t="shared" si="73"/>
        <v>34.085621341782385</v>
      </c>
      <c r="J489" s="3">
        <v>1.5434954074171179</v>
      </c>
      <c r="K489" s="3">
        <v>0</v>
      </c>
      <c r="L489" s="3">
        <f t="shared" si="74"/>
        <v>0</v>
      </c>
      <c r="N489" s="11">
        <f t="shared" si="75"/>
        <v>0.21020459258288215</v>
      </c>
      <c r="O489" s="3">
        <v>1.5434954074171179</v>
      </c>
      <c r="P489" s="11">
        <f t="shared" si="76"/>
        <v>4.085621341782379</v>
      </c>
      <c r="Q489" s="12">
        <f t="shared" si="77"/>
        <v>4.5791433600517637</v>
      </c>
      <c r="R489" s="13">
        <f t="shared" si="78"/>
        <v>32.659545068538762</v>
      </c>
      <c r="S489" s="3" t="s">
        <v>31</v>
      </c>
      <c r="T489" s="3" t="s">
        <v>35</v>
      </c>
      <c r="U489" s="10">
        <v>0</v>
      </c>
      <c r="V489" s="3">
        <v>0</v>
      </c>
      <c r="W489" s="3">
        <f t="shared" si="79"/>
        <v>0</v>
      </c>
      <c r="AA489" s="3">
        <v>26</v>
      </c>
    </row>
    <row r="490" spans="1:27" x14ac:dyDescent="0.3">
      <c r="A490" s="3" t="str">
        <f t="shared" si="70"/>
        <v>South9431009999838</v>
      </c>
      <c r="B490" s="3" t="str">
        <f t="shared" si="71"/>
        <v>CY9431009999838</v>
      </c>
      <c r="C490" s="10">
        <v>9431009999838</v>
      </c>
      <c r="D490" s="10" t="str">
        <f t="shared" si="72"/>
        <v>9431009999</v>
      </c>
      <c r="E490" s="3" t="s">
        <v>4</v>
      </c>
      <c r="F490" s="3" t="s">
        <v>65</v>
      </c>
      <c r="H490" s="3">
        <v>1.6872</v>
      </c>
      <c r="I490" s="10">
        <f t="shared" si="73"/>
        <v>41.099189322470963</v>
      </c>
      <c r="J490" s="3">
        <v>1.2315571385814592</v>
      </c>
      <c r="K490" s="3">
        <v>0</v>
      </c>
      <c r="L490" s="3">
        <f t="shared" si="74"/>
        <v>0</v>
      </c>
      <c r="N490" s="11">
        <f t="shared" si="75"/>
        <v>0.45564286141854082</v>
      </c>
      <c r="O490" s="3">
        <v>1.2315571385814592</v>
      </c>
      <c r="P490" s="11">
        <f t="shared" si="76"/>
        <v>11.099189322470963</v>
      </c>
      <c r="Q490" s="12">
        <f t="shared" si="77"/>
        <v>7.465921634121953</v>
      </c>
      <c r="R490" s="13">
        <f t="shared" si="78"/>
        <v>12.439444130659385</v>
      </c>
      <c r="S490" s="3" t="s">
        <v>31</v>
      </c>
      <c r="T490" s="3" t="s">
        <v>35</v>
      </c>
      <c r="U490" s="10">
        <v>0</v>
      </c>
      <c r="V490" s="3">
        <v>0</v>
      </c>
      <c r="W490" s="3">
        <f t="shared" si="79"/>
        <v>0</v>
      </c>
      <c r="AA490" s="3">
        <v>26</v>
      </c>
    </row>
    <row r="491" spans="1:27" x14ac:dyDescent="0.3">
      <c r="A491" s="3" t="str">
        <f t="shared" si="70"/>
        <v>South9410049999190</v>
      </c>
      <c r="B491" s="3" t="str">
        <f t="shared" si="71"/>
        <v>CY9410049999190</v>
      </c>
      <c r="C491" s="10">
        <v>9410049999190</v>
      </c>
      <c r="D491" s="10" t="str">
        <f t="shared" si="72"/>
        <v>9410049999</v>
      </c>
      <c r="E491" s="3" t="s">
        <v>4</v>
      </c>
      <c r="F491" s="3" t="s">
        <v>65</v>
      </c>
      <c r="H491" s="3">
        <v>3.6989999999999985</v>
      </c>
      <c r="I491" s="10">
        <f t="shared" si="73"/>
        <v>130.77770670328178</v>
      </c>
      <c r="J491" s="3">
        <v>0.84853911876415589</v>
      </c>
      <c r="K491" s="3">
        <v>0</v>
      </c>
      <c r="L491" s="3">
        <f t="shared" si="74"/>
        <v>0</v>
      </c>
      <c r="N491" s="11">
        <f t="shared" si="75"/>
        <v>2.8504608812358425</v>
      </c>
      <c r="O491" s="3">
        <v>0.84853911876415589</v>
      </c>
      <c r="P491" s="11">
        <f t="shared" si="76"/>
        <v>100.77770670328177</v>
      </c>
      <c r="Q491" s="12">
        <f t="shared" si="77"/>
        <v>100.77770670328177</v>
      </c>
      <c r="R491" s="13">
        <f t="shared" si="78"/>
        <v>100.77770670328177</v>
      </c>
      <c r="S491" s="3" t="s">
        <v>31</v>
      </c>
      <c r="T491" s="3" t="s">
        <v>32</v>
      </c>
      <c r="U491" s="10">
        <v>0</v>
      </c>
      <c r="V491" s="3">
        <v>0</v>
      </c>
      <c r="W491" s="3">
        <f t="shared" si="79"/>
        <v>0</v>
      </c>
      <c r="AA491" s="3">
        <v>26</v>
      </c>
    </row>
    <row r="492" spans="1:27" x14ac:dyDescent="0.3">
      <c r="A492" s="3" t="str">
        <f t="shared" si="70"/>
        <v>South9410049999836</v>
      </c>
      <c r="B492" s="3" t="str">
        <f t="shared" si="71"/>
        <v>CY9410049999836</v>
      </c>
      <c r="C492" s="10">
        <v>9410049999836</v>
      </c>
      <c r="D492" s="10" t="str">
        <f t="shared" si="72"/>
        <v>9410049999</v>
      </c>
      <c r="E492" s="3" t="s">
        <v>4</v>
      </c>
      <c r="F492" s="3" t="s">
        <v>65</v>
      </c>
      <c r="H492" s="3">
        <v>5.7239999999999993</v>
      </c>
      <c r="I492" s="10">
        <f t="shared" si="73"/>
        <v>203.33234911770992</v>
      </c>
      <c r="J492" s="3">
        <v>0.84452867802452114</v>
      </c>
      <c r="K492" s="3">
        <v>0</v>
      </c>
      <c r="L492" s="3">
        <f t="shared" si="74"/>
        <v>0</v>
      </c>
      <c r="N492" s="11">
        <f t="shared" si="75"/>
        <v>4.8794713219754779</v>
      </c>
      <c r="O492" s="3">
        <v>0.84452867802452114</v>
      </c>
      <c r="P492" s="11">
        <f t="shared" si="76"/>
        <v>173.33234911770992</v>
      </c>
      <c r="Q492" s="12">
        <f t="shared" si="77"/>
        <v>173.33234911770995</v>
      </c>
      <c r="R492" s="13">
        <f t="shared" si="78"/>
        <v>173.33234911770995</v>
      </c>
      <c r="S492" s="3" t="s">
        <v>31</v>
      </c>
      <c r="T492" s="3" t="s">
        <v>32</v>
      </c>
      <c r="U492" s="10">
        <v>0</v>
      </c>
      <c r="V492" s="3">
        <v>0</v>
      </c>
      <c r="W492" s="3">
        <f t="shared" si="79"/>
        <v>0</v>
      </c>
      <c r="AA492" s="3">
        <v>26</v>
      </c>
    </row>
    <row r="493" spans="1:27" x14ac:dyDescent="0.3">
      <c r="A493" s="3" t="str">
        <f t="shared" si="70"/>
        <v>South9420019999195</v>
      </c>
      <c r="B493" s="3" t="str">
        <f t="shared" si="71"/>
        <v>CY9420019999195</v>
      </c>
      <c r="C493" s="10">
        <v>9420019999195</v>
      </c>
      <c r="D493" s="10" t="str">
        <f t="shared" si="72"/>
        <v>9420019999</v>
      </c>
      <c r="E493" s="3" t="s">
        <v>4</v>
      </c>
      <c r="F493" s="3" t="s">
        <v>65</v>
      </c>
      <c r="H493" s="3">
        <v>0</v>
      </c>
      <c r="I493" s="10">
        <f t="shared" si="73"/>
        <v>0</v>
      </c>
      <c r="J493" s="3">
        <v>6.9371580416544038E-2</v>
      </c>
      <c r="K493" s="3">
        <v>0</v>
      </c>
      <c r="L493" s="3">
        <f t="shared" si="74"/>
        <v>0</v>
      </c>
      <c r="N493" s="11">
        <f t="shared" si="75"/>
        <v>-6.9371580416544038E-2</v>
      </c>
      <c r="O493" s="3">
        <v>6.9371580416544038E-2</v>
      </c>
      <c r="P493" s="11">
        <f t="shared" si="76"/>
        <v>-30</v>
      </c>
      <c r="Q493" s="12">
        <f t="shared" si="77"/>
        <v>-29.999999999999996</v>
      </c>
      <c r="R493" s="13">
        <f t="shared" si="78"/>
        <v>-25.598592451231163</v>
      </c>
      <c r="S493" s="3" t="s">
        <v>31</v>
      </c>
      <c r="T493" s="3" t="s">
        <v>28</v>
      </c>
      <c r="U493" s="10">
        <v>0</v>
      </c>
      <c r="V493" s="3">
        <v>0</v>
      </c>
      <c r="W493" s="3">
        <f t="shared" si="79"/>
        <v>0</v>
      </c>
      <c r="AA493" s="3">
        <v>26</v>
      </c>
    </row>
    <row r="494" spans="1:27" x14ac:dyDescent="0.3">
      <c r="A494" s="3" t="str">
        <f t="shared" si="70"/>
        <v>South9420019999838</v>
      </c>
      <c r="B494" s="3" t="str">
        <f t="shared" si="71"/>
        <v>CY9420019999838</v>
      </c>
      <c r="C494" s="10">
        <v>9420019999838</v>
      </c>
      <c r="D494" s="10" t="str">
        <f t="shared" si="72"/>
        <v>9420019999</v>
      </c>
      <c r="E494" s="3" t="s">
        <v>4</v>
      </c>
      <c r="F494" s="3" t="s">
        <v>65</v>
      </c>
      <c r="H494" s="3">
        <v>1.2958000000000001</v>
      </c>
      <c r="I494" s="10">
        <f t="shared" si="73"/>
        <v>852.32709195009534</v>
      </c>
      <c r="J494" s="3">
        <v>4.5609250682220617E-2</v>
      </c>
      <c r="K494" s="3">
        <v>0</v>
      </c>
      <c r="L494" s="3">
        <f t="shared" si="74"/>
        <v>0</v>
      </c>
      <c r="N494" s="11">
        <f t="shared" si="75"/>
        <v>1.2501907493177795</v>
      </c>
      <c r="O494" s="3">
        <v>4.5609250682220617E-2</v>
      </c>
      <c r="P494" s="11">
        <f t="shared" si="76"/>
        <v>822.32709195009534</v>
      </c>
      <c r="Q494" s="12">
        <f t="shared" si="77"/>
        <v>175.44535090293408</v>
      </c>
      <c r="R494" s="13">
        <f t="shared" si="78"/>
        <v>115.48988822119654</v>
      </c>
      <c r="S494" s="3" t="s">
        <v>31</v>
      </c>
      <c r="T494" s="3" t="s">
        <v>28</v>
      </c>
      <c r="U494" s="10">
        <v>0</v>
      </c>
      <c r="V494" s="3">
        <v>0</v>
      </c>
      <c r="W494" s="3">
        <f t="shared" si="79"/>
        <v>0</v>
      </c>
      <c r="AA494" s="3">
        <v>26</v>
      </c>
    </row>
    <row r="495" spans="1:27" x14ac:dyDescent="0.3">
      <c r="A495" s="3" t="str">
        <f t="shared" si="70"/>
        <v>South9330209999097</v>
      </c>
      <c r="B495" s="3" t="str">
        <f t="shared" si="71"/>
        <v>CMR9330209999097</v>
      </c>
      <c r="C495" s="10">
        <v>9330209999097</v>
      </c>
      <c r="D495" s="10" t="str">
        <f t="shared" si="72"/>
        <v>9330209999</v>
      </c>
      <c r="E495" s="3" t="s">
        <v>5</v>
      </c>
      <c r="F495" s="3" t="s">
        <v>65</v>
      </c>
      <c r="H495" s="3">
        <v>4.6263749999999995</v>
      </c>
      <c r="I495" s="10">
        <f t="shared" si="73"/>
        <v>24.5577095832084</v>
      </c>
      <c r="J495" s="3">
        <v>5.6516365880839308</v>
      </c>
      <c r="K495" s="3">
        <v>13</v>
      </c>
      <c r="L495" s="3">
        <f t="shared" si="74"/>
        <v>0</v>
      </c>
      <c r="N495" s="11">
        <f t="shared" si="75"/>
        <v>-1.0252615880839313</v>
      </c>
      <c r="O495" s="3">
        <v>5.6516365880839308</v>
      </c>
      <c r="P495" s="11">
        <f t="shared" si="76"/>
        <v>-5.4422904167915975</v>
      </c>
      <c r="Q495" s="12">
        <f t="shared" si="77"/>
        <v>0.55408154185858627</v>
      </c>
      <c r="R495" s="13">
        <f t="shared" si="78"/>
        <v>17.980438556612039</v>
      </c>
      <c r="S495" s="3" t="s">
        <v>30</v>
      </c>
      <c r="T495" s="3" t="s">
        <v>35</v>
      </c>
      <c r="U495" s="10">
        <v>0</v>
      </c>
      <c r="V495" s="3">
        <v>0</v>
      </c>
      <c r="W495" s="3">
        <f t="shared" si="79"/>
        <v>0</v>
      </c>
      <c r="AA495" s="3">
        <v>26</v>
      </c>
    </row>
    <row r="496" spans="1:27" x14ac:dyDescent="0.3">
      <c r="A496" s="3" t="str">
        <f t="shared" si="70"/>
        <v>South9330209999839</v>
      </c>
      <c r="B496" s="3" t="str">
        <f t="shared" si="71"/>
        <v>CMR9330209999839</v>
      </c>
      <c r="C496" s="10">
        <v>9330209999839</v>
      </c>
      <c r="D496" s="10" t="str">
        <f t="shared" si="72"/>
        <v>9330209999</v>
      </c>
      <c r="E496" s="3" t="s">
        <v>5</v>
      </c>
      <c r="F496" s="3" t="s">
        <v>65</v>
      </c>
      <c r="H496" s="3">
        <v>5.0193000000000003</v>
      </c>
      <c r="I496" s="10">
        <f t="shared" si="73"/>
        <v>27.213653084376073</v>
      </c>
      <c r="J496" s="3">
        <v>5.533215240641491</v>
      </c>
      <c r="K496" s="3">
        <v>0</v>
      </c>
      <c r="L496" s="3">
        <f t="shared" si="74"/>
        <v>0</v>
      </c>
      <c r="N496" s="11">
        <f t="shared" si="75"/>
        <v>-0.51391524064149063</v>
      </c>
      <c r="O496" s="3">
        <v>5.533215240641491</v>
      </c>
      <c r="P496" s="11">
        <f t="shared" si="76"/>
        <v>-2.786346915623926</v>
      </c>
      <c r="Q496" s="12">
        <f t="shared" si="77"/>
        <v>26.760990057790075</v>
      </c>
      <c r="R496" s="13">
        <f t="shared" si="78"/>
        <v>20.973866710871359</v>
      </c>
      <c r="S496" s="3" t="s">
        <v>30</v>
      </c>
      <c r="T496" s="3" t="s">
        <v>35</v>
      </c>
      <c r="U496" s="10">
        <v>0</v>
      </c>
      <c r="V496" s="3">
        <v>0</v>
      </c>
      <c r="W496" s="3">
        <f t="shared" si="79"/>
        <v>0</v>
      </c>
      <c r="AA496" s="3">
        <v>26</v>
      </c>
    </row>
    <row r="497" spans="1:27" x14ac:dyDescent="0.3">
      <c r="A497" s="3" t="str">
        <f t="shared" si="70"/>
        <v>South9330209999219</v>
      </c>
      <c r="B497" s="3" t="str">
        <f t="shared" si="71"/>
        <v>CMR9330209999219</v>
      </c>
      <c r="C497" s="10">
        <v>9330209999219</v>
      </c>
      <c r="D497" s="10" t="str">
        <f t="shared" si="72"/>
        <v>9330209999</v>
      </c>
      <c r="E497" s="3" t="s">
        <v>5</v>
      </c>
      <c r="F497" s="3" t="s">
        <v>65</v>
      </c>
      <c r="H497" s="3">
        <v>10.725</v>
      </c>
      <c r="I497" s="10">
        <f t="shared" si="73"/>
        <v>78.85146595061471</v>
      </c>
      <c r="J497" s="3">
        <v>4.0804567945701162</v>
      </c>
      <c r="K497" s="3">
        <v>13</v>
      </c>
      <c r="L497" s="3">
        <f t="shared" si="74"/>
        <v>0</v>
      </c>
      <c r="N497" s="11">
        <f t="shared" si="75"/>
        <v>6.6445432054298834</v>
      </c>
      <c r="O497" s="3">
        <v>4.0804567945701162</v>
      </c>
      <c r="P497" s="11">
        <f t="shared" si="76"/>
        <v>48.851465950614717</v>
      </c>
      <c r="Q497" s="12">
        <f t="shared" si="77"/>
        <v>33.191483368017806</v>
      </c>
      <c r="R497" s="13">
        <f t="shared" si="78"/>
        <v>26.810650075406716</v>
      </c>
      <c r="S497" s="3" t="s">
        <v>30</v>
      </c>
      <c r="T497" s="3" t="s">
        <v>35</v>
      </c>
      <c r="U497" s="10">
        <v>9330209900999</v>
      </c>
      <c r="V497" s="3">
        <v>0.1</v>
      </c>
      <c r="W497" s="3">
        <f t="shared" si="79"/>
        <v>1.3</v>
      </c>
      <c r="AA497" s="3">
        <v>26</v>
      </c>
    </row>
    <row r="498" spans="1:27" x14ac:dyDescent="0.3">
      <c r="A498" s="3" t="str">
        <f t="shared" si="70"/>
        <v>South9330209999297</v>
      </c>
      <c r="B498" s="3" t="str">
        <f t="shared" si="71"/>
        <v>CMR9330209999297</v>
      </c>
      <c r="C498" s="10">
        <v>9330209999297</v>
      </c>
      <c r="D498" s="10" t="str">
        <f t="shared" si="72"/>
        <v>9330209999</v>
      </c>
      <c r="E498" s="3" t="s">
        <v>5</v>
      </c>
      <c r="F498" s="3" t="s">
        <v>65</v>
      </c>
      <c r="H498" s="3">
        <v>6.4252499999999992</v>
      </c>
      <c r="I498" s="10">
        <f t="shared" si="73"/>
        <v>50.187784394469517</v>
      </c>
      <c r="J498" s="3">
        <v>3.8407254340010484</v>
      </c>
      <c r="K498" s="3">
        <v>0</v>
      </c>
      <c r="L498" s="3">
        <f t="shared" si="74"/>
        <v>0</v>
      </c>
      <c r="N498" s="11">
        <f t="shared" si="75"/>
        <v>2.5845245659989509</v>
      </c>
      <c r="O498" s="3">
        <v>3.8407254340010484</v>
      </c>
      <c r="P498" s="11">
        <f t="shared" si="76"/>
        <v>20.187784394469517</v>
      </c>
      <c r="Q498" s="12">
        <f t="shared" si="77"/>
        <v>15.806755022827275</v>
      </c>
      <c r="R498" s="13">
        <f t="shared" si="78"/>
        <v>32.660318747786754</v>
      </c>
      <c r="S498" s="3" t="s">
        <v>30</v>
      </c>
      <c r="T498" s="3" t="s">
        <v>35</v>
      </c>
      <c r="U498" s="10">
        <v>9330209900999</v>
      </c>
      <c r="V498" s="3">
        <v>0.1</v>
      </c>
      <c r="W498" s="3">
        <f t="shared" si="79"/>
        <v>0</v>
      </c>
      <c r="AA498" s="3">
        <v>26</v>
      </c>
    </row>
    <row r="499" spans="1:27" x14ac:dyDescent="0.3">
      <c r="A499" s="3" t="str">
        <f t="shared" si="70"/>
        <v>South9432009999195</v>
      </c>
      <c r="B499" s="3" t="str">
        <f t="shared" si="71"/>
        <v>CMR9432009999195</v>
      </c>
      <c r="C499" s="10">
        <v>9432009999195</v>
      </c>
      <c r="D499" s="10" t="str">
        <f t="shared" si="72"/>
        <v>9432009999</v>
      </c>
      <c r="E499" s="3" t="s">
        <v>5</v>
      </c>
      <c r="F499" s="3" t="s">
        <v>65</v>
      </c>
      <c r="H499" s="3">
        <v>12.071649999999998</v>
      </c>
      <c r="I499" s="10">
        <f t="shared" si="73"/>
        <v>132.42400307263441</v>
      </c>
      <c r="J499" s="3">
        <v>2.7347723342977437</v>
      </c>
      <c r="K499" s="3">
        <v>0</v>
      </c>
      <c r="L499" s="3">
        <f t="shared" si="74"/>
        <v>0</v>
      </c>
      <c r="N499" s="11">
        <f t="shared" si="75"/>
        <v>9.3368776657022536</v>
      </c>
      <c r="O499" s="3">
        <v>2.7347723342977437</v>
      </c>
      <c r="P499" s="11">
        <f t="shared" si="76"/>
        <v>102.42400307263439</v>
      </c>
      <c r="Q499" s="12">
        <f t="shared" si="77"/>
        <v>33.429616714558321</v>
      </c>
      <c r="R499" s="13">
        <f t="shared" si="78"/>
        <v>30.757201129347859</v>
      </c>
      <c r="S499" s="3" t="s">
        <v>30</v>
      </c>
      <c r="T499" s="3" t="s">
        <v>35</v>
      </c>
      <c r="U499" s="10">
        <v>0</v>
      </c>
      <c r="V499" s="3">
        <v>0</v>
      </c>
      <c r="W499" s="3">
        <f t="shared" si="79"/>
        <v>0</v>
      </c>
      <c r="AA499" s="3">
        <v>26</v>
      </c>
    </row>
    <row r="500" spans="1:27" x14ac:dyDescent="0.3">
      <c r="A500" s="3" t="str">
        <f t="shared" si="70"/>
        <v>South9432009999838</v>
      </c>
      <c r="B500" s="3" t="str">
        <f t="shared" si="71"/>
        <v>CMR9432009999838</v>
      </c>
      <c r="C500" s="10">
        <v>9432009999838</v>
      </c>
      <c r="D500" s="10" t="str">
        <f t="shared" si="72"/>
        <v>9432009999</v>
      </c>
      <c r="E500" s="3" t="s">
        <v>5</v>
      </c>
      <c r="F500" s="3" t="s">
        <v>65</v>
      </c>
      <c r="H500" s="3">
        <v>7.6265999999999998</v>
      </c>
      <c r="I500" s="10">
        <f t="shared" si="73"/>
        <v>85.18661577356329</v>
      </c>
      <c r="J500" s="3">
        <v>2.6858444595119706</v>
      </c>
      <c r="K500" s="3">
        <v>0</v>
      </c>
      <c r="L500" s="3">
        <f t="shared" si="74"/>
        <v>0</v>
      </c>
      <c r="N500" s="11">
        <f t="shared" si="75"/>
        <v>4.9407555404880288</v>
      </c>
      <c r="O500" s="3">
        <v>2.6858444595119706</v>
      </c>
      <c r="P500" s="11">
        <f t="shared" si="76"/>
        <v>55.186615773563283</v>
      </c>
      <c r="Q500" s="12">
        <f t="shared" si="77"/>
        <v>24.306677742413655</v>
      </c>
      <c r="R500" s="13">
        <f t="shared" si="78"/>
        <v>29.681856596540243</v>
      </c>
      <c r="S500" s="3" t="s">
        <v>30</v>
      </c>
      <c r="T500" s="3" t="s">
        <v>35</v>
      </c>
      <c r="U500" s="10">
        <v>0</v>
      </c>
      <c r="V500" s="3">
        <v>0</v>
      </c>
      <c r="W500" s="3">
        <f t="shared" si="79"/>
        <v>0</v>
      </c>
      <c r="AA500" s="3">
        <v>26</v>
      </c>
    </row>
    <row r="501" spans="1:27" x14ac:dyDescent="0.3">
      <c r="A501" s="3" t="str">
        <f t="shared" si="70"/>
        <v>South9431009999195</v>
      </c>
      <c r="B501" s="3" t="str">
        <f t="shared" si="71"/>
        <v>CMR9431009999195</v>
      </c>
      <c r="C501" s="10">
        <v>9431009999195</v>
      </c>
      <c r="D501" s="10" t="str">
        <f t="shared" si="72"/>
        <v>9431009999</v>
      </c>
      <c r="E501" s="3" t="s">
        <v>5</v>
      </c>
      <c r="F501" s="3" t="s">
        <v>65</v>
      </c>
      <c r="H501" s="3">
        <v>1.41265</v>
      </c>
      <c r="I501" s="10">
        <f t="shared" si="73"/>
        <v>35.21206143320186</v>
      </c>
      <c r="J501" s="3">
        <v>1.2035506663077635</v>
      </c>
      <c r="K501" s="3">
        <v>0</v>
      </c>
      <c r="L501" s="3">
        <f t="shared" si="74"/>
        <v>0</v>
      </c>
      <c r="N501" s="11">
        <f t="shared" si="75"/>
        <v>0.20909933369223643</v>
      </c>
      <c r="O501" s="3">
        <v>1.2035506663077635</v>
      </c>
      <c r="P501" s="11">
        <f t="shared" si="76"/>
        <v>5.2120614332018578</v>
      </c>
      <c r="Q501" s="12">
        <f t="shared" si="77"/>
        <v>4.5791433600517637</v>
      </c>
      <c r="R501" s="13">
        <f t="shared" si="78"/>
        <v>32.659545068538762</v>
      </c>
      <c r="S501" s="3" t="s">
        <v>31</v>
      </c>
      <c r="T501" s="3" t="s">
        <v>35</v>
      </c>
      <c r="U501" s="10">
        <v>0</v>
      </c>
      <c r="V501" s="3">
        <v>0</v>
      </c>
      <c r="W501" s="3">
        <f t="shared" si="79"/>
        <v>0</v>
      </c>
      <c r="AA501" s="3">
        <v>26</v>
      </c>
    </row>
    <row r="502" spans="1:27" x14ac:dyDescent="0.3">
      <c r="A502" s="3" t="str">
        <f t="shared" si="70"/>
        <v>South9431009999838</v>
      </c>
      <c r="B502" s="3" t="str">
        <f t="shared" si="71"/>
        <v>CMR9431009999838</v>
      </c>
      <c r="C502" s="10">
        <v>9431009999838</v>
      </c>
      <c r="D502" s="10" t="str">
        <f t="shared" si="72"/>
        <v>9431009999</v>
      </c>
      <c r="E502" s="3" t="s">
        <v>5</v>
      </c>
      <c r="F502" s="3" t="s">
        <v>65</v>
      </c>
      <c r="H502" s="3">
        <v>1.2729999999999999</v>
      </c>
      <c r="I502" s="10">
        <f t="shared" si="73"/>
        <v>33.53656958380693</v>
      </c>
      <c r="J502" s="3">
        <v>1.1387568995261808</v>
      </c>
      <c r="K502" s="3">
        <v>0</v>
      </c>
      <c r="L502" s="3">
        <f t="shared" si="74"/>
        <v>0</v>
      </c>
      <c r="N502" s="11">
        <f t="shared" si="75"/>
        <v>0.13424310047381915</v>
      </c>
      <c r="O502" s="3">
        <v>1.1387568995261808</v>
      </c>
      <c r="P502" s="11">
        <f t="shared" si="76"/>
        <v>3.5365695838069295</v>
      </c>
      <c r="Q502" s="12">
        <f t="shared" si="77"/>
        <v>7.465921634121953</v>
      </c>
      <c r="R502" s="13">
        <f t="shared" si="78"/>
        <v>12.439444130659385</v>
      </c>
      <c r="S502" s="3" t="s">
        <v>31</v>
      </c>
      <c r="T502" s="3" t="s">
        <v>35</v>
      </c>
      <c r="U502" s="10">
        <v>0</v>
      </c>
      <c r="V502" s="3">
        <v>0</v>
      </c>
      <c r="W502" s="3">
        <f t="shared" si="79"/>
        <v>0</v>
      </c>
      <c r="AA502" s="3">
        <v>26</v>
      </c>
    </row>
    <row r="503" spans="1:27" x14ac:dyDescent="0.3">
      <c r="A503" s="3" t="str">
        <f t="shared" si="70"/>
        <v>East9420029999838</v>
      </c>
      <c r="B503" s="3" t="str">
        <f t="shared" si="71"/>
        <v>KGP9420029999838</v>
      </c>
      <c r="C503" s="10">
        <v>9420029999838</v>
      </c>
      <c r="D503" s="10" t="str">
        <f t="shared" si="72"/>
        <v>9420029999</v>
      </c>
      <c r="E503" s="3" t="s">
        <v>6</v>
      </c>
      <c r="F503" s="3" t="s">
        <v>66</v>
      </c>
      <c r="H503" s="3">
        <v>0.94999999999999984</v>
      </c>
      <c r="I503" s="10">
        <f t="shared" si="73"/>
        <v>13.516528690873239</v>
      </c>
      <c r="J503" s="3">
        <v>2.1085295383010609</v>
      </c>
      <c r="K503" s="3">
        <v>14</v>
      </c>
      <c r="L503" s="3">
        <f t="shared" si="74"/>
        <v>0</v>
      </c>
      <c r="N503" s="11">
        <f t="shared" si="75"/>
        <v>-1.1585295383010612</v>
      </c>
      <c r="O503" s="3">
        <v>2.1085295383010609</v>
      </c>
      <c r="P503" s="11">
        <f t="shared" si="76"/>
        <v>-16.483471309126763</v>
      </c>
      <c r="Q503" s="12">
        <f t="shared" si="77"/>
        <v>-16.483471309126763</v>
      </c>
      <c r="R503" s="13">
        <f t="shared" si="78"/>
        <v>-1.5040952227448274</v>
      </c>
      <c r="S503" s="3" t="s">
        <v>31</v>
      </c>
      <c r="T503" s="3" t="s">
        <v>28</v>
      </c>
      <c r="U503" s="10">
        <v>0</v>
      </c>
      <c r="V503" s="3">
        <v>0</v>
      </c>
      <c r="W503" s="3">
        <f t="shared" si="79"/>
        <v>0</v>
      </c>
      <c r="AA503" s="3">
        <v>26</v>
      </c>
    </row>
    <row r="504" spans="1:27" x14ac:dyDescent="0.3">
      <c r="A504" s="3" t="str">
        <f t="shared" si="70"/>
        <v>East9431009999838</v>
      </c>
      <c r="B504" s="3" t="str">
        <f t="shared" si="71"/>
        <v>KGP9431009999838</v>
      </c>
      <c r="C504" s="10">
        <v>9431009999838</v>
      </c>
      <c r="D504" s="10" t="str">
        <f t="shared" si="72"/>
        <v>9431009999</v>
      </c>
      <c r="E504" s="3" t="s">
        <v>6</v>
      </c>
      <c r="F504" s="3" t="s">
        <v>66</v>
      </c>
      <c r="H504" s="3">
        <v>1.8544000000000003</v>
      </c>
      <c r="I504" s="10">
        <f t="shared" si="73"/>
        <v>27.383720951102944</v>
      </c>
      <c r="J504" s="3">
        <v>2.0315719729739392</v>
      </c>
      <c r="K504" s="3">
        <v>0</v>
      </c>
      <c r="L504" s="3">
        <f t="shared" si="74"/>
        <v>0</v>
      </c>
      <c r="N504" s="11">
        <f t="shared" si="75"/>
        <v>-0.17717197297393894</v>
      </c>
      <c r="O504" s="3">
        <v>2.0315719729739392</v>
      </c>
      <c r="P504" s="11">
        <f t="shared" si="76"/>
        <v>-2.6162790488970535</v>
      </c>
      <c r="Q504" s="12">
        <f t="shared" si="77"/>
        <v>-2.6162790488970531</v>
      </c>
      <c r="R504" s="13">
        <f t="shared" si="78"/>
        <v>12.439444130659385</v>
      </c>
      <c r="S504" s="3" t="s">
        <v>31</v>
      </c>
      <c r="T504" s="3" t="s">
        <v>35</v>
      </c>
      <c r="U504" s="10">
        <v>0</v>
      </c>
      <c r="V504" s="3">
        <v>0</v>
      </c>
      <c r="W504" s="3">
        <f t="shared" si="79"/>
        <v>0</v>
      </c>
      <c r="AA504" s="3">
        <v>26</v>
      </c>
    </row>
    <row r="505" spans="1:27" x14ac:dyDescent="0.3">
      <c r="A505" s="3" t="str">
        <f t="shared" si="70"/>
        <v>East9420029999195</v>
      </c>
      <c r="B505" s="3" t="str">
        <f t="shared" si="71"/>
        <v>KGP9420029999195</v>
      </c>
      <c r="C505" s="10">
        <v>9420029999195</v>
      </c>
      <c r="D505" s="10" t="str">
        <f t="shared" si="72"/>
        <v>9420029999</v>
      </c>
      <c r="E505" s="3" t="s">
        <v>6</v>
      </c>
      <c r="F505" s="3" t="s">
        <v>66</v>
      </c>
      <c r="H505" s="3">
        <v>1.7204499999999998</v>
      </c>
      <c r="I505" s="10">
        <f t="shared" si="73"/>
        <v>30.086264643297525</v>
      </c>
      <c r="J505" s="3">
        <v>1.7155170511171516</v>
      </c>
      <c r="K505" s="3">
        <v>12</v>
      </c>
      <c r="L505" s="3">
        <f t="shared" si="74"/>
        <v>0</v>
      </c>
      <c r="N505" s="11">
        <f t="shared" si="75"/>
        <v>4.9329488828482315E-3</v>
      </c>
      <c r="O505" s="3">
        <v>1.7155170511171516</v>
      </c>
      <c r="P505" s="11">
        <f t="shared" si="76"/>
        <v>8.6264643297527269E-2</v>
      </c>
      <c r="Q505" s="12">
        <f t="shared" si="77"/>
        <v>8.6264643297527269E-2</v>
      </c>
      <c r="R505" s="13">
        <f t="shared" si="78"/>
        <v>7.550065878312501</v>
      </c>
      <c r="S505" s="3" t="s">
        <v>31</v>
      </c>
      <c r="T505" s="3" t="s">
        <v>28</v>
      </c>
      <c r="U505" s="10">
        <v>0</v>
      </c>
      <c r="V505" s="3">
        <v>0</v>
      </c>
      <c r="W505" s="3">
        <f t="shared" si="79"/>
        <v>0</v>
      </c>
      <c r="AA505" s="3">
        <v>26</v>
      </c>
    </row>
    <row r="506" spans="1:27" x14ac:dyDescent="0.3">
      <c r="A506" s="3" t="str">
        <f t="shared" si="70"/>
        <v>East9431009999195</v>
      </c>
      <c r="B506" s="3" t="str">
        <f t="shared" si="71"/>
        <v>KGP9431009999195</v>
      </c>
      <c r="C506" s="10">
        <v>9431009999195</v>
      </c>
      <c r="D506" s="10" t="str">
        <f t="shared" si="72"/>
        <v>9431009999</v>
      </c>
      <c r="E506" s="3" t="s">
        <v>6</v>
      </c>
      <c r="F506" s="3" t="s">
        <v>66</v>
      </c>
      <c r="H506" s="3">
        <v>2.1602999999999999</v>
      </c>
      <c r="I506" s="10">
        <f t="shared" si="73"/>
        <v>40.09098068378384</v>
      </c>
      <c r="J506" s="3">
        <v>1.6165481336358078</v>
      </c>
      <c r="K506" s="3">
        <v>0</v>
      </c>
      <c r="L506" s="3">
        <f t="shared" si="74"/>
        <v>0</v>
      </c>
      <c r="N506" s="11">
        <f t="shared" si="75"/>
        <v>0.54375186636419204</v>
      </c>
      <c r="O506" s="3">
        <v>1.6165481336358078</v>
      </c>
      <c r="P506" s="11">
        <f t="shared" si="76"/>
        <v>10.090980683783844</v>
      </c>
      <c r="Q506" s="12">
        <f t="shared" si="77"/>
        <v>10.090980683783846</v>
      </c>
      <c r="R506" s="13">
        <f t="shared" si="78"/>
        <v>32.659545068538762</v>
      </c>
      <c r="S506" s="3" t="s">
        <v>31</v>
      </c>
      <c r="T506" s="3" t="s">
        <v>35</v>
      </c>
      <c r="U506" s="10">
        <v>0</v>
      </c>
      <c r="V506" s="3">
        <v>0</v>
      </c>
      <c r="W506" s="3">
        <f t="shared" si="79"/>
        <v>0</v>
      </c>
      <c r="AA506" s="3">
        <v>26</v>
      </c>
    </row>
    <row r="507" spans="1:27" x14ac:dyDescent="0.3">
      <c r="A507" s="3" t="str">
        <f t="shared" si="70"/>
        <v>East9410019999190</v>
      </c>
      <c r="B507" s="3" t="str">
        <f t="shared" si="71"/>
        <v>KGP9410019999190</v>
      </c>
      <c r="C507" s="10">
        <v>9410019999190</v>
      </c>
      <c r="D507" s="10" t="str">
        <f t="shared" si="72"/>
        <v>9410019999</v>
      </c>
      <c r="E507" s="3" t="s">
        <v>6</v>
      </c>
      <c r="F507" s="3" t="s">
        <v>66</v>
      </c>
      <c r="H507" s="3">
        <v>1.2618</v>
      </c>
      <c r="I507" s="10">
        <f t="shared" si="73"/>
        <v>36.826469105021943</v>
      </c>
      <c r="J507" s="3">
        <v>1.0279019661659048</v>
      </c>
      <c r="K507" s="3">
        <v>0</v>
      </c>
      <c r="L507" s="3">
        <f t="shared" si="74"/>
        <v>0</v>
      </c>
      <c r="N507" s="11">
        <f t="shared" si="75"/>
        <v>0.23389803383409524</v>
      </c>
      <c r="O507" s="3">
        <v>1.0279019661659048</v>
      </c>
      <c r="P507" s="11">
        <f t="shared" si="76"/>
        <v>6.8264691050219408</v>
      </c>
      <c r="Q507" s="12">
        <f t="shared" si="77"/>
        <v>6.8264691050219399</v>
      </c>
      <c r="R507" s="13">
        <f t="shared" si="78"/>
        <v>-4.6134217416350287</v>
      </c>
      <c r="S507" s="3" t="s">
        <v>31</v>
      </c>
      <c r="T507" s="3" t="s">
        <v>32</v>
      </c>
      <c r="U507" s="10">
        <v>0</v>
      </c>
      <c r="V507" s="3">
        <v>0</v>
      </c>
      <c r="W507" s="3">
        <f t="shared" si="79"/>
        <v>0</v>
      </c>
      <c r="AA507" s="3">
        <v>26</v>
      </c>
    </row>
    <row r="508" spans="1:27" x14ac:dyDescent="0.3">
      <c r="A508" s="3" t="str">
        <f t="shared" si="70"/>
        <v>East9410019999836</v>
      </c>
      <c r="B508" s="3" t="str">
        <f t="shared" si="71"/>
        <v>KGP9410019999836</v>
      </c>
      <c r="C508" s="10">
        <v>9410019999836</v>
      </c>
      <c r="D508" s="10" t="str">
        <f t="shared" si="72"/>
        <v>9410019999</v>
      </c>
      <c r="E508" s="3" t="s">
        <v>6</v>
      </c>
      <c r="F508" s="3" t="s">
        <v>66</v>
      </c>
      <c r="H508" s="3">
        <v>0.86759999999999993</v>
      </c>
      <c r="I508" s="10">
        <f t="shared" si="73"/>
        <v>55.939958085797279</v>
      </c>
      <c r="J508" s="3">
        <v>0.46528458173100251</v>
      </c>
      <c r="K508" s="3">
        <v>0</v>
      </c>
      <c r="L508" s="3">
        <f t="shared" si="74"/>
        <v>0</v>
      </c>
      <c r="N508" s="11">
        <f t="shared" si="75"/>
        <v>0.40231541826899742</v>
      </c>
      <c r="O508" s="3">
        <v>0.46528458173100251</v>
      </c>
      <c r="P508" s="11">
        <f t="shared" si="76"/>
        <v>25.939958085797276</v>
      </c>
      <c r="Q508" s="12">
        <f t="shared" si="77"/>
        <v>25.939958085797276</v>
      </c>
      <c r="R508" s="13">
        <f t="shared" si="78"/>
        <v>20.800814485774602</v>
      </c>
      <c r="S508" s="3" t="s">
        <v>31</v>
      </c>
      <c r="T508" s="3" t="s">
        <v>32</v>
      </c>
      <c r="U508" s="10">
        <v>0</v>
      </c>
      <c r="V508" s="3">
        <v>0</v>
      </c>
      <c r="W508" s="3">
        <f t="shared" si="79"/>
        <v>0</v>
      </c>
      <c r="AA508" s="3">
        <v>26</v>
      </c>
    </row>
    <row r="509" spans="1:27" x14ac:dyDescent="0.3">
      <c r="A509" s="3" t="str">
        <f t="shared" si="70"/>
        <v>East9420019999838</v>
      </c>
      <c r="B509" s="3" t="str">
        <f t="shared" si="71"/>
        <v>KGP9420019999838</v>
      </c>
      <c r="C509" s="10">
        <v>9420019999838</v>
      </c>
      <c r="D509" s="10" t="str">
        <f t="shared" si="72"/>
        <v>9420019999</v>
      </c>
      <c r="E509" s="3" t="s">
        <v>6</v>
      </c>
      <c r="F509" s="3" t="s">
        <v>66</v>
      </c>
      <c r="H509" s="3">
        <v>9.1200000000000003E-2</v>
      </c>
      <c r="I509" s="10">
        <f t="shared" si="73"/>
        <v>6.1879504036023345</v>
      </c>
      <c r="J509" s="3">
        <v>0.44214963300404436</v>
      </c>
      <c r="K509" s="3">
        <v>0</v>
      </c>
      <c r="L509" s="3">
        <f t="shared" si="74"/>
        <v>0</v>
      </c>
      <c r="N509" s="11">
        <f t="shared" si="75"/>
        <v>-0.35094963300404436</v>
      </c>
      <c r="O509" s="3">
        <v>0.44214963300404436</v>
      </c>
      <c r="P509" s="11">
        <f t="shared" si="76"/>
        <v>-23.812049596397667</v>
      </c>
      <c r="Q509" s="12">
        <f t="shared" si="77"/>
        <v>-23.812049596397664</v>
      </c>
      <c r="R509" s="13">
        <f t="shared" si="78"/>
        <v>115.48988822119654</v>
      </c>
      <c r="S509" s="3" t="s">
        <v>31</v>
      </c>
      <c r="T509" s="3" t="s">
        <v>28</v>
      </c>
      <c r="U509" s="10">
        <v>0</v>
      </c>
      <c r="V509" s="3">
        <v>0</v>
      </c>
      <c r="W509" s="3">
        <f t="shared" si="79"/>
        <v>0</v>
      </c>
      <c r="AA509" s="3">
        <v>26</v>
      </c>
    </row>
    <row r="510" spans="1:27" x14ac:dyDescent="0.3">
      <c r="A510" s="3" t="str">
        <f t="shared" si="70"/>
        <v>East9420019999195</v>
      </c>
      <c r="B510" s="3" t="str">
        <f t="shared" si="71"/>
        <v>KGP9420019999195</v>
      </c>
      <c r="C510" s="10">
        <v>9420019999195</v>
      </c>
      <c r="D510" s="10" t="str">
        <f t="shared" si="72"/>
        <v>9420019999</v>
      </c>
      <c r="E510" s="3" t="s">
        <v>6</v>
      </c>
      <c r="F510" s="3" t="s">
        <v>66</v>
      </c>
      <c r="H510" s="3">
        <v>2.2799999999999997E-2</v>
      </c>
      <c r="I510" s="10">
        <f t="shared" si="73"/>
        <v>2.2986368935722674</v>
      </c>
      <c r="J510" s="3">
        <v>0.2975676592995985</v>
      </c>
      <c r="K510" s="3">
        <v>0</v>
      </c>
      <c r="L510" s="3">
        <f t="shared" si="74"/>
        <v>0</v>
      </c>
      <c r="N510" s="11">
        <f t="shared" si="75"/>
        <v>-0.27476765929959851</v>
      </c>
      <c r="O510" s="3">
        <v>0.2975676592995985</v>
      </c>
      <c r="P510" s="11">
        <f t="shared" si="76"/>
        <v>-27.701363106427731</v>
      </c>
      <c r="Q510" s="12">
        <f t="shared" si="77"/>
        <v>-27.701363106427731</v>
      </c>
      <c r="R510" s="13">
        <f t="shared" si="78"/>
        <v>-25.598592451231163</v>
      </c>
      <c r="S510" s="3" t="s">
        <v>31</v>
      </c>
      <c r="T510" s="3" t="s">
        <v>28</v>
      </c>
      <c r="U510" s="10">
        <v>0</v>
      </c>
      <c r="V510" s="3">
        <v>0</v>
      </c>
      <c r="W510" s="3">
        <f t="shared" si="79"/>
        <v>0</v>
      </c>
      <c r="AA510" s="3">
        <v>26</v>
      </c>
    </row>
    <row r="511" spans="1:27" x14ac:dyDescent="0.3">
      <c r="A511" s="3" t="str">
        <f t="shared" si="70"/>
        <v>North9432019999195</v>
      </c>
      <c r="B511" s="3" t="str">
        <f t="shared" si="71"/>
        <v>Lud9432019999195</v>
      </c>
      <c r="C511" s="10">
        <v>9432019999195</v>
      </c>
      <c r="D511" s="10" t="str">
        <f t="shared" si="72"/>
        <v>9432019999</v>
      </c>
      <c r="E511" s="3" t="s">
        <v>3</v>
      </c>
      <c r="F511" s="3" t="s">
        <v>64</v>
      </c>
      <c r="H511" s="3">
        <v>0.59375</v>
      </c>
      <c r="I511" s="10">
        <f t="shared" si="73"/>
        <v>92.975669511196216</v>
      </c>
      <c r="J511" s="3">
        <v>0.19158237949397075</v>
      </c>
      <c r="K511" s="3">
        <v>0</v>
      </c>
      <c r="L511" s="3">
        <f t="shared" si="74"/>
        <v>0</v>
      </c>
      <c r="N511" s="11">
        <f t="shared" si="75"/>
        <v>0.40216762050602928</v>
      </c>
      <c r="O511" s="3">
        <v>0.19158237949397075</v>
      </c>
      <c r="P511" s="11">
        <f t="shared" si="76"/>
        <v>62.97566951119623</v>
      </c>
      <c r="Q511" s="12">
        <f t="shared" si="77"/>
        <v>12.363519648610513</v>
      </c>
      <c r="R511" s="13">
        <f t="shared" si="78"/>
        <v>6.1005383184753246</v>
      </c>
      <c r="S511" s="3" t="s">
        <v>31</v>
      </c>
      <c r="T511" s="3" t="s">
        <v>35</v>
      </c>
      <c r="U511" s="10">
        <v>0</v>
      </c>
      <c r="V511" s="3">
        <v>0</v>
      </c>
      <c r="W511" s="3">
        <f t="shared" si="79"/>
        <v>0</v>
      </c>
      <c r="AA511" s="3">
        <v>27</v>
      </c>
    </row>
    <row r="512" spans="1:27" x14ac:dyDescent="0.3">
      <c r="A512" s="3" t="str">
        <f t="shared" si="70"/>
        <v>North9432019999838</v>
      </c>
      <c r="B512" s="3" t="str">
        <f t="shared" si="71"/>
        <v>Lud9432019999838</v>
      </c>
      <c r="C512" s="10">
        <v>9432019999838</v>
      </c>
      <c r="D512" s="10" t="str">
        <f t="shared" si="72"/>
        <v>9432019999</v>
      </c>
      <c r="E512" s="3" t="s">
        <v>3</v>
      </c>
      <c r="F512" s="3" t="s">
        <v>64</v>
      </c>
      <c r="H512" s="3">
        <v>0.56619999999999993</v>
      </c>
      <c r="I512" s="10">
        <f t="shared" si="73"/>
        <v>88.74609925809547</v>
      </c>
      <c r="J512" s="3">
        <v>0.1913999617109991</v>
      </c>
      <c r="K512" s="3">
        <v>0</v>
      </c>
      <c r="L512" s="3">
        <f t="shared" si="74"/>
        <v>0</v>
      </c>
      <c r="N512" s="11">
        <f t="shared" si="75"/>
        <v>0.37480003828900083</v>
      </c>
      <c r="O512" s="3">
        <v>0.1913999617109991</v>
      </c>
      <c r="P512" s="11">
        <f t="shared" si="76"/>
        <v>58.74609925809547</v>
      </c>
      <c r="Q512" s="12">
        <f t="shared" si="77"/>
        <v>45.330892423160762</v>
      </c>
      <c r="R512" s="13">
        <f t="shared" si="78"/>
        <v>17.535302156467548</v>
      </c>
      <c r="S512" s="3" t="s">
        <v>31</v>
      </c>
      <c r="T512" s="3" t="s">
        <v>35</v>
      </c>
      <c r="U512" s="10">
        <v>0</v>
      </c>
      <c r="V512" s="3">
        <v>0</v>
      </c>
      <c r="W512" s="3">
        <f t="shared" si="79"/>
        <v>0</v>
      </c>
      <c r="AA512" s="3">
        <v>27</v>
      </c>
    </row>
    <row r="513" spans="1:27" x14ac:dyDescent="0.3">
      <c r="A513" s="3" t="str">
        <f t="shared" si="70"/>
        <v>South9410019999190</v>
      </c>
      <c r="B513" s="3" t="str">
        <f t="shared" si="71"/>
        <v>CMR9410019999190</v>
      </c>
      <c r="C513" s="10">
        <v>9410019999190</v>
      </c>
      <c r="D513" s="10" t="str">
        <f t="shared" si="72"/>
        <v>9410019999</v>
      </c>
      <c r="E513" s="3" t="s">
        <v>5</v>
      </c>
      <c r="F513" s="3" t="s">
        <v>65</v>
      </c>
      <c r="H513" s="3">
        <v>1.0269000000000001</v>
      </c>
      <c r="I513" s="10">
        <f t="shared" si="73"/>
        <v>21.701859206783769</v>
      </c>
      <c r="J513" s="3">
        <v>1.4195557950339142</v>
      </c>
      <c r="K513" s="3">
        <v>0</v>
      </c>
      <c r="L513" s="3">
        <f t="shared" si="74"/>
        <v>0</v>
      </c>
      <c r="N513" s="11">
        <f t="shared" si="75"/>
        <v>-0.39265579503391401</v>
      </c>
      <c r="O513" s="3">
        <v>1.4195557950339142</v>
      </c>
      <c r="P513" s="11">
        <f t="shared" si="76"/>
        <v>-8.2981407932162288</v>
      </c>
      <c r="Q513" s="12">
        <f t="shared" si="77"/>
        <v>-19.081332641237424</v>
      </c>
      <c r="R513" s="13">
        <f t="shared" si="78"/>
        <v>-4.6134217416350287</v>
      </c>
      <c r="S513" s="3" t="s">
        <v>31</v>
      </c>
      <c r="T513" s="3" t="s">
        <v>32</v>
      </c>
      <c r="U513" s="10">
        <v>0</v>
      </c>
      <c r="V513" s="3">
        <v>0</v>
      </c>
      <c r="W513" s="3">
        <f t="shared" si="79"/>
        <v>0</v>
      </c>
      <c r="AA513" s="3">
        <v>27</v>
      </c>
    </row>
    <row r="514" spans="1:27" x14ac:dyDescent="0.3">
      <c r="A514" s="3" t="str">
        <f t="shared" si="70"/>
        <v>South9410019999836</v>
      </c>
      <c r="B514" s="3" t="str">
        <f t="shared" si="71"/>
        <v>CMR9410019999836</v>
      </c>
      <c r="C514" s="10">
        <v>9410019999836</v>
      </c>
      <c r="D514" s="10" t="str">
        <f t="shared" si="72"/>
        <v>9410019999</v>
      </c>
      <c r="E514" s="3" t="s">
        <v>5</v>
      </c>
      <c r="F514" s="3" t="s">
        <v>65</v>
      </c>
      <c r="H514" s="3">
        <v>9.3599999999999989E-2</v>
      </c>
      <c r="I514" s="10">
        <f t="shared" si="73"/>
        <v>13.499792057904054</v>
      </c>
      <c r="J514" s="3">
        <v>0.20800320389793936</v>
      </c>
      <c r="K514" s="3">
        <v>0</v>
      </c>
      <c r="L514" s="3">
        <f t="shared" si="74"/>
        <v>0</v>
      </c>
      <c r="N514" s="11">
        <f t="shared" si="75"/>
        <v>-0.11440320389793937</v>
      </c>
      <c r="O514" s="3">
        <v>0.20800320389793936</v>
      </c>
      <c r="P514" s="11">
        <f t="shared" si="76"/>
        <v>-16.500207942095944</v>
      </c>
      <c r="Q514" s="12">
        <f t="shared" si="77"/>
        <v>-17.38732117585624</v>
      </c>
      <c r="R514" s="13">
        <f t="shared" si="78"/>
        <v>20.800814485774602</v>
      </c>
      <c r="S514" s="3" t="s">
        <v>31</v>
      </c>
      <c r="T514" s="3" t="s">
        <v>32</v>
      </c>
      <c r="U514" s="10">
        <v>0</v>
      </c>
      <c r="V514" s="3">
        <v>0</v>
      </c>
      <c r="W514" s="3">
        <f t="shared" si="79"/>
        <v>0</v>
      </c>
      <c r="AA514" s="3">
        <v>27</v>
      </c>
    </row>
    <row r="515" spans="1:27" x14ac:dyDescent="0.3">
      <c r="A515" s="3" t="str">
        <f t="shared" si="70"/>
        <v>West9160509999219</v>
      </c>
      <c r="B515" s="3" t="str">
        <f t="shared" si="71"/>
        <v>Mah9160509999219</v>
      </c>
      <c r="C515" s="14">
        <v>9160509999219</v>
      </c>
      <c r="D515" s="10" t="str">
        <f t="shared" si="72"/>
        <v>9160509999</v>
      </c>
      <c r="E515" s="3" t="s">
        <v>1</v>
      </c>
      <c r="F515" s="3" t="s">
        <v>63</v>
      </c>
      <c r="H515" s="3">
        <v>7.5855000000000006</v>
      </c>
      <c r="I515" s="10">
        <f t="shared" si="73"/>
        <v>20.255190008755392</v>
      </c>
      <c r="J515" s="3">
        <v>11.23489831009406</v>
      </c>
      <c r="K515" s="3">
        <v>28</v>
      </c>
      <c r="L515" s="3">
        <f t="shared" si="74"/>
        <v>0</v>
      </c>
      <c r="M515" s="32"/>
      <c r="N515" s="11">
        <f t="shared" si="75"/>
        <v>-3.6493983100940595</v>
      </c>
      <c r="O515" s="3">
        <v>11.23489831009406</v>
      </c>
      <c r="P515" s="11">
        <f t="shared" si="76"/>
        <v>-9.74480999124461</v>
      </c>
      <c r="Q515" s="12">
        <f t="shared" si="77"/>
        <v>-9.74480999124461</v>
      </c>
      <c r="R515" s="13">
        <f t="shared" si="78"/>
        <v>31.34794595299039</v>
      </c>
      <c r="S515" s="3" t="s">
        <v>30</v>
      </c>
      <c r="T515" s="3" t="s">
        <v>34</v>
      </c>
      <c r="U515" s="10">
        <v>0</v>
      </c>
      <c r="V515" s="3">
        <v>0</v>
      </c>
      <c r="W515" s="3">
        <f t="shared" si="79"/>
        <v>0</v>
      </c>
      <c r="Y515" s="3">
        <v>0</v>
      </c>
      <c r="Z515" s="3">
        <v>0</v>
      </c>
      <c r="AA515" s="3">
        <v>28</v>
      </c>
    </row>
    <row r="516" spans="1:27" x14ac:dyDescent="0.3">
      <c r="A516" s="3" t="str">
        <f t="shared" ref="A516:A579" si="80">_xlfn.CONCAT(F516,C516)</f>
        <v>West9320049999239</v>
      </c>
      <c r="B516" s="3" t="str">
        <f t="shared" ref="B516:B579" si="81">_xlfn.CONCAT(E516,C516)</f>
        <v>Mah9320049999239</v>
      </c>
      <c r="C516" s="10">
        <v>9320049999239</v>
      </c>
      <c r="D516" s="10" t="str">
        <f t="shared" ref="D516:D579" si="82">LEFT(C516,10)</f>
        <v>9320049999</v>
      </c>
      <c r="E516" s="3" t="s">
        <v>1</v>
      </c>
      <c r="F516" s="3" t="s">
        <v>63</v>
      </c>
      <c r="H516" s="3">
        <v>14.585999999999988</v>
      </c>
      <c r="I516" s="10">
        <f t="shared" ref="I516:I579" si="83">IFERROR(H516/J516*30,0)</f>
        <v>83.198945737526799</v>
      </c>
      <c r="J516" s="3">
        <v>5.2594416446148502</v>
      </c>
      <c r="K516" s="3">
        <v>0</v>
      </c>
      <c r="L516" s="3">
        <f t="shared" ref="L516:L579" si="84">M516*G516</f>
        <v>0</v>
      </c>
      <c r="M516" s="32"/>
      <c r="N516" s="11">
        <f t="shared" ref="N516:N579" si="85">H516-J516+L516</f>
        <v>9.3265583553851386</v>
      </c>
      <c r="O516" s="3">
        <v>5.2594416446148502</v>
      </c>
      <c r="P516" s="11">
        <f t="shared" ref="P516:P579" si="86">IF(O516=0,9999,N516/O516*30)</f>
        <v>53.198945737526806</v>
      </c>
      <c r="Q516" s="12">
        <f t="shared" ref="Q516:Q579" si="87">IF(SUMIF($A:$A,$A516,$O:$O)=0,9999,SUMIF($A:$A,$A516,$N:$N)*30/SUMIF($A:$A,$A516,$O:$O))</f>
        <v>53.198945737526806</v>
      </c>
      <c r="R516" s="13">
        <f t="shared" ref="R516:R579" si="88">IF(SUMIF($C:$C,$C516,$O:$O)=0,9999,SUMIF($C:$C,$C516,$N:$N)*30/SUMIF($C:$C,$C516,$O:$O))</f>
        <v>53.198945737526806</v>
      </c>
      <c r="S516" s="3" t="s">
        <v>31</v>
      </c>
      <c r="T516" s="3" t="s">
        <v>28</v>
      </c>
      <c r="U516" s="10">
        <v>0</v>
      </c>
      <c r="V516" s="3">
        <v>0</v>
      </c>
      <c r="W516" s="3">
        <f t="shared" ref="W516:W579" si="89">IFERROR(K516*V516,0)</f>
        <v>0</v>
      </c>
      <c r="Y516" s="3">
        <v>0</v>
      </c>
      <c r="Z516" s="3">
        <v>120</v>
      </c>
      <c r="AA516" s="3">
        <v>28</v>
      </c>
    </row>
    <row r="517" spans="1:27" x14ac:dyDescent="0.3">
      <c r="A517" s="3" t="str">
        <f t="shared" si="80"/>
        <v>West9160709999219</v>
      </c>
      <c r="B517" s="3" t="str">
        <f t="shared" si="81"/>
        <v>Mah9160709999219</v>
      </c>
      <c r="C517" s="10">
        <v>9160709999219</v>
      </c>
      <c r="D517" s="10" t="str">
        <f t="shared" si="82"/>
        <v>9160709999</v>
      </c>
      <c r="E517" s="3" t="s">
        <v>1</v>
      </c>
      <c r="F517" s="3" t="s">
        <v>63</v>
      </c>
      <c r="H517" s="3">
        <v>11.2125</v>
      </c>
      <c r="I517" s="10">
        <f t="shared" si="83"/>
        <v>64.965008296710479</v>
      </c>
      <c r="J517" s="3">
        <v>5.1777873784560482</v>
      </c>
      <c r="K517" s="3">
        <v>0</v>
      </c>
      <c r="L517" s="3">
        <f t="shared" si="84"/>
        <v>0</v>
      </c>
      <c r="M517" s="32"/>
      <c r="N517" s="11">
        <f t="shared" si="85"/>
        <v>6.0347126215439522</v>
      </c>
      <c r="O517" s="3">
        <v>5.1777873784560482</v>
      </c>
      <c r="P517" s="11">
        <f t="shared" si="86"/>
        <v>34.965008296710486</v>
      </c>
      <c r="Q517" s="12">
        <f t="shared" si="87"/>
        <v>34.965008296710486</v>
      </c>
      <c r="R517" s="13">
        <f t="shared" si="88"/>
        <v>105.2313732458948</v>
      </c>
      <c r="S517" s="3" t="s">
        <v>31</v>
      </c>
      <c r="T517" s="3" t="s">
        <v>34</v>
      </c>
      <c r="U517" s="10">
        <v>0</v>
      </c>
      <c r="V517" s="3">
        <v>0</v>
      </c>
      <c r="W517" s="3">
        <f t="shared" si="89"/>
        <v>0</v>
      </c>
      <c r="Y517" s="3">
        <v>0</v>
      </c>
      <c r="Z517" s="3">
        <v>20</v>
      </c>
      <c r="AA517" s="3">
        <v>28</v>
      </c>
    </row>
    <row r="518" spans="1:27" x14ac:dyDescent="0.3">
      <c r="A518" s="3" t="str">
        <f t="shared" si="80"/>
        <v>West9320029999219</v>
      </c>
      <c r="B518" s="3" t="str">
        <f t="shared" si="81"/>
        <v>Mah9320029999219</v>
      </c>
      <c r="C518" s="10">
        <v>9320029999219</v>
      </c>
      <c r="D518" s="10" t="str">
        <f t="shared" si="82"/>
        <v>9320029999</v>
      </c>
      <c r="E518" s="3" t="s">
        <v>1</v>
      </c>
      <c r="F518" s="3" t="s">
        <v>63</v>
      </c>
      <c r="H518" s="3">
        <v>6.2984999999999998</v>
      </c>
      <c r="I518" s="10">
        <f t="shared" si="83"/>
        <v>53.121734565866241</v>
      </c>
      <c r="J518" s="3">
        <v>3.5570186392485463</v>
      </c>
      <c r="K518" s="3">
        <v>0</v>
      </c>
      <c r="L518" s="3">
        <f t="shared" si="84"/>
        <v>0</v>
      </c>
      <c r="M518" s="32"/>
      <c r="N518" s="11">
        <f t="shared" si="85"/>
        <v>2.7414813607514534</v>
      </c>
      <c r="O518" s="3">
        <v>3.5570186392485463</v>
      </c>
      <c r="P518" s="11">
        <f t="shared" si="86"/>
        <v>23.121734565866237</v>
      </c>
      <c r="Q518" s="12">
        <f t="shared" si="87"/>
        <v>23.121734565866241</v>
      </c>
      <c r="R518" s="13">
        <f t="shared" si="88"/>
        <v>20.644368796962809</v>
      </c>
      <c r="S518" s="3" t="s">
        <v>30</v>
      </c>
      <c r="T518" s="3" t="s">
        <v>28</v>
      </c>
      <c r="U518" s="10">
        <v>9320029900999</v>
      </c>
      <c r="V518" s="3">
        <v>0.1</v>
      </c>
      <c r="W518" s="3">
        <f t="shared" si="89"/>
        <v>0</v>
      </c>
      <c r="Y518" s="3">
        <v>0</v>
      </c>
      <c r="Z518" s="3">
        <v>3110</v>
      </c>
      <c r="AA518" s="3">
        <v>28</v>
      </c>
    </row>
    <row r="519" spans="1:27" x14ac:dyDescent="0.3">
      <c r="A519" s="3" t="str">
        <f t="shared" si="80"/>
        <v>West9320049999097</v>
      </c>
      <c r="B519" s="3" t="str">
        <f t="shared" si="81"/>
        <v>Mah9320049999097</v>
      </c>
      <c r="C519" s="10">
        <v>9320049999097</v>
      </c>
      <c r="D519" s="10" t="str">
        <f t="shared" si="82"/>
        <v>9320049999</v>
      </c>
      <c r="E519" s="3" t="s">
        <v>1</v>
      </c>
      <c r="F519" s="3" t="s">
        <v>63</v>
      </c>
      <c r="H519" s="3">
        <v>9.8270747249999992</v>
      </c>
      <c r="I519" s="10">
        <f t="shared" si="83"/>
        <v>88.146144955535405</v>
      </c>
      <c r="J519" s="3">
        <v>3.3445846315651759</v>
      </c>
      <c r="K519" s="3">
        <v>0</v>
      </c>
      <c r="L519" s="3">
        <f t="shared" si="84"/>
        <v>0</v>
      </c>
      <c r="M519" s="32"/>
      <c r="N519" s="11">
        <f t="shared" si="85"/>
        <v>6.4824900934348229</v>
      </c>
      <c r="O519" s="3">
        <v>3.3445846315651759</v>
      </c>
      <c r="P519" s="11">
        <f t="shared" si="86"/>
        <v>58.146144955535398</v>
      </c>
      <c r="Q519" s="12">
        <f t="shared" si="87"/>
        <v>58.146144955535405</v>
      </c>
      <c r="R519" s="13">
        <f t="shared" si="88"/>
        <v>58.146144955535405</v>
      </c>
      <c r="S519" s="3" t="s">
        <v>31</v>
      </c>
      <c r="T519" s="3" t="s">
        <v>28</v>
      </c>
      <c r="U519" s="10">
        <v>0</v>
      </c>
      <c r="V519" s="3">
        <v>0</v>
      </c>
      <c r="W519" s="3">
        <f t="shared" si="89"/>
        <v>0</v>
      </c>
      <c r="Y519" s="3">
        <v>2</v>
      </c>
      <c r="Z519" s="3">
        <v>27</v>
      </c>
      <c r="AA519" s="3">
        <v>28</v>
      </c>
    </row>
    <row r="520" spans="1:27" x14ac:dyDescent="0.3">
      <c r="A520" s="3" t="str">
        <f t="shared" si="80"/>
        <v>West9432019999195</v>
      </c>
      <c r="B520" s="3" t="str">
        <f t="shared" si="81"/>
        <v>Mah9432019999195</v>
      </c>
      <c r="C520" s="10">
        <v>9432019999195</v>
      </c>
      <c r="D520" s="10" t="str">
        <f t="shared" si="82"/>
        <v>9432019999</v>
      </c>
      <c r="E520" s="3" t="s">
        <v>1</v>
      </c>
      <c r="F520" s="3" t="s">
        <v>63</v>
      </c>
      <c r="H520" s="3">
        <v>1.9921499999999999</v>
      </c>
      <c r="I520" s="10">
        <f t="shared" si="83"/>
        <v>21.580232554028015</v>
      </c>
      <c r="J520" s="3">
        <v>2.7694094514678791</v>
      </c>
      <c r="K520" s="3">
        <v>14</v>
      </c>
      <c r="L520" s="3">
        <f t="shared" si="84"/>
        <v>0</v>
      </c>
      <c r="M520" s="32"/>
      <c r="N520" s="11">
        <f t="shared" si="85"/>
        <v>-0.77725945146787923</v>
      </c>
      <c r="O520" s="3">
        <v>2.7694094514678791</v>
      </c>
      <c r="P520" s="11">
        <f t="shared" si="86"/>
        <v>-8.4197674459719849</v>
      </c>
      <c r="Q520" s="12">
        <f t="shared" si="87"/>
        <v>-8.4197674459719831</v>
      </c>
      <c r="R520" s="13">
        <f t="shared" si="88"/>
        <v>6.1005383184753246</v>
      </c>
      <c r="S520" s="3" t="s">
        <v>31</v>
      </c>
      <c r="T520" s="3" t="s">
        <v>35</v>
      </c>
      <c r="U520" s="10">
        <v>0</v>
      </c>
      <c r="V520" s="3">
        <v>0</v>
      </c>
      <c r="W520" s="3">
        <f t="shared" si="89"/>
        <v>0</v>
      </c>
      <c r="Y520" s="3">
        <v>0</v>
      </c>
      <c r="Z520" s="3">
        <v>0</v>
      </c>
      <c r="AA520" s="3">
        <v>28</v>
      </c>
    </row>
    <row r="521" spans="1:27" x14ac:dyDescent="0.3">
      <c r="A521" s="3" t="str">
        <f t="shared" si="80"/>
        <v>West9320029999839</v>
      </c>
      <c r="B521" s="3" t="str">
        <f t="shared" si="81"/>
        <v>Mah9320029999839</v>
      </c>
      <c r="C521" s="10">
        <v>9320029999839</v>
      </c>
      <c r="D521" s="10" t="str">
        <f t="shared" si="82"/>
        <v>9320029999</v>
      </c>
      <c r="E521" s="3" t="s">
        <v>1</v>
      </c>
      <c r="F521" s="3" t="s">
        <v>63</v>
      </c>
      <c r="H521" s="3">
        <v>11.064299999999999</v>
      </c>
      <c r="I521" s="10">
        <f t="shared" si="83"/>
        <v>149.400043637316</v>
      </c>
      <c r="J521" s="3">
        <v>2.2217463390157488</v>
      </c>
      <c r="K521" s="3">
        <v>14</v>
      </c>
      <c r="L521" s="3">
        <f t="shared" si="84"/>
        <v>0</v>
      </c>
      <c r="M521" s="32"/>
      <c r="N521" s="11">
        <f t="shared" si="85"/>
        <v>8.842553660984251</v>
      </c>
      <c r="O521" s="3">
        <v>2.2217463390157488</v>
      </c>
      <c r="P521" s="11">
        <f t="shared" si="86"/>
        <v>119.40004363731603</v>
      </c>
      <c r="Q521" s="12">
        <f t="shared" si="87"/>
        <v>119.40004363731602</v>
      </c>
      <c r="R521" s="13">
        <f t="shared" si="88"/>
        <v>19.357265929212165</v>
      </c>
      <c r="S521" s="3" t="s">
        <v>30</v>
      </c>
      <c r="T521" s="3" t="s">
        <v>28</v>
      </c>
      <c r="U521" s="10">
        <v>0</v>
      </c>
      <c r="V521" s="3">
        <v>0</v>
      </c>
      <c r="W521" s="3">
        <f t="shared" si="89"/>
        <v>0</v>
      </c>
      <c r="Y521" s="3">
        <v>0</v>
      </c>
      <c r="Z521" s="3">
        <v>92</v>
      </c>
      <c r="AA521" s="3">
        <v>28</v>
      </c>
    </row>
    <row r="522" spans="1:27" x14ac:dyDescent="0.3">
      <c r="A522" s="3" t="str">
        <f t="shared" si="80"/>
        <v>West9320029999097</v>
      </c>
      <c r="B522" s="3" t="str">
        <f t="shared" si="81"/>
        <v>Mah9320029999097</v>
      </c>
      <c r="C522" s="10">
        <v>9320029999097</v>
      </c>
      <c r="D522" s="10" t="str">
        <f t="shared" si="82"/>
        <v>9320029999</v>
      </c>
      <c r="E522" s="3" t="s">
        <v>1</v>
      </c>
      <c r="F522" s="3" t="s">
        <v>63</v>
      </c>
      <c r="H522" s="3">
        <v>12.243074999999999</v>
      </c>
      <c r="I522" s="10">
        <f t="shared" si="83"/>
        <v>170.6134349267094</v>
      </c>
      <c r="J522" s="3">
        <v>2.1527744878812043</v>
      </c>
      <c r="K522" s="3">
        <v>0</v>
      </c>
      <c r="L522" s="3">
        <f t="shared" si="84"/>
        <v>0</v>
      </c>
      <c r="M522" s="32"/>
      <c r="N522" s="11">
        <f t="shared" si="85"/>
        <v>10.090300512118795</v>
      </c>
      <c r="O522" s="3">
        <v>2.1527744878812043</v>
      </c>
      <c r="P522" s="11">
        <f t="shared" si="86"/>
        <v>140.6134349267094</v>
      </c>
      <c r="Q522" s="12">
        <f t="shared" si="87"/>
        <v>140.61343492670937</v>
      </c>
      <c r="R522" s="13">
        <f t="shared" si="88"/>
        <v>27.782787977034157</v>
      </c>
      <c r="S522" s="3" t="s">
        <v>30</v>
      </c>
      <c r="T522" s="3" t="s">
        <v>28</v>
      </c>
      <c r="U522" s="10">
        <v>0</v>
      </c>
      <c r="V522" s="3">
        <v>0</v>
      </c>
      <c r="W522" s="3">
        <f t="shared" si="89"/>
        <v>0</v>
      </c>
      <c r="Y522" s="3">
        <v>0</v>
      </c>
      <c r="Z522" s="3">
        <v>297</v>
      </c>
      <c r="AA522" s="3">
        <v>28</v>
      </c>
    </row>
    <row r="523" spans="1:27" x14ac:dyDescent="0.3">
      <c r="A523" s="3" t="str">
        <f t="shared" si="80"/>
        <v>West9320049999297</v>
      </c>
      <c r="B523" s="3" t="str">
        <f t="shared" si="81"/>
        <v>Mah9320049999297</v>
      </c>
      <c r="C523" s="10">
        <v>9320049999297</v>
      </c>
      <c r="D523" s="10" t="str">
        <f t="shared" si="82"/>
        <v>9320049999</v>
      </c>
      <c r="E523" s="3" t="s">
        <v>1</v>
      </c>
      <c r="F523" s="3" t="s">
        <v>63</v>
      </c>
      <c r="H523" s="3">
        <v>21.401250000000001</v>
      </c>
      <c r="I523" s="10">
        <f t="shared" si="83"/>
        <v>357.04891183530839</v>
      </c>
      <c r="J523" s="3">
        <v>1.7981780050800011</v>
      </c>
      <c r="K523" s="3">
        <v>0</v>
      </c>
      <c r="L523" s="3">
        <f t="shared" si="84"/>
        <v>0</v>
      </c>
      <c r="M523" s="32"/>
      <c r="N523" s="11">
        <f t="shared" si="85"/>
        <v>19.603071994920001</v>
      </c>
      <c r="O523" s="3">
        <v>1.7981780050800011</v>
      </c>
      <c r="P523" s="11">
        <f t="shared" si="86"/>
        <v>327.04891183530839</v>
      </c>
      <c r="Q523" s="12">
        <f t="shared" si="87"/>
        <v>327.04891183530839</v>
      </c>
      <c r="R523" s="13">
        <f t="shared" si="88"/>
        <v>327.04891183530839</v>
      </c>
      <c r="S523" s="3" t="s">
        <v>31</v>
      </c>
      <c r="T523" s="3" t="s">
        <v>28</v>
      </c>
      <c r="U523" s="10">
        <v>0</v>
      </c>
      <c r="V523" s="3">
        <v>0</v>
      </c>
      <c r="W523" s="3">
        <f t="shared" si="89"/>
        <v>0</v>
      </c>
      <c r="Y523" s="3">
        <v>0</v>
      </c>
      <c r="Z523" s="3">
        <v>152</v>
      </c>
      <c r="AA523" s="3">
        <v>28</v>
      </c>
    </row>
    <row r="524" spans="1:27" x14ac:dyDescent="0.3">
      <c r="A524" s="3" t="str">
        <f t="shared" si="80"/>
        <v>West9432019999838</v>
      </c>
      <c r="B524" s="3" t="str">
        <f t="shared" si="81"/>
        <v>Mah9432019999838</v>
      </c>
      <c r="C524" s="10">
        <v>9432019999838</v>
      </c>
      <c r="D524" s="10" t="str">
        <f t="shared" si="82"/>
        <v>9432019999</v>
      </c>
      <c r="E524" s="3" t="s">
        <v>1</v>
      </c>
      <c r="F524" s="3" t="s">
        <v>63</v>
      </c>
      <c r="H524" s="3">
        <v>1.7289999999999999</v>
      </c>
      <c r="I524" s="10">
        <f t="shared" si="83"/>
        <v>31.343676384841341</v>
      </c>
      <c r="J524" s="3">
        <v>1.6548792605926006</v>
      </c>
      <c r="K524" s="3">
        <v>14</v>
      </c>
      <c r="L524" s="3">
        <f t="shared" si="84"/>
        <v>0</v>
      </c>
      <c r="M524" s="32"/>
      <c r="N524" s="11">
        <f t="shared" si="85"/>
        <v>7.4120739407399272E-2</v>
      </c>
      <c r="O524" s="3">
        <v>1.6548792605926006</v>
      </c>
      <c r="P524" s="11">
        <f t="shared" si="86"/>
        <v>1.3436763848413418</v>
      </c>
      <c r="Q524" s="12">
        <f t="shared" si="87"/>
        <v>1.3436763848413418</v>
      </c>
      <c r="R524" s="13">
        <f t="shared" si="88"/>
        <v>17.535302156467548</v>
      </c>
      <c r="S524" s="3" t="s">
        <v>31</v>
      </c>
      <c r="T524" s="3" t="s">
        <v>35</v>
      </c>
      <c r="U524" s="10">
        <v>0</v>
      </c>
      <c r="V524" s="3">
        <v>0</v>
      </c>
      <c r="W524" s="3">
        <f t="shared" si="89"/>
        <v>0</v>
      </c>
      <c r="Y524" s="3">
        <v>0</v>
      </c>
      <c r="Z524" s="3">
        <v>224</v>
      </c>
      <c r="AA524" s="3">
        <v>28</v>
      </c>
    </row>
    <row r="525" spans="1:27" x14ac:dyDescent="0.3">
      <c r="A525" s="3" t="str">
        <f t="shared" si="80"/>
        <v>West9310099999839</v>
      </c>
      <c r="B525" s="3" t="str">
        <f t="shared" si="81"/>
        <v>Mah9310099999839</v>
      </c>
      <c r="C525" s="10">
        <v>9310099999839</v>
      </c>
      <c r="D525" s="10" t="str">
        <f t="shared" si="82"/>
        <v>9310099999</v>
      </c>
      <c r="E525" s="3" t="s">
        <v>1</v>
      </c>
      <c r="F525" s="3" t="s">
        <v>63</v>
      </c>
      <c r="H525" s="3">
        <v>0</v>
      </c>
      <c r="I525" s="10">
        <f t="shared" si="83"/>
        <v>0</v>
      </c>
      <c r="J525" s="3">
        <v>1.5900455843999997</v>
      </c>
      <c r="K525" s="3">
        <v>0</v>
      </c>
      <c r="L525" s="3">
        <f t="shared" si="84"/>
        <v>0</v>
      </c>
      <c r="M525" s="32"/>
      <c r="N525" s="11">
        <f t="shared" si="85"/>
        <v>-1.5900455843999997</v>
      </c>
      <c r="O525" s="3">
        <v>1.5900455843999997</v>
      </c>
      <c r="P525" s="11">
        <f t="shared" si="86"/>
        <v>-30</v>
      </c>
      <c r="Q525" s="12">
        <f t="shared" si="87"/>
        <v>-30</v>
      </c>
      <c r="R525" s="13">
        <f t="shared" si="88"/>
        <v>-30</v>
      </c>
      <c r="S525" s="3">
        <v>0</v>
      </c>
      <c r="T525" s="3" t="s">
        <v>32</v>
      </c>
      <c r="U525" s="10">
        <v>0</v>
      </c>
      <c r="V525" s="3">
        <v>0</v>
      </c>
      <c r="W525" s="3">
        <f t="shared" si="89"/>
        <v>0</v>
      </c>
      <c r="Y525" s="3">
        <v>0</v>
      </c>
      <c r="Z525" s="3">
        <v>184</v>
      </c>
      <c r="AA525" s="3">
        <v>28</v>
      </c>
    </row>
    <row r="526" spans="1:27" x14ac:dyDescent="0.3">
      <c r="A526" s="3" t="str">
        <f t="shared" si="80"/>
        <v>West9310019999839</v>
      </c>
      <c r="B526" s="3" t="str">
        <f t="shared" si="81"/>
        <v>Mah9310019999839</v>
      </c>
      <c r="C526" s="10">
        <v>9310019999839</v>
      </c>
      <c r="D526" s="10" t="str">
        <f t="shared" si="82"/>
        <v>9310019999</v>
      </c>
      <c r="E526" s="3" t="s">
        <v>1</v>
      </c>
      <c r="F526" s="3" t="s">
        <v>63</v>
      </c>
      <c r="H526" s="3">
        <v>2.0903999999999998</v>
      </c>
      <c r="I526" s="10">
        <f t="shared" si="83"/>
        <v>45.073766100809628</v>
      </c>
      <c r="J526" s="3">
        <v>1.3913192844756219</v>
      </c>
      <c r="K526" s="3">
        <v>0</v>
      </c>
      <c r="L526" s="3">
        <f t="shared" si="84"/>
        <v>0</v>
      </c>
      <c r="M526" s="32"/>
      <c r="N526" s="11">
        <f t="shared" si="85"/>
        <v>0.69908071552437789</v>
      </c>
      <c r="O526" s="3">
        <v>1.3913192844756219</v>
      </c>
      <c r="P526" s="11">
        <f t="shared" si="86"/>
        <v>15.073766100809628</v>
      </c>
      <c r="Q526" s="12">
        <f t="shared" si="87"/>
        <v>15.073766100809628</v>
      </c>
      <c r="R526" s="13">
        <f t="shared" si="88"/>
        <v>0.90281642977410392</v>
      </c>
      <c r="S526" s="3" t="s">
        <v>30</v>
      </c>
      <c r="T526" s="3" t="s">
        <v>32</v>
      </c>
      <c r="U526" s="10">
        <v>0</v>
      </c>
      <c r="V526" s="3">
        <v>0</v>
      </c>
      <c r="W526" s="3">
        <f t="shared" si="89"/>
        <v>0</v>
      </c>
      <c r="Y526" s="3">
        <v>0</v>
      </c>
      <c r="Z526" s="3">
        <v>0</v>
      </c>
      <c r="AA526" s="3">
        <v>28</v>
      </c>
    </row>
    <row r="527" spans="1:27" x14ac:dyDescent="0.3">
      <c r="A527" s="3" t="str">
        <f t="shared" si="80"/>
        <v>West9310019999219</v>
      </c>
      <c r="B527" s="3" t="str">
        <f t="shared" si="81"/>
        <v>Mah9310019999219</v>
      </c>
      <c r="C527" s="10">
        <v>9310019999219</v>
      </c>
      <c r="D527" s="10" t="str">
        <f t="shared" si="82"/>
        <v>9310019999</v>
      </c>
      <c r="E527" s="3" t="s">
        <v>1</v>
      </c>
      <c r="F527" s="3" t="s">
        <v>63</v>
      </c>
      <c r="H527" s="3">
        <v>3.4710000000000001</v>
      </c>
      <c r="I527" s="10">
        <f t="shared" si="83"/>
        <v>79.159915794553299</v>
      </c>
      <c r="J527" s="3">
        <v>1.3154384887201307</v>
      </c>
      <c r="K527" s="3">
        <v>0</v>
      </c>
      <c r="L527" s="3">
        <f t="shared" si="84"/>
        <v>0</v>
      </c>
      <c r="M527" s="32"/>
      <c r="N527" s="11">
        <f t="shared" si="85"/>
        <v>2.1555615112798696</v>
      </c>
      <c r="O527" s="3">
        <v>1.3154384887201307</v>
      </c>
      <c r="P527" s="11">
        <f t="shared" si="86"/>
        <v>49.159915794553314</v>
      </c>
      <c r="Q527" s="12">
        <f t="shared" si="87"/>
        <v>49.159915794553307</v>
      </c>
      <c r="R527" s="13">
        <f t="shared" si="88"/>
        <v>46.246565856944308</v>
      </c>
      <c r="S527" s="3" t="s">
        <v>31</v>
      </c>
      <c r="T527" s="3" t="s">
        <v>32</v>
      </c>
      <c r="U527" s="10">
        <v>9310019900999</v>
      </c>
      <c r="V527" s="3">
        <v>0.1</v>
      </c>
      <c r="W527" s="3">
        <f t="shared" si="89"/>
        <v>0</v>
      </c>
      <c r="Y527" s="3">
        <v>0</v>
      </c>
      <c r="Z527" s="3">
        <v>22</v>
      </c>
      <c r="AA527" s="3">
        <v>28</v>
      </c>
    </row>
    <row r="528" spans="1:27" x14ac:dyDescent="0.3">
      <c r="A528" s="3" t="str">
        <f t="shared" si="80"/>
        <v>West9410019999190</v>
      </c>
      <c r="B528" s="3" t="str">
        <f t="shared" si="81"/>
        <v>Mah9410019999190</v>
      </c>
      <c r="C528" s="10">
        <v>9410019999190</v>
      </c>
      <c r="D528" s="10" t="str">
        <f t="shared" si="82"/>
        <v>9410019999</v>
      </c>
      <c r="E528" s="3" t="s">
        <v>1</v>
      </c>
      <c r="F528" s="3" t="s">
        <v>63</v>
      </c>
      <c r="H528" s="3">
        <v>1.4219999999999999</v>
      </c>
      <c r="I528" s="10">
        <f t="shared" si="83"/>
        <v>34.04662129770702</v>
      </c>
      <c r="J528" s="3">
        <v>1.2529877671847887</v>
      </c>
      <c r="K528" s="3">
        <v>0</v>
      </c>
      <c r="L528" s="3">
        <f t="shared" si="84"/>
        <v>0</v>
      </c>
      <c r="M528" s="32"/>
      <c r="N528" s="11">
        <f t="shared" si="85"/>
        <v>0.16901223281521127</v>
      </c>
      <c r="O528" s="3">
        <v>1.2529877671847887</v>
      </c>
      <c r="P528" s="11">
        <f t="shared" si="86"/>
        <v>4.0466212977070262</v>
      </c>
      <c r="Q528" s="12">
        <f t="shared" si="87"/>
        <v>4.0466212977070262</v>
      </c>
      <c r="R528" s="13">
        <f t="shared" si="88"/>
        <v>-4.6134217416350287</v>
      </c>
      <c r="S528" s="3" t="s">
        <v>31</v>
      </c>
      <c r="T528" s="3" t="s">
        <v>32</v>
      </c>
      <c r="U528" s="10">
        <v>0</v>
      </c>
      <c r="V528" s="3">
        <v>0</v>
      </c>
      <c r="W528" s="3">
        <f t="shared" si="89"/>
        <v>0</v>
      </c>
      <c r="Y528" s="3">
        <v>0</v>
      </c>
      <c r="Z528" s="3">
        <v>2520</v>
      </c>
      <c r="AA528" s="3">
        <v>28</v>
      </c>
    </row>
    <row r="529" spans="1:27" x14ac:dyDescent="0.3">
      <c r="A529" s="3" t="str">
        <f t="shared" si="80"/>
        <v>West9420059999195</v>
      </c>
      <c r="B529" s="3" t="str">
        <f t="shared" si="81"/>
        <v>Mah9420059999195</v>
      </c>
      <c r="C529" s="10">
        <v>9420059999195</v>
      </c>
      <c r="D529" s="10" t="str">
        <f t="shared" si="82"/>
        <v>9420059999</v>
      </c>
      <c r="E529" s="3" t="s">
        <v>1</v>
      </c>
      <c r="F529" s="3" t="s">
        <v>63</v>
      </c>
      <c r="H529" s="3">
        <v>1.31765</v>
      </c>
      <c r="I529" s="10">
        <f t="shared" si="83"/>
        <v>33.988562327569063</v>
      </c>
      <c r="J529" s="3">
        <v>1.1630235965566724</v>
      </c>
      <c r="K529" s="3">
        <v>0</v>
      </c>
      <c r="L529" s="3">
        <f t="shared" si="84"/>
        <v>0</v>
      </c>
      <c r="M529" s="32"/>
      <c r="N529" s="11">
        <f t="shared" si="85"/>
        <v>0.15462640344332756</v>
      </c>
      <c r="O529" s="3">
        <v>1.1630235965566724</v>
      </c>
      <c r="P529" s="11">
        <f t="shared" si="86"/>
        <v>3.9885623275690656</v>
      </c>
      <c r="Q529" s="12">
        <f t="shared" si="87"/>
        <v>3.9885623275690651</v>
      </c>
      <c r="R529" s="13">
        <f t="shared" si="88"/>
        <v>29.27901427061612</v>
      </c>
      <c r="S529" s="3" t="s">
        <v>31</v>
      </c>
      <c r="T529" s="3" t="s">
        <v>28</v>
      </c>
      <c r="U529" s="10">
        <v>0</v>
      </c>
      <c r="V529" s="3">
        <v>0</v>
      </c>
      <c r="W529" s="3">
        <f t="shared" si="89"/>
        <v>0</v>
      </c>
      <c r="Y529" s="3">
        <v>0</v>
      </c>
      <c r="Z529" s="3">
        <v>288</v>
      </c>
      <c r="AA529" s="3">
        <v>28</v>
      </c>
    </row>
    <row r="530" spans="1:27" x14ac:dyDescent="0.3">
      <c r="A530" s="3" t="str">
        <f t="shared" si="80"/>
        <v>West9320029999297</v>
      </c>
      <c r="B530" s="3" t="str">
        <f t="shared" si="81"/>
        <v>Mah9320029999297</v>
      </c>
      <c r="C530" s="10">
        <v>9320029999297</v>
      </c>
      <c r="D530" s="10" t="str">
        <f t="shared" si="82"/>
        <v>9320029999</v>
      </c>
      <c r="E530" s="3" t="s">
        <v>1</v>
      </c>
      <c r="F530" s="3" t="s">
        <v>63</v>
      </c>
      <c r="H530" s="3">
        <v>1.9597499999999999</v>
      </c>
      <c r="I530" s="10">
        <f t="shared" si="83"/>
        <v>50.660896969553114</v>
      </c>
      <c r="J530" s="3">
        <v>1.1605104432977948</v>
      </c>
      <c r="K530" s="3">
        <v>0</v>
      </c>
      <c r="L530" s="3">
        <f t="shared" si="84"/>
        <v>0</v>
      </c>
      <c r="M530" s="32"/>
      <c r="N530" s="11">
        <f t="shared" si="85"/>
        <v>0.79923955670220503</v>
      </c>
      <c r="O530" s="3">
        <v>1.1605104432977948</v>
      </c>
      <c r="P530" s="11">
        <f t="shared" si="86"/>
        <v>20.660896969553114</v>
      </c>
      <c r="Q530" s="12">
        <f t="shared" si="87"/>
        <v>20.660896969553114</v>
      </c>
      <c r="R530" s="13">
        <f t="shared" si="88"/>
        <v>17.77009633775095</v>
      </c>
      <c r="S530" s="3" t="s">
        <v>30</v>
      </c>
      <c r="T530" s="3" t="s">
        <v>28</v>
      </c>
      <c r="U530" s="10">
        <v>9320029900999</v>
      </c>
      <c r="V530" s="3">
        <v>0.1</v>
      </c>
      <c r="W530" s="3">
        <f t="shared" si="89"/>
        <v>0</v>
      </c>
      <c r="Y530" s="3">
        <v>0</v>
      </c>
      <c r="Z530" s="3">
        <v>832</v>
      </c>
      <c r="AA530" s="3">
        <v>28</v>
      </c>
    </row>
    <row r="531" spans="1:27" x14ac:dyDescent="0.3">
      <c r="A531" s="3" t="str">
        <f t="shared" si="80"/>
        <v>West9310019999097</v>
      </c>
      <c r="B531" s="3" t="str">
        <f t="shared" si="81"/>
        <v>Mah9310019999097</v>
      </c>
      <c r="C531" s="10">
        <v>9310019999097</v>
      </c>
      <c r="D531" s="10" t="str">
        <f t="shared" si="82"/>
        <v>9310019999</v>
      </c>
      <c r="E531" s="3" t="s">
        <v>1</v>
      </c>
      <c r="F531" s="3" t="s">
        <v>63</v>
      </c>
      <c r="H531" s="3">
        <v>3.7322999999999995</v>
      </c>
      <c r="I531" s="10">
        <f t="shared" si="83"/>
        <v>100.04187076666943</v>
      </c>
      <c r="J531" s="3">
        <v>1.1192213734302165</v>
      </c>
      <c r="K531" s="3">
        <v>0</v>
      </c>
      <c r="L531" s="3">
        <f t="shared" si="84"/>
        <v>0</v>
      </c>
      <c r="M531" s="32"/>
      <c r="N531" s="11">
        <f t="shared" si="85"/>
        <v>2.613078626569783</v>
      </c>
      <c r="O531" s="3">
        <v>1.1192213734302165</v>
      </c>
      <c r="P531" s="11">
        <f t="shared" si="86"/>
        <v>70.041870766669433</v>
      </c>
      <c r="Q531" s="12">
        <f t="shared" si="87"/>
        <v>70.041870766669433</v>
      </c>
      <c r="R531" s="13">
        <f t="shared" si="88"/>
        <v>17.765600858039242</v>
      </c>
      <c r="S531" s="3" t="s">
        <v>31</v>
      </c>
      <c r="T531" s="3" t="s">
        <v>32</v>
      </c>
      <c r="U531" s="10">
        <v>0</v>
      </c>
      <c r="V531" s="3">
        <v>0</v>
      </c>
      <c r="W531" s="3">
        <f t="shared" si="89"/>
        <v>0</v>
      </c>
      <c r="Y531" s="3">
        <v>0</v>
      </c>
      <c r="Z531" s="3">
        <v>405</v>
      </c>
      <c r="AA531" s="3">
        <v>28</v>
      </c>
    </row>
    <row r="532" spans="1:27" x14ac:dyDescent="0.3">
      <c r="A532" s="3" t="str">
        <f t="shared" si="80"/>
        <v>West9420029999195</v>
      </c>
      <c r="B532" s="3" t="str">
        <f t="shared" si="81"/>
        <v>Mah9420029999195</v>
      </c>
      <c r="C532" s="10">
        <v>9420029999195</v>
      </c>
      <c r="D532" s="10" t="str">
        <f t="shared" si="82"/>
        <v>9420029999</v>
      </c>
      <c r="E532" s="3" t="s">
        <v>1</v>
      </c>
      <c r="F532" s="3" t="s">
        <v>63</v>
      </c>
      <c r="H532" s="3">
        <v>1.51715</v>
      </c>
      <c r="I532" s="10">
        <f t="shared" si="83"/>
        <v>46.616603934996789</v>
      </c>
      <c r="J532" s="3">
        <v>0.97635812474598993</v>
      </c>
      <c r="K532" s="3">
        <v>0</v>
      </c>
      <c r="L532" s="3">
        <f t="shared" si="84"/>
        <v>0</v>
      </c>
      <c r="M532" s="32"/>
      <c r="N532" s="11">
        <f t="shared" si="85"/>
        <v>0.54079187525401007</v>
      </c>
      <c r="O532" s="3">
        <v>0.97635812474598993</v>
      </c>
      <c r="P532" s="11">
        <f t="shared" si="86"/>
        <v>16.616603934996789</v>
      </c>
      <c r="Q532" s="12">
        <f t="shared" si="87"/>
        <v>16.616603934996789</v>
      </c>
      <c r="R532" s="13">
        <f t="shared" si="88"/>
        <v>7.550065878312501</v>
      </c>
      <c r="S532" s="3" t="s">
        <v>31</v>
      </c>
      <c r="T532" s="3" t="s">
        <v>28</v>
      </c>
      <c r="U532" s="10">
        <v>0</v>
      </c>
      <c r="V532" s="3">
        <v>0</v>
      </c>
      <c r="W532" s="3">
        <f t="shared" si="89"/>
        <v>0</v>
      </c>
      <c r="Y532" s="3">
        <v>0</v>
      </c>
      <c r="Z532" s="3">
        <v>81</v>
      </c>
      <c r="AA532" s="3">
        <v>28</v>
      </c>
    </row>
    <row r="533" spans="1:27" x14ac:dyDescent="0.3">
      <c r="A533" s="3" t="str">
        <f t="shared" si="80"/>
        <v>West9310099999097</v>
      </c>
      <c r="B533" s="3" t="str">
        <f t="shared" si="81"/>
        <v>Mah9310099999097</v>
      </c>
      <c r="C533" s="10">
        <v>9310099999097</v>
      </c>
      <c r="D533" s="10" t="str">
        <f t="shared" si="82"/>
        <v>9310099999</v>
      </c>
      <c r="E533" s="3" t="s">
        <v>1</v>
      </c>
      <c r="F533" s="3" t="s">
        <v>63</v>
      </c>
      <c r="H533" s="3">
        <v>0</v>
      </c>
      <c r="I533" s="10">
        <f t="shared" si="83"/>
        <v>0</v>
      </c>
      <c r="J533" s="3">
        <v>0.95402735063999977</v>
      </c>
      <c r="K533" s="3">
        <v>0</v>
      </c>
      <c r="L533" s="3">
        <f t="shared" si="84"/>
        <v>0</v>
      </c>
      <c r="M533" s="32"/>
      <c r="N533" s="11">
        <f t="shared" si="85"/>
        <v>-0.95402735063999977</v>
      </c>
      <c r="O533" s="3">
        <v>0.95402735063999977</v>
      </c>
      <c r="P533" s="11">
        <f t="shared" si="86"/>
        <v>-30</v>
      </c>
      <c r="Q533" s="12">
        <f t="shared" si="87"/>
        <v>-30</v>
      </c>
      <c r="R533" s="13">
        <f t="shared" si="88"/>
        <v>-30</v>
      </c>
      <c r="S533" s="3">
        <v>0</v>
      </c>
      <c r="T533" s="3" t="s">
        <v>32</v>
      </c>
      <c r="U533" s="10">
        <v>0</v>
      </c>
      <c r="V533" s="3">
        <v>0</v>
      </c>
      <c r="W533" s="3">
        <f t="shared" si="89"/>
        <v>0</v>
      </c>
      <c r="Y533" s="3">
        <v>0</v>
      </c>
      <c r="Z533" s="3">
        <v>180</v>
      </c>
      <c r="AA533" s="3">
        <v>28</v>
      </c>
    </row>
    <row r="534" spans="1:27" x14ac:dyDescent="0.3">
      <c r="A534" s="3" t="str">
        <f t="shared" si="80"/>
        <v>West9410019999836</v>
      </c>
      <c r="B534" s="3" t="str">
        <f t="shared" si="81"/>
        <v>Mah9410019999836</v>
      </c>
      <c r="C534" s="10">
        <v>9410019999836</v>
      </c>
      <c r="D534" s="10" t="str">
        <f t="shared" si="82"/>
        <v>9410019999</v>
      </c>
      <c r="E534" s="3" t="s">
        <v>1</v>
      </c>
      <c r="F534" s="3" t="s">
        <v>63</v>
      </c>
      <c r="H534" s="3">
        <v>0.52200000000000002</v>
      </c>
      <c r="I534" s="10">
        <f t="shared" si="83"/>
        <v>28.091672511737684</v>
      </c>
      <c r="J534" s="3">
        <v>0.55746057816446148</v>
      </c>
      <c r="K534" s="3">
        <v>0</v>
      </c>
      <c r="L534" s="3">
        <f t="shared" si="84"/>
        <v>0</v>
      </c>
      <c r="N534" s="11">
        <f t="shared" si="85"/>
        <v>-3.5460578164461465E-2</v>
      </c>
      <c r="O534" s="3">
        <v>0.55746057816446148</v>
      </c>
      <c r="P534" s="11">
        <f t="shared" si="86"/>
        <v>-1.9083274882623134</v>
      </c>
      <c r="Q534" s="12">
        <f t="shared" si="87"/>
        <v>-1.9083274882623136</v>
      </c>
      <c r="R534" s="13">
        <f t="shared" si="88"/>
        <v>20.800814485774602</v>
      </c>
      <c r="S534" s="3" t="s">
        <v>31</v>
      </c>
      <c r="T534" s="3" t="s">
        <v>32</v>
      </c>
      <c r="U534" s="10">
        <v>0</v>
      </c>
      <c r="V534" s="3">
        <v>0</v>
      </c>
      <c r="W534" s="3">
        <f t="shared" si="89"/>
        <v>0</v>
      </c>
      <c r="AA534" s="3">
        <v>28</v>
      </c>
    </row>
    <row r="535" spans="1:27" x14ac:dyDescent="0.3">
      <c r="A535" s="3" t="str">
        <f t="shared" si="80"/>
        <v>West9420059999838</v>
      </c>
      <c r="B535" s="3" t="str">
        <f t="shared" si="81"/>
        <v>Mah9420059999838</v>
      </c>
      <c r="C535" s="10">
        <v>9420059999838</v>
      </c>
      <c r="D535" s="10" t="str">
        <f t="shared" si="82"/>
        <v>9420059999</v>
      </c>
      <c r="E535" s="3" t="s">
        <v>1</v>
      </c>
      <c r="F535" s="3" t="s">
        <v>63</v>
      </c>
      <c r="H535" s="3">
        <v>1.2767999999999999</v>
      </c>
      <c r="I535" s="10">
        <f t="shared" si="83"/>
        <v>74.766245811303847</v>
      </c>
      <c r="J535" s="3">
        <v>0.51231674914736525</v>
      </c>
      <c r="K535" s="3">
        <v>0</v>
      </c>
      <c r="L535" s="3">
        <f t="shared" si="84"/>
        <v>0</v>
      </c>
      <c r="N535" s="11">
        <f t="shared" si="85"/>
        <v>0.76448325085263469</v>
      </c>
      <c r="O535" s="3">
        <v>0.51231674914736525</v>
      </c>
      <c r="P535" s="11">
        <f t="shared" si="86"/>
        <v>44.766245811303847</v>
      </c>
      <c r="Q535" s="12">
        <f t="shared" si="87"/>
        <v>44.76624581130384</v>
      </c>
      <c r="R535" s="13">
        <f t="shared" si="88"/>
        <v>22.423143014669041</v>
      </c>
      <c r="S535" s="3" t="s">
        <v>31</v>
      </c>
      <c r="T535" s="3" t="s">
        <v>28</v>
      </c>
      <c r="U535" s="10">
        <v>0</v>
      </c>
      <c r="V535" s="3">
        <v>0</v>
      </c>
      <c r="W535" s="3">
        <f t="shared" si="89"/>
        <v>0</v>
      </c>
      <c r="AA535" s="3">
        <v>28</v>
      </c>
    </row>
    <row r="536" spans="1:27" x14ac:dyDescent="0.3">
      <c r="A536" s="3" t="str">
        <f t="shared" si="80"/>
        <v>West9310019999297</v>
      </c>
      <c r="B536" s="3" t="str">
        <f t="shared" si="81"/>
        <v>Mah9310019999297</v>
      </c>
      <c r="C536" s="10">
        <v>9310019999297</v>
      </c>
      <c r="D536" s="10" t="str">
        <f t="shared" si="82"/>
        <v>9310019999</v>
      </c>
      <c r="E536" s="3" t="s">
        <v>1</v>
      </c>
      <c r="F536" s="3" t="s">
        <v>63</v>
      </c>
      <c r="H536" s="3">
        <v>1.1992500000000001</v>
      </c>
      <c r="I536" s="10">
        <f t="shared" si="83"/>
        <v>73.842618346231461</v>
      </c>
      <c r="J536" s="3">
        <v>0.48721863885310213</v>
      </c>
      <c r="K536" s="3">
        <v>0</v>
      </c>
      <c r="L536" s="3">
        <f t="shared" si="84"/>
        <v>0</v>
      </c>
      <c r="N536" s="11">
        <f t="shared" si="85"/>
        <v>0.71203136114689802</v>
      </c>
      <c r="O536" s="3">
        <v>0.48721863885310213</v>
      </c>
      <c r="P536" s="11">
        <f t="shared" si="86"/>
        <v>43.842618346231475</v>
      </c>
      <c r="Q536" s="12">
        <f t="shared" si="87"/>
        <v>43.842618346231468</v>
      </c>
      <c r="R536" s="13">
        <f t="shared" si="88"/>
        <v>27.652805977650061</v>
      </c>
      <c r="S536" s="3" t="s">
        <v>31</v>
      </c>
      <c r="T536" s="3" t="s">
        <v>32</v>
      </c>
      <c r="U536" s="10">
        <v>9310019900999</v>
      </c>
      <c r="V536" s="3">
        <v>0.1</v>
      </c>
      <c r="W536" s="3">
        <f t="shared" si="89"/>
        <v>0</v>
      </c>
      <c r="AA536" s="3">
        <v>28</v>
      </c>
    </row>
    <row r="537" spans="1:27" x14ac:dyDescent="0.3">
      <c r="A537" s="3" t="str">
        <f t="shared" si="80"/>
        <v>West9420029999838</v>
      </c>
      <c r="B537" s="3" t="str">
        <f t="shared" si="81"/>
        <v>Mah9420029999838</v>
      </c>
      <c r="C537" s="10">
        <v>9420029999838</v>
      </c>
      <c r="D537" s="10" t="str">
        <f t="shared" si="82"/>
        <v>9420029999</v>
      </c>
      <c r="E537" s="3" t="s">
        <v>1</v>
      </c>
      <c r="F537" s="3" t="s">
        <v>63</v>
      </c>
      <c r="H537" s="3">
        <v>1.7708000000000004</v>
      </c>
      <c r="I537" s="10">
        <f t="shared" si="83"/>
        <v>111.89746994235161</v>
      </c>
      <c r="J537" s="3">
        <v>0.47475604253937947</v>
      </c>
      <c r="K537" s="3">
        <v>0</v>
      </c>
      <c r="L537" s="3">
        <f t="shared" si="84"/>
        <v>0</v>
      </c>
      <c r="N537" s="11">
        <f t="shared" si="85"/>
        <v>1.2960439574606208</v>
      </c>
      <c r="O537" s="3">
        <v>0.47475604253937947</v>
      </c>
      <c r="P537" s="11">
        <f t="shared" si="86"/>
        <v>81.897469942351606</v>
      </c>
      <c r="Q537" s="12">
        <f t="shared" si="87"/>
        <v>81.897469942351591</v>
      </c>
      <c r="R537" s="13">
        <f t="shared" si="88"/>
        <v>-1.5040952227448274</v>
      </c>
      <c r="S537" s="3" t="s">
        <v>31</v>
      </c>
      <c r="T537" s="3" t="s">
        <v>28</v>
      </c>
      <c r="U537" s="10">
        <v>0</v>
      </c>
      <c r="V537" s="3">
        <v>0</v>
      </c>
      <c r="W537" s="3">
        <f t="shared" si="89"/>
        <v>0</v>
      </c>
      <c r="AA537" s="3">
        <v>28</v>
      </c>
    </row>
    <row r="538" spans="1:27" x14ac:dyDescent="0.3">
      <c r="A538" s="3" t="str">
        <f t="shared" si="80"/>
        <v>West9420049999838</v>
      </c>
      <c r="B538" s="3" t="str">
        <f t="shared" si="81"/>
        <v>Mah9420049999838</v>
      </c>
      <c r="C538" s="10">
        <v>9420049999838</v>
      </c>
      <c r="D538" s="10" t="str">
        <f t="shared" si="82"/>
        <v>9420049999</v>
      </c>
      <c r="E538" s="3" t="s">
        <v>1</v>
      </c>
      <c r="F538" s="3" t="s">
        <v>63</v>
      </c>
      <c r="H538" s="3">
        <v>0</v>
      </c>
      <c r="I538" s="10">
        <f t="shared" si="83"/>
        <v>0</v>
      </c>
      <c r="J538" s="3">
        <v>3.8759891711979272E-2</v>
      </c>
      <c r="K538" s="3">
        <v>0</v>
      </c>
      <c r="L538" s="3">
        <f t="shared" si="84"/>
        <v>0</v>
      </c>
      <c r="N538" s="11">
        <f t="shared" si="85"/>
        <v>-3.8759891711979272E-2</v>
      </c>
      <c r="O538" s="3">
        <v>3.8759891711979272E-2</v>
      </c>
      <c r="P538" s="11">
        <f t="shared" si="86"/>
        <v>-30</v>
      </c>
      <c r="Q538" s="12">
        <f t="shared" si="87"/>
        <v>-30</v>
      </c>
      <c r="R538" s="13">
        <f t="shared" si="88"/>
        <v>-30</v>
      </c>
      <c r="S538" s="3" t="s">
        <v>31</v>
      </c>
      <c r="T538" s="3" t="s">
        <v>28</v>
      </c>
      <c r="U538" s="10">
        <v>0</v>
      </c>
      <c r="V538" s="3">
        <v>0</v>
      </c>
      <c r="W538" s="3">
        <f t="shared" si="89"/>
        <v>0</v>
      </c>
      <c r="AA538" s="3">
        <v>28</v>
      </c>
    </row>
    <row r="539" spans="1:27" x14ac:dyDescent="0.3">
      <c r="A539" s="3" t="str">
        <f t="shared" si="80"/>
        <v>West9420049999195</v>
      </c>
      <c r="B539" s="3" t="str">
        <f t="shared" si="81"/>
        <v>Mah9420049999195</v>
      </c>
      <c r="C539" s="10">
        <v>9420049999195</v>
      </c>
      <c r="D539" s="10" t="str">
        <f t="shared" si="82"/>
        <v>9420049999</v>
      </c>
      <c r="E539" s="3" t="s">
        <v>1</v>
      </c>
      <c r="F539" s="3" t="s">
        <v>63</v>
      </c>
      <c r="H539" s="3">
        <v>0.96709999999999996</v>
      </c>
      <c r="I539" s="10">
        <f t="shared" si="83"/>
        <v>864.82267075007735</v>
      </c>
      <c r="J539" s="3">
        <v>3.3547917950435394E-2</v>
      </c>
      <c r="K539" s="3">
        <v>0</v>
      </c>
      <c r="L539" s="3">
        <f t="shared" si="84"/>
        <v>0</v>
      </c>
      <c r="N539" s="11">
        <f t="shared" si="85"/>
        <v>0.93355208204956452</v>
      </c>
      <c r="O539" s="3">
        <v>3.3547917950435394E-2</v>
      </c>
      <c r="P539" s="11">
        <f t="shared" si="86"/>
        <v>834.82267075007735</v>
      </c>
      <c r="Q539" s="12">
        <f t="shared" si="87"/>
        <v>834.82267075007735</v>
      </c>
      <c r="R539" s="13">
        <f t="shared" si="88"/>
        <v>1347.2670042698451</v>
      </c>
      <c r="S539" s="3" t="s">
        <v>31</v>
      </c>
      <c r="T539" s="3" t="s">
        <v>28</v>
      </c>
      <c r="U539" s="10">
        <v>0</v>
      </c>
      <c r="V539" s="3">
        <v>0</v>
      </c>
      <c r="W539" s="3">
        <f t="shared" si="89"/>
        <v>0</v>
      </c>
      <c r="AA539" s="3">
        <v>28</v>
      </c>
    </row>
    <row r="540" spans="1:27" x14ac:dyDescent="0.3">
      <c r="A540" s="3" t="str">
        <f t="shared" si="80"/>
        <v>West9160509999097</v>
      </c>
      <c r="B540" s="3" t="str">
        <f t="shared" si="81"/>
        <v>Mah9160509999097</v>
      </c>
      <c r="C540" s="10">
        <v>9160509999097</v>
      </c>
      <c r="D540" s="10" t="str">
        <f t="shared" si="82"/>
        <v>9160509999</v>
      </c>
      <c r="E540" s="3" t="s">
        <v>1</v>
      </c>
      <c r="F540" s="3" t="s">
        <v>63</v>
      </c>
      <c r="H540" s="3">
        <v>0</v>
      </c>
      <c r="I540" s="10">
        <f t="shared" si="83"/>
        <v>0</v>
      </c>
      <c r="J540" s="3">
        <v>0</v>
      </c>
      <c r="K540" s="3">
        <v>0</v>
      </c>
      <c r="L540" s="3">
        <f t="shared" si="84"/>
        <v>0</v>
      </c>
      <c r="N540" s="11">
        <f t="shared" si="85"/>
        <v>0</v>
      </c>
      <c r="O540" s="3">
        <v>0</v>
      </c>
      <c r="P540" s="11">
        <f t="shared" si="86"/>
        <v>9999</v>
      </c>
      <c r="Q540" s="12">
        <f t="shared" si="87"/>
        <v>9999</v>
      </c>
      <c r="R540" s="13">
        <f t="shared" si="88"/>
        <v>9999</v>
      </c>
      <c r="S540" s="3" t="s">
        <v>31</v>
      </c>
      <c r="T540" s="3" t="s">
        <v>34</v>
      </c>
      <c r="U540" s="10" t="s">
        <v>72</v>
      </c>
      <c r="V540" s="3" t="s">
        <v>72</v>
      </c>
      <c r="W540" s="3">
        <f t="shared" si="89"/>
        <v>0</v>
      </c>
      <c r="AA540" s="3">
        <v>28</v>
      </c>
    </row>
    <row r="541" spans="1:27" x14ac:dyDescent="0.3">
      <c r="A541" s="3" t="str">
        <f t="shared" si="80"/>
        <v>West9160709999097</v>
      </c>
      <c r="B541" s="3" t="str">
        <f t="shared" si="81"/>
        <v>Mah9160709999097</v>
      </c>
      <c r="C541" s="10">
        <v>9160709999097</v>
      </c>
      <c r="D541" s="10" t="str">
        <f t="shared" si="82"/>
        <v>9160709999</v>
      </c>
      <c r="E541" s="3" t="s">
        <v>1</v>
      </c>
      <c r="F541" s="3" t="s">
        <v>63</v>
      </c>
      <c r="H541" s="3">
        <v>0</v>
      </c>
      <c r="I541" s="10">
        <f t="shared" si="83"/>
        <v>0</v>
      </c>
      <c r="J541" s="3">
        <v>0</v>
      </c>
      <c r="K541" s="3">
        <v>0</v>
      </c>
      <c r="L541" s="3">
        <f t="shared" si="84"/>
        <v>0</v>
      </c>
      <c r="N541" s="11">
        <f t="shared" si="85"/>
        <v>0</v>
      </c>
      <c r="O541" s="3">
        <v>0</v>
      </c>
      <c r="P541" s="11">
        <f t="shared" si="86"/>
        <v>9999</v>
      </c>
      <c r="Q541" s="12">
        <f t="shared" si="87"/>
        <v>9999</v>
      </c>
      <c r="R541" s="13">
        <f t="shared" si="88"/>
        <v>9999</v>
      </c>
      <c r="S541" s="3" t="s">
        <v>31</v>
      </c>
      <c r="T541" s="3" t="s">
        <v>34</v>
      </c>
      <c r="U541" s="10" t="s">
        <v>72</v>
      </c>
      <c r="V541" s="3" t="s">
        <v>72</v>
      </c>
      <c r="W541" s="3">
        <f t="shared" si="89"/>
        <v>0</v>
      </c>
      <c r="AA541" s="3">
        <v>28</v>
      </c>
    </row>
    <row r="542" spans="1:27" x14ac:dyDescent="0.3">
      <c r="A542" s="3" t="str">
        <f t="shared" si="80"/>
        <v>North9320039999839</v>
      </c>
      <c r="B542" s="3" t="str">
        <f t="shared" si="81"/>
        <v>Pan9320039999839</v>
      </c>
      <c r="C542" s="10">
        <v>9320039999839</v>
      </c>
      <c r="D542" s="10" t="str">
        <f t="shared" si="82"/>
        <v>9320039999</v>
      </c>
      <c r="E542" s="3" t="s">
        <v>2</v>
      </c>
      <c r="F542" s="3" t="s">
        <v>64</v>
      </c>
      <c r="H542" s="3">
        <v>6.4544999999999995</v>
      </c>
      <c r="I542" s="10">
        <f t="shared" si="83"/>
        <v>24.626721148782472</v>
      </c>
      <c r="J542" s="3">
        <v>7.8628006883317134</v>
      </c>
      <c r="K542" s="3">
        <v>0</v>
      </c>
      <c r="L542" s="3">
        <f t="shared" si="84"/>
        <v>0</v>
      </c>
      <c r="N542" s="11">
        <f t="shared" si="85"/>
        <v>-1.408300688331714</v>
      </c>
      <c r="O542" s="3">
        <v>7.8628006883317134</v>
      </c>
      <c r="P542" s="11">
        <f t="shared" si="86"/>
        <v>-5.3732788512175276</v>
      </c>
      <c r="Q542" s="12">
        <f t="shared" si="87"/>
        <v>12.108698664954069</v>
      </c>
      <c r="R542" s="13">
        <f t="shared" si="88"/>
        <v>5.6471689168472166</v>
      </c>
      <c r="S542" s="3" t="s">
        <v>30</v>
      </c>
      <c r="T542" s="3" t="s">
        <v>28</v>
      </c>
      <c r="U542" s="10">
        <v>0</v>
      </c>
      <c r="V542" s="3">
        <v>0</v>
      </c>
      <c r="W542" s="3">
        <f t="shared" si="89"/>
        <v>0</v>
      </c>
      <c r="AA542" s="3">
        <v>28</v>
      </c>
    </row>
    <row r="543" spans="1:27" x14ac:dyDescent="0.3">
      <c r="A543" s="3" t="str">
        <f t="shared" si="80"/>
        <v>North9320039999097</v>
      </c>
      <c r="B543" s="3" t="str">
        <f t="shared" si="81"/>
        <v>Pan9320039999097</v>
      </c>
      <c r="C543" s="10">
        <v>9320039999097</v>
      </c>
      <c r="D543" s="10" t="str">
        <f t="shared" si="82"/>
        <v>9320039999</v>
      </c>
      <c r="E543" s="3" t="s">
        <v>2</v>
      </c>
      <c r="F543" s="3" t="s">
        <v>64</v>
      </c>
      <c r="H543" s="3">
        <v>8.3021250000000002</v>
      </c>
      <c r="I543" s="10">
        <f t="shared" si="83"/>
        <v>42.003733373695212</v>
      </c>
      <c r="J543" s="3">
        <v>5.9295622078197434</v>
      </c>
      <c r="K543" s="3">
        <v>0</v>
      </c>
      <c r="L543" s="3">
        <f t="shared" si="84"/>
        <v>0</v>
      </c>
      <c r="N543" s="11">
        <f t="shared" si="85"/>
        <v>2.3725627921802568</v>
      </c>
      <c r="O543" s="3">
        <v>5.9295622078197434</v>
      </c>
      <c r="P543" s="11">
        <f t="shared" si="86"/>
        <v>12.003733373695209</v>
      </c>
      <c r="Q543" s="12">
        <f t="shared" si="87"/>
        <v>33.171065524440976</v>
      </c>
      <c r="R543" s="13">
        <f t="shared" si="88"/>
        <v>17.328925570439566</v>
      </c>
      <c r="S543" s="3" t="s">
        <v>30</v>
      </c>
      <c r="T543" s="3" t="s">
        <v>28</v>
      </c>
      <c r="U543" s="10">
        <v>0</v>
      </c>
      <c r="V543" s="3">
        <v>0</v>
      </c>
      <c r="W543" s="3">
        <f t="shared" si="89"/>
        <v>0</v>
      </c>
      <c r="AA543" s="3">
        <v>28</v>
      </c>
    </row>
    <row r="544" spans="1:27" x14ac:dyDescent="0.3">
      <c r="A544" s="3" t="str">
        <f t="shared" si="80"/>
        <v>North9320029999839</v>
      </c>
      <c r="B544" s="3" t="str">
        <f t="shared" si="81"/>
        <v>Pan9320029999839</v>
      </c>
      <c r="C544" s="10">
        <v>9320029999839</v>
      </c>
      <c r="D544" s="10" t="str">
        <f t="shared" si="82"/>
        <v>9320029999</v>
      </c>
      <c r="E544" s="3" t="s">
        <v>2</v>
      </c>
      <c r="F544" s="3" t="s">
        <v>64</v>
      </c>
      <c r="H544" s="3">
        <v>4.2860999999999994</v>
      </c>
      <c r="I544" s="10">
        <f t="shared" si="83"/>
        <v>21.901571218548813</v>
      </c>
      <c r="J544" s="3">
        <v>5.8709486509854072</v>
      </c>
      <c r="K544" s="3">
        <v>0</v>
      </c>
      <c r="L544" s="3">
        <f t="shared" si="84"/>
        <v>0</v>
      </c>
      <c r="N544" s="11">
        <f t="shared" si="85"/>
        <v>-1.5848486509854078</v>
      </c>
      <c r="O544" s="3">
        <v>5.8709486509854072</v>
      </c>
      <c r="P544" s="11">
        <f t="shared" si="86"/>
        <v>-8.0984287814511866</v>
      </c>
      <c r="Q544" s="12">
        <f t="shared" si="87"/>
        <v>-3.2611736402074749</v>
      </c>
      <c r="R544" s="13">
        <f t="shared" si="88"/>
        <v>19.357265929212165</v>
      </c>
      <c r="S544" s="3" t="s">
        <v>30</v>
      </c>
      <c r="T544" s="3" t="s">
        <v>28</v>
      </c>
      <c r="U544" s="10">
        <v>0</v>
      </c>
      <c r="V544" s="3">
        <v>0</v>
      </c>
      <c r="W544" s="3">
        <f t="shared" si="89"/>
        <v>0</v>
      </c>
      <c r="AA544" s="3">
        <v>28</v>
      </c>
    </row>
    <row r="545" spans="1:27" x14ac:dyDescent="0.3">
      <c r="A545" s="3" t="str">
        <f t="shared" si="80"/>
        <v>North9320029999097</v>
      </c>
      <c r="B545" s="3" t="str">
        <f t="shared" si="81"/>
        <v>Pan9320029999097</v>
      </c>
      <c r="C545" s="10">
        <v>9320029999097</v>
      </c>
      <c r="D545" s="10" t="str">
        <f t="shared" si="82"/>
        <v>9320029999</v>
      </c>
      <c r="E545" s="3" t="s">
        <v>2</v>
      </c>
      <c r="F545" s="3" t="s">
        <v>64</v>
      </c>
      <c r="H545" s="3">
        <v>6.776250000000001</v>
      </c>
      <c r="I545" s="10">
        <f t="shared" si="83"/>
        <v>38.363121449810997</v>
      </c>
      <c r="J545" s="3">
        <v>5.2990343933809783</v>
      </c>
      <c r="K545" s="3">
        <v>14</v>
      </c>
      <c r="L545" s="3">
        <f t="shared" si="84"/>
        <v>0</v>
      </c>
      <c r="N545" s="11">
        <f t="shared" si="85"/>
        <v>1.4772156066190227</v>
      </c>
      <c r="O545" s="3">
        <v>5.2990343933809783</v>
      </c>
      <c r="P545" s="11">
        <f t="shared" si="86"/>
        <v>8.3631214498110005</v>
      </c>
      <c r="Q545" s="12">
        <f t="shared" si="87"/>
        <v>9.2258138770564901</v>
      </c>
      <c r="R545" s="13">
        <f t="shared" si="88"/>
        <v>27.782787977034157</v>
      </c>
      <c r="S545" s="3" t="s">
        <v>30</v>
      </c>
      <c r="T545" s="3" t="s">
        <v>28</v>
      </c>
      <c r="U545" s="10">
        <v>0</v>
      </c>
      <c r="V545" s="3">
        <v>0</v>
      </c>
      <c r="W545" s="3">
        <f t="shared" si="89"/>
        <v>0</v>
      </c>
      <c r="AA545" s="3">
        <v>28</v>
      </c>
    </row>
    <row r="546" spans="1:27" x14ac:dyDescent="0.3">
      <c r="A546" s="3" t="str">
        <f t="shared" si="80"/>
        <v>North9320029999219</v>
      </c>
      <c r="B546" s="3" t="str">
        <f t="shared" si="81"/>
        <v>Pan9320029999219</v>
      </c>
      <c r="C546" s="10">
        <v>9320029999219</v>
      </c>
      <c r="D546" s="10" t="str">
        <f t="shared" si="82"/>
        <v>9320029999</v>
      </c>
      <c r="E546" s="3" t="s">
        <v>2</v>
      </c>
      <c r="F546" s="3" t="s">
        <v>64</v>
      </c>
      <c r="H546" s="3">
        <v>5.8889999999999985</v>
      </c>
      <c r="I546" s="10">
        <f t="shared" si="83"/>
        <v>39.568183671942023</v>
      </c>
      <c r="J546" s="3">
        <v>4.4649509683022792</v>
      </c>
      <c r="K546" s="3">
        <v>14</v>
      </c>
      <c r="L546" s="3">
        <f t="shared" si="84"/>
        <v>0</v>
      </c>
      <c r="N546" s="11">
        <f t="shared" si="85"/>
        <v>1.4240490316977192</v>
      </c>
      <c r="O546" s="3">
        <v>4.4649509683022792</v>
      </c>
      <c r="P546" s="11">
        <f t="shared" si="86"/>
        <v>9.5681836719420197</v>
      </c>
      <c r="Q546" s="12">
        <f t="shared" si="87"/>
        <v>12.257532296588501</v>
      </c>
      <c r="R546" s="13">
        <f t="shared" si="88"/>
        <v>20.644368796962809</v>
      </c>
      <c r="S546" s="3" t="s">
        <v>30</v>
      </c>
      <c r="T546" s="3" t="s">
        <v>28</v>
      </c>
      <c r="U546" s="10">
        <v>9320029900999</v>
      </c>
      <c r="V546" s="3">
        <v>0.1</v>
      </c>
      <c r="W546" s="3">
        <f t="shared" si="89"/>
        <v>1.4000000000000001</v>
      </c>
      <c r="AA546" s="3">
        <v>28</v>
      </c>
    </row>
    <row r="547" spans="1:27" x14ac:dyDescent="0.3">
      <c r="A547" s="3" t="str">
        <f t="shared" si="80"/>
        <v>North9310019999839</v>
      </c>
      <c r="B547" s="3" t="str">
        <f t="shared" si="81"/>
        <v>Pan9310019999839</v>
      </c>
      <c r="C547" s="10">
        <v>9310019999839</v>
      </c>
      <c r="D547" s="10" t="str">
        <f t="shared" si="82"/>
        <v>9310019999</v>
      </c>
      <c r="E547" s="3" t="s">
        <v>2</v>
      </c>
      <c r="F547" s="3" t="s">
        <v>64</v>
      </c>
      <c r="H547" s="3">
        <v>4.4382000000000001</v>
      </c>
      <c r="I547" s="10">
        <f t="shared" si="83"/>
        <v>31.572124435364145</v>
      </c>
      <c r="J547" s="3">
        <v>4.2172011665728233</v>
      </c>
      <c r="K547" s="3">
        <v>14</v>
      </c>
      <c r="L547" s="3">
        <f t="shared" si="84"/>
        <v>0</v>
      </c>
      <c r="N547" s="11">
        <f t="shared" si="85"/>
        <v>0.22099883342717686</v>
      </c>
      <c r="O547" s="3">
        <v>4.2172011665728233</v>
      </c>
      <c r="P547" s="11">
        <f t="shared" si="86"/>
        <v>1.5721244353641433</v>
      </c>
      <c r="Q547" s="12">
        <f t="shared" si="87"/>
        <v>1.4406866025829903</v>
      </c>
      <c r="R547" s="13">
        <f t="shared" si="88"/>
        <v>0.90281642977410392</v>
      </c>
      <c r="S547" s="3" t="s">
        <v>30</v>
      </c>
      <c r="T547" s="3" t="s">
        <v>32</v>
      </c>
      <c r="U547" s="10">
        <v>0</v>
      </c>
      <c r="V547" s="3">
        <v>0</v>
      </c>
      <c r="W547" s="3">
        <f t="shared" si="89"/>
        <v>0</v>
      </c>
      <c r="AA547" s="3">
        <v>28</v>
      </c>
    </row>
    <row r="548" spans="1:27" x14ac:dyDescent="0.3">
      <c r="A548" s="3" t="str">
        <f t="shared" si="80"/>
        <v>North9320039999219</v>
      </c>
      <c r="B548" s="3" t="str">
        <f t="shared" si="81"/>
        <v>Pan9320039999219</v>
      </c>
      <c r="C548" s="10">
        <v>9320039999219</v>
      </c>
      <c r="D548" s="10" t="str">
        <f t="shared" si="82"/>
        <v>9320039999</v>
      </c>
      <c r="E548" s="3" t="s">
        <v>2</v>
      </c>
      <c r="F548" s="3" t="s">
        <v>64</v>
      </c>
      <c r="H548" s="3">
        <v>6.044999999999999</v>
      </c>
      <c r="I548" s="10">
        <f t="shared" si="83"/>
        <v>43.08144179613555</v>
      </c>
      <c r="J548" s="3">
        <v>4.2094691458600915</v>
      </c>
      <c r="K548" s="3">
        <v>0</v>
      </c>
      <c r="L548" s="3">
        <f t="shared" si="84"/>
        <v>0</v>
      </c>
      <c r="N548" s="11">
        <f t="shared" si="85"/>
        <v>1.8355308541399076</v>
      </c>
      <c r="O548" s="3">
        <v>4.2094691458600915</v>
      </c>
      <c r="P548" s="11">
        <f t="shared" si="86"/>
        <v>13.081441796135554</v>
      </c>
      <c r="Q548" s="12">
        <f t="shared" si="87"/>
        <v>45.877370061699388</v>
      </c>
      <c r="R548" s="13">
        <f t="shared" si="88"/>
        <v>54.138526583137718</v>
      </c>
      <c r="S548" s="3" t="s">
        <v>31</v>
      </c>
      <c r="T548" s="3" t="s">
        <v>28</v>
      </c>
      <c r="U548" s="10">
        <v>9320039900999</v>
      </c>
      <c r="V548" s="3">
        <v>0.1</v>
      </c>
      <c r="W548" s="3">
        <f t="shared" si="89"/>
        <v>0</v>
      </c>
      <c r="AA548" s="3">
        <v>28</v>
      </c>
    </row>
    <row r="549" spans="1:27" x14ac:dyDescent="0.3">
      <c r="A549" s="3" t="str">
        <f t="shared" si="80"/>
        <v>North9160509999219</v>
      </c>
      <c r="B549" s="3" t="str">
        <f t="shared" si="81"/>
        <v>Pan9160509999219</v>
      </c>
      <c r="C549" s="10">
        <v>9160509999219</v>
      </c>
      <c r="D549" s="10" t="str">
        <f t="shared" si="82"/>
        <v>9160509999</v>
      </c>
      <c r="E549" s="3" t="s">
        <v>2</v>
      </c>
      <c r="F549" s="3" t="s">
        <v>64</v>
      </c>
      <c r="H549" s="3">
        <v>10.802999999999999</v>
      </c>
      <c r="I549" s="10">
        <f t="shared" si="83"/>
        <v>87.229836312576168</v>
      </c>
      <c r="J549" s="3">
        <v>3.7153571954287274</v>
      </c>
      <c r="K549" s="3">
        <v>0</v>
      </c>
      <c r="L549" s="3">
        <f t="shared" si="84"/>
        <v>0</v>
      </c>
      <c r="N549" s="11">
        <f t="shared" si="85"/>
        <v>7.0876428045712716</v>
      </c>
      <c r="O549" s="3">
        <v>3.7153571954287274</v>
      </c>
      <c r="P549" s="11">
        <f t="shared" si="86"/>
        <v>57.229836312576168</v>
      </c>
      <c r="Q549" s="12">
        <f t="shared" si="87"/>
        <v>80.232245069305165</v>
      </c>
      <c r="R549" s="13">
        <f t="shared" si="88"/>
        <v>31.34794595299039</v>
      </c>
      <c r="S549" s="3" t="s">
        <v>30</v>
      </c>
      <c r="T549" s="3" t="s">
        <v>34</v>
      </c>
      <c r="U549" s="10">
        <v>0</v>
      </c>
      <c r="V549" s="3">
        <v>0</v>
      </c>
      <c r="W549" s="3">
        <f t="shared" si="89"/>
        <v>0</v>
      </c>
      <c r="AA549" s="3">
        <v>28</v>
      </c>
    </row>
    <row r="550" spans="1:27" x14ac:dyDescent="0.3">
      <c r="A550" s="3" t="str">
        <f t="shared" si="80"/>
        <v>North9320039999297</v>
      </c>
      <c r="B550" s="3" t="str">
        <f t="shared" si="81"/>
        <v>Pan9320039999297</v>
      </c>
      <c r="C550" s="10">
        <v>9320039999297</v>
      </c>
      <c r="D550" s="10" t="str">
        <f t="shared" si="82"/>
        <v>9320039999</v>
      </c>
      <c r="E550" s="3" t="s">
        <v>2</v>
      </c>
      <c r="F550" s="3" t="s">
        <v>64</v>
      </c>
      <c r="H550" s="3">
        <v>10.471499999999999</v>
      </c>
      <c r="I550" s="10">
        <f t="shared" si="83"/>
        <v>108.4064191974845</v>
      </c>
      <c r="J550" s="3">
        <v>2.8978450014820663</v>
      </c>
      <c r="K550" s="3">
        <v>0</v>
      </c>
      <c r="L550" s="3">
        <f t="shared" si="84"/>
        <v>0</v>
      </c>
      <c r="N550" s="11">
        <f t="shared" si="85"/>
        <v>7.5736549985179327</v>
      </c>
      <c r="O550" s="3">
        <v>2.8978450014820663</v>
      </c>
      <c r="P550" s="11">
        <f t="shared" si="86"/>
        <v>78.406419197484496</v>
      </c>
      <c r="Q550" s="12">
        <f t="shared" si="87"/>
        <v>74.074883819256158</v>
      </c>
      <c r="R550" s="13">
        <f t="shared" si="88"/>
        <v>104.32505744629258</v>
      </c>
      <c r="S550" s="3" t="s">
        <v>31</v>
      </c>
      <c r="T550" s="3" t="s">
        <v>28</v>
      </c>
      <c r="U550" s="10">
        <v>9320039900999</v>
      </c>
      <c r="V550" s="3">
        <v>0.1</v>
      </c>
      <c r="W550" s="3">
        <f t="shared" si="89"/>
        <v>0</v>
      </c>
      <c r="AA550" s="3">
        <v>28</v>
      </c>
    </row>
    <row r="551" spans="1:27" x14ac:dyDescent="0.3">
      <c r="A551" s="3" t="str">
        <f t="shared" si="80"/>
        <v>North9310019999097</v>
      </c>
      <c r="B551" s="3" t="str">
        <f t="shared" si="81"/>
        <v>Pan9310019999097</v>
      </c>
      <c r="C551" s="10">
        <v>9310019999097</v>
      </c>
      <c r="D551" s="10" t="str">
        <f t="shared" si="82"/>
        <v>9310019999</v>
      </c>
      <c r="E551" s="3" t="s">
        <v>2</v>
      </c>
      <c r="F551" s="3" t="s">
        <v>64</v>
      </c>
      <c r="H551" s="3">
        <v>7.5348000000000006</v>
      </c>
      <c r="I551" s="10">
        <f t="shared" si="83"/>
        <v>94.224924038005241</v>
      </c>
      <c r="J551" s="3">
        <v>2.3989830961161198</v>
      </c>
      <c r="K551" s="3">
        <v>14</v>
      </c>
      <c r="L551" s="3">
        <f t="shared" si="84"/>
        <v>0</v>
      </c>
      <c r="N551" s="11">
        <f t="shared" si="85"/>
        <v>5.1358169038838808</v>
      </c>
      <c r="O551" s="3">
        <v>2.3989830961161198</v>
      </c>
      <c r="P551" s="11">
        <f t="shared" si="86"/>
        <v>64.224924038005241</v>
      </c>
      <c r="Q551" s="12">
        <f t="shared" si="87"/>
        <v>54.88133652491166</v>
      </c>
      <c r="R551" s="13">
        <f t="shared" si="88"/>
        <v>17.765600858039242</v>
      </c>
      <c r="S551" s="3" t="s">
        <v>31</v>
      </c>
      <c r="T551" s="3" t="s">
        <v>32</v>
      </c>
      <c r="U551" s="10">
        <v>0</v>
      </c>
      <c r="V551" s="3">
        <v>0</v>
      </c>
      <c r="W551" s="3">
        <f t="shared" si="89"/>
        <v>0</v>
      </c>
      <c r="AA551" s="3">
        <v>28</v>
      </c>
    </row>
    <row r="552" spans="1:27" x14ac:dyDescent="0.3">
      <c r="A552" s="3" t="str">
        <f t="shared" si="80"/>
        <v>North9320029999297</v>
      </c>
      <c r="B552" s="3" t="str">
        <f t="shared" si="81"/>
        <v>Pan9320029999297</v>
      </c>
      <c r="C552" s="10">
        <v>9320029999297</v>
      </c>
      <c r="D552" s="10" t="str">
        <f t="shared" si="82"/>
        <v>9320029999</v>
      </c>
      <c r="E552" s="3" t="s">
        <v>2</v>
      </c>
      <c r="F552" s="3" t="s">
        <v>64</v>
      </c>
      <c r="H552" s="3">
        <v>1.4820000000000002</v>
      </c>
      <c r="I552" s="10">
        <f t="shared" si="83"/>
        <v>21.491916212487482</v>
      </c>
      <c r="J552" s="3">
        <v>2.0686847817770357</v>
      </c>
      <c r="K552" s="3">
        <v>14</v>
      </c>
      <c r="L552" s="3">
        <f t="shared" si="84"/>
        <v>0</v>
      </c>
      <c r="N552" s="11">
        <f t="shared" si="85"/>
        <v>-0.58668478177703554</v>
      </c>
      <c r="O552" s="3">
        <v>2.0686847817770357</v>
      </c>
      <c r="P552" s="11">
        <f t="shared" si="86"/>
        <v>-8.5080837875125166</v>
      </c>
      <c r="Q552" s="12">
        <f t="shared" si="87"/>
        <v>-7.332737997737989</v>
      </c>
      <c r="R552" s="13">
        <f t="shared" si="88"/>
        <v>17.77009633775095</v>
      </c>
      <c r="S552" s="3" t="s">
        <v>30</v>
      </c>
      <c r="T552" s="3" t="s">
        <v>28</v>
      </c>
      <c r="U552" s="10">
        <v>9320029900999</v>
      </c>
      <c r="V552" s="3">
        <v>0.1</v>
      </c>
      <c r="W552" s="3">
        <f t="shared" si="89"/>
        <v>1.4000000000000001</v>
      </c>
      <c r="AA552" s="3">
        <v>28</v>
      </c>
    </row>
    <row r="553" spans="1:27" x14ac:dyDescent="0.3">
      <c r="A553" s="3" t="str">
        <f t="shared" si="80"/>
        <v>North9310099999839</v>
      </c>
      <c r="B553" s="3" t="str">
        <f t="shared" si="81"/>
        <v>Pan9310099999839</v>
      </c>
      <c r="C553" s="10">
        <v>9310099999839</v>
      </c>
      <c r="D553" s="10" t="str">
        <f t="shared" si="82"/>
        <v>9310099999</v>
      </c>
      <c r="E553" s="3" t="s">
        <v>2</v>
      </c>
      <c r="F553" s="3" t="s">
        <v>64</v>
      </c>
      <c r="H553" s="3">
        <v>0</v>
      </c>
      <c r="I553" s="10">
        <f t="shared" si="83"/>
        <v>0</v>
      </c>
      <c r="J553" s="3">
        <v>1.8697758260999995</v>
      </c>
      <c r="K553" s="3">
        <v>0</v>
      </c>
      <c r="L553" s="3">
        <f t="shared" si="84"/>
        <v>0</v>
      </c>
      <c r="N553" s="11">
        <f t="shared" si="85"/>
        <v>-1.8697758260999995</v>
      </c>
      <c r="O553" s="3">
        <v>1.8697758260999995</v>
      </c>
      <c r="P553" s="11">
        <f t="shared" si="86"/>
        <v>-30</v>
      </c>
      <c r="Q553" s="12">
        <f t="shared" si="87"/>
        <v>-30</v>
      </c>
      <c r="R553" s="13">
        <f t="shared" si="88"/>
        <v>-30</v>
      </c>
      <c r="S553" s="3">
        <v>0</v>
      </c>
      <c r="T553" s="3" t="s">
        <v>32</v>
      </c>
      <c r="U553" s="10">
        <v>0</v>
      </c>
      <c r="V553" s="3">
        <v>0</v>
      </c>
      <c r="W553" s="3">
        <f t="shared" si="89"/>
        <v>0</v>
      </c>
      <c r="AA553" s="3">
        <v>28</v>
      </c>
    </row>
    <row r="554" spans="1:27" x14ac:dyDescent="0.3">
      <c r="A554" s="3" t="str">
        <f t="shared" si="80"/>
        <v>North9420059999195</v>
      </c>
      <c r="B554" s="3" t="str">
        <f t="shared" si="81"/>
        <v>Pan9420059999195</v>
      </c>
      <c r="C554" s="10">
        <v>9420059999195</v>
      </c>
      <c r="D554" s="10" t="str">
        <f t="shared" si="82"/>
        <v>9420059999</v>
      </c>
      <c r="E554" s="3" t="s">
        <v>2</v>
      </c>
      <c r="F554" s="3" t="s">
        <v>64</v>
      </c>
      <c r="H554" s="3">
        <v>1.0782499999999999</v>
      </c>
      <c r="I554" s="10">
        <f t="shared" si="83"/>
        <v>22.862354561130875</v>
      </c>
      <c r="J554" s="3">
        <v>1.4148805151939672</v>
      </c>
      <c r="K554" s="3">
        <v>0</v>
      </c>
      <c r="L554" s="3">
        <f t="shared" si="84"/>
        <v>0</v>
      </c>
      <c r="N554" s="11">
        <f t="shared" si="85"/>
        <v>-0.33663051519396725</v>
      </c>
      <c r="O554" s="3">
        <v>1.4148805151939672</v>
      </c>
      <c r="P554" s="11">
        <f t="shared" si="86"/>
        <v>-7.1376454388691251</v>
      </c>
      <c r="Q554" s="12">
        <f t="shared" si="87"/>
        <v>47.14940101647138</v>
      </c>
      <c r="R554" s="13">
        <f t="shared" si="88"/>
        <v>29.27901427061612</v>
      </c>
      <c r="S554" s="3" t="s">
        <v>31</v>
      </c>
      <c r="T554" s="3" t="s">
        <v>28</v>
      </c>
      <c r="U554" s="10">
        <v>0</v>
      </c>
      <c r="V554" s="3">
        <v>0</v>
      </c>
      <c r="W554" s="3">
        <f t="shared" si="89"/>
        <v>0</v>
      </c>
      <c r="AA554" s="3">
        <v>28</v>
      </c>
    </row>
    <row r="555" spans="1:27" x14ac:dyDescent="0.3">
      <c r="A555" s="3" t="str">
        <f t="shared" si="80"/>
        <v>North9310019999219</v>
      </c>
      <c r="B555" s="3" t="str">
        <f t="shared" si="81"/>
        <v>Pan9310019999219</v>
      </c>
      <c r="C555" s="10">
        <v>9310019999219</v>
      </c>
      <c r="D555" s="10" t="str">
        <f t="shared" si="82"/>
        <v>9310019999</v>
      </c>
      <c r="E555" s="3" t="s">
        <v>2</v>
      </c>
      <c r="F555" s="3" t="s">
        <v>64</v>
      </c>
      <c r="H555" s="3">
        <v>4.875</v>
      </c>
      <c r="I555" s="10">
        <f t="shared" si="83"/>
        <v>123.16228070498995</v>
      </c>
      <c r="J555" s="3">
        <v>1.187457711588761</v>
      </c>
      <c r="K555" s="3">
        <v>0</v>
      </c>
      <c r="L555" s="3">
        <f t="shared" si="84"/>
        <v>0</v>
      </c>
      <c r="N555" s="11">
        <f t="shared" si="85"/>
        <v>3.687542288411239</v>
      </c>
      <c r="O555" s="3">
        <v>1.187457711588761</v>
      </c>
      <c r="P555" s="11">
        <f t="shared" si="86"/>
        <v>93.162280704989968</v>
      </c>
      <c r="Q555" s="12">
        <f t="shared" si="87"/>
        <v>77.414775504721888</v>
      </c>
      <c r="R555" s="13">
        <f t="shared" si="88"/>
        <v>46.246565856944308</v>
      </c>
      <c r="S555" s="3" t="s">
        <v>31</v>
      </c>
      <c r="T555" s="3" t="s">
        <v>32</v>
      </c>
      <c r="U555" s="10">
        <v>9310019900999</v>
      </c>
      <c r="V555" s="3">
        <v>0.1</v>
      </c>
      <c r="W555" s="3">
        <f t="shared" si="89"/>
        <v>0</v>
      </c>
      <c r="AA555" s="3">
        <v>28</v>
      </c>
    </row>
    <row r="556" spans="1:27" x14ac:dyDescent="0.3">
      <c r="A556" s="3" t="str">
        <f t="shared" si="80"/>
        <v>North9160709999219</v>
      </c>
      <c r="B556" s="3" t="str">
        <f t="shared" si="81"/>
        <v>Pan9160709999219</v>
      </c>
      <c r="C556" s="10">
        <v>9160709999219</v>
      </c>
      <c r="D556" s="10" t="str">
        <f t="shared" si="82"/>
        <v>9160709999</v>
      </c>
      <c r="E556" s="3" t="s">
        <v>2</v>
      </c>
      <c r="F556" s="3" t="s">
        <v>64</v>
      </c>
      <c r="H556" s="3">
        <v>5.0309999999999988</v>
      </c>
      <c r="I556" s="10">
        <f t="shared" si="83"/>
        <v>127.75001213492284</v>
      </c>
      <c r="J556" s="3">
        <v>1.1814480286749065</v>
      </c>
      <c r="K556" s="3">
        <v>0</v>
      </c>
      <c r="L556" s="3">
        <f t="shared" si="84"/>
        <v>0</v>
      </c>
      <c r="N556" s="11">
        <f t="shared" si="85"/>
        <v>3.8495519713250923</v>
      </c>
      <c r="O556" s="3">
        <v>1.1814480286749065</v>
      </c>
      <c r="P556" s="11">
        <f t="shared" si="86"/>
        <v>97.750012134922841</v>
      </c>
      <c r="Q556" s="12">
        <f t="shared" si="87"/>
        <v>101.71125282127703</v>
      </c>
      <c r="R556" s="13">
        <f t="shared" si="88"/>
        <v>105.2313732458948</v>
      </c>
      <c r="S556" s="3" t="s">
        <v>31</v>
      </c>
      <c r="T556" s="3" t="s">
        <v>34</v>
      </c>
      <c r="U556" s="10">
        <v>0</v>
      </c>
      <c r="V556" s="3">
        <v>0</v>
      </c>
      <c r="W556" s="3">
        <f t="shared" si="89"/>
        <v>0</v>
      </c>
      <c r="AA556" s="3">
        <v>28</v>
      </c>
    </row>
    <row r="557" spans="1:27" x14ac:dyDescent="0.3">
      <c r="A557" s="3" t="str">
        <f t="shared" si="80"/>
        <v>North9310099999097</v>
      </c>
      <c r="B557" s="3" t="str">
        <f t="shared" si="81"/>
        <v>Pan9310099999097</v>
      </c>
      <c r="C557" s="10">
        <v>9310099999097</v>
      </c>
      <c r="D557" s="10" t="str">
        <f t="shared" si="82"/>
        <v>9310099999</v>
      </c>
      <c r="E557" s="3" t="s">
        <v>2</v>
      </c>
      <c r="F557" s="3" t="s">
        <v>64</v>
      </c>
      <c r="H557" s="3">
        <v>0</v>
      </c>
      <c r="I557" s="10">
        <f t="shared" si="83"/>
        <v>0</v>
      </c>
      <c r="J557" s="3">
        <v>1.1218654956599998</v>
      </c>
      <c r="K557" s="3">
        <v>0</v>
      </c>
      <c r="L557" s="3">
        <f t="shared" si="84"/>
        <v>0</v>
      </c>
      <c r="N557" s="11">
        <f t="shared" si="85"/>
        <v>-1.1218654956599998</v>
      </c>
      <c r="O557" s="3">
        <v>1.1218654956599998</v>
      </c>
      <c r="P557" s="11">
        <f t="shared" si="86"/>
        <v>-30</v>
      </c>
      <c r="Q557" s="12">
        <f t="shared" si="87"/>
        <v>-30</v>
      </c>
      <c r="R557" s="13">
        <f t="shared" si="88"/>
        <v>-30</v>
      </c>
      <c r="S557" s="3">
        <v>0</v>
      </c>
      <c r="T557" s="3" t="s">
        <v>32</v>
      </c>
      <c r="U557" s="10">
        <v>0</v>
      </c>
      <c r="V557" s="3">
        <v>0</v>
      </c>
      <c r="W557" s="3">
        <f t="shared" si="89"/>
        <v>0</v>
      </c>
      <c r="AA557" s="3">
        <v>28</v>
      </c>
    </row>
    <row r="558" spans="1:27" x14ac:dyDescent="0.3">
      <c r="A558" s="3" t="str">
        <f t="shared" si="80"/>
        <v>North9420059999838</v>
      </c>
      <c r="B558" s="3" t="str">
        <f t="shared" si="81"/>
        <v>Pan9420059999838</v>
      </c>
      <c r="C558" s="10">
        <v>9420059999838</v>
      </c>
      <c r="D558" s="10" t="str">
        <f t="shared" si="82"/>
        <v>9420059999</v>
      </c>
      <c r="E558" s="3" t="s">
        <v>2</v>
      </c>
      <c r="F558" s="3" t="s">
        <v>64</v>
      </c>
      <c r="H558" s="3">
        <v>2.3408000000000002</v>
      </c>
      <c r="I558" s="10">
        <f t="shared" si="83"/>
        <v>76.751997236368751</v>
      </c>
      <c r="J558" s="3">
        <v>0.91494687472086433</v>
      </c>
      <c r="K558" s="3">
        <v>0</v>
      </c>
      <c r="L558" s="3">
        <f t="shared" si="84"/>
        <v>0</v>
      </c>
      <c r="N558" s="11">
        <f t="shared" si="85"/>
        <v>1.425853125279136</v>
      </c>
      <c r="O558" s="3">
        <v>0.91494687472086433</v>
      </c>
      <c r="P558" s="11">
        <f t="shared" si="86"/>
        <v>46.751997236368759</v>
      </c>
      <c r="Q558" s="12">
        <f t="shared" si="87"/>
        <v>46.407732409305304</v>
      </c>
      <c r="R558" s="13">
        <f t="shared" si="88"/>
        <v>22.423143014669041</v>
      </c>
      <c r="S558" s="3" t="s">
        <v>31</v>
      </c>
      <c r="T558" s="3" t="s">
        <v>28</v>
      </c>
      <c r="U558" s="10">
        <v>0</v>
      </c>
      <c r="V558" s="3">
        <v>0</v>
      </c>
      <c r="W558" s="3">
        <f t="shared" si="89"/>
        <v>0</v>
      </c>
      <c r="AA558" s="3">
        <v>28</v>
      </c>
    </row>
    <row r="559" spans="1:27" x14ac:dyDescent="0.3">
      <c r="A559" s="3" t="str">
        <f t="shared" si="80"/>
        <v>North9420039999838</v>
      </c>
      <c r="B559" s="3" t="str">
        <f t="shared" si="81"/>
        <v>Pan9420039999838</v>
      </c>
      <c r="C559" s="10">
        <v>9420039999838</v>
      </c>
      <c r="D559" s="10" t="str">
        <f t="shared" si="82"/>
        <v>9420039999</v>
      </c>
      <c r="E559" s="3" t="s">
        <v>2</v>
      </c>
      <c r="F559" s="3" t="s">
        <v>64</v>
      </c>
      <c r="H559" s="3">
        <v>2.1394000000000011</v>
      </c>
      <c r="I559" s="10">
        <f t="shared" si="83"/>
        <v>71.836328632325362</v>
      </c>
      <c r="J559" s="3">
        <v>0.89344766390412389</v>
      </c>
      <c r="K559" s="3">
        <v>0</v>
      </c>
      <c r="L559" s="3">
        <f t="shared" si="84"/>
        <v>0</v>
      </c>
      <c r="N559" s="11">
        <f t="shared" si="85"/>
        <v>1.2459523360958773</v>
      </c>
      <c r="O559" s="3">
        <v>0.89344766390412389</v>
      </c>
      <c r="P559" s="11">
        <f t="shared" si="86"/>
        <v>41.836328632325376</v>
      </c>
      <c r="Q559" s="12">
        <f t="shared" si="87"/>
        <v>54.837716012934386</v>
      </c>
      <c r="R559" s="13">
        <f t="shared" si="88"/>
        <v>42.398978619991823</v>
      </c>
      <c r="S559" s="3" t="s">
        <v>31</v>
      </c>
      <c r="T559" s="3" t="s">
        <v>28</v>
      </c>
      <c r="U559" s="10">
        <v>0</v>
      </c>
      <c r="V559" s="3">
        <v>0</v>
      </c>
      <c r="W559" s="3">
        <f t="shared" si="89"/>
        <v>0</v>
      </c>
      <c r="AA559" s="3">
        <v>28</v>
      </c>
    </row>
    <row r="560" spans="1:27" x14ac:dyDescent="0.3">
      <c r="A560" s="3" t="str">
        <f t="shared" si="80"/>
        <v>North9420039999195</v>
      </c>
      <c r="B560" s="3" t="str">
        <f t="shared" si="81"/>
        <v>Pan9420039999195</v>
      </c>
      <c r="C560" s="10">
        <v>9420039999195</v>
      </c>
      <c r="D560" s="10" t="str">
        <f t="shared" si="82"/>
        <v>9420039999</v>
      </c>
      <c r="E560" s="3" t="s">
        <v>2</v>
      </c>
      <c r="F560" s="3" t="s">
        <v>64</v>
      </c>
      <c r="H560" s="3">
        <v>0.68115000000000003</v>
      </c>
      <c r="I560" s="10">
        <f t="shared" si="83"/>
        <v>23.434616921948816</v>
      </c>
      <c r="J560" s="3">
        <v>0.87197926332907483</v>
      </c>
      <c r="K560" s="3">
        <v>0</v>
      </c>
      <c r="L560" s="3">
        <f t="shared" si="84"/>
        <v>0</v>
      </c>
      <c r="N560" s="11">
        <f t="shared" si="85"/>
        <v>-0.19082926332907479</v>
      </c>
      <c r="O560" s="3">
        <v>0.87197926332907483</v>
      </c>
      <c r="P560" s="11">
        <f t="shared" si="86"/>
        <v>-6.565383078051183</v>
      </c>
      <c r="Q560" s="12">
        <f t="shared" si="87"/>
        <v>-0.80700806434847139</v>
      </c>
      <c r="R560" s="13">
        <f t="shared" si="88"/>
        <v>-14.236938844724724</v>
      </c>
      <c r="S560" s="3" t="s">
        <v>31</v>
      </c>
      <c r="T560" s="3" t="s">
        <v>28</v>
      </c>
      <c r="U560" s="10">
        <v>0</v>
      </c>
      <c r="V560" s="3">
        <v>0</v>
      </c>
      <c r="W560" s="3">
        <f t="shared" si="89"/>
        <v>0</v>
      </c>
      <c r="AA560" s="3">
        <v>28</v>
      </c>
    </row>
    <row r="561" spans="1:27" x14ac:dyDescent="0.3">
      <c r="A561" s="3" t="str">
        <f t="shared" si="80"/>
        <v>North9310019999297</v>
      </c>
      <c r="B561" s="3" t="str">
        <f t="shared" si="81"/>
        <v>Pan9310019999297</v>
      </c>
      <c r="C561" s="10">
        <v>9310019999297</v>
      </c>
      <c r="D561" s="10" t="str">
        <f t="shared" si="82"/>
        <v>9310019999</v>
      </c>
      <c r="E561" s="3" t="s">
        <v>2</v>
      </c>
      <c r="F561" s="3" t="s">
        <v>64</v>
      </c>
      <c r="H561" s="3">
        <v>1.4527500000000002</v>
      </c>
      <c r="I561" s="10">
        <f t="shared" si="83"/>
        <v>58.601992148651306</v>
      </c>
      <c r="J561" s="3">
        <v>0.7437033862167608</v>
      </c>
      <c r="K561" s="3">
        <v>0</v>
      </c>
      <c r="L561" s="3">
        <f t="shared" si="84"/>
        <v>0</v>
      </c>
      <c r="N561" s="11">
        <f t="shared" si="85"/>
        <v>0.70904661378323941</v>
      </c>
      <c r="O561" s="3">
        <v>0.7437033862167608</v>
      </c>
      <c r="P561" s="11">
        <f t="shared" si="86"/>
        <v>28.601992148651306</v>
      </c>
      <c r="Q561" s="12">
        <f t="shared" si="87"/>
        <v>30.381955522488251</v>
      </c>
      <c r="R561" s="13">
        <f t="shared" si="88"/>
        <v>27.652805977650061</v>
      </c>
      <c r="S561" s="3" t="s">
        <v>31</v>
      </c>
      <c r="T561" s="3" t="s">
        <v>32</v>
      </c>
      <c r="U561" s="10">
        <v>9310019900999</v>
      </c>
      <c r="V561" s="3">
        <v>0.1</v>
      </c>
      <c r="W561" s="3">
        <f t="shared" si="89"/>
        <v>0</v>
      </c>
      <c r="AA561" s="3">
        <v>28</v>
      </c>
    </row>
    <row r="562" spans="1:27" x14ac:dyDescent="0.3">
      <c r="A562" s="3" t="str">
        <f t="shared" si="80"/>
        <v>North9310029999839</v>
      </c>
      <c r="B562" s="3" t="str">
        <f t="shared" si="81"/>
        <v>Pan9310029999839</v>
      </c>
      <c r="C562" s="10">
        <v>9310029999839</v>
      </c>
      <c r="D562" s="10" t="str">
        <f t="shared" si="82"/>
        <v>9310029999</v>
      </c>
      <c r="E562" s="3" t="s">
        <v>2</v>
      </c>
      <c r="F562" s="3" t="s">
        <v>64</v>
      </c>
      <c r="H562" s="3">
        <v>0.21450000000000002</v>
      </c>
      <c r="I562" s="10">
        <f t="shared" si="83"/>
        <v>66.357227121945115</v>
      </c>
      <c r="J562" s="3">
        <v>9.6975119050323771E-2</v>
      </c>
      <c r="K562" s="3">
        <v>0</v>
      </c>
      <c r="L562" s="3">
        <f t="shared" si="84"/>
        <v>0</v>
      </c>
      <c r="N562" s="11">
        <f t="shared" si="85"/>
        <v>0.11752488094967625</v>
      </c>
      <c r="O562" s="3">
        <v>9.6975119050323771E-2</v>
      </c>
      <c r="P562" s="11">
        <f t="shared" si="86"/>
        <v>36.357227121945108</v>
      </c>
      <c r="Q562" s="12">
        <f t="shared" si="87"/>
        <v>41.183207276268391</v>
      </c>
      <c r="R562" s="13">
        <f t="shared" si="88"/>
        <v>277.8965501161872</v>
      </c>
      <c r="S562" s="3" t="s">
        <v>31</v>
      </c>
      <c r="T562" s="3" t="s">
        <v>32</v>
      </c>
      <c r="U562" s="10">
        <v>0</v>
      </c>
      <c r="V562" s="3">
        <v>0</v>
      </c>
      <c r="W562" s="3">
        <f t="shared" si="89"/>
        <v>0</v>
      </c>
      <c r="AA562" s="3">
        <v>28</v>
      </c>
    </row>
    <row r="563" spans="1:27" x14ac:dyDescent="0.3">
      <c r="A563" s="3" t="str">
        <f t="shared" si="80"/>
        <v>North9310029999297</v>
      </c>
      <c r="B563" s="3" t="str">
        <f t="shared" si="81"/>
        <v>Pan9310029999297</v>
      </c>
      <c r="C563" s="10">
        <v>9310029999297</v>
      </c>
      <c r="D563" s="10" t="str">
        <f t="shared" si="82"/>
        <v>9310029999</v>
      </c>
      <c r="E563" s="3" t="s">
        <v>2</v>
      </c>
      <c r="F563" s="3" t="s">
        <v>64</v>
      </c>
      <c r="H563" s="3">
        <v>2.1644999999999999</v>
      </c>
      <c r="I563" s="10">
        <f t="shared" si="83"/>
        <v>674.37543249169107</v>
      </c>
      <c r="J563" s="3">
        <v>9.628909487416723E-2</v>
      </c>
      <c r="K563" s="3">
        <v>0</v>
      </c>
      <c r="L563" s="3">
        <f t="shared" si="84"/>
        <v>0</v>
      </c>
      <c r="N563" s="11">
        <f t="shared" si="85"/>
        <v>2.0682109051258326</v>
      </c>
      <c r="O563" s="3">
        <v>9.628909487416723E-2</v>
      </c>
      <c r="P563" s="11">
        <f t="shared" si="86"/>
        <v>644.37543249169107</v>
      </c>
      <c r="Q563" s="12">
        <f t="shared" si="87"/>
        <v>748.83539314059601</v>
      </c>
      <c r="R563" s="13">
        <f t="shared" si="88"/>
        <v>1144.2916541959814</v>
      </c>
      <c r="S563" s="3" t="s">
        <v>31</v>
      </c>
      <c r="T563" s="3" t="s">
        <v>32</v>
      </c>
      <c r="U563" s="10">
        <v>9310029900999</v>
      </c>
      <c r="V563" s="3">
        <v>0.1</v>
      </c>
      <c r="W563" s="3">
        <f t="shared" si="89"/>
        <v>0</v>
      </c>
      <c r="AA563" s="3">
        <v>28</v>
      </c>
    </row>
    <row r="564" spans="1:27" x14ac:dyDescent="0.3">
      <c r="A564" s="3" t="str">
        <f t="shared" si="80"/>
        <v>North9310029999097</v>
      </c>
      <c r="B564" s="3" t="str">
        <f t="shared" si="81"/>
        <v>Pan9310029999097</v>
      </c>
      <c r="C564" s="10">
        <v>9310029999097</v>
      </c>
      <c r="D564" s="10" t="str">
        <f t="shared" si="82"/>
        <v>9310029999</v>
      </c>
      <c r="E564" s="3" t="s">
        <v>2</v>
      </c>
      <c r="F564" s="3" t="s">
        <v>64</v>
      </c>
      <c r="H564" s="3">
        <v>0.24082499999999993</v>
      </c>
      <c r="I564" s="10">
        <f t="shared" si="83"/>
        <v>139.40618819136827</v>
      </c>
      <c r="J564" s="3">
        <v>5.18251742891234E-2</v>
      </c>
      <c r="K564" s="3">
        <v>0</v>
      </c>
      <c r="L564" s="3">
        <f t="shared" si="84"/>
        <v>0</v>
      </c>
      <c r="N564" s="11">
        <f t="shared" si="85"/>
        <v>0.18899982571087653</v>
      </c>
      <c r="O564" s="3">
        <v>5.18251742891234E-2</v>
      </c>
      <c r="P564" s="11">
        <f t="shared" si="86"/>
        <v>109.40618819136829</v>
      </c>
      <c r="Q564" s="12">
        <f t="shared" si="87"/>
        <v>169.79672315685983</v>
      </c>
      <c r="R564" s="13">
        <f t="shared" si="88"/>
        <v>354.59273598559759</v>
      </c>
      <c r="S564" s="3" t="s">
        <v>31</v>
      </c>
      <c r="T564" s="3" t="s">
        <v>32</v>
      </c>
      <c r="U564" s="10">
        <v>0</v>
      </c>
      <c r="V564" s="3">
        <v>0</v>
      </c>
      <c r="W564" s="3">
        <f t="shared" si="89"/>
        <v>0</v>
      </c>
      <c r="AA564" s="3">
        <v>28</v>
      </c>
    </row>
    <row r="565" spans="1:27" x14ac:dyDescent="0.3">
      <c r="A565" s="3" t="str">
        <f t="shared" si="80"/>
        <v>North9310029999219</v>
      </c>
      <c r="B565" s="3" t="str">
        <f t="shared" si="81"/>
        <v>Pan9310029999219</v>
      </c>
      <c r="C565" s="10">
        <v>9310029999219</v>
      </c>
      <c r="D565" s="10" t="str">
        <f t="shared" si="82"/>
        <v>9310029999</v>
      </c>
      <c r="E565" s="3" t="s">
        <v>2</v>
      </c>
      <c r="F565" s="3" t="s">
        <v>64</v>
      </c>
      <c r="H565" s="3">
        <v>0.95550000000000002</v>
      </c>
      <c r="I565" s="10">
        <f t="shared" si="83"/>
        <v>628.45437172219681</v>
      </c>
      <c r="J565" s="3">
        <v>4.5611903249948488E-2</v>
      </c>
      <c r="K565" s="3">
        <v>0</v>
      </c>
      <c r="L565" s="3">
        <f t="shared" si="84"/>
        <v>0</v>
      </c>
      <c r="N565" s="11">
        <f t="shared" si="85"/>
        <v>0.90988809675005156</v>
      </c>
      <c r="O565" s="3">
        <v>4.5611903249948488E-2</v>
      </c>
      <c r="P565" s="11">
        <f t="shared" si="86"/>
        <v>598.45437172219681</v>
      </c>
      <c r="Q565" s="12">
        <f t="shared" si="87"/>
        <v>329.04579219858135</v>
      </c>
      <c r="R565" s="13">
        <f t="shared" si="88"/>
        <v>390.88539054406084</v>
      </c>
      <c r="S565" s="3" t="s">
        <v>31</v>
      </c>
      <c r="T565" s="3" t="s">
        <v>32</v>
      </c>
      <c r="U565" s="10">
        <v>9310029900999</v>
      </c>
      <c r="V565" s="3">
        <v>0.1</v>
      </c>
      <c r="W565" s="3">
        <f t="shared" si="89"/>
        <v>0</v>
      </c>
      <c r="AA565" s="3">
        <v>28</v>
      </c>
    </row>
    <row r="566" spans="1:27" x14ac:dyDescent="0.3">
      <c r="A566" s="3" t="str">
        <f t="shared" si="80"/>
        <v>North9420049999195</v>
      </c>
      <c r="B566" s="3" t="str">
        <f t="shared" si="81"/>
        <v>Pan9420049999195</v>
      </c>
      <c r="C566" s="10">
        <v>9420049999195</v>
      </c>
      <c r="D566" s="10" t="str">
        <f t="shared" si="82"/>
        <v>9420049999</v>
      </c>
      <c r="E566" s="3" t="s">
        <v>2</v>
      </c>
      <c r="F566" s="3" t="s">
        <v>64</v>
      </c>
      <c r="H566" s="3">
        <v>1.1247999999999998</v>
      </c>
      <c r="I566" s="10">
        <f t="shared" si="83"/>
        <v>753.78513783141068</v>
      </c>
      <c r="J566" s="3">
        <v>4.4766072328089698E-2</v>
      </c>
      <c r="K566" s="3">
        <v>0</v>
      </c>
      <c r="L566" s="3">
        <f t="shared" si="84"/>
        <v>0</v>
      </c>
      <c r="N566" s="11">
        <f t="shared" si="85"/>
        <v>1.0800339276719102</v>
      </c>
      <c r="O566" s="3">
        <v>4.4766072328089698E-2</v>
      </c>
      <c r="P566" s="11">
        <f t="shared" si="86"/>
        <v>723.78513783141079</v>
      </c>
      <c r="Q566" s="12">
        <f t="shared" si="87"/>
        <v>764.76342284045018</v>
      </c>
      <c r="R566" s="13">
        <f t="shared" si="88"/>
        <v>1347.2670042698451</v>
      </c>
      <c r="S566" s="3" t="s">
        <v>31</v>
      </c>
      <c r="T566" s="3" t="s">
        <v>28</v>
      </c>
      <c r="U566" s="10">
        <v>0</v>
      </c>
      <c r="V566" s="3">
        <v>0</v>
      </c>
      <c r="W566" s="3">
        <f t="shared" si="89"/>
        <v>0</v>
      </c>
      <c r="AA566" s="3">
        <v>28</v>
      </c>
    </row>
    <row r="567" spans="1:27" x14ac:dyDescent="0.3">
      <c r="A567" s="3" t="str">
        <f t="shared" si="80"/>
        <v>North9420049999838</v>
      </c>
      <c r="B567" s="3" t="str">
        <f t="shared" si="81"/>
        <v>Pan9420049999838</v>
      </c>
      <c r="C567" s="10">
        <v>9420049999838</v>
      </c>
      <c r="D567" s="10" t="str">
        <f t="shared" si="82"/>
        <v>9420049999</v>
      </c>
      <c r="E567" s="3" t="s">
        <v>2</v>
      </c>
      <c r="F567" s="3" t="s">
        <v>64</v>
      </c>
      <c r="H567" s="3">
        <v>0</v>
      </c>
      <c r="I567" s="10">
        <f t="shared" si="83"/>
        <v>0</v>
      </c>
      <c r="J567" s="3">
        <v>8.2972026541364898E-3</v>
      </c>
      <c r="K567" s="3">
        <v>0</v>
      </c>
      <c r="L567" s="3">
        <f t="shared" si="84"/>
        <v>0</v>
      </c>
      <c r="N567" s="11">
        <f t="shared" si="85"/>
        <v>-8.2972026541364898E-3</v>
      </c>
      <c r="O567" s="3">
        <v>8.2972026541364898E-3</v>
      </c>
      <c r="P567" s="11">
        <f t="shared" si="86"/>
        <v>-30</v>
      </c>
      <c r="Q567" s="12">
        <f t="shared" si="87"/>
        <v>-30</v>
      </c>
      <c r="R567" s="13">
        <f t="shared" si="88"/>
        <v>-30</v>
      </c>
      <c r="S567" s="3" t="s">
        <v>31</v>
      </c>
      <c r="T567" s="3" t="s">
        <v>28</v>
      </c>
      <c r="U567" s="10">
        <v>0</v>
      </c>
      <c r="V567" s="3">
        <v>0</v>
      </c>
      <c r="W567" s="3">
        <f t="shared" si="89"/>
        <v>0</v>
      </c>
      <c r="AA567" s="3">
        <v>28</v>
      </c>
    </row>
    <row r="568" spans="1:27" x14ac:dyDescent="0.3">
      <c r="A568" s="3" t="str">
        <f t="shared" si="80"/>
        <v>North9160709999097</v>
      </c>
      <c r="B568" s="3" t="str">
        <f t="shared" si="81"/>
        <v>Pan9160709999097</v>
      </c>
      <c r="C568" s="10">
        <v>9160709999097</v>
      </c>
      <c r="D568" s="10" t="str">
        <f t="shared" si="82"/>
        <v>9160709999</v>
      </c>
      <c r="E568" s="3" t="s">
        <v>2</v>
      </c>
      <c r="F568" s="3" t="s">
        <v>64</v>
      </c>
      <c r="H568" s="3">
        <v>0</v>
      </c>
      <c r="I568" s="10">
        <f t="shared" si="83"/>
        <v>0</v>
      </c>
      <c r="J568" s="3">
        <v>0</v>
      </c>
      <c r="K568" s="3">
        <v>0</v>
      </c>
      <c r="L568" s="3">
        <f t="shared" si="84"/>
        <v>0</v>
      </c>
      <c r="N568" s="11">
        <f t="shared" si="85"/>
        <v>0</v>
      </c>
      <c r="O568" s="3">
        <v>0</v>
      </c>
      <c r="P568" s="11">
        <f t="shared" si="86"/>
        <v>9999</v>
      </c>
      <c r="Q568" s="12">
        <f t="shared" si="87"/>
        <v>9999</v>
      </c>
      <c r="R568" s="13">
        <f t="shared" si="88"/>
        <v>9999</v>
      </c>
      <c r="S568" s="3" t="s">
        <v>31</v>
      </c>
      <c r="T568" s="3" t="s">
        <v>34</v>
      </c>
      <c r="U568" s="10" t="s">
        <v>72</v>
      </c>
      <c r="V568" s="3" t="s">
        <v>72</v>
      </c>
      <c r="W568" s="3">
        <f t="shared" si="89"/>
        <v>0</v>
      </c>
      <c r="AA568" s="3">
        <v>28</v>
      </c>
    </row>
    <row r="569" spans="1:27" x14ac:dyDescent="0.3">
      <c r="A569" s="3" t="str">
        <f t="shared" si="80"/>
        <v>North9160509999097</v>
      </c>
      <c r="B569" s="3" t="str">
        <f t="shared" si="81"/>
        <v>Pan9160509999097</v>
      </c>
      <c r="C569" s="10">
        <v>9160509999097</v>
      </c>
      <c r="D569" s="10" t="str">
        <f t="shared" si="82"/>
        <v>9160509999</v>
      </c>
      <c r="E569" s="3" t="s">
        <v>2</v>
      </c>
      <c r="F569" s="3" t="s">
        <v>64</v>
      </c>
      <c r="H569" s="3">
        <v>0</v>
      </c>
      <c r="I569" s="10">
        <f t="shared" si="83"/>
        <v>0</v>
      </c>
      <c r="J569" s="3">
        <v>0</v>
      </c>
      <c r="K569" s="3">
        <v>0</v>
      </c>
      <c r="L569" s="3">
        <f t="shared" si="84"/>
        <v>0</v>
      </c>
      <c r="N569" s="11">
        <f t="shared" si="85"/>
        <v>0</v>
      </c>
      <c r="O569" s="3">
        <v>0</v>
      </c>
      <c r="P569" s="11">
        <f t="shared" si="86"/>
        <v>9999</v>
      </c>
      <c r="Q569" s="12">
        <f t="shared" si="87"/>
        <v>9999</v>
      </c>
      <c r="R569" s="13">
        <f t="shared" si="88"/>
        <v>9999</v>
      </c>
      <c r="S569" s="3" t="s">
        <v>31</v>
      </c>
      <c r="T569" s="3" t="s">
        <v>34</v>
      </c>
      <c r="U569" s="10" t="s">
        <v>72</v>
      </c>
      <c r="V569" s="3" t="s">
        <v>72</v>
      </c>
      <c r="W569" s="3">
        <f t="shared" si="89"/>
        <v>0</v>
      </c>
      <c r="AA569" s="3">
        <v>28</v>
      </c>
    </row>
    <row r="570" spans="1:27" x14ac:dyDescent="0.3">
      <c r="A570" s="3" t="str">
        <f t="shared" si="80"/>
        <v>North9320029999219</v>
      </c>
      <c r="B570" s="3" t="str">
        <f t="shared" si="81"/>
        <v>Lud9320029999219</v>
      </c>
      <c r="C570" s="10">
        <v>9320029999219</v>
      </c>
      <c r="D570" s="10" t="str">
        <f t="shared" si="82"/>
        <v>9320029999</v>
      </c>
      <c r="E570" s="3" t="s">
        <v>3</v>
      </c>
      <c r="F570" s="3" t="s">
        <v>64</v>
      </c>
      <c r="H570" s="3">
        <v>3.7049999999999996</v>
      </c>
      <c r="I570" s="10">
        <f t="shared" si="83"/>
        <v>47.375640004714704</v>
      </c>
      <c r="J570" s="3">
        <v>2.3461424476574591</v>
      </c>
      <c r="K570" s="3">
        <v>0</v>
      </c>
      <c r="L570" s="3">
        <f t="shared" si="84"/>
        <v>0</v>
      </c>
      <c r="N570" s="11">
        <f t="shared" si="85"/>
        <v>1.3588575523425406</v>
      </c>
      <c r="O570" s="3">
        <v>2.3461424476574591</v>
      </c>
      <c r="P570" s="11">
        <f t="shared" si="86"/>
        <v>17.375640004714704</v>
      </c>
      <c r="Q570" s="12">
        <f t="shared" si="87"/>
        <v>12.257532296588501</v>
      </c>
      <c r="R570" s="13">
        <f t="shared" si="88"/>
        <v>20.644368796962809</v>
      </c>
      <c r="S570" s="3" t="s">
        <v>30</v>
      </c>
      <c r="T570" s="3" t="s">
        <v>28</v>
      </c>
      <c r="U570" s="10">
        <v>9320029900999</v>
      </c>
      <c r="V570" s="3">
        <v>0.1</v>
      </c>
      <c r="W570" s="3">
        <f t="shared" si="89"/>
        <v>0</v>
      </c>
      <c r="AA570" s="3">
        <v>28</v>
      </c>
    </row>
    <row r="571" spans="1:27" x14ac:dyDescent="0.3">
      <c r="A571" s="3" t="str">
        <f t="shared" si="80"/>
        <v>North9320029999839</v>
      </c>
      <c r="B571" s="3" t="str">
        <f t="shared" si="81"/>
        <v>Lud9320029999839</v>
      </c>
      <c r="C571" s="10">
        <v>9320029999839</v>
      </c>
      <c r="D571" s="10" t="str">
        <f t="shared" si="82"/>
        <v>9320029999</v>
      </c>
      <c r="E571" s="3" t="s">
        <v>3</v>
      </c>
      <c r="F571" s="3" t="s">
        <v>64</v>
      </c>
      <c r="H571" s="3">
        <v>2.9834999999999998</v>
      </c>
      <c r="I571" s="10">
        <f t="shared" si="83"/>
        <v>39.165867255187244</v>
      </c>
      <c r="J571" s="3">
        <v>2.2852806862880253</v>
      </c>
      <c r="K571" s="3">
        <v>0</v>
      </c>
      <c r="L571" s="3">
        <f t="shared" si="84"/>
        <v>0</v>
      </c>
      <c r="N571" s="11">
        <f t="shared" si="85"/>
        <v>0.69821931371197454</v>
      </c>
      <c r="O571" s="3">
        <v>2.2852806862880253</v>
      </c>
      <c r="P571" s="11">
        <f t="shared" si="86"/>
        <v>9.1658672551872407</v>
      </c>
      <c r="Q571" s="12">
        <f t="shared" si="87"/>
        <v>-3.2611736402074749</v>
      </c>
      <c r="R571" s="13">
        <f t="shared" si="88"/>
        <v>19.357265929212165</v>
      </c>
      <c r="S571" s="3" t="s">
        <v>30</v>
      </c>
      <c r="T571" s="3" t="s">
        <v>28</v>
      </c>
      <c r="U571" s="10">
        <v>0</v>
      </c>
      <c r="V571" s="3">
        <v>0</v>
      </c>
      <c r="W571" s="3">
        <f t="shared" si="89"/>
        <v>0</v>
      </c>
      <c r="AA571" s="3">
        <v>28</v>
      </c>
    </row>
    <row r="572" spans="1:27" x14ac:dyDescent="0.3">
      <c r="A572" s="3" t="str">
        <f t="shared" si="80"/>
        <v>North9320039999839</v>
      </c>
      <c r="B572" s="3" t="str">
        <f t="shared" si="81"/>
        <v>Lud9320039999839</v>
      </c>
      <c r="C572" s="10">
        <v>9320039999839</v>
      </c>
      <c r="D572" s="10" t="str">
        <f t="shared" si="82"/>
        <v>9320039999</v>
      </c>
      <c r="E572" s="3" t="s">
        <v>3</v>
      </c>
      <c r="F572" s="3" t="s">
        <v>64</v>
      </c>
      <c r="H572" s="3">
        <v>7.4567999999999994</v>
      </c>
      <c r="I572" s="10">
        <f t="shared" si="83"/>
        <v>109.22023515793448</v>
      </c>
      <c r="J572" s="3">
        <v>2.0481918911502053</v>
      </c>
      <c r="K572" s="3">
        <v>0</v>
      </c>
      <c r="L572" s="3">
        <f t="shared" si="84"/>
        <v>0</v>
      </c>
      <c r="N572" s="11">
        <f t="shared" si="85"/>
        <v>5.4086081088497941</v>
      </c>
      <c r="O572" s="3">
        <v>2.0481918911502053</v>
      </c>
      <c r="P572" s="11">
        <f t="shared" si="86"/>
        <v>79.220235157934482</v>
      </c>
      <c r="Q572" s="12">
        <f t="shared" si="87"/>
        <v>12.108698664954069</v>
      </c>
      <c r="R572" s="13">
        <f t="shared" si="88"/>
        <v>5.6471689168472166</v>
      </c>
      <c r="S572" s="3" t="s">
        <v>30</v>
      </c>
      <c r="T572" s="3" t="s">
        <v>28</v>
      </c>
      <c r="U572" s="10">
        <v>0</v>
      </c>
      <c r="V572" s="3">
        <v>0</v>
      </c>
      <c r="W572" s="3">
        <f t="shared" si="89"/>
        <v>0</v>
      </c>
      <c r="AA572" s="3">
        <v>28</v>
      </c>
    </row>
    <row r="573" spans="1:27" x14ac:dyDescent="0.3">
      <c r="A573" s="3" t="str">
        <f t="shared" si="80"/>
        <v>North9320029999097</v>
      </c>
      <c r="B573" s="3" t="str">
        <f t="shared" si="81"/>
        <v>Lud9320029999097</v>
      </c>
      <c r="C573" s="10">
        <v>9320029999097</v>
      </c>
      <c r="D573" s="10" t="str">
        <f t="shared" si="82"/>
        <v>9320029999</v>
      </c>
      <c r="E573" s="3" t="s">
        <v>3</v>
      </c>
      <c r="F573" s="3" t="s">
        <v>64</v>
      </c>
      <c r="H573" s="3">
        <v>2.145</v>
      </c>
      <c r="I573" s="10">
        <f t="shared" si="83"/>
        <v>42.225523493333966</v>
      </c>
      <c r="J573" s="3">
        <v>1.5239597920001813</v>
      </c>
      <c r="K573" s="3">
        <v>0</v>
      </c>
      <c r="L573" s="3">
        <f t="shared" si="84"/>
        <v>0</v>
      </c>
      <c r="N573" s="11">
        <f t="shared" si="85"/>
        <v>0.62104020799981874</v>
      </c>
      <c r="O573" s="3">
        <v>1.5239597920001813</v>
      </c>
      <c r="P573" s="11">
        <f t="shared" si="86"/>
        <v>12.225523493333966</v>
      </c>
      <c r="Q573" s="12">
        <f t="shared" si="87"/>
        <v>9.2258138770564901</v>
      </c>
      <c r="R573" s="13">
        <f t="shared" si="88"/>
        <v>27.782787977034157</v>
      </c>
      <c r="S573" s="3" t="s">
        <v>30</v>
      </c>
      <c r="T573" s="3" t="s">
        <v>28</v>
      </c>
      <c r="U573" s="10">
        <v>0</v>
      </c>
      <c r="V573" s="3">
        <v>0</v>
      </c>
      <c r="W573" s="3">
        <f t="shared" si="89"/>
        <v>0</v>
      </c>
      <c r="AA573" s="3">
        <v>28</v>
      </c>
    </row>
    <row r="574" spans="1:27" x14ac:dyDescent="0.3">
      <c r="A574" s="3" t="str">
        <f t="shared" si="80"/>
        <v>North9320039999097</v>
      </c>
      <c r="B574" s="3" t="str">
        <f t="shared" si="81"/>
        <v>Lud9320039999097</v>
      </c>
      <c r="C574" s="10">
        <v>9320039999097</v>
      </c>
      <c r="D574" s="10" t="str">
        <f t="shared" si="82"/>
        <v>9320039999</v>
      </c>
      <c r="E574" s="3" t="s">
        <v>3</v>
      </c>
      <c r="F574" s="3" t="s">
        <v>64</v>
      </c>
      <c r="H574" s="3">
        <v>6.6270750000000005</v>
      </c>
      <c r="I574" s="10">
        <f t="shared" si="83"/>
        <v>171.34123280075417</v>
      </c>
      <c r="J574" s="3">
        <v>1.1603292841437109</v>
      </c>
      <c r="K574" s="3">
        <v>0</v>
      </c>
      <c r="L574" s="3">
        <f t="shared" si="84"/>
        <v>0</v>
      </c>
      <c r="N574" s="11">
        <f t="shared" si="85"/>
        <v>5.4667457158562893</v>
      </c>
      <c r="O574" s="3">
        <v>1.1603292841437109</v>
      </c>
      <c r="P574" s="11">
        <f t="shared" si="86"/>
        <v>141.34123280075417</v>
      </c>
      <c r="Q574" s="12">
        <f t="shared" si="87"/>
        <v>33.171065524440976</v>
      </c>
      <c r="R574" s="13">
        <f t="shared" si="88"/>
        <v>17.328925570439566</v>
      </c>
      <c r="S574" s="3" t="s">
        <v>30</v>
      </c>
      <c r="T574" s="3" t="s">
        <v>28</v>
      </c>
      <c r="U574" s="10">
        <v>0</v>
      </c>
      <c r="V574" s="3">
        <v>0</v>
      </c>
      <c r="W574" s="3">
        <f t="shared" si="89"/>
        <v>0</v>
      </c>
      <c r="AA574" s="3">
        <v>28</v>
      </c>
    </row>
    <row r="575" spans="1:27" x14ac:dyDescent="0.3">
      <c r="A575" s="3" t="str">
        <f t="shared" si="80"/>
        <v>North9320029999297</v>
      </c>
      <c r="B575" s="3" t="str">
        <f t="shared" si="81"/>
        <v>Lud9320029999297</v>
      </c>
      <c r="C575" s="10">
        <v>9320029999297</v>
      </c>
      <c r="D575" s="10" t="str">
        <f t="shared" si="82"/>
        <v>9320029999</v>
      </c>
      <c r="E575" s="3" t="s">
        <v>3</v>
      </c>
      <c r="F575" s="3" t="s">
        <v>64</v>
      </c>
      <c r="H575" s="3">
        <v>0.94574999999999998</v>
      </c>
      <c r="I575" s="10">
        <f t="shared" si="83"/>
        <v>24.791831715783573</v>
      </c>
      <c r="J575" s="3">
        <v>1.1444293558162875</v>
      </c>
      <c r="K575" s="3">
        <v>0</v>
      </c>
      <c r="L575" s="3">
        <f t="shared" si="84"/>
        <v>0</v>
      </c>
      <c r="N575" s="11">
        <f t="shared" si="85"/>
        <v>-0.19867935581628748</v>
      </c>
      <c r="O575" s="3">
        <v>1.1444293558162875</v>
      </c>
      <c r="P575" s="11">
        <f t="shared" si="86"/>
        <v>-5.208168284216427</v>
      </c>
      <c r="Q575" s="12">
        <f t="shared" si="87"/>
        <v>-7.332737997737989</v>
      </c>
      <c r="R575" s="13">
        <f t="shared" si="88"/>
        <v>17.77009633775095</v>
      </c>
      <c r="S575" s="3" t="s">
        <v>30</v>
      </c>
      <c r="T575" s="3" t="s">
        <v>28</v>
      </c>
      <c r="U575" s="10">
        <v>9320029900999</v>
      </c>
      <c r="V575" s="3">
        <v>0.1</v>
      </c>
      <c r="W575" s="3">
        <f t="shared" si="89"/>
        <v>0</v>
      </c>
      <c r="AA575" s="3">
        <v>28</v>
      </c>
    </row>
    <row r="576" spans="1:27" x14ac:dyDescent="0.3">
      <c r="A576" s="3" t="str">
        <f t="shared" si="80"/>
        <v>North9310019999839</v>
      </c>
      <c r="B576" s="3" t="str">
        <f t="shared" si="81"/>
        <v>Lud9310019999839</v>
      </c>
      <c r="C576" s="10">
        <v>9310019999839</v>
      </c>
      <c r="D576" s="10" t="str">
        <f t="shared" si="82"/>
        <v>9310019999</v>
      </c>
      <c r="E576" s="3" t="s">
        <v>3</v>
      </c>
      <c r="F576" s="3" t="s">
        <v>64</v>
      </c>
      <c r="H576" s="3">
        <v>0.74879999999999991</v>
      </c>
      <c r="I576" s="10">
        <f t="shared" si="83"/>
        <v>30.683568749105191</v>
      </c>
      <c r="J576" s="3">
        <v>0.73211822860908593</v>
      </c>
      <c r="K576" s="3">
        <v>0</v>
      </c>
      <c r="L576" s="3">
        <f t="shared" si="84"/>
        <v>0</v>
      </c>
      <c r="N576" s="11">
        <f t="shared" si="85"/>
        <v>1.668177139091398E-2</v>
      </c>
      <c r="O576" s="3">
        <v>0.73211822860908593</v>
      </c>
      <c r="P576" s="11">
        <f t="shared" si="86"/>
        <v>0.68356874910518861</v>
      </c>
      <c r="Q576" s="12">
        <f t="shared" si="87"/>
        <v>1.4406866025829903</v>
      </c>
      <c r="R576" s="13">
        <f t="shared" si="88"/>
        <v>0.90281642977410392</v>
      </c>
      <c r="S576" s="3" t="s">
        <v>30</v>
      </c>
      <c r="T576" s="3" t="s">
        <v>32</v>
      </c>
      <c r="U576" s="10">
        <v>0</v>
      </c>
      <c r="V576" s="3">
        <v>0</v>
      </c>
      <c r="W576" s="3">
        <f t="shared" si="89"/>
        <v>0</v>
      </c>
      <c r="AA576" s="3">
        <v>28</v>
      </c>
    </row>
    <row r="577" spans="1:27" x14ac:dyDescent="0.3">
      <c r="A577" s="3" t="str">
        <f t="shared" si="80"/>
        <v>North9320039999219</v>
      </c>
      <c r="B577" s="3" t="str">
        <f t="shared" si="81"/>
        <v>Lud9320039999219</v>
      </c>
      <c r="C577" s="10">
        <v>9320039999219</v>
      </c>
      <c r="D577" s="10" t="str">
        <f t="shared" si="82"/>
        <v>9320039999</v>
      </c>
      <c r="E577" s="3" t="s">
        <v>3</v>
      </c>
      <c r="F577" s="3" t="s">
        <v>64</v>
      </c>
      <c r="H577" s="3">
        <v>6.4155000000000006</v>
      </c>
      <c r="I577" s="10">
        <f t="shared" si="83"/>
        <v>268.39407314648429</v>
      </c>
      <c r="J577" s="3">
        <v>0.71709854745919199</v>
      </c>
      <c r="K577" s="3">
        <v>0</v>
      </c>
      <c r="L577" s="3">
        <f t="shared" si="84"/>
        <v>0</v>
      </c>
      <c r="N577" s="11">
        <f t="shared" si="85"/>
        <v>5.6984014525408089</v>
      </c>
      <c r="O577" s="3">
        <v>0.71709854745919199</v>
      </c>
      <c r="P577" s="11">
        <f t="shared" si="86"/>
        <v>238.39407314648432</v>
      </c>
      <c r="Q577" s="12">
        <f t="shared" si="87"/>
        <v>45.877370061699388</v>
      </c>
      <c r="R577" s="13">
        <f t="shared" si="88"/>
        <v>54.138526583137718</v>
      </c>
      <c r="S577" s="3" t="s">
        <v>31</v>
      </c>
      <c r="T577" s="3" t="s">
        <v>28</v>
      </c>
      <c r="U577" s="10">
        <v>9320039900999</v>
      </c>
      <c r="V577" s="3">
        <v>0.1</v>
      </c>
      <c r="W577" s="3">
        <f t="shared" si="89"/>
        <v>0</v>
      </c>
      <c r="AA577" s="3">
        <v>28</v>
      </c>
    </row>
    <row r="578" spans="1:27" x14ac:dyDescent="0.3">
      <c r="A578" s="3" t="str">
        <f t="shared" si="80"/>
        <v>North9310019999219</v>
      </c>
      <c r="B578" s="3" t="str">
        <f t="shared" si="81"/>
        <v>Lud9310019999219</v>
      </c>
      <c r="C578" s="10">
        <v>9310019999219</v>
      </c>
      <c r="D578" s="10" t="str">
        <f t="shared" si="82"/>
        <v>9310019999</v>
      </c>
      <c r="E578" s="3" t="s">
        <v>3</v>
      </c>
      <c r="F578" s="3" t="s">
        <v>64</v>
      </c>
      <c r="H578" s="3">
        <v>1.5209999999999999</v>
      </c>
      <c r="I578" s="10">
        <f t="shared" si="83"/>
        <v>76.191117198759073</v>
      </c>
      <c r="J578" s="3">
        <v>0.59888871140930289</v>
      </c>
      <c r="K578" s="3">
        <v>0</v>
      </c>
      <c r="L578" s="3">
        <f t="shared" si="84"/>
        <v>0</v>
      </c>
      <c r="N578" s="11">
        <f t="shared" si="85"/>
        <v>0.92211128859069702</v>
      </c>
      <c r="O578" s="3">
        <v>0.59888871140930289</v>
      </c>
      <c r="P578" s="11">
        <f t="shared" si="86"/>
        <v>46.191117198759073</v>
      </c>
      <c r="Q578" s="12">
        <f t="shared" si="87"/>
        <v>77.414775504721888</v>
      </c>
      <c r="R578" s="13">
        <f t="shared" si="88"/>
        <v>46.246565856944308</v>
      </c>
      <c r="S578" s="3" t="s">
        <v>31</v>
      </c>
      <c r="T578" s="3" t="s">
        <v>32</v>
      </c>
      <c r="U578" s="10">
        <v>9310019900999</v>
      </c>
      <c r="V578" s="3">
        <v>0.1</v>
      </c>
      <c r="W578" s="3">
        <f t="shared" si="89"/>
        <v>0</v>
      </c>
      <c r="AA578" s="3">
        <v>28</v>
      </c>
    </row>
    <row r="579" spans="1:27" x14ac:dyDescent="0.3">
      <c r="A579" s="3" t="str">
        <f t="shared" si="80"/>
        <v>North9420029999838</v>
      </c>
      <c r="B579" s="3" t="str">
        <f t="shared" si="81"/>
        <v>Lud9420029999838</v>
      </c>
      <c r="C579" s="10">
        <v>9420029999838</v>
      </c>
      <c r="D579" s="10" t="str">
        <f t="shared" si="82"/>
        <v>9420029999</v>
      </c>
      <c r="E579" s="3" t="s">
        <v>3</v>
      </c>
      <c r="F579" s="3" t="s">
        <v>64</v>
      </c>
      <c r="H579" s="3">
        <v>0.48639999999999994</v>
      </c>
      <c r="I579" s="10">
        <f t="shared" si="83"/>
        <v>31.050344961664678</v>
      </c>
      <c r="J579" s="3">
        <v>0.46994646977402499</v>
      </c>
      <c r="K579" s="3">
        <v>0</v>
      </c>
      <c r="L579" s="3">
        <f t="shared" si="84"/>
        <v>0</v>
      </c>
      <c r="N579" s="11">
        <f t="shared" si="85"/>
        <v>1.6453530225974955E-2</v>
      </c>
      <c r="O579" s="3">
        <v>0.46994646977402499</v>
      </c>
      <c r="P579" s="11">
        <f t="shared" si="86"/>
        <v>1.0503449616646772</v>
      </c>
      <c r="Q579" s="12">
        <f t="shared" si="87"/>
        <v>30.926417800869661</v>
      </c>
      <c r="R579" s="13">
        <f t="shared" si="88"/>
        <v>-1.5040952227448274</v>
      </c>
      <c r="S579" s="3" t="s">
        <v>31</v>
      </c>
      <c r="T579" s="3" t="s">
        <v>28</v>
      </c>
      <c r="U579" s="10">
        <v>0</v>
      </c>
      <c r="V579" s="3">
        <v>0</v>
      </c>
      <c r="W579" s="3">
        <f t="shared" si="89"/>
        <v>0</v>
      </c>
      <c r="AA579" s="3">
        <v>28</v>
      </c>
    </row>
    <row r="580" spans="1:27" x14ac:dyDescent="0.3">
      <c r="A580" s="3" t="str">
        <f t="shared" ref="A580:A643" si="90">_xlfn.CONCAT(F580,C580)</f>
        <v>North9310099999839</v>
      </c>
      <c r="B580" s="3" t="str">
        <f t="shared" ref="B580:B643" si="91">_xlfn.CONCAT(E580,C580)</f>
        <v>Lud9310099999839</v>
      </c>
      <c r="C580" s="10">
        <v>9310099999839</v>
      </c>
      <c r="D580" s="10" t="str">
        <f t="shared" ref="D580:D643" si="92">LEFT(C580,10)</f>
        <v>9310099999</v>
      </c>
      <c r="E580" s="3" t="s">
        <v>3</v>
      </c>
      <c r="F580" s="3" t="s">
        <v>64</v>
      </c>
      <c r="H580" s="3">
        <v>0</v>
      </c>
      <c r="I580" s="10">
        <f t="shared" ref="I580:I643" si="93">IFERROR(H580/J580*30,0)</f>
        <v>0</v>
      </c>
      <c r="J580" s="3">
        <v>0.4122340404</v>
      </c>
      <c r="K580" s="3">
        <v>0</v>
      </c>
      <c r="L580" s="3">
        <f t="shared" ref="L580:L643" si="94">M580*G580</f>
        <v>0</v>
      </c>
      <c r="N580" s="11">
        <f t="shared" ref="N580:N643" si="95">H580-J580+L580</f>
        <v>-0.4122340404</v>
      </c>
      <c r="O580" s="3">
        <v>0.4122340404</v>
      </c>
      <c r="P580" s="11">
        <f t="shared" ref="P580:P643" si="96">IF(O580=0,9999,N580/O580*30)</f>
        <v>-30</v>
      </c>
      <c r="Q580" s="12">
        <f t="shared" ref="Q580:Q643" si="97">IF(SUMIF($A:$A,$A580,$O:$O)=0,9999,SUMIF($A:$A,$A580,$N:$N)*30/SUMIF($A:$A,$A580,$O:$O))</f>
        <v>-30</v>
      </c>
      <c r="R580" s="13">
        <f t="shared" ref="R580:R643" si="98">IF(SUMIF($C:$C,$C580,$O:$O)=0,9999,SUMIF($C:$C,$C580,$N:$N)*30/SUMIF($C:$C,$C580,$O:$O))</f>
        <v>-30</v>
      </c>
      <c r="S580" s="3">
        <v>0</v>
      </c>
      <c r="T580" s="3" t="s">
        <v>32</v>
      </c>
      <c r="U580" s="10">
        <v>0</v>
      </c>
      <c r="V580" s="3">
        <v>0</v>
      </c>
      <c r="W580" s="3">
        <f t="shared" ref="W580:W643" si="99">IFERROR(K580*V580,0)</f>
        <v>0</v>
      </c>
      <c r="AA580" s="3">
        <v>28</v>
      </c>
    </row>
    <row r="581" spans="1:27" x14ac:dyDescent="0.3">
      <c r="A581" s="3" t="str">
        <f t="shared" si="90"/>
        <v>North9320039999297</v>
      </c>
      <c r="B581" s="3" t="str">
        <f t="shared" si="91"/>
        <v>Lud9320039999297</v>
      </c>
      <c r="C581" s="10">
        <v>9320039999297</v>
      </c>
      <c r="D581" s="10" t="str">
        <f t="shared" si="92"/>
        <v>9320039999</v>
      </c>
      <c r="E581" s="3" t="s">
        <v>3</v>
      </c>
      <c r="F581" s="3" t="s">
        <v>64</v>
      </c>
      <c r="H581" s="3">
        <v>0.96524999999999994</v>
      </c>
      <c r="I581" s="10">
        <f t="shared" si="93"/>
        <v>72.603617737505047</v>
      </c>
      <c r="J581" s="3">
        <v>0.39884376154222057</v>
      </c>
      <c r="K581" s="3">
        <v>0</v>
      </c>
      <c r="L581" s="3">
        <f t="shared" si="94"/>
        <v>0</v>
      </c>
      <c r="N581" s="11">
        <f t="shared" si="95"/>
        <v>0.56640623845777938</v>
      </c>
      <c r="O581" s="3">
        <v>0.39884376154222057</v>
      </c>
      <c r="P581" s="11">
        <f t="shared" si="96"/>
        <v>42.603617737505047</v>
      </c>
      <c r="Q581" s="12">
        <f t="shared" si="97"/>
        <v>74.074883819256158</v>
      </c>
      <c r="R581" s="13">
        <f t="shared" si="98"/>
        <v>104.32505744629258</v>
      </c>
      <c r="S581" s="3" t="s">
        <v>31</v>
      </c>
      <c r="T581" s="3" t="s">
        <v>28</v>
      </c>
      <c r="U581" s="10">
        <v>9320039900999</v>
      </c>
      <c r="V581" s="3">
        <v>0.1</v>
      </c>
      <c r="W581" s="3">
        <f t="shared" si="99"/>
        <v>0</v>
      </c>
      <c r="AA581" s="3">
        <v>28</v>
      </c>
    </row>
    <row r="582" spans="1:27" x14ac:dyDescent="0.3">
      <c r="A582" s="3" t="str">
        <f t="shared" si="90"/>
        <v>North9310019999097</v>
      </c>
      <c r="B582" s="3" t="str">
        <f t="shared" si="91"/>
        <v>Lud9310019999097</v>
      </c>
      <c r="C582" s="10">
        <v>9310019999097</v>
      </c>
      <c r="D582" s="10" t="str">
        <f t="shared" si="92"/>
        <v>9310019999</v>
      </c>
      <c r="E582" s="3" t="s">
        <v>3</v>
      </c>
      <c r="F582" s="3" t="s">
        <v>64</v>
      </c>
      <c r="H582" s="3">
        <v>0.32565</v>
      </c>
      <c r="I582" s="10">
        <f t="shared" si="93"/>
        <v>25.765365987115704</v>
      </c>
      <c r="J582" s="3">
        <v>0.37917179227670827</v>
      </c>
      <c r="K582" s="3">
        <v>0</v>
      </c>
      <c r="L582" s="3">
        <f t="shared" si="94"/>
        <v>0</v>
      </c>
      <c r="N582" s="11">
        <f t="shared" si="95"/>
        <v>-5.352179227670828E-2</v>
      </c>
      <c r="O582" s="3">
        <v>0.37917179227670827</v>
      </c>
      <c r="P582" s="11">
        <f t="shared" si="96"/>
        <v>-4.234634012884297</v>
      </c>
      <c r="Q582" s="12">
        <f t="shared" si="97"/>
        <v>54.88133652491166</v>
      </c>
      <c r="R582" s="13">
        <f t="shared" si="98"/>
        <v>17.765600858039242</v>
      </c>
      <c r="S582" s="3" t="s">
        <v>31</v>
      </c>
      <c r="T582" s="3" t="s">
        <v>32</v>
      </c>
      <c r="U582" s="10">
        <v>0</v>
      </c>
      <c r="V582" s="3">
        <v>0</v>
      </c>
      <c r="W582" s="3">
        <f t="shared" si="99"/>
        <v>0</v>
      </c>
      <c r="AA582" s="3">
        <v>28</v>
      </c>
    </row>
    <row r="583" spans="1:27" x14ac:dyDescent="0.3">
      <c r="A583" s="3" t="str">
        <f t="shared" si="90"/>
        <v>North9160509999219</v>
      </c>
      <c r="B583" s="3" t="str">
        <f t="shared" si="91"/>
        <v>Lud9160509999219</v>
      </c>
      <c r="C583" s="10">
        <v>9160509999219</v>
      </c>
      <c r="D583" s="10" t="str">
        <f t="shared" si="92"/>
        <v>9160509999</v>
      </c>
      <c r="E583" s="3" t="s">
        <v>3</v>
      </c>
      <c r="F583" s="3" t="s">
        <v>64</v>
      </c>
      <c r="H583" s="3">
        <v>4.0170000000000003</v>
      </c>
      <c r="I583" s="10">
        <f t="shared" si="93"/>
        <v>379.02734392251563</v>
      </c>
      <c r="J583" s="3">
        <v>0.31794539874842331</v>
      </c>
      <c r="K583" s="3">
        <v>0</v>
      </c>
      <c r="L583" s="3">
        <f t="shared" si="94"/>
        <v>0</v>
      </c>
      <c r="N583" s="11">
        <f t="shared" si="95"/>
        <v>3.6990546012515768</v>
      </c>
      <c r="O583" s="3">
        <v>0.31794539874842331</v>
      </c>
      <c r="P583" s="11">
        <f t="shared" si="96"/>
        <v>349.02734392251563</v>
      </c>
      <c r="Q583" s="12">
        <f t="shared" si="97"/>
        <v>80.232245069305165</v>
      </c>
      <c r="R583" s="13">
        <f t="shared" si="98"/>
        <v>31.34794595299039</v>
      </c>
      <c r="S583" s="3" t="s">
        <v>30</v>
      </c>
      <c r="T583" s="3" t="s">
        <v>34</v>
      </c>
      <c r="U583" s="10">
        <v>0</v>
      </c>
      <c r="V583" s="3">
        <v>0</v>
      </c>
      <c r="W583" s="3">
        <f t="shared" si="99"/>
        <v>0</v>
      </c>
      <c r="AA583" s="3">
        <v>28</v>
      </c>
    </row>
    <row r="584" spans="1:27" x14ac:dyDescent="0.3">
      <c r="A584" s="3" t="str">
        <f t="shared" si="90"/>
        <v>North9420029999195</v>
      </c>
      <c r="B584" s="3" t="str">
        <f t="shared" si="91"/>
        <v>Lud9420029999195</v>
      </c>
      <c r="C584" s="10">
        <v>9420029999195</v>
      </c>
      <c r="D584" s="10" t="str">
        <f t="shared" si="92"/>
        <v>9420029999</v>
      </c>
      <c r="E584" s="3" t="s">
        <v>3</v>
      </c>
      <c r="F584" s="3" t="s">
        <v>64</v>
      </c>
      <c r="H584" s="3">
        <v>0.35814999999999991</v>
      </c>
      <c r="I584" s="10">
        <f t="shared" si="93"/>
        <v>34.987537881640371</v>
      </c>
      <c r="J584" s="3">
        <v>0.30709505871340975</v>
      </c>
      <c r="K584" s="3">
        <v>0</v>
      </c>
      <c r="L584" s="3">
        <f t="shared" si="94"/>
        <v>0</v>
      </c>
      <c r="N584" s="11">
        <f t="shared" si="95"/>
        <v>5.1054941286590161E-2</v>
      </c>
      <c r="O584" s="3">
        <v>0.30709505871340975</v>
      </c>
      <c r="P584" s="11">
        <f t="shared" si="96"/>
        <v>4.987537881640371</v>
      </c>
      <c r="Q584" s="12">
        <f t="shared" si="97"/>
        <v>3.858216653227843</v>
      </c>
      <c r="R584" s="13">
        <f t="shared" si="98"/>
        <v>7.550065878312501</v>
      </c>
      <c r="S584" s="3" t="s">
        <v>31</v>
      </c>
      <c r="T584" s="3" t="s">
        <v>28</v>
      </c>
      <c r="U584" s="10">
        <v>0</v>
      </c>
      <c r="V584" s="3">
        <v>0</v>
      </c>
      <c r="W584" s="3">
        <f t="shared" si="99"/>
        <v>0</v>
      </c>
      <c r="AA584" s="3">
        <v>28</v>
      </c>
    </row>
    <row r="585" spans="1:27" x14ac:dyDescent="0.3">
      <c r="A585" s="3" t="str">
        <f t="shared" si="90"/>
        <v>North9420059999195</v>
      </c>
      <c r="B585" s="3" t="str">
        <f t="shared" si="91"/>
        <v>Lud9420059999195</v>
      </c>
      <c r="C585" s="10">
        <v>9420059999195</v>
      </c>
      <c r="D585" s="10" t="str">
        <f t="shared" si="92"/>
        <v>9420059999</v>
      </c>
      <c r="E585" s="3" t="s">
        <v>3</v>
      </c>
      <c r="F585" s="3" t="s">
        <v>64</v>
      </c>
      <c r="H585" s="3">
        <v>3.2376</v>
      </c>
      <c r="I585" s="10">
        <f t="shared" si="93"/>
        <v>368.79863059235061</v>
      </c>
      <c r="J585" s="3">
        <v>0.26336323387100607</v>
      </c>
      <c r="K585" s="3">
        <v>0</v>
      </c>
      <c r="L585" s="3">
        <f t="shared" si="94"/>
        <v>0</v>
      </c>
      <c r="N585" s="11">
        <f t="shared" si="95"/>
        <v>2.9742367661289939</v>
      </c>
      <c r="O585" s="3">
        <v>0.26336323387100607</v>
      </c>
      <c r="P585" s="11">
        <f t="shared" si="96"/>
        <v>338.79863059235061</v>
      </c>
      <c r="Q585" s="12">
        <f t="shared" si="97"/>
        <v>47.14940101647138</v>
      </c>
      <c r="R585" s="13">
        <f t="shared" si="98"/>
        <v>29.27901427061612</v>
      </c>
      <c r="S585" s="3" t="s">
        <v>31</v>
      </c>
      <c r="T585" s="3" t="s">
        <v>28</v>
      </c>
      <c r="U585" s="10">
        <v>0</v>
      </c>
      <c r="V585" s="3">
        <v>0</v>
      </c>
      <c r="W585" s="3">
        <f t="shared" si="99"/>
        <v>0</v>
      </c>
      <c r="AA585" s="3">
        <v>28</v>
      </c>
    </row>
    <row r="586" spans="1:27" x14ac:dyDescent="0.3">
      <c r="A586" s="3" t="str">
        <f t="shared" si="90"/>
        <v>North9420059999838</v>
      </c>
      <c r="B586" s="3" t="str">
        <f t="shared" si="91"/>
        <v>Lud9420059999838</v>
      </c>
      <c r="C586" s="10">
        <v>9420059999838</v>
      </c>
      <c r="D586" s="10" t="str">
        <f t="shared" si="92"/>
        <v>9420059999</v>
      </c>
      <c r="E586" s="3" t="s">
        <v>3</v>
      </c>
      <c r="F586" s="3" t="s">
        <v>64</v>
      </c>
      <c r="H586" s="3">
        <v>0.62319999999999998</v>
      </c>
      <c r="I586" s="10">
        <f t="shared" si="93"/>
        <v>75.14176872962534</v>
      </c>
      <c r="J586" s="3">
        <v>0.24880968755569005</v>
      </c>
      <c r="K586" s="3">
        <v>0</v>
      </c>
      <c r="L586" s="3">
        <f t="shared" si="94"/>
        <v>0</v>
      </c>
      <c r="N586" s="11">
        <f t="shared" si="95"/>
        <v>0.37439031244430993</v>
      </c>
      <c r="O586" s="3">
        <v>0.24880968755569005</v>
      </c>
      <c r="P586" s="11">
        <f t="shared" si="96"/>
        <v>45.141768729625326</v>
      </c>
      <c r="Q586" s="12">
        <f t="shared" si="97"/>
        <v>46.407732409305304</v>
      </c>
      <c r="R586" s="13">
        <f t="shared" si="98"/>
        <v>22.423143014669041</v>
      </c>
      <c r="S586" s="3" t="s">
        <v>31</v>
      </c>
      <c r="T586" s="3" t="s">
        <v>28</v>
      </c>
      <c r="U586" s="10">
        <v>0</v>
      </c>
      <c r="V586" s="3">
        <v>0</v>
      </c>
      <c r="W586" s="3">
        <f t="shared" si="99"/>
        <v>0</v>
      </c>
      <c r="AA586" s="3">
        <v>28</v>
      </c>
    </row>
    <row r="587" spans="1:27" x14ac:dyDescent="0.3">
      <c r="A587" s="3" t="str">
        <f t="shared" si="90"/>
        <v>North9310099999097</v>
      </c>
      <c r="B587" s="3" t="str">
        <f t="shared" si="91"/>
        <v>Lud9310099999097</v>
      </c>
      <c r="C587" s="10">
        <v>9310099999097</v>
      </c>
      <c r="D587" s="10" t="str">
        <f t="shared" si="92"/>
        <v>9310099999</v>
      </c>
      <c r="E587" s="3" t="s">
        <v>3</v>
      </c>
      <c r="F587" s="3" t="s">
        <v>64</v>
      </c>
      <c r="H587" s="3">
        <v>0</v>
      </c>
      <c r="I587" s="10">
        <f t="shared" si="93"/>
        <v>0</v>
      </c>
      <c r="J587" s="3">
        <v>0.24734042424000002</v>
      </c>
      <c r="K587" s="3">
        <v>0</v>
      </c>
      <c r="L587" s="3">
        <f t="shared" si="94"/>
        <v>0</v>
      </c>
      <c r="N587" s="11">
        <f t="shared" si="95"/>
        <v>-0.24734042424000002</v>
      </c>
      <c r="O587" s="3">
        <v>0.24734042424000002</v>
      </c>
      <c r="P587" s="11">
        <f t="shared" si="96"/>
        <v>-30</v>
      </c>
      <c r="Q587" s="12">
        <f t="shared" si="97"/>
        <v>-30</v>
      </c>
      <c r="R587" s="13">
        <f t="shared" si="98"/>
        <v>-30</v>
      </c>
      <c r="S587" s="3">
        <v>0</v>
      </c>
      <c r="T587" s="3" t="s">
        <v>32</v>
      </c>
      <c r="U587" s="10">
        <v>0</v>
      </c>
      <c r="V587" s="3">
        <v>0</v>
      </c>
      <c r="W587" s="3">
        <f t="shared" si="99"/>
        <v>0</v>
      </c>
      <c r="AA587" s="3">
        <v>28</v>
      </c>
    </row>
    <row r="588" spans="1:27" x14ac:dyDescent="0.3">
      <c r="A588" s="3" t="str">
        <f t="shared" si="90"/>
        <v>North9310019999297</v>
      </c>
      <c r="B588" s="3" t="str">
        <f t="shared" si="91"/>
        <v>Lud9310019999297</v>
      </c>
      <c r="C588" s="10">
        <v>9310019999297</v>
      </c>
      <c r="D588" s="10" t="str">
        <f t="shared" si="92"/>
        <v>9310019999</v>
      </c>
      <c r="E588" s="3" t="s">
        <v>3</v>
      </c>
      <c r="F588" s="3" t="s">
        <v>64</v>
      </c>
      <c r="H588" s="3">
        <v>0.48749999999999999</v>
      </c>
      <c r="I588" s="10">
        <f t="shared" si="93"/>
        <v>66.391285130460929</v>
      </c>
      <c r="J588" s="3">
        <v>0.22028493606143368</v>
      </c>
      <c r="K588" s="3">
        <v>0</v>
      </c>
      <c r="L588" s="3">
        <f t="shared" si="94"/>
        <v>0</v>
      </c>
      <c r="N588" s="11">
        <f t="shared" si="95"/>
        <v>0.26721506393856631</v>
      </c>
      <c r="O588" s="3">
        <v>0.22028493606143368</v>
      </c>
      <c r="P588" s="11">
        <f t="shared" si="96"/>
        <v>36.391285130460936</v>
      </c>
      <c r="Q588" s="12">
        <f t="shared" si="97"/>
        <v>30.381955522488251</v>
      </c>
      <c r="R588" s="13">
        <f t="shared" si="98"/>
        <v>27.652805977650061</v>
      </c>
      <c r="S588" s="3" t="s">
        <v>31</v>
      </c>
      <c r="T588" s="3" t="s">
        <v>32</v>
      </c>
      <c r="U588" s="10">
        <v>9310019900999</v>
      </c>
      <c r="V588" s="3">
        <v>0.1</v>
      </c>
      <c r="W588" s="3">
        <f t="shared" si="99"/>
        <v>0</v>
      </c>
      <c r="AA588" s="3">
        <v>28</v>
      </c>
    </row>
    <row r="589" spans="1:27" x14ac:dyDescent="0.3">
      <c r="A589" s="3" t="str">
        <f t="shared" si="90"/>
        <v>North9420039999195</v>
      </c>
      <c r="B589" s="3" t="str">
        <f t="shared" si="91"/>
        <v>Lud9420039999195</v>
      </c>
      <c r="C589" s="10">
        <v>9420039999195</v>
      </c>
      <c r="D589" s="10" t="str">
        <f t="shared" si="92"/>
        <v>9420039999</v>
      </c>
      <c r="E589" s="3" t="s">
        <v>3</v>
      </c>
      <c r="F589" s="3" t="s">
        <v>64</v>
      </c>
      <c r="H589" s="3">
        <v>0.25839999999999996</v>
      </c>
      <c r="I589" s="10">
        <f t="shared" si="93"/>
        <v>82.870482865784581</v>
      </c>
      <c r="J589" s="3">
        <v>9.3543560166712031E-2</v>
      </c>
      <c r="K589" s="3">
        <v>0</v>
      </c>
      <c r="L589" s="3">
        <f t="shared" si="94"/>
        <v>0</v>
      </c>
      <c r="N589" s="11">
        <f t="shared" si="95"/>
        <v>0.16485643983328793</v>
      </c>
      <c r="O589" s="3">
        <v>9.3543560166712031E-2</v>
      </c>
      <c r="P589" s="11">
        <f t="shared" si="96"/>
        <v>52.870482865784588</v>
      </c>
      <c r="Q589" s="12">
        <f t="shared" si="97"/>
        <v>-0.80700806434847139</v>
      </c>
      <c r="R589" s="13">
        <f t="shared" si="98"/>
        <v>-14.236938844724724</v>
      </c>
      <c r="S589" s="3" t="s">
        <v>31</v>
      </c>
      <c r="T589" s="3" t="s">
        <v>28</v>
      </c>
      <c r="U589" s="10">
        <v>0</v>
      </c>
      <c r="V589" s="3">
        <v>0</v>
      </c>
      <c r="W589" s="3">
        <f t="shared" si="99"/>
        <v>0</v>
      </c>
      <c r="AA589" s="3">
        <v>28</v>
      </c>
    </row>
    <row r="590" spans="1:27" x14ac:dyDescent="0.3">
      <c r="A590" s="3" t="str">
        <f t="shared" si="90"/>
        <v>North9420039999838</v>
      </c>
      <c r="B590" s="3" t="str">
        <f t="shared" si="91"/>
        <v>Lud9420039999838</v>
      </c>
      <c r="C590" s="10">
        <v>9420039999838</v>
      </c>
      <c r="D590" s="10" t="str">
        <f t="shared" si="92"/>
        <v>9420039999</v>
      </c>
      <c r="E590" s="3" t="s">
        <v>3</v>
      </c>
      <c r="F590" s="3" t="s">
        <v>64</v>
      </c>
      <c r="H590" s="3">
        <v>0.62319999999999998</v>
      </c>
      <c r="I590" s="10">
        <f t="shared" si="93"/>
        <v>224.03096007611333</v>
      </c>
      <c r="J590" s="3">
        <v>8.3452751323514096E-2</v>
      </c>
      <c r="K590" s="3">
        <v>0</v>
      </c>
      <c r="L590" s="3">
        <f t="shared" si="94"/>
        <v>0</v>
      </c>
      <c r="N590" s="11">
        <f t="shared" si="95"/>
        <v>0.53974724867648582</v>
      </c>
      <c r="O590" s="3">
        <v>8.3452751323514096E-2</v>
      </c>
      <c r="P590" s="11">
        <f t="shared" si="96"/>
        <v>194.0309600761133</v>
      </c>
      <c r="Q590" s="12">
        <f t="shared" si="97"/>
        <v>54.837716012934386</v>
      </c>
      <c r="R590" s="13">
        <f t="shared" si="98"/>
        <v>42.398978619991823</v>
      </c>
      <c r="S590" s="3" t="s">
        <v>31</v>
      </c>
      <c r="T590" s="3" t="s">
        <v>28</v>
      </c>
      <c r="U590" s="10">
        <v>0</v>
      </c>
      <c r="V590" s="3">
        <v>0</v>
      </c>
      <c r="W590" s="3">
        <f t="shared" si="99"/>
        <v>0</v>
      </c>
      <c r="AA590" s="3">
        <v>28</v>
      </c>
    </row>
    <row r="591" spans="1:27" x14ac:dyDescent="0.3">
      <c r="A591" s="3" t="str">
        <f t="shared" si="90"/>
        <v>North9310029999219</v>
      </c>
      <c r="B591" s="3" t="str">
        <f t="shared" si="91"/>
        <v>Lud9310029999219</v>
      </c>
      <c r="C591" s="10">
        <v>9310029999219</v>
      </c>
      <c r="D591" s="10" t="str">
        <f t="shared" si="92"/>
        <v>9310029999</v>
      </c>
      <c r="E591" s="3" t="s">
        <v>3</v>
      </c>
      <c r="F591" s="3" t="s">
        <v>64</v>
      </c>
      <c r="H591" s="3">
        <v>0.52649999999999997</v>
      </c>
      <c r="I591" s="10">
        <f t="shared" si="93"/>
        <v>201.93997126916477</v>
      </c>
      <c r="J591" s="3">
        <v>7.8216312999999996E-2</v>
      </c>
      <c r="K591" s="3">
        <v>0</v>
      </c>
      <c r="L591" s="3">
        <f t="shared" si="94"/>
        <v>0</v>
      </c>
      <c r="N591" s="11">
        <f t="shared" si="95"/>
        <v>0.44828368699999999</v>
      </c>
      <c r="O591" s="3">
        <v>7.8216312999999996E-2</v>
      </c>
      <c r="P591" s="11">
        <f t="shared" si="96"/>
        <v>171.93997126916477</v>
      </c>
      <c r="Q591" s="12">
        <f t="shared" si="97"/>
        <v>329.04579219858135</v>
      </c>
      <c r="R591" s="13">
        <f t="shared" si="98"/>
        <v>390.88539054406084</v>
      </c>
      <c r="S591" s="3" t="s">
        <v>31</v>
      </c>
      <c r="T591" s="3" t="s">
        <v>32</v>
      </c>
      <c r="U591" s="10">
        <v>9310029900999</v>
      </c>
      <c r="V591" s="3">
        <v>0.1</v>
      </c>
      <c r="W591" s="3">
        <f t="shared" si="99"/>
        <v>0</v>
      </c>
      <c r="AA591" s="3">
        <v>28</v>
      </c>
    </row>
    <row r="592" spans="1:27" x14ac:dyDescent="0.3">
      <c r="A592" s="3" t="str">
        <f t="shared" si="90"/>
        <v>North9310029999297</v>
      </c>
      <c r="B592" s="3" t="str">
        <f t="shared" si="91"/>
        <v>Lud9310029999297</v>
      </c>
      <c r="C592" s="10">
        <v>9310029999297</v>
      </c>
      <c r="D592" s="10" t="str">
        <f t="shared" si="92"/>
        <v>9310029999</v>
      </c>
      <c r="E592" s="3" t="s">
        <v>3</v>
      </c>
      <c r="F592" s="3" t="s">
        <v>64</v>
      </c>
      <c r="H592" s="3">
        <v>1.9597499999999999</v>
      </c>
      <c r="I592" s="10">
        <f t="shared" si="93"/>
        <v>939.58106598522374</v>
      </c>
      <c r="J592" s="3">
        <v>6.2573099999999993E-2</v>
      </c>
      <c r="K592" s="3">
        <v>0</v>
      </c>
      <c r="L592" s="3">
        <f t="shared" si="94"/>
        <v>0</v>
      </c>
      <c r="N592" s="11">
        <f t="shared" si="95"/>
        <v>1.8971768999999998</v>
      </c>
      <c r="O592" s="3">
        <v>6.2573099999999993E-2</v>
      </c>
      <c r="P592" s="11">
        <f t="shared" si="96"/>
        <v>909.58106598522374</v>
      </c>
      <c r="Q592" s="12">
        <f t="shared" si="97"/>
        <v>748.83539314059601</v>
      </c>
      <c r="R592" s="13">
        <f t="shared" si="98"/>
        <v>1144.2916541959814</v>
      </c>
      <c r="S592" s="3" t="s">
        <v>31</v>
      </c>
      <c r="T592" s="3" t="s">
        <v>32</v>
      </c>
      <c r="U592" s="10">
        <v>9310029900999</v>
      </c>
      <c r="V592" s="3">
        <v>0.1</v>
      </c>
      <c r="W592" s="3">
        <f t="shared" si="99"/>
        <v>0</v>
      </c>
      <c r="AA592" s="3">
        <v>28</v>
      </c>
    </row>
    <row r="593" spans="1:27" x14ac:dyDescent="0.3">
      <c r="A593" s="3" t="str">
        <f t="shared" si="90"/>
        <v>North9420049999838</v>
      </c>
      <c r="B593" s="3" t="str">
        <f t="shared" si="91"/>
        <v>Lud9420049999838</v>
      </c>
      <c r="C593" s="10">
        <v>9420049999838</v>
      </c>
      <c r="D593" s="10" t="str">
        <f t="shared" si="92"/>
        <v>9420049999</v>
      </c>
      <c r="E593" s="3" t="s">
        <v>3</v>
      </c>
      <c r="F593" s="3" t="s">
        <v>64</v>
      </c>
      <c r="H593" s="3">
        <v>0</v>
      </c>
      <c r="I593" s="10">
        <f t="shared" si="93"/>
        <v>0</v>
      </c>
      <c r="J593" s="3">
        <v>2.4662145999999999E-2</v>
      </c>
      <c r="K593" s="3">
        <v>0</v>
      </c>
      <c r="L593" s="3">
        <f t="shared" si="94"/>
        <v>0</v>
      </c>
      <c r="N593" s="11">
        <f t="shared" si="95"/>
        <v>-2.4662145999999999E-2</v>
      </c>
      <c r="O593" s="3">
        <v>2.4662145999999999E-2</v>
      </c>
      <c r="P593" s="11">
        <f t="shared" si="96"/>
        <v>-30</v>
      </c>
      <c r="Q593" s="12">
        <f t="shared" si="97"/>
        <v>-30</v>
      </c>
      <c r="R593" s="13">
        <f t="shared" si="98"/>
        <v>-30</v>
      </c>
      <c r="S593" s="3" t="s">
        <v>31</v>
      </c>
      <c r="T593" s="3" t="s">
        <v>28</v>
      </c>
      <c r="U593" s="10">
        <v>0</v>
      </c>
      <c r="V593" s="3">
        <v>0</v>
      </c>
      <c r="W593" s="3">
        <f t="shared" si="99"/>
        <v>0</v>
      </c>
      <c r="AA593" s="3">
        <v>28</v>
      </c>
    </row>
    <row r="594" spans="1:27" x14ac:dyDescent="0.3">
      <c r="A594" s="3" t="str">
        <f t="shared" si="90"/>
        <v>North9420049999195</v>
      </c>
      <c r="B594" s="3" t="str">
        <f t="shared" si="91"/>
        <v>Lud9420049999195</v>
      </c>
      <c r="C594" s="10">
        <v>9420049999195</v>
      </c>
      <c r="D594" s="10" t="str">
        <f t="shared" si="92"/>
        <v>9420049999</v>
      </c>
      <c r="E594" s="3" t="s">
        <v>3</v>
      </c>
      <c r="F594" s="3" t="s">
        <v>64</v>
      </c>
      <c r="H594" s="3">
        <v>0.36479999999999996</v>
      </c>
      <c r="I594" s="10">
        <f t="shared" si="93"/>
        <v>954.80878457172389</v>
      </c>
      <c r="J594" s="3">
        <v>1.146198084562962E-2</v>
      </c>
      <c r="K594" s="3">
        <v>0</v>
      </c>
      <c r="L594" s="3">
        <f t="shared" si="94"/>
        <v>0</v>
      </c>
      <c r="N594" s="11">
        <f t="shared" si="95"/>
        <v>0.35333801915437035</v>
      </c>
      <c r="O594" s="3">
        <v>1.146198084562962E-2</v>
      </c>
      <c r="P594" s="11">
        <f t="shared" si="96"/>
        <v>924.808784571724</v>
      </c>
      <c r="Q594" s="12">
        <f t="shared" si="97"/>
        <v>764.76342284045018</v>
      </c>
      <c r="R594" s="13">
        <f t="shared" si="98"/>
        <v>1347.2670042698451</v>
      </c>
      <c r="S594" s="3" t="s">
        <v>31</v>
      </c>
      <c r="T594" s="3" t="s">
        <v>28</v>
      </c>
      <c r="U594" s="10">
        <v>0</v>
      </c>
      <c r="V594" s="3">
        <v>0</v>
      </c>
      <c r="W594" s="3">
        <f t="shared" si="99"/>
        <v>0</v>
      </c>
      <c r="AA594" s="3">
        <v>28</v>
      </c>
    </row>
    <row r="595" spans="1:27" x14ac:dyDescent="0.3">
      <c r="A595" s="3" t="str">
        <f t="shared" si="90"/>
        <v>North9310029999097</v>
      </c>
      <c r="B595" s="3" t="str">
        <f t="shared" si="91"/>
        <v>Lud9310029999097</v>
      </c>
      <c r="C595" s="10">
        <v>9310029999097</v>
      </c>
      <c r="D595" s="10" t="str">
        <f t="shared" si="92"/>
        <v>9310029999</v>
      </c>
      <c r="E595" s="3" t="s">
        <v>3</v>
      </c>
      <c r="F595" s="3" t="s">
        <v>64</v>
      </c>
      <c r="H595" s="3">
        <v>0.10432499999999999</v>
      </c>
      <c r="I595" s="10">
        <f t="shared" si="93"/>
        <v>0</v>
      </c>
      <c r="J595" s="3">
        <v>0</v>
      </c>
      <c r="K595" s="3">
        <v>0</v>
      </c>
      <c r="L595" s="3">
        <f t="shared" si="94"/>
        <v>0</v>
      </c>
      <c r="N595" s="11">
        <f t="shared" si="95"/>
        <v>0.10432499999999999</v>
      </c>
      <c r="O595" s="3">
        <v>0</v>
      </c>
      <c r="P595" s="11">
        <f t="shared" si="96"/>
        <v>9999</v>
      </c>
      <c r="Q595" s="12">
        <f t="shared" si="97"/>
        <v>169.79672315685983</v>
      </c>
      <c r="R595" s="13">
        <f t="shared" si="98"/>
        <v>354.59273598559759</v>
      </c>
      <c r="S595" s="3" t="s">
        <v>31</v>
      </c>
      <c r="T595" s="3" t="s">
        <v>32</v>
      </c>
      <c r="U595" s="10">
        <v>0</v>
      </c>
      <c r="V595" s="3">
        <v>0</v>
      </c>
      <c r="W595" s="3">
        <f t="shared" si="99"/>
        <v>0</v>
      </c>
      <c r="AA595" s="3">
        <v>28</v>
      </c>
    </row>
    <row r="596" spans="1:27" x14ac:dyDescent="0.3">
      <c r="A596" s="3" t="str">
        <f t="shared" si="90"/>
        <v>North9310029999839</v>
      </c>
      <c r="B596" s="3" t="str">
        <f t="shared" si="91"/>
        <v>Lud9310029999839</v>
      </c>
      <c r="C596" s="10">
        <v>9310029999839</v>
      </c>
      <c r="D596" s="10" t="str">
        <f t="shared" si="92"/>
        <v>9310029999</v>
      </c>
      <c r="E596" s="3" t="s">
        <v>3</v>
      </c>
      <c r="F596" s="3" t="s">
        <v>64</v>
      </c>
      <c r="H596" s="3">
        <v>1.5599999999999999E-2</v>
      </c>
      <c r="I596" s="10">
        <f t="shared" si="93"/>
        <v>0</v>
      </c>
      <c r="J596" s="3">
        <v>0</v>
      </c>
      <c r="K596" s="3">
        <v>0</v>
      </c>
      <c r="L596" s="3">
        <f t="shared" si="94"/>
        <v>0</v>
      </c>
      <c r="N596" s="11">
        <f t="shared" si="95"/>
        <v>1.5599999999999999E-2</v>
      </c>
      <c r="O596" s="3">
        <v>0</v>
      </c>
      <c r="P596" s="11">
        <f t="shared" si="96"/>
        <v>9999</v>
      </c>
      <c r="Q596" s="12">
        <f t="shared" si="97"/>
        <v>41.183207276268391</v>
      </c>
      <c r="R596" s="13">
        <f t="shared" si="98"/>
        <v>277.8965501161872</v>
      </c>
      <c r="S596" s="3" t="s">
        <v>31</v>
      </c>
      <c r="T596" s="3" t="s">
        <v>32</v>
      </c>
      <c r="U596" s="10">
        <v>0</v>
      </c>
      <c r="V596" s="3">
        <v>0</v>
      </c>
      <c r="W596" s="3">
        <f t="shared" si="99"/>
        <v>0</v>
      </c>
      <c r="AA596" s="3">
        <v>28</v>
      </c>
    </row>
    <row r="597" spans="1:27" x14ac:dyDescent="0.3">
      <c r="A597" s="3" t="str">
        <f t="shared" si="90"/>
        <v>North9160709999219</v>
      </c>
      <c r="B597" s="3" t="str">
        <f t="shared" si="91"/>
        <v>Lud9160709999219</v>
      </c>
      <c r="C597" s="10">
        <v>9160709999219</v>
      </c>
      <c r="D597" s="10" t="str">
        <f t="shared" si="92"/>
        <v>9160709999</v>
      </c>
      <c r="E597" s="3" t="s">
        <v>3</v>
      </c>
      <c r="F597" s="3" t="s">
        <v>64</v>
      </c>
      <c r="H597" s="3">
        <v>0.156</v>
      </c>
      <c r="I597" s="10">
        <f t="shared" si="93"/>
        <v>0</v>
      </c>
      <c r="J597" s="3">
        <v>0</v>
      </c>
      <c r="K597" s="3">
        <v>0</v>
      </c>
      <c r="L597" s="3">
        <f t="shared" si="94"/>
        <v>0</v>
      </c>
      <c r="N597" s="11">
        <f t="shared" si="95"/>
        <v>0.156</v>
      </c>
      <c r="O597" s="3">
        <v>0</v>
      </c>
      <c r="P597" s="11">
        <f t="shared" si="96"/>
        <v>9999</v>
      </c>
      <c r="Q597" s="12">
        <f t="shared" si="97"/>
        <v>101.71125282127703</v>
      </c>
      <c r="R597" s="13">
        <f t="shared" si="98"/>
        <v>105.2313732458948</v>
      </c>
      <c r="S597" s="3" t="s">
        <v>31</v>
      </c>
      <c r="T597" s="3" t="s">
        <v>34</v>
      </c>
      <c r="U597" s="10">
        <v>0</v>
      </c>
      <c r="V597" s="3">
        <v>0</v>
      </c>
      <c r="W597" s="3">
        <f t="shared" si="99"/>
        <v>0</v>
      </c>
      <c r="AA597" s="3">
        <v>28</v>
      </c>
    </row>
    <row r="598" spans="1:27" x14ac:dyDescent="0.3">
      <c r="A598" s="3" t="str">
        <f t="shared" si="90"/>
        <v>North9160709999097</v>
      </c>
      <c r="B598" s="3" t="str">
        <f t="shared" si="91"/>
        <v>Lud9160709999097</v>
      </c>
      <c r="C598" s="10">
        <v>9160709999097</v>
      </c>
      <c r="D598" s="10" t="str">
        <f t="shared" si="92"/>
        <v>9160709999</v>
      </c>
      <c r="E598" s="3" t="s">
        <v>3</v>
      </c>
      <c r="F598" s="3" t="s">
        <v>64</v>
      </c>
      <c r="H598" s="3">
        <v>0</v>
      </c>
      <c r="I598" s="10">
        <f t="shared" si="93"/>
        <v>0</v>
      </c>
      <c r="J598" s="3">
        <v>0</v>
      </c>
      <c r="K598" s="3">
        <v>0</v>
      </c>
      <c r="L598" s="3">
        <f t="shared" si="94"/>
        <v>0</v>
      </c>
      <c r="N598" s="11">
        <f t="shared" si="95"/>
        <v>0</v>
      </c>
      <c r="O598" s="3">
        <v>0</v>
      </c>
      <c r="P598" s="11">
        <f t="shared" si="96"/>
        <v>9999</v>
      </c>
      <c r="Q598" s="12">
        <f t="shared" si="97"/>
        <v>9999</v>
      </c>
      <c r="R598" s="13">
        <f t="shared" si="98"/>
        <v>9999</v>
      </c>
      <c r="S598" s="3" t="s">
        <v>31</v>
      </c>
      <c r="T598" s="3" t="s">
        <v>34</v>
      </c>
      <c r="U598" s="10" t="s">
        <v>72</v>
      </c>
      <c r="V598" s="3" t="s">
        <v>72</v>
      </c>
      <c r="W598" s="3">
        <f t="shared" si="99"/>
        <v>0</v>
      </c>
      <c r="AA598" s="3">
        <v>28</v>
      </c>
    </row>
    <row r="599" spans="1:27" x14ac:dyDescent="0.3">
      <c r="A599" s="3" t="str">
        <f t="shared" si="90"/>
        <v>North9160509999097</v>
      </c>
      <c r="B599" s="3" t="str">
        <f t="shared" si="91"/>
        <v>Lud9160509999097</v>
      </c>
      <c r="C599" s="10">
        <v>9160509999097</v>
      </c>
      <c r="D599" s="10" t="str">
        <f t="shared" si="92"/>
        <v>9160509999</v>
      </c>
      <c r="E599" s="3" t="s">
        <v>3</v>
      </c>
      <c r="F599" s="3" t="s">
        <v>64</v>
      </c>
      <c r="H599" s="3">
        <v>0</v>
      </c>
      <c r="I599" s="10">
        <f t="shared" si="93"/>
        <v>0</v>
      </c>
      <c r="J599" s="3">
        <v>0</v>
      </c>
      <c r="K599" s="3">
        <v>0</v>
      </c>
      <c r="L599" s="3">
        <f t="shared" si="94"/>
        <v>0</v>
      </c>
      <c r="N599" s="11">
        <f t="shared" si="95"/>
        <v>0</v>
      </c>
      <c r="O599" s="3">
        <v>0</v>
      </c>
      <c r="P599" s="11">
        <f t="shared" si="96"/>
        <v>9999</v>
      </c>
      <c r="Q599" s="12">
        <f t="shared" si="97"/>
        <v>9999</v>
      </c>
      <c r="R599" s="13">
        <f t="shared" si="98"/>
        <v>9999</v>
      </c>
      <c r="S599" s="3" t="s">
        <v>31</v>
      </c>
      <c r="T599" s="3" t="s">
        <v>34</v>
      </c>
      <c r="U599" s="10" t="s">
        <v>72</v>
      </c>
      <c r="V599" s="3" t="s">
        <v>72</v>
      </c>
      <c r="W599" s="3">
        <f t="shared" si="99"/>
        <v>0</v>
      </c>
      <c r="AA599" s="3">
        <v>28</v>
      </c>
    </row>
    <row r="600" spans="1:27" x14ac:dyDescent="0.3">
      <c r="A600" s="3" t="str">
        <f t="shared" si="90"/>
        <v>South9320029999097</v>
      </c>
      <c r="B600" s="3" t="str">
        <f t="shared" si="91"/>
        <v>CY9320029999097</v>
      </c>
      <c r="C600" s="10">
        <v>9320029999097</v>
      </c>
      <c r="D600" s="10" t="str">
        <f t="shared" si="92"/>
        <v>9320029999</v>
      </c>
      <c r="E600" s="3" t="s">
        <v>4</v>
      </c>
      <c r="F600" s="3" t="s">
        <v>65</v>
      </c>
      <c r="H600" s="3">
        <v>17.854199999999999</v>
      </c>
      <c r="I600" s="10">
        <f t="shared" si="93"/>
        <v>58.931039703584815</v>
      </c>
      <c r="J600" s="3">
        <v>9.0890302070712909</v>
      </c>
      <c r="K600" s="3">
        <v>14</v>
      </c>
      <c r="L600" s="3">
        <f t="shared" si="94"/>
        <v>0</v>
      </c>
      <c r="N600" s="11">
        <f t="shared" si="95"/>
        <v>8.7651697929287078</v>
      </c>
      <c r="O600" s="3">
        <v>9.0890302070712909</v>
      </c>
      <c r="P600" s="11">
        <f t="shared" si="96"/>
        <v>28.931039703584815</v>
      </c>
      <c r="Q600" s="12">
        <f t="shared" si="97"/>
        <v>13.626580165022077</v>
      </c>
      <c r="R600" s="13">
        <f t="shared" si="98"/>
        <v>27.782787977034157</v>
      </c>
      <c r="S600" s="3" t="s">
        <v>30</v>
      </c>
      <c r="T600" s="3" t="s">
        <v>28</v>
      </c>
      <c r="U600" s="10">
        <v>0</v>
      </c>
      <c r="V600" s="3">
        <v>0</v>
      </c>
      <c r="W600" s="3">
        <f t="shared" si="99"/>
        <v>0</v>
      </c>
      <c r="AA600" s="3">
        <v>28</v>
      </c>
    </row>
    <row r="601" spans="1:27" x14ac:dyDescent="0.3">
      <c r="A601" s="3" t="str">
        <f t="shared" si="90"/>
        <v>South9320029999839</v>
      </c>
      <c r="B601" s="3" t="str">
        <f t="shared" si="91"/>
        <v>CY9320029999839</v>
      </c>
      <c r="C601" s="10">
        <v>9320029999839</v>
      </c>
      <c r="D601" s="10" t="str">
        <f t="shared" si="92"/>
        <v>9320029999</v>
      </c>
      <c r="E601" s="3" t="s">
        <v>4</v>
      </c>
      <c r="F601" s="3" t="s">
        <v>65</v>
      </c>
      <c r="H601" s="3">
        <v>7.1701499999999996</v>
      </c>
      <c r="I601" s="10">
        <f t="shared" si="93"/>
        <v>32.915732060439503</v>
      </c>
      <c r="J601" s="3">
        <v>6.5350058022415398</v>
      </c>
      <c r="K601" s="3">
        <v>14</v>
      </c>
      <c r="L601" s="3">
        <f t="shared" si="94"/>
        <v>0</v>
      </c>
      <c r="N601" s="11">
        <f t="shared" si="95"/>
        <v>0.63514419775845976</v>
      </c>
      <c r="O601" s="3">
        <v>6.5350058022415398</v>
      </c>
      <c r="P601" s="11">
        <f t="shared" si="96"/>
        <v>2.9157320604394967</v>
      </c>
      <c r="Q601" s="12">
        <f t="shared" si="97"/>
        <v>15.042621064513499</v>
      </c>
      <c r="R601" s="13">
        <f t="shared" si="98"/>
        <v>19.357265929212165</v>
      </c>
      <c r="S601" s="3" t="s">
        <v>30</v>
      </c>
      <c r="T601" s="3" t="s">
        <v>28</v>
      </c>
      <c r="U601" s="10">
        <v>0</v>
      </c>
      <c r="V601" s="3">
        <v>0</v>
      </c>
      <c r="W601" s="3">
        <f t="shared" si="99"/>
        <v>0</v>
      </c>
      <c r="AA601" s="3">
        <v>28</v>
      </c>
    </row>
    <row r="602" spans="1:27" x14ac:dyDescent="0.3">
      <c r="A602" s="3" t="str">
        <f t="shared" si="90"/>
        <v>South9320029999219</v>
      </c>
      <c r="B602" s="3" t="str">
        <f t="shared" si="91"/>
        <v>CY9320029999219</v>
      </c>
      <c r="C602" s="10">
        <v>9320029999219</v>
      </c>
      <c r="D602" s="10" t="str">
        <f t="shared" si="92"/>
        <v>9320029999</v>
      </c>
      <c r="E602" s="3" t="s">
        <v>4</v>
      </c>
      <c r="F602" s="3" t="s">
        <v>65</v>
      </c>
      <c r="H602" s="3">
        <v>13.806000000000001</v>
      </c>
      <c r="I602" s="10">
        <f t="shared" si="93"/>
        <v>94.364957165431619</v>
      </c>
      <c r="J602" s="3">
        <v>4.3891293170821797</v>
      </c>
      <c r="K602" s="3">
        <v>14</v>
      </c>
      <c r="L602" s="3">
        <f t="shared" si="94"/>
        <v>0</v>
      </c>
      <c r="N602" s="11">
        <f t="shared" si="95"/>
        <v>9.4168706829178213</v>
      </c>
      <c r="O602" s="3">
        <v>4.3891293170821797</v>
      </c>
      <c r="P602" s="11">
        <f t="shared" si="96"/>
        <v>64.364957165431619</v>
      </c>
      <c r="Q602" s="12">
        <f t="shared" si="97"/>
        <v>31.994522568303399</v>
      </c>
      <c r="R602" s="13">
        <f t="shared" si="98"/>
        <v>20.644368796962809</v>
      </c>
      <c r="S602" s="3" t="s">
        <v>30</v>
      </c>
      <c r="T602" s="3" t="s">
        <v>28</v>
      </c>
      <c r="U602" s="10">
        <v>9320029900999</v>
      </c>
      <c r="V602" s="3">
        <v>0.1</v>
      </c>
      <c r="W602" s="3">
        <f t="shared" si="99"/>
        <v>1.4000000000000001</v>
      </c>
      <c r="AA602" s="3">
        <v>28</v>
      </c>
    </row>
    <row r="603" spans="1:27" x14ac:dyDescent="0.3">
      <c r="A603" s="3" t="str">
        <f t="shared" si="90"/>
        <v>South9310019999097</v>
      </c>
      <c r="B603" s="3" t="str">
        <f t="shared" si="91"/>
        <v>CY9310019999097</v>
      </c>
      <c r="C603" s="10">
        <v>9310019999097</v>
      </c>
      <c r="D603" s="10" t="str">
        <f t="shared" si="92"/>
        <v>9310019999</v>
      </c>
      <c r="E603" s="3" t="s">
        <v>4</v>
      </c>
      <c r="F603" s="3" t="s">
        <v>65</v>
      </c>
      <c r="H603" s="3">
        <v>2.428725</v>
      </c>
      <c r="I603" s="10">
        <f t="shared" si="93"/>
        <v>19.433087906660674</v>
      </c>
      <c r="J603" s="3">
        <v>3.7493655331547537</v>
      </c>
      <c r="K603" s="3">
        <v>14</v>
      </c>
      <c r="L603" s="3">
        <f t="shared" si="94"/>
        <v>0</v>
      </c>
      <c r="N603" s="11">
        <f t="shared" si="95"/>
        <v>-1.3206405331547537</v>
      </c>
      <c r="O603" s="3">
        <v>3.7493655331547537</v>
      </c>
      <c r="P603" s="11">
        <f t="shared" si="96"/>
        <v>-10.566912093339324</v>
      </c>
      <c r="Q603" s="12">
        <f t="shared" si="97"/>
        <v>-5.1318683129181153</v>
      </c>
      <c r="R603" s="13">
        <f t="shared" si="98"/>
        <v>17.765600858039242</v>
      </c>
      <c r="S603" s="3" t="s">
        <v>31</v>
      </c>
      <c r="T603" s="3" t="s">
        <v>32</v>
      </c>
      <c r="U603" s="10">
        <v>0</v>
      </c>
      <c r="V603" s="3">
        <v>0</v>
      </c>
      <c r="W603" s="3">
        <f t="shared" si="99"/>
        <v>0</v>
      </c>
      <c r="AA603" s="3">
        <v>28</v>
      </c>
    </row>
    <row r="604" spans="1:27" x14ac:dyDescent="0.3">
      <c r="A604" s="3" t="str">
        <f t="shared" si="90"/>
        <v>South9310019999839</v>
      </c>
      <c r="B604" s="3" t="str">
        <f t="shared" si="91"/>
        <v>CY9310019999839</v>
      </c>
      <c r="C604" s="10">
        <v>9310019999839</v>
      </c>
      <c r="D604" s="10" t="str">
        <f t="shared" si="92"/>
        <v>9310019999</v>
      </c>
      <c r="E604" s="3" t="s">
        <v>4</v>
      </c>
      <c r="F604" s="3" t="s">
        <v>65</v>
      </c>
      <c r="H604" s="3">
        <v>3.7088999999999999</v>
      </c>
      <c r="I604" s="10">
        <f t="shared" si="93"/>
        <v>30.071048993178898</v>
      </c>
      <c r="J604" s="3">
        <v>3.7001369664636243</v>
      </c>
      <c r="K604" s="3">
        <v>28</v>
      </c>
      <c r="L604" s="3">
        <f t="shared" si="94"/>
        <v>0</v>
      </c>
      <c r="N604" s="11">
        <f t="shared" si="95"/>
        <v>8.7630335363755307E-3</v>
      </c>
      <c r="O604" s="3">
        <v>3.7001369664636243</v>
      </c>
      <c r="P604" s="11">
        <f t="shared" si="96"/>
        <v>7.1048993178898956E-2</v>
      </c>
      <c r="Q604" s="12">
        <f t="shared" si="97"/>
        <v>-2.773981259611324</v>
      </c>
      <c r="R604" s="13">
        <f t="shared" si="98"/>
        <v>0.90281642977410392</v>
      </c>
      <c r="S604" s="3" t="s">
        <v>30</v>
      </c>
      <c r="T604" s="3" t="s">
        <v>32</v>
      </c>
      <c r="U604" s="10">
        <v>0</v>
      </c>
      <c r="V604" s="3">
        <v>0</v>
      </c>
      <c r="W604" s="3">
        <f t="shared" si="99"/>
        <v>0</v>
      </c>
      <c r="AA604" s="3">
        <v>28</v>
      </c>
    </row>
    <row r="605" spans="1:27" x14ac:dyDescent="0.3">
      <c r="A605" s="3" t="str">
        <f t="shared" si="90"/>
        <v>South9320039999097</v>
      </c>
      <c r="B605" s="3" t="str">
        <f t="shared" si="91"/>
        <v>CY9320039999097</v>
      </c>
      <c r="C605" s="10">
        <v>9320039999097</v>
      </c>
      <c r="D605" s="10" t="str">
        <f t="shared" si="92"/>
        <v>9320039999</v>
      </c>
      <c r="E605" s="3" t="s">
        <v>4</v>
      </c>
      <c r="F605" s="3" t="s">
        <v>65</v>
      </c>
      <c r="H605" s="3">
        <v>0.52454999999999996</v>
      </c>
      <c r="I605" s="10">
        <f t="shared" si="93"/>
        <v>6.3254222480118933</v>
      </c>
      <c r="J605" s="3">
        <v>2.487818106521829</v>
      </c>
      <c r="K605" s="3">
        <v>14</v>
      </c>
      <c r="L605" s="3">
        <f t="shared" si="94"/>
        <v>0</v>
      </c>
      <c r="N605" s="11">
        <f t="shared" si="95"/>
        <v>-1.9632681065218289</v>
      </c>
      <c r="O605" s="3">
        <v>2.487818106521829</v>
      </c>
      <c r="P605" s="11">
        <f t="shared" si="96"/>
        <v>-23.674577751988107</v>
      </c>
      <c r="Q605" s="12">
        <f t="shared" si="97"/>
        <v>-14.26294187999358</v>
      </c>
      <c r="R605" s="13">
        <f t="shared" si="98"/>
        <v>17.328925570439566</v>
      </c>
      <c r="S605" s="3" t="s">
        <v>30</v>
      </c>
      <c r="T605" s="3" t="s">
        <v>28</v>
      </c>
      <c r="U605" s="10">
        <v>0</v>
      </c>
      <c r="V605" s="3">
        <v>0</v>
      </c>
      <c r="W605" s="3">
        <f t="shared" si="99"/>
        <v>0</v>
      </c>
      <c r="AA605" s="3">
        <v>28</v>
      </c>
    </row>
    <row r="606" spans="1:27" x14ac:dyDescent="0.3">
      <c r="A606" s="3" t="str">
        <f t="shared" si="90"/>
        <v>South9320029999297</v>
      </c>
      <c r="B606" s="3" t="str">
        <f t="shared" si="91"/>
        <v>CY9320029999297</v>
      </c>
      <c r="C606" s="10">
        <v>9320029999297</v>
      </c>
      <c r="D606" s="10" t="str">
        <f t="shared" si="92"/>
        <v>9320029999</v>
      </c>
      <c r="E606" s="3" t="s">
        <v>4</v>
      </c>
      <c r="F606" s="3" t="s">
        <v>65</v>
      </c>
      <c r="H606" s="3">
        <v>5.27475</v>
      </c>
      <c r="I606" s="10">
        <f t="shared" si="93"/>
        <v>63.720022635366306</v>
      </c>
      <c r="J606" s="3">
        <v>2.483403072618672</v>
      </c>
      <c r="K606" s="3">
        <v>0</v>
      </c>
      <c r="L606" s="3">
        <f t="shared" si="94"/>
        <v>0</v>
      </c>
      <c r="N606" s="11">
        <f t="shared" si="95"/>
        <v>2.7913469273813281</v>
      </c>
      <c r="O606" s="3">
        <v>2.483403072618672</v>
      </c>
      <c r="P606" s="11">
        <f t="shared" si="96"/>
        <v>33.720022635366298</v>
      </c>
      <c r="Q606" s="12">
        <f t="shared" si="97"/>
        <v>45.857601728008738</v>
      </c>
      <c r="R606" s="13">
        <f t="shared" si="98"/>
        <v>17.77009633775095</v>
      </c>
      <c r="S606" s="3" t="s">
        <v>30</v>
      </c>
      <c r="T606" s="3" t="s">
        <v>28</v>
      </c>
      <c r="U606" s="10">
        <v>9320029900999</v>
      </c>
      <c r="V606" s="3">
        <v>0.1</v>
      </c>
      <c r="W606" s="3">
        <f t="shared" si="99"/>
        <v>0</v>
      </c>
      <c r="AA606" s="3">
        <v>28</v>
      </c>
    </row>
    <row r="607" spans="1:27" x14ac:dyDescent="0.3">
      <c r="A607" s="3" t="str">
        <f t="shared" si="90"/>
        <v>South9310019999219</v>
      </c>
      <c r="B607" s="3" t="str">
        <f t="shared" si="91"/>
        <v>CY9310019999219</v>
      </c>
      <c r="C607" s="10">
        <v>9310019999219</v>
      </c>
      <c r="D607" s="10" t="str">
        <f t="shared" si="92"/>
        <v>9310019999</v>
      </c>
      <c r="E607" s="3" t="s">
        <v>4</v>
      </c>
      <c r="F607" s="3" t="s">
        <v>65</v>
      </c>
      <c r="H607" s="3">
        <v>3.2759999999999998</v>
      </c>
      <c r="I607" s="10">
        <f t="shared" si="93"/>
        <v>41.564873778166252</v>
      </c>
      <c r="J607" s="3">
        <v>2.3644965343699855</v>
      </c>
      <c r="K607" s="3">
        <v>14</v>
      </c>
      <c r="L607" s="3">
        <f t="shared" si="94"/>
        <v>0</v>
      </c>
      <c r="N607" s="11">
        <f t="shared" si="95"/>
        <v>0.91150346563001428</v>
      </c>
      <c r="O607" s="3">
        <v>2.3644965343699855</v>
      </c>
      <c r="P607" s="11">
        <f t="shared" si="96"/>
        <v>11.564873778166254</v>
      </c>
      <c r="Q607" s="12">
        <f t="shared" si="97"/>
        <v>44.966492817500153</v>
      </c>
      <c r="R607" s="13">
        <f t="shared" si="98"/>
        <v>46.246565856944308</v>
      </c>
      <c r="S607" s="3" t="s">
        <v>31</v>
      </c>
      <c r="T607" s="3" t="s">
        <v>32</v>
      </c>
      <c r="U607" s="10">
        <v>9310019900999</v>
      </c>
      <c r="V607" s="3">
        <v>0.1</v>
      </c>
      <c r="W607" s="3">
        <f t="shared" si="99"/>
        <v>1.4000000000000001</v>
      </c>
      <c r="AA607" s="3">
        <v>28</v>
      </c>
    </row>
    <row r="608" spans="1:27" x14ac:dyDescent="0.3">
      <c r="A608" s="3" t="str">
        <f t="shared" si="90"/>
        <v>South9310099999839</v>
      </c>
      <c r="B608" s="3" t="str">
        <f t="shared" si="91"/>
        <v>CY9310099999839</v>
      </c>
      <c r="C608" s="10">
        <v>9310099999839</v>
      </c>
      <c r="D608" s="10" t="str">
        <f t="shared" si="92"/>
        <v>9310099999</v>
      </c>
      <c r="E608" s="3" t="s">
        <v>4</v>
      </c>
      <c r="F608" s="3" t="s">
        <v>65</v>
      </c>
      <c r="H608" s="3">
        <v>0</v>
      </c>
      <c r="I608" s="10">
        <f t="shared" si="93"/>
        <v>0</v>
      </c>
      <c r="J608" s="3">
        <v>2.3409004436999998</v>
      </c>
      <c r="K608" s="3">
        <v>0</v>
      </c>
      <c r="L608" s="3">
        <f t="shared" si="94"/>
        <v>0</v>
      </c>
      <c r="N608" s="11">
        <f t="shared" si="95"/>
        <v>-2.3409004436999998</v>
      </c>
      <c r="O608" s="3">
        <v>2.3409004436999998</v>
      </c>
      <c r="P608" s="11">
        <f t="shared" si="96"/>
        <v>-30</v>
      </c>
      <c r="Q608" s="12">
        <f t="shared" si="97"/>
        <v>-29.999999999999996</v>
      </c>
      <c r="R608" s="13">
        <f t="shared" si="98"/>
        <v>-30</v>
      </c>
      <c r="S608" s="3">
        <v>0</v>
      </c>
      <c r="T608" s="3" t="s">
        <v>32</v>
      </c>
      <c r="U608" s="10">
        <v>0</v>
      </c>
      <c r="V608" s="3">
        <v>0</v>
      </c>
      <c r="W608" s="3">
        <f t="shared" si="99"/>
        <v>0</v>
      </c>
      <c r="AA608" s="3">
        <v>28</v>
      </c>
    </row>
    <row r="609" spans="1:27" x14ac:dyDescent="0.3">
      <c r="A609" s="3" t="str">
        <f t="shared" si="90"/>
        <v>South9410019999190</v>
      </c>
      <c r="B609" s="3" t="str">
        <f t="shared" si="91"/>
        <v>CY9410019999190</v>
      </c>
      <c r="C609" s="10">
        <v>9410019999190</v>
      </c>
      <c r="D609" s="10" t="str">
        <f t="shared" si="92"/>
        <v>9410019999</v>
      </c>
      <c r="E609" s="3" t="s">
        <v>4</v>
      </c>
      <c r="F609" s="3" t="s">
        <v>65</v>
      </c>
      <c r="H609" s="3">
        <v>0.1827</v>
      </c>
      <c r="I609" s="10">
        <f t="shared" si="93"/>
        <v>2.8787872751329364</v>
      </c>
      <c r="J609" s="3">
        <v>1.9039267150251313</v>
      </c>
      <c r="K609" s="3">
        <v>16</v>
      </c>
      <c r="L609" s="3">
        <f t="shared" si="94"/>
        <v>0</v>
      </c>
      <c r="N609" s="11">
        <f t="shared" si="95"/>
        <v>-1.7212267150251312</v>
      </c>
      <c r="O609" s="3">
        <v>1.9039267150251313</v>
      </c>
      <c r="P609" s="11">
        <f t="shared" si="96"/>
        <v>-27.12121272486706</v>
      </c>
      <c r="Q609" s="12">
        <f t="shared" si="97"/>
        <v>-19.081332641237424</v>
      </c>
      <c r="R609" s="13">
        <f t="shared" si="98"/>
        <v>-4.6134217416350287</v>
      </c>
      <c r="S609" s="3" t="s">
        <v>31</v>
      </c>
      <c r="T609" s="3" t="s">
        <v>32</v>
      </c>
      <c r="U609" s="10">
        <v>0</v>
      </c>
      <c r="V609" s="3">
        <v>0</v>
      </c>
      <c r="W609" s="3">
        <f t="shared" si="99"/>
        <v>0</v>
      </c>
      <c r="AA609" s="3">
        <v>28</v>
      </c>
    </row>
    <row r="610" spans="1:27" x14ac:dyDescent="0.3">
      <c r="A610" s="3" t="str">
        <f t="shared" si="90"/>
        <v>South9320039999839</v>
      </c>
      <c r="B610" s="3" t="str">
        <f t="shared" si="91"/>
        <v>CY9320039999839</v>
      </c>
      <c r="C610" s="10">
        <v>9320039999839</v>
      </c>
      <c r="D610" s="10" t="str">
        <f t="shared" si="92"/>
        <v>9320039999</v>
      </c>
      <c r="E610" s="3" t="s">
        <v>4</v>
      </c>
      <c r="F610" s="3" t="s">
        <v>65</v>
      </c>
      <c r="H610" s="3">
        <v>4.5084000000000009</v>
      </c>
      <c r="I610" s="10">
        <f t="shared" si="93"/>
        <v>75.144235977094326</v>
      </c>
      <c r="J610" s="3">
        <v>1.7998985316881511</v>
      </c>
      <c r="K610" s="3">
        <v>14</v>
      </c>
      <c r="L610" s="3">
        <f t="shared" si="94"/>
        <v>0</v>
      </c>
      <c r="N610" s="11">
        <f t="shared" si="95"/>
        <v>2.7085014683118498</v>
      </c>
      <c r="O610" s="3">
        <v>1.7998985316881511</v>
      </c>
      <c r="P610" s="11">
        <f t="shared" si="96"/>
        <v>45.144235977094333</v>
      </c>
      <c r="Q610" s="12">
        <f t="shared" si="97"/>
        <v>10.169954963210152</v>
      </c>
      <c r="R610" s="13">
        <f t="shared" si="98"/>
        <v>5.6471689168472166</v>
      </c>
      <c r="S610" s="3" t="s">
        <v>30</v>
      </c>
      <c r="T610" s="3" t="s">
        <v>28</v>
      </c>
      <c r="U610" s="10">
        <v>0</v>
      </c>
      <c r="V610" s="3">
        <v>0</v>
      </c>
      <c r="W610" s="3">
        <f t="shared" si="99"/>
        <v>0</v>
      </c>
      <c r="AA610" s="3">
        <v>28</v>
      </c>
    </row>
    <row r="611" spans="1:27" x14ac:dyDescent="0.3">
      <c r="A611" s="3" t="str">
        <f t="shared" si="90"/>
        <v>South9420029999195</v>
      </c>
      <c r="B611" s="3" t="str">
        <f t="shared" si="91"/>
        <v>CY9420029999195</v>
      </c>
      <c r="C611" s="10">
        <v>9420029999195</v>
      </c>
      <c r="D611" s="10" t="str">
        <f t="shared" si="92"/>
        <v>9420029999</v>
      </c>
      <c r="E611" s="3" t="s">
        <v>4</v>
      </c>
      <c r="F611" s="3" t="s">
        <v>65</v>
      </c>
      <c r="H611" s="3">
        <v>2.5450500000000007</v>
      </c>
      <c r="I611" s="10">
        <f t="shared" si="93"/>
        <v>45.365029577688297</v>
      </c>
      <c r="J611" s="3">
        <v>1.6830475084171812</v>
      </c>
      <c r="K611" s="3">
        <v>14</v>
      </c>
      <c r="L611" s="3">
        <f t="shared" si="94"/>
        <v>0</v>
      </c>
      <c r="N611" s="11">
        <f t="shared" si="95"/>
        <v>0.8620024915828195</v>
      </c>
      <c r="O611" s="3">
        <v>1.6830475084171812</v>
      </c>
      <c r="P611" s="11">
        <f t="shared" si="96"/>
        <v>15.365029577688299</v>
      </c>
      <c r="Q611" s="12">
        <f t="shared" si="97"/>
        <v>10.085347265315155</v>
      </c>
      <c r="R611" s="13">
        <f t="shared" si="98"/>
        <v>7.550065878312501</v>
      </c>
      <c r="S611" s="3" t="s">
        <v>31</v>
      </c>
      <c r="T611" s="3" t="s">
        <v>28</v>
      </c>
      <c r="U611" s="10">
        <v>0</v>
      </c>
      <c r="V611" s="3">
        <v>0</v>
      </c>
      <c r="W611" s="3">
        <f t="shared" si="99"/>
        <v>0</v>
      </c>
      <c r="AA611" s="3">
        <v>28</v>
      </c>
    </row>
    <row r="612" spans="1:27" x14ac:dyDescent="0.3">
      <c r="A612" s="3" t="str">
        <f t="shared" si="90"/>
        <v>South9310099999097</v>
      </c>
      <c r="B612" s="3" t="str">
        <f t="shared" si="91"/>
        <v>CY9310099999097</v>
      </c>
      <c r="C612" s="10">
        <v>9310099999097</v>
      </c>
      <c r="D612" s="10" t="str">
        <f t="shared" si="92"/>
        <v>9310099999</v>
      </c>
      <c r="E612" s="3" t="s">
        <v>4</v>
      </c>
      <c r="F612" s="3" t="s">
        <v>65</v>
      </c>
      <c r="H612" s="3">
        <v>0</v>
      </c>
      <c r="I612" s="10">
        <f t="shared" si="93"/>
        <v>0</v>
      </c>
      <c r="J612" s="3">
        <v>1.4045402662199997</v>
      </c>
      <c r="K612" s="3">
        <v>0</v>
      </c>
      <c r="L612" s="3">
        <f t="shared" si="94"/>
        <v>0</v>
      </c>
      <c r="N612" s="11">
        <f t="shared" si="95"/>
        <v>-1.4045402662199997</v>
      </c>
      <c r="O612" s="3">
        <v>1.4045402662199997</v>
      </c>
      <c r="P612" s="11">
        <f t="shared" si="96"/>
        <v>-30</v>
      </c>
      <c r="Q612" s="12">
        <f t="shared" si="97"/>
        <v>-30</v>
      </c>
      <c r="R612" s="13">
        <f t="shared" si="98"/>
        <v>-30</v>
      </c>
      <c r="S612" s="3">
        <v>0</v>
      </c>
      <c r="T612" s="3" t="s">
        <v>32</v>
      </c>
      <c r="U612" s="10">
        <v>0</v>
      </c>
      <c r="V612" s="3">
        <v>0</v>
      </c>
      <c r="W612" s="3">
        <f t="shared" si="99"/>
        <v>0</v>
      </c>
      <c r="AA612" s="3">
        <v>28</v>
      </c>
    </row>
    <row r="613" spans="1:27" x14ac:dyDescent="0.3">
      <c r="A613" s="3" t="str">
        <f t="shared" si="90"/>
        <v>South9310019999297</v>
      </c>
      <c r="B613" s="3" t="str">
        <f t="shared" si="91"/>
        <v>CY9310019999297</v>
      </c>
      <c r="C613" s="10">
        <v>9310019999297</v>
      </c>
      <c r="D613" s="10" t="str">
        <f t="shared" si="92"/>
        <v>9310019999</v>
      </c>
      <c r="E613" s="3" t="s">
        <v>4</v>
      </c>
      <c r="F613" s="3" t="s">
        <v>65</v>
      </c>
      <c r="H613" s="3">
        <v>1.76475</v>
      </c>
      <c r="I613" s="10">
        <f t="shared" si="93"/>
        <v>41.886738563631617</v>
      </c>
      <c r="J613" s="3">
        <v>1.2639441936872977</v>
      </c>
      <c r="K613" s="3">
        <v>0</v>
      </c>
      <c r="L613" s="3">
        <f t="shared" si="94"/>
        <v>0</v>
      </c>
      <c r="N613" s="11">
        <f t="shared" si="95"/>
        <v>0.50080580631270233</v>
      </c>
      <c r="O613" s="3">
        <v>1.2639441936872977</v>
      </c>
      <c r="P613" s="11">
        <f t="shared" si="96"/>
        <v>11.886738563631615</v>
      </c>
      <c r="Q613" s="12">
        <f t="shared" si="97"/>
        <v>31.09499717651606</v>
      </c>
      <c r="R613" s="13">
        <f t="shared" si="98"/>
        <v>27.652805977650061</v>
      </c>
      <c r="S613" s="3" t="s">
        <v>31</v>
      </c>
      <c r="T613" s="3" t="s">
        <v>32</v>
      </c>
      <c r="U613" s="10">
        <v>9310019900999</v>
      </c>
      <c r="V613" s="3">
        <v>0.1</v>
      </c>
      <c r="W613" s="3">
        <f t="shared" si="99"/>
        <v>0</v>
      </c>
      <c r="AA613" s="3">
        <v>28</v>
      </c>
    </row>
    <row r="614" spans="1:27" x14ac:dyDescent="0.3">
      <c r="A614" s="3" t="str">
        <f t="shared" si="90"/>
        <v>South9420029999838</v>
      </c>
      <c r="B614" s="3" t="str">
        <f t="shared" si="91"/>
        <v>CY9420029999838</v>
      </c>
      <c r="C614" s="10">
        <v>9420029999838</v>
      </c>
      <c r="D614" s="10" t="str">
        <f t="shared" si="92"/>
        <v>9420029999</v>
      </c>
      <c r="E614" s="3" t="s">
        <v>4</v>
      </c>
      <c r="F614" s="3" t="s">
        <v>65</v>
      </c>
      <c r="H614" s="3">
        <v>0.35719999999999996</v>
      </c>
      <c r="I614" s="10">
        <f t="shared" si="93"/>
        <v>9.5555603662999111</v>
      </c>
      <c r="J614" s="3">
        <v>1.1214412958755062</v>
      </c>
      <c r="K614" s="3">
        <v>14</v>
      </c>
      <c r="L614" s="3">
        <f t="shared" si="94"/>
        <v>0</v>
      </c>
      <c r="N614" s="11">
        <f t="shared" si="95"/>
        <v>-0.76424129587550627</v>
      </c>
      <c r="O614" s="3">
        <v>1.1214412958755062</v>
      </c>
      <c r="P614" s="11">
        <f t="shared" si="96"/>
        <v>-20.444439633700089</v>
      </c>
      <c r="Q614" s="12">
        <f t="shared" si="97"/>
        <v>-17.147948863482583</v>
      </c>
      <c r="R614" s="13">
        <f t="shared" si="98"/>
        <v>-1.5040952227448274</v>
      </c>
      <c r="S614" s="3" t="s">
        <v>31</v>
      </c>
      <c r="T614" s="3" t="s">
        <v>28</v>
      </c>
      <c r="U614" s="10">
        <v>0</v>
      </c>
      <c r="V614" s="3">
        <v>0</v>
      </c>
      <c r="W614" s="3">
        <f t="shared" si="99"/>
        <v>0</v>
      </c>
      <c r="AA614" s="3">
        <v>28</v>
      </c>
    </row>
    <row r="615" spans="1:27" x14ac:dyDescent="0.3">
      <c r="A615" s="3" t="str">
        <f t="shared" si="90"/>
        <v>South9432019999195</v>
      </c>
      <c r="B615" s="3" t="str">
        <f t="shared" si="91"/>
        <v>CY9432019999195</v>
      </c>
      <c r="C615" s="10">
        <v>9432019999195</v>
      </c>
      <c r="D615" s="10" t="str">
        <f t="shared" si="92"/>
        <v>9432019999</v>
      </c>
      <c r="E615" s="3" t="s">
        <v>4</v>
      </c>
      <c r="F615" s="3" t="s">
        <v>65</v>
      </c>
      <c r="H615" s="3">
        <v>1.9303999999999997</v>
      </c>
      <c r="I615" s="10">
        <f t="shared" si="93"/>
        <v>51.726233324577834</v>
      </c>
      <c r="J615" s="3">
        <v>1.1195866444905622</v>
      </c>
      <c r="K615" s="3">
        <v>0</v>
      </c>
      <c r="L615" s="3">
        <f t="shared" si="94"/>
        <v>0</v>
      </c>
      <c r="N615" s="11">
        <f t="shared" si="95"/>
        <v>0.81081335550943745</v>
      </c>
      <c r="O615" s="3">
        <v>1.1195866444905622</v>
      </c>
      <c r="P615" s="11">
        <f t="shared" si="96"/>
        <v>21.72623332457783</v>
      </c>
      <c r="Q615" s="12">
        <f t="shared" si="97"/>
        <v>14.459517344023306</v>
      </c>
      <c r="R615" s="13">
        <f t="shared" si="98"/>
        <v>6.1005383184753246</v>
      </c>
      <c r="S615" s="3" t="s">
        <v>31</v>
      </c>
      <c r="T615" s="3" t="s">
        <v>35</v>
      </c>
      <c r="U615" s="10">
        <v>0</v>
      </c>
      <c r="V615" s="3">
        <v>0</v>
      </c>
      <c r="W615" s="3">
        <f t="shared" si="99"/>
        <v>0</v>
      </c>
      <c r="AA615" s="3">
        <v>28</v>
      </c>
    </row>
    <row r="616" spans="1:27" x14ac:dyDescent="0.3">
      <c r="A616" s="3" t="str">
        <f t="shared" si="90"/>
        <v>South9320039999219</v>
      </c>
      <c r="B616" s="3" t="str">
        <f t="shared" si="91"/>
        <v>CY9320039999219</v>
      </c>
      <c r="C616" s="10">
        <v>9320039999219</v>
      </c>
      <c r="D616" s="10" t="str">
        <f t="shared" si="92"/>
        <v>9320039999</v>
      </c>
      <c r="E616" s="3" t="s">
        <v>4</v>
      </c>
      <c r="F616" s="3" t="s">
        <v>65</v>
      </c>
      <c r="H616" s="3">
        <v>2.3984999999999999</v>
      </c>
      <c r="I616" s="10">
        <f t="shared" si="93"/>
        <v>70.020198266840907</v>
      </c>
      <c r="J616" s="3">
        <v>1.0276320516229578</v>
      </c>
      <c r="K616" s="3">
        <v>0</v>
      </c>
      <c r="L616" s="3">
        <f t="shared" si="94"/>
        <v>0</v>
      </c>
      <c r="N616" s="11">
        <f t="shared" si="95"/>
        <v>1.3708679483770421</v>
      </c>
      <c r="O616" s="3">
        <v>1.0276320516229578</v>
      </c>
      <c r="P616" s="11">
        <f t="shared" si="96"/>
        <v>40.020198266840907</v>
      </c>
      <c r="Q616" s="12">
        <f t="shared" si="97"/>
        <v>67.763182687831133</v>
      </c>
      <c r="R616" s="13">
        <f t="shared" si="98"/>
        <v>54.138526583137718</v>
      </c>
      <c r="S616" s="3" t="s">
        <v>31</v>
      </c>
      <c r="T616" s="3" t="s">
        <v>28</v>
      </c>
      <c r="U616" s="10">
        <v>9320039900999</v>
      </c>
      <c r="V616" s="3">
        <v>0.1</v>
      </c>
      <c r="W616" s="3">
        <f t="shared" si="99"/>
        <v>0</v>
      </c>
      <c r="AA616" s="3">
        <v>28</v>
      </c>
    </row>
    <row r="617" spans="1:27" x14ac:dyDescent="0.3">
      <c r="A617" s="3" t="str">
        <f t="shared" si="90"/>
        <v>South9432019999838</v>
      </c>
      <c r="B617" s="3" t="str">
        <f t="shared" si="91"/>
        <v>CY9432019999838</v>
      </c>
      <c r="C617" s="10">
        <v>9432019999838</v>
      </c>
      <c r="D617" s="10" t="str">
        <f t="shared" si="92"/>
        <v>9432019999</v>
      </c>
      <c r="E617" s="3" t="s">
        <v>4</v>
      </c>
      <c r="F617" s="3" t="s">
        <v>65</v>
      </c>
      <c r="H617" s="3">
        <v>1.2008000000000001</v>
      </c>
      <c r="I617" s="10">
        <f t="shared" si="93"/>
        <v>51.970971725990424</v>
      </c>
      <c r="J617" s="3">
        <v>0.69315617552681974</v>
      </c>
      <c r="K617" s="3">
        <v>0</v>
      </c>
      <c r="L617" s="3">
        <f t="shared" si="94"/>
        <v>0</v>
      </c>
      <c r="N617" s="11">
        <f t="shared" si="95"/>
        <v>0.50764382447318035</v>
      </c>
      <c r="O617" s="3">
        <v>0.69315617552681974</v>
      </c>
      <c r="P617" s="11">
        <f t="shared" si="96"/>
        <v>21.97097172599042</v>
      </c>
      <c r="Q617" s="12">
        <f t="shared" si="97"/>
        <v>20.095683503632998</v>
      </c>
      <c r="R617" s="13">
        <f t="shared" si="98"/>
        <v>17.535302156467548</v>
      </c>
      <c r="S617" s="3" t="s">
        <v>31</v>
      </c>
      <c r="T617" s="3" t="s">
        <v>35</v>
      </c>
      <c r="U617" s="10">
        <v>0</v>
      </c>
      <c r="V617" s="3">
        <v>0</v>
      </c>
      <c r="W617" s="3">
        <f t="shared" si="99"/>
        <v>0</v>
      </c>
      <c r="AA617" s="3">
        <v>28</v>
      </c>
    </row>
    <row r="618" spans="1:27" x14ac:dyDescent="0.3">
      <c r="A618" s="3" t="str">
        <f t="shared" si="90"/>
        <v>South9160709999219</v>
      </c>
      <c r="B618" s="3" t="str">
        <f t="shared" si="91"/>
        <v>CY9160709999219</v>
      </c>
      <c r="C618" s="10">
        <v>9160709999219</v>
      </c>
      <c r="D618" s="10" t="str">
        <f t="shared" si="92"/>
        <v>9160709999</v>
      </c>
      <c r="E618" s="3" t="s">
        <v>4</v>
      </c>
      <c r="F618" s="3" t="s">
        <v>65</v>
      </c>
      <c r="H618" s="3">
        <v>1.5210000000000001</v>
      </c>
      <c r="I618" s="10">
        <f t="shared" si="93"/>
        <v>69.427429750237266</v>
      </c>
      <c r="J618" s="3">
        <v>0.65723302971393749</v>
      </c>
      <c r="K618" s="3">
        <v>0</v>
      </c>
      <c r="L618" s="3">
        <f t="shared" si="94"/>
        <v>0</v>
      </c>
      <c r="N618" s="11">
        <f t="shared" si="95"/>
        <v>0.86376697028606264</v>
      </c>
      <c r="O618" s="3">
        <v>0.65723302971393749</v>
      </c>
      <c r="P618" s="11">
        <f t="shared" si="96"/>
        <v>39.42742975023728</v>
      </c>
      <c r="Q618" s="12">
        <f t="shared" si="97"/>
        <v>200.13795090492127</v>
      </c>
      <c r="R618" s="13">
        <f t="shared" si="98"/>
        <v>105.2313732458948</v>
      </c>
      <c r="S618" s="3" t="s">
        <v>31</v>
      </c>
      <c r="T618" s="3" t="s">
        <v>34</v>
      </c>
      <c r="U618" s="10">
        <v>0</v>
      </c>
      <c r="V618" s="3">
        <v>0</v>
      </c>
      <c r="W618" s="3">
        <f t="shared" si="99"/>
        <v>0</v>
      </c>
      <c r="AA618" s="3">
        <v>28</v>
      </c>
    </row>
    <row r="619" spans="1:27" x14ac:dyDescent="0.3">
      <c r="A619" s="3" t="str">
        <f t="shared" si="90"/>
        <v>South9420039999195</v>
      </c>
      <c r="B619" s="3" t="str">
        <f t="shared" si="91"/>
        <v>CY9420039999195</v>
      </c>
      <c r="C619" s="10">
        <v>9420039999195</v>
      </c>
      <c r="D619" s="10" t="str">
        <f t="shared" si="92"/>
        <v>9420039999</v>
      </c>
      <c r="E619" s="3" t="s">
        <v>4</v>
      </c>
      <c r="F619" s="3" t="s">
        <v>65</v>
      </c>
      <c r="H619" s="3">
        <v>0.1767</v>
      </c>
      <c r="I619" s="10">
        <f t="shared" si="93"/>
        <v>8.2624703186834534</v>
      </c>
      <c r="J619" s="3">
        <v>0.64157567840372765</v>
      </c>
      <c r="K619" s="3">
        <v>0</v>
      </c>
      <c r="L619" s="3">
        <f t="shared" si="94"/>
        <v>0</v>
      </c>
      <c r="N619" s="11">
        <f t="shared" si="95"/>
        <v>-0.46487567840372768</v>
      </c>
      <c r="O619" s="3">
        <v>0.64157567840372765</v>
      </c>
      <c r="P619" s="11">
        <f t="shared" si="96"/>
        <v>-21.737529681316548</v>
      </c>
      <c r="Q619" s="12">
        <f t="shared" si="97"/>
        <v>-20.234064572672711</v>
      </c>
      <c r="R619" s="13">
        <f t="shared" si="98"/>
        <v>-14.236938844724724</v>
      </c>
      <c r="S619" s="3" t="s">
        <v>31</v>
      </c>
      <c r="T619" s="3" t="s">
        <v>28</v>
      </c>
      <c r="U619" s="10">
        <v>0</v>
      </c>
      <c r="V619" s="3">
        <v>0</v>
      </c>
      <c r="W619" s="3">
        <f t="shared" si="99"/>
        <v>0</v>
      </c>
      <c r="AA619" s="3">
        <v>28</v>
      </c>
    </row>
    <row r="620" spans="1:27" x14ac:dyDescent="0.3">
      <c r="A620" s="3" t="str">
        <f t="shared" si="90"/>
        <v>South9320039999297</v>
      </c>
      <c r="B620" s="3" t="str">
        <f t="shared" si="91"/>
        <v>CY9320039999297</v>
      </c>
      <c r="C620" s="10">
        <v>9320039999297</v>
      </c>
      <c r="D620" s="10" t="str">
        <f t="shared" si="92"/>
        <v>9320039999</v>
      </c>
      <c r="E620" s="3" t="s">
        <v>4</v>
      </c>
      <c r="F620" s="3" t="s">
        <v>65</v>
      </c>
      <c r="H620" s="3">
        <v>2.5447500000000001</v>
      </c>
      <c r="I620" s="10">
        <f t="shared" si="93"/>
        <v>129.43439215921211</v>
      </c>
      <c r="J620" s="3">
        <v>0.58981618970400174</v>
      </c>
      <c r="K620" s="3">
        <v>0</v>
      </c>
      <c r="L620" s="3">
        <f t="shared" si="94"/>
        <v>0</v>
      </c>
      <c r="N620" s="11">
        <f t="shared" si="95"/>
        <v>1.9549338102959983</v>
      </c>
      <c r="O620" s="3">
        <v>0.58981618970400174</v>
      </c>
      <c r="P620" s="11">
        <f t="shared" si="96"/>
        <v>99.434392159212109</v>
      </c>
      <c r="Q620" s="12">
        <f t="shared" si="97"/>
        <v>117.59894876634803</v>
      </c>
      <c r="R620" s="13">
        <f t="shared" si="98"/>
        <v>104.32505744629258</v>
      </c>
      <c r="S620" s="3" t="s">
        <v>31</v>
      </c>
      <c r="T620" s="3" t="s">
        <v>28</v>
      </c>
      <c r="U620" s="10">
        <v>9320039900999</v>
      </c>
      <c r="V620" s="3">
        <v>0.1</v>
      </c>
      <c r="W620" s="3">
        <f t="shared" si="99"/>
        <v>0</v>
      </c>
      <c r="AA620" s="3">
        <v>28</v>
      </c>
    </row>
    <row r="621" spans="1:27" x14ac:dyDescent="0.3">
      <c r="A621" s="3" t="str">
        <f t="shared" si="90"/>
        <v>South9160509999219</v>
      </c>
      <c r="B621" s="3" t="str">
        <f t="shared" si="91"/>
        <v>CY9160509999219</v>
      </c>
      <c r="C621" s="10">
        <v>9160509999219</v>
      </c>
      <c r="D621" s="10" t="str">
        <f t="shared" si="92"/>
        <v>9160509999</v>
      </c>
      <c r="E621" s="3" t="s">
        <v>4</v>
      </c>
      <c r="F621" s="3" t="s">
        <v>65</v>
      </c>
      <c r="H621" s="3">
        <v>3.3929999999999998</v>
      </c>
      <c r="I621" s="10">
        <f t="shared" si="93"/>
        <v>178.58119970590064</v>
      </c>
      <c r="J621" s="3">
        <v>0.56999281093213905</v>
      </c>
      <c r="K621" s="3">
        <v>0</v>
      </c>
      <c r="L621" s="3">
        <f t="shared" si="94"/>
        <v>0</v>
      </c>
      <c r="N621" s="11">
        <f t="shared" si="95"/>
        <v>2.8230071890678605</v>
      </c>
      <c r="O621" s="3">
        <v>0.56999281093213905</v>
      </c>
      <c r="P621" s="11">
        <f t="shared" si="96"/>
        <v>148.58119970590064</v>
      </c>
      <c r="Q621" s="12">
        <f t="shared" si="97"/>
        <v>148.28049956676861</v>
      </c>
      <c r="R621" s="13">
        <f t="shared" si="98"/>
        <v>31.34794595299039</v>
      </c>
      <c r="S621" s="3" t="s">
        <v>30</v>
      </c>
      <c r="T621" s="3" t="s">
        <v>34</v>
      </c>
      <c r="U621" s="10">
        <v>0</v>
      </c>
      <c r="V621" s="3">
        <v>0</v>
      </c>
      <c r="W621" s="3">
        <f t="shared" si="99"/>
        <v>0</v>
      </c>
      <c r="AA621" s="3">
        <v>28</v>
      </c>
    </row>
    <row r="622" spans="1:27" x14ac:dyDescent="0.3">
      <c r="A622" s="3" t="str">
        <f t="shared" si="90"/>
        <v>South9410029999190</v>
      </c>
      <c r="B622" s="3" t="str">
        <f t="shared" si="91"/>
        <v>CY9410029999190</v>
      </c>
      <c r="C622" s="10">
        <v>9410029999190</v>
      </c>
      <c r="D622" s="10" t="str">
        <f t="shared" si="92"/>
        <v>9410029999</v>
      </c>
      <c r="E622" s="3" t="s">
        <v>4</v>
      </c>
      <c r="F622" s="3" t="s">
        <v>65</v>
      </c>
      <c r="H622" s="3">
        <v>0.53190000000000004</v>
      </c>
      <c r="I622" s="10">
        <f t="shared" si="93"/>
        <v>30.380591113029602</v>
      </c>
      <c r="J622" s="3">
        <v>0.52523665325117308</v>
      </c>
      <c r="K622" s="3">
        <v>0</v>
      </c>
      <c r="L622" s="3">
        <f t="shared" si="94"/>
        <v>0</v>
      </c>
      <c r="N622" s="11">
        <f t="shared" si="95"/>
        <v>6.6633467488269593E-3</v>
      </c>
      <c r="O622" s="3">
        <v>0.52523665325117308</v>
      </c>
      <c r="P622" s="11">
        <f t="shared" si="96"/>
        <v>0.38059111302960524</v>
      </c>
      <c r="Q622" s="12">
        <f t="shared" si="97"/>
        <v>11.419410344184744</v>
      </c>
      <c r="R622" s="13">
        <f t="shared" si="98"/>
        <v>-5.105194524524161</v>
      </c>
      <c r="S622" s="3" t="s">
        <v>31</v>
      </c>
      <c r="T622" s="3" t="s">
        <v>32</v>
      </c>
      <c r="U622" s="10">
        <v>0</v>
      </c>
      <c r="V622" s="3">
        <v>0</v>
      </c>
      <c r="W622" s="3">
        <f t="shared" si="99"/>
        <v>0</v>
      </c>
      <c r="AA622" s="3">
        <v>28</v>
      </c>
    </row>
    <row r="623" spans="1:27" x14ac:dyDescent="0.3">
      <c r="A623" s="3" t="str">
        <f t="shared" si="90"/>
        <v>South9420039999838</v>
      </c>
      <c r="B623" s="3" t="str">
        <f t="shared" si="91"/>
        <v>CY9420039999838</v>
      </c>
      <c r="C623" s="10">
        <v>9420039999838</v>
      </c>
      <c r="D623" s="10" t="str">
        <f t="shared" si="92"/>
        <v>9420039999</v>
      </c>
      <c r="E623" s="3" t="s">
        <v>4</v>
      </c>
      <c r="F623" s="3" t="s">
        <v>65</v>
      </c>
      <c r="H623" s="3">
        <v>1.2501999999999995</v>
      </c>
      <c r="I623" s="10">
        <f t="shared" si="93"/>
        <v>71.505314424848009</v>
      </c>
      <c r="J623" s="3">
        <v>0.52452045420230609</v>
      </c>
      <c r="K623" s="3">
        <v>0</v>
      </c>
      <c r="L623" s="3">
        <f t="shared" si="94"/>
        <v>0</v>
      </c>
      <c r="N623" s="11">
        <f t="shared" si="95"/>
        <v>0.72567954579769345</v>
      </c>
      <c r="O623" s="3">
        <v>0.52452045420230609</v>
      </c>
      <c r="P623" s="11">
        <f t="shared" si="96"/>
        <v>41.505314424848009</v>
      </c>
      <c r="Q623" s="12">
        <f t="shared" si="97"/>
        <v>29.611291625663366</v>
      </c>
      <c r="R623" s="13">
        <f t="shared" si="98"/>
        <v>42.398978619991823</v>
      </c>
      <c r="S623" s="3" t="s">
        <v>31</v>
      </c>
      <c r="T623" s="3" t="s">
        <v>28</v>
      </c>
      <c r="U623" s="10">
        <v>0</v>
      </c>
      <c r="V623" s="3">
        <v>0</v>
      </c>
      <c r="W623" s="3">
        <f t="shared" si="99"/>
        <v>0</v>
      </c>
      <c r="AA623" s="3">
        <v>28</v>
      </c>
    </row>
    <row r="624" spans="1:27" x14ac:dyDescent="0.3">
      <c r="A624" s="3" t="str">
        <f t="shared" si="90"/>
        <v>South9410019999836</v>
      </c>
      <c r="B624" s="3" t="str">
        <f t="shared" si="91"/>
        <v>CY9410019999836</v>
      </c>
      <c r="C624" s="10">
        <v>9410019999836</v>
      </c>
      <c r="D624" s="10" t="str">
        <f t="shared" si="92"/>
        <v>9410019999</v>
      </c>
      <c r="E624" s="3" t="s">
        <v>4</v>
      </c>
      <c r="F624" s="3" t="s">
        <v>65</v>
      </c>
      <c r="H624" s="3">
        <v>0.18720000000000001</v>
      </c>
      <c r="I624" s="10">
        <f t="shared" si="93"/>
        <v>12.211452599402614</v>
      </c>
      <c r="J624" s="3">
        <v>0.45989614702142279</v>
      </c>
      <c r="K624" s="3">
        <v>12</v>
      </c>
      <c r="L624" s="3">
        <f t="shared" si="94"/>
        <v>0</v>
      </c>
      <c r="N624" s="11">
        <f t="shared" si="95"/>
        <v>-0.27269614702142275</v>
      </c>
      <c r="O624" s="3">
        <v>0.45989614702142279</v>
      </c>
      <c r="P624" s="11">
        <f t="shared" si="96"/>
        <v>-17.788547400597384</v>
      </c>
      <c r="Q624" s="12">
        <f t="shared" si="97"/>
        <v>-17.38732117585624</v>
      </c>
      <c r="R624" s="13">
        <f t="shared" si="98"/>
        <v>20.800814485774602</v>
      </c>
      <c r="S624" s="3" t="s">
        <v>31</v>
      </c>
      <c r="T624" s="3" t="s">
        <v>32</v>
      </c>
      <c r="U624" s="10">
        <v>0</v>
      </c>
      <c r="V624" s="3">
        <v>0</v>
      </c>
      <c r="W624" s="3">
        <f t="shared" si="99"/>
        <v>0</v>
      </c>
      <c r="AA624" s="3">
        <v>28</v>
      </c>
    </row>
    <row r="625" spans="1:27" x14ac:dyDescent="0.3">
      <c r="A625" s="3" t="str">
        <f t="shared" si="90"/>
        <v>South9420059999195</v>
      </c>
      <c r="B625" s="3" t="str">
        <f t="shared" si="91"/>
        <v>CY9420059999195</v>
      </c>
      <c r="C625" s="10">
        <v>9420059999195</v>
      </c>
      <c r="D625" s="10" t="str">
        <f t="shared" si="92"/>
        <v>9420059999</v>
      </c>
      <c r="E625" s="3" t="s">
        <v>4</v>
      </c>
      <c r="F625" s="3" t="s">
        <v>65</v>
      </c>
      <c r="H625" s="3">
        <v>0.76284999999999992</v>
      </c>
      <c r="I625" s="10">
        <f t="shared" si="93"/>
        <v>63.405510942237854</v>
      </c>
      <c r="J625" s="3">
        <v>0.36093865753796367</v>
      </c>
      <c r="K625" s="3">
        <v>0</v>
      </c>
      <c r="L625" s="3">
        <f t="shared" si="94"/>
        <v>0</v>
      </c>
      <c r="N625" s="11">
        <f t="shared" si="95"/>
        <v>0.40191134246203625</v>
      </c>
      <c r="O625" s="3">
        <v>0.36093865753796367</v>
      </c>
      <c r="P625" s="11">
        <f t="shared" si="96"/>
        <v>33.405510942237854</v>
      </c>
      <c r="Q625" s="12">
        <f t="shared" si="97"/>
        <v>29.06185480195041</v>
      </c>
      <c r="R625" s="13">
        <f t="shared" si="98"/>
        <v>29.27901427061612</v>
      </c>
      <c r="S625" s="3" t="s">
        <v>31</v>
      </c>
      <c r="T625" s="3" t="s">
        <v>28</v>
      </c>
      <c r="U625" s="10">
        <v>0</v>
      </c>
      <c r="V625" s="3">
        <v>0</v>
      </c>
      <c r="W625" s="3">
        <f t="shared" si="99"/>
        <v>0</v>
      </c>
      <c r="AA625" s="3">
        <v>28</v>
      </c>
    </row>
    <row r="626" spans="1:27" x14ac:dyDescent="0.3">
      <c r="A626" s="3" t="str">
        <f t="shared" si="90"/>
        <v>South9420059999838</v>
      </c>
      <c r="B626" s="3" t="str">
        <f t="shared" si="91"/>
        <v>CY9420059999838</v>
      </c>
      <c r="C626" s="10">
        <v>9420059999838</v>
      </c>
      <c r="D626" s="10" t="str">
        <f t="shared" si="92"/>
        <v>9420059999</v>
      </c>
      <c r="E626" s="3" t="s">
        <v>4</v>
      </c>
      <c r="F626" s="3" t="s">
        <v>65</v>
      </c>
      <c r="H626" s="3">
        <v>0.82839999999999991</v>
      </c>
      <c r="I626" s="10">
        <f t="shared" si="93"/>
        <v>136.94565622550166</v>
      </c>
      <c r="J626" s="3">
        <v>0.18147344490487111</v>
      </c>
      <c r="K626" s="3">
        <v>0</v>
      </c>
      <c r="L626" s="3">
        <f t="shared" si="94"/>
        <v>0</v>
      </c>
      <c r="N626" s="11">
        <f t="shared" si="95"/>
        <v>0.64692655509512886</v>
      </c>
      <c r="O626" s="3">
        <v>0.18147344490487111</v>
      </c>
      <c r="P626" s="11">
        <f t="shared" si="96"/>
        <v>106.94565622550169</v>
      </c>
      <c r="Q626" s="12">
        <f t="shared" si="97"/>
        <v>132.51707175368969</v>
      </c>
      <c r="R626" s="13">
        <f t="shared" si="98"/>
        <v>22.423143014669041</v>
      </c>
      <c r="S626" s="3" t="s">
        <v>31</v>
      </c>
      <c r="T626" s="3" t="s">
        <v>28</v>
      </c>
      <c r="U626" s="10">
        <v>0</v>
      </c>
      <c r="V626" s="3">
        <v>0</v>
      </c>
      <c r="W626" s="3">
        <f t="shared" si="99"/>
        <v>0</v>
      </c>
      <c r="AA626" s="3">
        <v>28</v>
      </c>
    </row>
    <row r="627" spans="1:27" x14ac:dyDescent="0.3">
      <c r="A627" s="3" t="str">
        <f t="shared" si="90"/>
        <v>South9410029999836</v>
      </c>
      <c r="B627" s="3" t="str">
        <f t="shared" si="91"/>
        <v>CY9410029999836</v>
      </c>
      <c r="C627" s="10">
        <v>9410029999836</v>
      </c>
      <c r="D627" s="10" t="str">
        <f t="shared" si="92"/>
        <v>9410029999</v>
      </c>
      <c r="E627" s="3" t="s">
        <v>4</v>
      </c>
      <c r="F627" s="3" t="s">
        <v>65</v>
      </c>
      <c r="H627" s="3">
        <v>0.71639999999999981</v>
      </c>
      <c r="I627" s="10">
        <f t="shared" si="93"/>
        <v>168.85096883786275</v>
      </c>
      <c r="J627" s="3">
        <v>0.12728384176840257</v>
      </c>
      <c r="K627" s="3">
        <v>0</v>
      </c>
      <c r="L627" s="3">
        <f t="shared" si="94"/>
        <v>0</v>
      </c>
      <c r="N627" s="11">
        <f t="shared" si="95"/>
        <v>0.58911615823159724</v>
      </c>
      <c r="O627" s="3">
        <v>0.12728384176840257</v>
      </c>
      <c r="P627" s="11">
        <f t="shared" si="96"/>
        <v>138.85096883786275</v>
      </c>
      <c r="Q627" s="12">
        <f t="shared" si="97"/>
        <v>194.09009570558635</v>
      </c>
      <c r="R627" s="13">
        <f t="shared" si="98"/>
        <v>21.8480649509738</v>
      </c>
      <c r="S627" s="3" t="s">
        <v>31</v>
      </c>
      <c r="T627" s="3" t="s">
        <v>32</v>
      </c>
      <c r="U627" s="10">
        <v>0</v>
      </c>
      <c r="V627" s="3">
        <v>0</v>
      </c>
      <c r="W627" s="3">
        <f t="shared" si="99"/>
        <v>0</v>
      </c>
      <c r="AA627" s="3">
        <v>28</v>
      </c>
    </row>
    <row r="628" spans="1:27" x14ac:dyDescent="0.3">
      <c r="A628" s="3" t="str">
        <f t="shared" si="90"/>
        <v>South9310029999097</v>
      </c>
      <c r="B628" s="3" t="str">
        <f t="shared" si="91"/>
        <v>CY9310029999097</v>
      </c>
      <c r="C628" s="10">
        <v>9310029999097</v>
      </c>
      <c r="D628" s="10" t="str">
        <f t="shared" si="92"/>
        <v>9310029999</v>
      </c>
      <c r="E628" s="3" t="s">
        <v>4</v>
      </c>
      <c r="F628" s="3" t="s">
        <v>65</v>
      </c>
      <c r="H628" s="3">
        <v>0.40657499999999996</v>
      </c>
      <c r="I628" s="10">
        <f t="shared" si="93"/>
        <v>181.78676287146649</v>
      </c>
      <c r="J628" s="3">
        <v>6.7096469552209062E-2</v>
      </c>
      <c r="K628" s="3">
        <v>0</v>
      </c>
      <c r="L628" s="3">
        <f t="shared" si="94"/>
        <v>0</v>
      </c>
      <c r="N628" s="11">
        <f t="shared" si="95"/>
        <v>0.33947853044779092</v>
      </c>
      <c r="O628" s="3">
        <v>6.7096469552209062E-2</v>
      </c>
      <c r="P628" s="11">
        <f t="shared" si="96"/>
        <v>151.78676287146649</v>
      </c>
      <c r="Q628" s="12">
        <f t="shared" si="97"/>
        <v>226.03085078804284</v>
      </c>
      <c r="R628" s="13">
        <f t="shared" si="98"/>
        <v>354.59273598559759</v>
      </c>
      <c r="S628" s="3" t="s">
        <v>31</v>
      </c>
      <c r="T628" s="3" t="s">
        <v>32</v>
      </c>
      <c r="U628" s="10">
        <v>0</v>
      </c>
      <c r="V628" s="3">
        <v>0</v>
      </c>
      <c r="W628" s="3">
        <f t="shared" si="99"/>
        <v>0</v>
      </c>
      <c r="AA628" s="3">
        <v>28</v>
      </c>
    </row>
    <row r="629" spans="1:27" x14ac:dyDescent="0.3">
      <c r="A629" s="3" t="str">
        <f t="shared" si="90"/>
        <v>South9310029999839</v>
      </c>
      <c r="B629" s="3" t="str">
        <f t="shared" si="91"/>
        <v>CY9310029999839</v>
      </c>
      <c r="C629" s="10">
        <v>9310029999839</v>
      </c>
      <c r="D629" s="10" t="str">
        <f t="shared" si="92"/>
        <v>9310029999</v>
      </c>
      <c r="E629" s="3" t="s">
        <v>4</v>
      </c>
      <c r="F629" s="3" t="s">
        <v>65</v>
      </c>
      <c r="H629" s="3">
        <v>0.54599999999999993</v>
      </c>
      <c r="I629" s="10">
        <f t="shared" si="93"/>
        <v>1977.8851513924744</v>
      </c>
      <c r="J629" s="3">
        <v>8.2815728650716246E-3</v>
      </c>
      <c r="K629" s="3">
        <v>0</v>
      </c>
      <c r="L629" s="3">
        <f t="shared" si="94"/>
        <v>0</v>
      </c>
      <c r="N629" s="11">
        <f t="shared" si="95"/>
        <v>0.53771842713492835</v>
      </c>
      <c r="O629" s="3">
        <v>8.2815728650716246E-3</v>
      </c>
      <c r="P629" s="11">
        <f t="shared" si="96"/>
        <v>1947.8851513924744</v>
      </c>
      <c r="Q629" s="12">
        <f t="shared" si="97"/>
        <v>234.62035806734647</v>
      </c>
      <c r="R629" s="13">
        <f t="shared" si="98"/>
        <v>277.8965501161872</v>
      </c>
      <c r="S629" s="3" t="s">
        <v>31</v>
      </c>
      <c r="T629" s="3" t="s">
        <v>32</v>
      </c>
      <c r="U629" s="10">
        <v>0</v>
      </c>
      <c r="V629" s="3">
        <v>0</v>
      </c>
      <c r="W629" s="3">
        <f t="shared" si="99"/>
        <v>0</v>
      </c>
      <c r="AA629" s="3">
        <v>28</v>
      </c>
    </row>
    <row r="630" spans="1:27" x14ac:dyDescent="0.3">
      <c r="A630" s="3" t="str">
        <f t="shared" si="90"/>
        <v>South9310029999297</v>
      </c>
      <c r="B630" s="3" t="str">
        <f t="shared" si="91"/>
        <v>CY9310029999297</v>
      </c>
      <c r="C630" s="10">
        <v>9310029999297</v>
      </c>
      <c r="D630" s="10" t="str">
        <f t="shared" si="92"/>
        <v>9310029999</v>
      </c>
      <c r="E630" s="3" t="s">
        <v>4</v>
      </c>
      <c r="F630" s="3" t="s">
        <v>65</v>
      </c>
      <c r="H630" s="3">
        <v>1.8232500000000003</v>
      </c>
      <c r="I630" s="10">
        <f t="shared" si="93"/>
        <v>0</v>
      </c>
      <c r="J630" s="3">
        <v>0</v>
      </c>
      <c r="K630" s="3">
        <v>0</v>
      </c>
      <c r="L630" s="3">
        <f t="shared" si="94"/>
        <v>0</v>
      </c>
      <c r="N630" s="11">
        <f t="shared" si="95"/>
        <v>1.8232500000000003</v>
      </c>
      <c r="O630" s="3">
        <v>0</v>
      </c>
      <c r="P630" s="11">
        <f t="shared" si="96"/>
        <v>9999</v>
      </c>
      <c r="Q630" s="12">
        <f t="shared" si="97"/>
        <v>2012.5003559243844</v>
      </c>
      <c r="R630" s="13">
        <f t="shared" si="98"/>
        <v>1144.2916541959814</v>
      </c>
      <c r="S630" s="3" t="s">
        <v>31</v>
      </c>
      <c r="T630" s="3" t="s">
        <v>32</v>
      </c>
      <c r="U630" s="10">
        <v>9310029900999</v>
      </c>
      <c r="V630" s="3">
        <v>0.1</v>
      </c>
      <c r="W630" s="3">
        <f t="shared" si="99"/>
        <v>0</v>
      </c>
      <c r="AA630" s="3">
        <v>28</v>
      </c>
    </row>
    <row r="631" spans="1:27" x14ac:dyDescent="0.3">
      <c r="A631" s="3" t="str">
        <f t="shared" si="90"/>
        <v>South9310029999219</v>
      </c>
      <c r="B631" s="3" t="str">
        <f t="shared" si="91"/>
        <v>CY9310029999219</v>
      </c>
      <c r="C631" s="10">
        <v>9310029999219</v>
      </c>
      <c r="D631" s="10" t="str">
        <f t="shared" si="92"/>
        <v>9310029999</v>
      </c>
      <c r="E631" s="3" t="s">
        <v>4</v>
      </c>
      <c r="F631" s="3" t="s">
        <v>65</v>
      </c>
      <c r="H631" s="3">
        <v>0.70199999999999996</v>
      </c>
      <c r="I631" s="10">
        <f t="shared" si="93"/>
        <v>0</v>
      </c>
      <c r="J631" s="3">
        <v>0</v>
      </c>
      <c r="K631" s="3">
        <v>0</v>
      </c>
      <c r="L631" s="3">
        <f t="shared" si="94"/>
        <v>0</v>
      </c>
      <c r="N631" s="11">
        <f t="shared" si="95"/>
        <v>0.70199999999999996</v>
      </c>
      <c r="O631" s="3">
        <v>0</v>
      </c>
      <c r="P631" s="11">
        <f t="shared" si="96"/>
        <v>9999</v>
      </c>
      <c r="Q631" s="12">
        <f t="shared" si="97"/>
        <v>2433.8482959687235</v>
      </c>
      <c r="R631" s="13">
        <f t="shared" si="98"/>
        <v>390.88539054406084</v>
      </c>
      <c r="S631" s="3" t="s">
        <v>31</v>
      </c>
      <c r="T631" s="3" t="s">
        <v>32</v>
      </c>
      <c r="U631" s="10">
        <v>9310029900999</v>
      </c>
      <c r="V631" s="3">
        <v>0.1</v>
      </c>
      <c r="W631" s="3">
        <f t="shared" si="99"/>
        <v>0</v>
      </c>
      <c r="AA631" s="3">
        <v>28</v>
      </c>
    </row>
    <row r="632" spans="1:27" x14ac:dyDescent="0.3">
      <c r="A632" s="3" t="str">
        <f t="shared" si="90"/>
        <v>South9160509999097</v>
      </c>
      <c r="B632" s="3" t="str">
        <f t="shared" si="91"/>
        <v>CY9160509999097</v>
      </c>
      <c r="C632" s="10">
        <v>9160509999097</v>
      </c>
      <c r="D632" s="10" t="str">
        <f t="shared" si="92"/>
        <v>9160509999</v>
      </c>
      <c r="E632" s="3" t="s">
        <v>4</v>
      </c>
      <c r="F632" s="3" t="s">
        <v>65</v>
      </c>
      <c r="H632" s="3">
        <v>0</v>
      </c>
      <c r="I632" s="10">
        <f t="shared" si="93"/>
        <v>0</v>
      </c>
      <c r="J632" s="3">
        <v>0</v>
      </c>
      <c r="K632" s="3">
        <v>0</v>
      </c>
      <c r="L632" s="3">
        <f t="shared" si="94"/>
        <v>0</v>
      </c>
      <c r="N632" s="11">
        <f t="shared" si="95"/>
        <v>0</v>
      </c>
      <c r="O632" s="3">
        <v>0</v>
      </c>
      <c r="P632" s="11">
        <f t="shared" si="96"/>
        <v>9999</v>
      </c>
      <c r="Q632" s="12">
        <f t="shared" si="97"/>
        <v>9999</v>
      </c>
      <c r="R632" s="13">
        <f t="shared" si="98"/>
        <v>9999</v>
      </c>
      <c r="S632" s="3" t="s">
        <v>31</v>
      </c>
      <c r="T632" s="3" t="s">
        <v>34</v>
      </c>
      <c r="U632" s="10" t="s">
        <v>72</v>
      </c>
      <c r="V632" s="3" t="s">
        <v>72</v>
      </c>
      <c r="W632" s="3">
        <f t="shared" si="99"/>
        <v>0</v>
      </c>
      <c r="AA632" s="3">
        <v>28</v>
      </c>
    </row>
    <row r="633" spans="1:27" x14ac:dyDescent="0.3">
      <c r="A633" s="3" t="str">
        <f t="shared" si="90"/>
        <v>South9160709999097</v>
      </c>
      <c r="B633" s="3" t="str">
        <f t="shared" si="91"/>
        <v>CY9160709999097</v>
      </c>
      <c r="C633" s="10">
        <v>9160709999097</v>
      </c>
      <c r="D633" s="10" t="str">
        <f t="shared" si="92"/>
        <v>9160709999</v>
      </c>
      <c r="E633" s="3" t="s">
        <v>4</v>
      </c>
      <c r="F633" s="3" t="s">
        <v>65</v>
      </c>
      <c r="H633" s="3">
        <v>0</v>
      </c>
      <c r="I633" s="10">
        <f t="shared" si="93"/>
        <v>0</v>
      </c>
      <c r="J633" s="3">
        <v>0</v>
      </c>
      <c r="K633" s="3">
        <v>0</v>
      </c>
      <c r="L633" s="3">
        <f t="shared" si="94"/>
        <v>0</v>
      </c>
      <c r="N633" s="11">
        <f t="shared" si="95"/>
        <v>0</v>
      </c>
      <c r="O633" s="3">
        <v>0</v>
      </c>
      <c r="P633" s="11">
        <f t="shared" si="96"/>
        <v>9999</v>
      </c>
      <c r="Q633" s="12">
        <f t="shared" si="97"/>
        <v>9999</v>
      </c>
      <c r="R633" s="13">
        <f t="shared" si="98"/>
        <v>9999</v>
      </c>
      <c r="S633" s="3" t="s">
        <v>31</v>
      </c>
      <c r="T633" s="3" t="s">
        <v>34</v>
      </c>
      <c r="U633" s="10" t="s">
        <v>72</v>
      </c>
      <c r="V633" s="3" t="s">
        <v>72</v>
      </c>
      <c r="W633" s="3">
        <f t="shared" si="99"/>
        <v>0</v>
      </c>
      <c r="AA633" s="3">
        <v>28</v>
      </c>
    </row>
    <row r="634" spans="1:27" x14ac:dyDescent="0.3">
      <c r="A634" s="3" t="str">
        <f t="shared" si="90"/>
        <v>South9420049999838</v>
      </c>
      <c r="B634" s="3" t="str">
        <f t="shared" si="91"/>
        <v>CY9420049999838</v>
      </c>
      <c r="C634" s="10">
        <v>9420049999838</v>
      </c>
      <c r="D634" s="10" t="str">
        <f t="shared" si="92"/>
        <v>9420049999</v>
      </c>
      <c r="E634" s="3" t="s">
        <v>4</v>
      </c>
      <c r="F634" s="3" t="s">
        <v>65</v>
      </c>
      <c r="H634" s="3">
        <v>0</v>
      </c>
      <c r="I634" s="10">
        <f t="shared" si="93"/>
        <v>0</v>
      </c>
      <c r="J634" s="3">
        <v>0</v>
      </c>
      <c r="K634" s="3">
        <v>0</v>
      </c>
      <c r="L634" s="3">
        <f t="shared" si="94"/>
        <v>0</v>
      </c>
      <c r="N634" s="11">
        <f t="shared" si="95"/>
        <v>0</v>
      </c>
      <c r="O634" s="3">
        <v>0</v>
      </c>
      <c r="P634" s="11">
        <f t="shared" si="96"/>
        <v>9999</v>
      </c>
      <c r="Q634" s="12">
        <f t="shared" si="97"/>
        <v>9999</v>
      </c>
      <c r="R634" s="13">
        <f t="shared" si="98"/>
        <v>-30</v>
      </c>
      <c r="S634" s="3" t="s">
        <v>31</v>
      </c>
      <c r="T634" s="3" t="s">
        <v>28</v>
      </c>
      <c r="U634" s="10">
        <v>0</v>
      </c>
      <c r="V634" s="3">
        <v>0</v>
      </c>
      <c r="W634" s="3">
        <f t="shared" si="99"/>
        <v>0</v>
      </c>
      <c r="AA634" s="3">
        <v>28</v>
      </c>
    </row>
    <row r="635" spans="1:27" x14ac:dyDescent="0.3">
      <c r="A635" s="3" t="str">
        <f t="shared" si="90"/>
        <v>South9420049999195</v>
      </c>
      <c r="B635" s="3" t="str">
        <f t="shared" si="91"/>
        <v>CY9420049999195</v>
      </c>
      <c r="C635" s="10">
        <v>9420049999195</v>
      </c>
      <c r="D635" s="10" t="str">
        <f t="shared" si="92"/>
        <v>9420049999</v>
      </c>
      <c r="E635" s="3" t="s">
        <v>4</v>
      </c>
      <c r="F635" s="3" t="s">
        <v>65</v>
      </c>
      <c r="H635" s="3">
        <v>0.5623999999999999</v>
      </c>
      <c r="I635" s="10">
        <f t="shared" si="93"/>
        <v>0</v>
      </c>
      <c r="J635" s="3">
        <v>0</v>
      </c>
      <c r="K635" s="3">
        <v>0</v>
      </c>
      <c r="L635" s="3">
        <f t="shared" si="94"/>
        <v>0</v>
      </c>
      <c r="N635" s="11">
        <f t="shared" si="95"/>
        <v>0.5623999999999999</v>
      </c>
      <c r="O635" s="3">
        <v>0</v>
      </c>
      <c r="P635" s="11">
        <f t="shared" si="96"/>
        <v>9999</v>
      </c>
      <c r="Q635" s="12">
        <f t="shared" si="97"/>
        <v>7632.5419950937667</v>
      </c>
      <c r="R635" s="13">
        <f t="shared" si="98"/>
        <v>1347.2670042698451</v>
      </c>
      <c r="S635" s="3" t="s">
        <v>31</v>
      </c>
      <c r="T635" s="3" t="s">
        <v>28</v>
      </c>
      <c r="U635" s="10">
        <v>0</v>
      </c>
      <c r="V635" s="3">
        <v>0</v>
      </c>
      <c r="W635" s="3">
        <f t="shared" si="99"/>
        <v>0</v>
      </c>
      <c r="AA635" s="3">
        <v>28</v>
      </c>
    </row>
    <row r="636" spans="1:27" x14ac:dyDescent="0.3">
      <c r="A636" s="3" t="str">
        <f t="shared" si="90"/>
        <v>South9320029999839</v>
      </c>
      <c r="B636" s="3" t="str">
        <f t="shared" si="91"/>
        <v>CMR9320029999839</v>
      </c>
      <c r="C636" s="10">
        <v>9320029999839</v>
      </c>
      <c r="D636" s="10" t="str">
        <f t="shared" si="92"/>
        <v>9320029999</v>
      </c>
      <c r="E636" s="3" t="s">
        <v>5</v>
      </c>
      <c r="F636" s="3" t="s">
        <v>65</v>
      </c>
      <c r="H636" s="3">
        <v>18.154499999999999</v>
      </c>
      <c r="I636" s="10">
        <f t="shared" si="93"/>
        <v>52.712808744648314</v>
      </c>
      <c r="J636" s="3">
        <v>10.332118757669011</v>
      </c>
      <c r="K636" s="3">
        <v>0</v>
      </c>
      <c r="L636" s="3">
        <f t="shared" si="94"/>
        <v>0</v>
      </c>
      <c r="N636" s="11">
        <f t="shared" si="95"/>
        <v>7.8223812423309873</v>
      </c>
      <c r="O636" s="3">
        <v>10.332118757669011</v>
      </c>
      <c r="P636" s="11">
        <f t="shared" si="96"/>
        <v>22.712808744648317</v>
      </c>
      <c r="Q636" s="12">
        <f t="shared" si="97"/>
        <v>15.042621064513499</v>
      </c>
      <c r="R636" s="13">
        <f t="shared" si="98"/>
        <v>19.357265929212165</v>
      </c>
      <c r="S636" s="3" t="s">
        <v>30</v>
      </c>
      <c r="T636" s="3" t="s">
        <v>28</v>
      </c>
      <c r="U636" s="10">
        <v>0</v>
      </c>
      <c r="V636" s="3">
        <v>0</v>
      </c>
      <c r="W636" s="3">
        <f t="shared" si="99"/>
        <v>0</v>
      </c>
      <c r="AA636" s="3">
        <v>28</v>
      </c>
    </row>
    <row r="637" spans="1:27" x14ac:dyDescent="0.3">
      <c r="A637" s="3" t="str">
        <f t="shared" si="90"/>
        <v>South9320029999097</v>
      </c>
      <c r="B637" s="3" t="str">
        <f t="shared" si="91"/>
        <v>CMR9320029999097</v>
      </c>
      <c r="C637" s="10">
        <v>9320029999097</v>
      </c>
      <c r="D637" s="10" t="str">
        <f t="shared" si="92"/>
        <v>9320029999</v>
      </c>
      <c r="E637" s="3" t="s">
        <v>5</v>
      </c>
      <c r="F637" s="3" t="s">
        <v>65</v>
      </c>
      <c r="H637" s="3">
        <v>7.0170750000000011</v>
      </c>
      <c r="I637" s="10">
        <f t="shared" si="93"/>
        <v>26.268698407786044</v>
      </c>
      <c r="J637" s="3">
        <v>8.0138058891263597</v>
      </c>
      <c r="K637" s="3">
        <v>0</v>
      </c>
      <c r="L637" s="3">
        <f t="shared" si="94"/>
        <v>0</v>
      </c>
      <c r="N637" s="11">
        <f t="shared" si="95"/>
        <v>-0.99673088912635865</v>
      </c>
      <c r="O637" s="3">
        <v>8.0138058891263597</v>
      </c>
      <c r="P637" s="11">
        <f t="shared" si="96"/>
        <v>-3.7313015922139554</v>
      </c>
      <c r="Q637" s="12">
        <f t="shared" si="97"/>
        <v>13.626580165022077</v>
      </c>
      <c r="R637" s="13">
        <f t="shared" si="98"/>
        <v>27.782787977034157</v>
      </c>
      <c r="S637" s="3" t="s">
        <v>30</v>
      </c>
      <c r="T637" s="3" t="s">
        <v>28</v>
      </c>
      <c r="U637" s="10">
        <v>0</v>
      </c>
      <c r="V637" s="3">
        <v>0</v>
      </c>
      <c r="W637" s="3">
        <f t="shared" si="99"/>
        <v>0</v>
      </c>
      <c r="AA637" s="3">
        <v>28</v>
      </c>
    </row>
    <row r="638" spans="1:27" x14ac:dyDescent="0.3">
      <c r="A638" s="3" t="str">
        <f t="shared" si="90"/>
        <v>South9320029999219</v>
      </c>
      <c r="B638" s="3" t="str">
        <f t="shared" si="91"/>
        <v>CMR9320029999219</v>
      </c>
      <c r="C638" s="10">
        <v>9320029999219</v>
      </c>
      <c r="D638" s="10" t="str">
        <f t="shared" si="92"/>
        <v>9320029999</v>
      </c>
      <c r="E638" s="3" t="s">
        <v>5</v>
      </c>
      <c r="F638" s="3" t="s">
        <v>65</v>
      </c>
      <c r="H638" s="3">
        <v>6.4935</v>
      </c>
      <c r="I638" s="10">
        <f t="shared" si="93"/>
        <v>35.848772798216707</v>
      </c>
      <c r="J638" s="3">
        <v>5.4340772303840357</v>
      </c>
      <c r="K638" s="3">
        <v>0</v>
      </c>
      <c r="L638" s="3">
        <f t="shared" si="94"/>
        <v>0</v>
      </c>
      <c r="N638" s="11">
        <f t="shared" si="95"/>
        <v>1.0594227696159644</v>
      </c>
      <c r="O638" s="3">
        <v>5.4340772303840357</v>
      </c>
      <c r="P638" s="11">
        <f t="shared" si="96"/>
        <v>5.8487727982167073</v>
      </c>
      <c r="Q638" s="12">
        <f t="shared" si="97"/>
        <v>31.994522568303399</v>
      </c>
      <c r="R638" s="13">
        <f t="shared" si="98"/>
        <v>20.644368796962809</v>
      </c>
      <c r="S638" s="3" t="s">
        <v>30</v>
      </c>
      <c r="T638" s="3" t="s">
        <v>28</v>
      </c>
      <c r="U638" s="10">
        <v>9320029900999</v>
      </c>
      <c r="V638" s="3">
        <v>0.1</v>
      </c>
      <c r="W638" s="3">
        <f t="shared" si="99"/>
        <v>0</v>
      </c>
      <c r="AA638" s="3">
        <v>28</v>
      </c>
    </row>
    <row r="639" spans="1:27" x14ac:dyDescent="0.3">
      <c r="A639" s="3" t="str">
        <f t="shared" si="90"/>
        <v>South9320029999297</v>
      </c>
      <c r="B639" s="3" t="str">
        <f t="shared" si="91"/>
        <v>CMR9320029999297</v>
      </c>
      <c r="C639" s="10">
        <v>9320029999297</v>
      </c>
      <c r="D639" s="10" t="str">
        <f t="shared" si="92"/>
        <v>9320029999</v>
      </c>
      <c r="E639" s="3" t="s">
        <v>5</v>
      </c>
      <c r="F639" s="3" t="s">
        <v>65</v>
      </c>
      <c r="H639" s="3">
        <v>13.055250000000001</v>
      </c>
      <c r="I639" s="10">
        <f t="shared" si="93"/>
        <v>82.182478592755956</v>
      </c>
      <c r="J639" s="3">
        <v>4.765705618843711</v>
      </c>
      <c r="K639" s="3">
        <v>0</v>
      </c>
      <c r="L639" s="3">
        <f t="shared" si="94"/>
        <v>0</v>
      </c>
      <c r="N639" s="11">
        <f t="shared" si="95"/>
        <v>8.2895443811562899</v>
      </c>
      <c r="O639" s="3">
        <v>4.765705618843711</v>
      </c>
      <c r="P639" s="11">
        <f t="shared" si="96"/>
        <v>52.182478592755949</v>
      </c>
      <c r="Q639" s="12">
        <f t="shared" si="97"/>
        <v>45.857601728008738</v>
      </c>
      <c r="R639" s="13">
        <f t="shared" si="98"/>
        <v>17.77009633775095</v>
      </c>
      <c r="S639" s="3" t="s">
        <v>30</v>
      </c>
      <c r="T639" s="3" t="s">
        <v>28</v>
      </c>
      <c r="U639" s="10">
        <v>9320029900999</v>
      </c>
      <c r="V639" s="3">
        <v>0.1</v>
      </c>
      <c r="W639" s="3">
        <f t="shared" si="99"/>
        <v>0</v>
      </c>
      <c r="AA639" s="3">
        <v>28</v>
      </c>
    </row>
    <row r="640" spans="1:27" x14ac:dyDescent="0.3">
      <c r="A640" s="3" t="str">
        <f t="shared" si="90"/>
        <v>South9310019999839</v>
      </c>
      <c r="B640" s="3" t="str">
        <f t="shared" si="91"/>
        <v>CMR9310019999839</v>
      </c>
      <c r="C640" s="10">
        <v>9310019999839</v>
      </c>
      <c r="D640" s="10" t="str">
        <f t="shared" si="92"/>
        <v>9310019999</v>
      </c>
      <c r="E640" s="3" t="s">
        <v>5</v>
      </c>
      <c r="F640" s="3" t="s">
        <v>65</v>
      </c>
      <c r="H640" s="3">
        <v>3.4749000000000003</v>
      </c>
      <c r="I640" s="10">
        <f t="shared" si="93"/>
        <v>24.728864863463489</v>
      </c>
      <c r="J640" s="3">
        <v>4.2155998900711094</v>
      </c>
      <c r="K640" s="3">
        <v>0</v>
      </c>
      <c r="L640" s="3">
        <f t="shared" si="94"/>
        <v>0</v>
      </c>
      <c r="N640" s="11">
        <f t="shared" si="95"/>
        <v>-0.74069989007110904</v>
      </c>
      <c r="O640" s="3">
        <v>4.2155998900711094</v>
      </c>
      <c r="P640" s="11">
        <f t="shared" si="96"/>
        <v>-5.2711351365365093</v>
      </c>
      <c r="Q640" s="12">
        <f t="shared" si="97"/>
        <v>-2.773981259611324</v>
      </c>
      <c r="R640" s="13">
        <f t="shared" si="98"/>
        <v>0.90281642977410392</v>
      </c>
      <c r="S640" s="3" t="s">
        <v>30</v>
      </c>
      <c r="T640" s="3" t="s">
        <v>32</v>
      </c>
      <c r="U640" s="10">
        <v>0</v>
      </c>
      <c r="V640" s="3">
        <v>0</v>
      </c>
      <c r="W640" s="3">
        <f t="shared" si="99"/>
        <v>0</v>
      </c>
      <c r="AA640" s="3">
        <v>28</v>
      </c>
    </row>
    <row r="641" spans="1:27" x14ac:dyDescent="0.3">
      <c r="A641" s="3" t="str">
        <f t="shared" si="90"/>
        <v>South9310019999097</v>
      </c>
      <c r="B641" s="3" t="str">
        <f t="shared" si="91"/>
        <v>CMR9310019999097</v>
      </c>
      <c r="C641" s="10">
        <v>9310019999097</v>
      </c>
      <c r="D641" s="10" t="str">
        <f t="shared" si="92"/>
        <v>9310019999</v>
      </c>
      <c r="E641" s="3" t="s">
        <v>5</v>
      </c>
      <c r="F641" s="3" t="s">
        <v>65</v>
      </c>
      <c r="H641" s="3">
        <v>2.8830750000000007</v>
      </c>
      <c r="I641" s="10">
        <f t="shared" si="93"/>
        <v>32.533070419469453</v>
      </c>
      <c r="J641" s="3">
        <v>2.6585947432812436</v>
      </c>
      <c r="K641" s="3">
        <v>0</v>
      </c>
      <c r="L641" s="3">
        <f t="shared" si="94"/>
        <v>0</v>
      </c>
      <c r="N641" s="11">
        <f t="shared" si="95"/>
        <v>0.22448025671875715</v>
      </c>
      <c r="O641" s="3">
        <v>2.6585947432812436</v>
      </c>
      <c r="P641" s="11">
        <f t="shared" si="96"/>
        <v>2.5330704194694578</v>
      </c>
      <c r="Q641" s="12">
        <f t="shared" si="97"/>
        <v>-5.1318683129181153</v>
      </c>
      <c r="R641" s="13">
        <f t="shared" si="98"/>
        <v>17.765600858039242</v>
      </c>
      <c r="S641" s="3" t="s">
        <v>31</v>
      </c>
      <c r="T641" s="3" t="s">
        <v>32</v>
      </c>
      <c r="U641" s="10">
        <v>0</v>
      </c>
      <c r="V641" s="3">
        <v>0</v>
      </c>
      <c r="W641" s="3">
        <f t="shared" si="99"/>
        <v>0</v>
      </c>
      <c r="AA641" s="3">
        <v>28</v>
      </c>
    </row>
    <row r="642" spans="1:27" x14ac:dyDescent="0.3">
      <c r="A642" s="3" t="str">
        <f t="shared" si="90"/>
        <v>South9310019999297</v>
      </c>
      <c r="B642" s="3" t="str">
        <f t="shared" si="91"/>
        <v>CMR9310019999297</v>
      </c>
      <c r="C642" s="10">
        <v>9310019999297</v>
      </c>
      <c r="D642" s="10" t="str">
        <f t="shared" si="92"/>
        <v>9310019999</v>
      </c>
      <c r="E642" s="3" t="s">
        <v>5</v>
      </c>
      <c r="F642" s="3" t="s">
        <v>65</v>
      </c>
      <c r="H642" s="3">
        <v>5.7232499999999993</v>
      </c>
      <c r="I642" s="10">
        <f t="shared" si="93"/>
        <v>71.156598393866986</v>
      </c>
      <c r="J642" s="3">
        <v>2.4129526126251513</v>
      </c>
      <c r="K642" s="3">
        <v>0</v>
      </c>
      <c r="L642" s="3">
        <f t="shared" si="94"/>
        <v>0</v>
      </c>
      <c r="N642" s="11">
        <f t="shared" si="95"/>
        <v>3.310297387374848</v>
      </c>
      <c r="O642" s="3">
        <v>2.4129526126251513</v>
      </c>
      <c r="P642" s="11">
        <f t="shared" si="96"/>
        <v>41.156598393866979</v>
      </c>
      <c r="Q642" s="12">
        <f t="shared" si="97"/>
        <v>31.09499717651606</v>
      </c>
      <c r="R642" s="13">
        <f t="shared" si="98"/>
        <v>27.652805977650061</v>
      </c>
      <c r="S642" s="3" t="s">
        <v>31</v>
      </c>
      <c r="T642" s="3" t="s">
        <v>32</v>
      </c>
      <c r="U642" s="10">
        <v>9310019900999</v>
      </c>
      <c r="V642" s="3">
        <v>0.1</v>
      </c>
      <c r="W642" s="3">
        <f t="shared" si="99"/>
        <v>0</v>
      </c>
      <c r="AA642" s="3">
        <v>28</v>
      </c>
    </row>
    <row r="643" spans="1:27" x14ac:dyDescent="0.3">
      <c r="A643" s="3" t="str">
        <f t="shared" si="90"/>
        <v>South9320039999839</v>
      </c>
      <c r="B643" s="3" t="str">
        <f t="shared" si="91"/>
        <v>CMR9320039999839</v>
      </c>
      <c r="C643" s="10">
        <v>9320039999839</v>
      </c>
      <c r="D643" s="10" t="str">
        <f t="shared" si="92"/>
        <v>9320039999</v>
      </c>
      <c r="E643" s="3" t="s">
        <v>5</v>
      </c>
      <c r="F643" s="3" t="s">
        <v>65</v>
      </c>
      <c r="H643" s="3">
        <v>0.92039999999999988</v>
      </c>
      <c r="I643" s="10">
        <f t="shared" si="93"/>
        <v>12.247641097025328</v>
      </c>
      <c r="J643" s="3">
        <v>2.2544749459311246</v>
      </c>
      <c r="K643" s="3">
        <v>0</v>
      </c>
      <c r="L643" s="3">
        <f t="shared" si="94"/>
        <v>0</v>
      </c>
      <c r="N643" s="11">
        <f t="shared" si="95"/>
        <v>-1.3340749459311247</v>
      </c>
      <c r="O643" s="3">
        <v>2.2544749459311246</v>
      </c>
      <c r="P643" s="11">
        <f t="shared" si="96"/>
        <v>-17.752358902974674</v>
      </c>
      <c r="Q643" s="12">
        <f t="shared" si="97"/>
        <v>10.169954963210152</v>
      </c>
      <c r="R643" s="13">
        <f t="shared" si="98"/>
        <v>5.6471689168472166</v>
      </c>
      <c r="S643" s="3" t="s">
        <v>30</v>
      </c>
      <c r="T643" s="3" t="s">
        <v>28</v>
      </c>
      <c r="U643" s="10">
        <v>0</v>
      </c>
      <c r="V643" s="3">
        <v>0</v>
      </c>
      <c r="W643" s="3">
        <f t="shared" si="99"/>
        <v>0</v>
      </c>
      <c r="AA643" s="3">
        <v>28</v>
      </c>
    </row>
    <row r="644" spans="1:27" x14ac:dyDescent="0.3">
      <c r="A644" s="3" t="str">
        <f t="shared" ref="A644:A707" si="100">_xlfn.CONCAT(F644,C644)</f>
        <v>South9310099999839</v>
      </c>
      <c r="B644" s="3" t="str">
        <f t="shared" ref="B644:B707" si="101">_xlfn.CONCAT(E644,C644)</f>
        <v>CMR9310099999839</v>
      </c>
      <c r="C644" s="10">
        <v>9310099999839</v>
      </c>
      <c r="D644" s="10" t="str">
        <f t="shared" ref="D644:D707" si="102">LEFT(C644,10)</f>
        <v>9310099999</v>
      </c>
      <c r="E644" s="3" t="s">
        <v>5</v>
      </c>
      <c r="F644" s="3" t="s">
        <v>65</v>
      </c>
      <c r="H644" s="3">
        <v>0</v>
      </c>
      <c r="I644" s="10">
        <f t="shared" ref="I644:I707" si="103">IFERROR(H644/J644*30,0)</f>
        <v>0</v>
      </c>
      <c r="J644" s="3">
        <v>2.0317249134000002</v>
      </c>
      <c r="K644" s="3">
        <v>0</v>
      </c>
      <c r="L644" s="3">
        <f t="shared" ref="L644:L707" si="104">M644*G644</f>
        <v>0</v>
      </c>
      <c r="N644" s="11">
        <f t="shared" ref="N644:N707" si="105">H644-J644+L644</f>
        <v>-2.0317249134000002</v>
      </c>
      <c r="O644" s="3">
        <v>2.0317249134000002</v>
      </c>
      <c r="P644" s="11">
        <f t="shared" ref="P644:P707" si="106">IF(O644=0,9999,N644/O644*30)</f>
        <v>-30</v>
      </c>
      <c r="Q644" s="12">
        <f t="shared" ref="Q644:Q707" si="107">IF(SUMIF($A:$A,$A644,$O:$O)=0,9999,SUMIF($A:$A,$A644,$N:$N)*30/SUMIF($A:$A,$A644,$O:$O))</f>
        <v>-29.999999999999996</v>
      </c>
      <c r="R644" s="13">
        <f t="shared" ref="R644:R707" si="108">IF(SUMIF($C:$C,$C644,$O:$O)=0,9999,SUMIF($C:$C,$C644,$N:$N)*30/SUMIF($C:$C,$C644,$O:$O))</f>
        <v>-30</v>
      </c>
      <c r="S644" s="3">
        <v>0</v>
      </c>
      <c r="T644" s="3" t="s">
        <v>32</v>
      </c>
      <c r="U644" s="10">
        <v>0</v>
      </c>
      <c r="V644" s="3">
        <v>0</v>
      </c>
      <c r="W644" s="3">
        <f t="shared" ref="W644:W707" si="109">IFERROR(K644*V644,0)</f>
        <v>0</v>
      </c>
      <c r="AA644" s="3">
        <v>28</v>
      </c>
    </row>
    <row r="645" spans="1:27" x14ac:dyDescent="0.3">
      <c r="A645" s="3" t="str">
        <f t="shared" si="100"/>
        <v>South9320039999097</v>
      </c>
      <c r="B645" s="3" t="str">
        <f t="shared" si="101"/>
        <v>CMR9320039999097</v>
      </c>
      <c r="C645" s="10">
        <v>9320039999097</v>
      </c>
      <c r="D645" s="10" t="str">
        <f t="shared" si="102"/>
        <v>9320039999</v>
      </c>
      <c r="E645" s="3" t="s">
        <v>5</v>
      </c>
      <c r="F645" s="3" t="s">
        <v>65</v>
      </c>
      <c r="H645" s="3">
        <v>1.7169749999999999</v>
      </c>
      <c r="I645" s="10">
        <f t="shared" si="103"/>
        <v>28.852446666805616</v>
      </c>
      <c r="J645" s="3">
        <v>1.7852645425478164</v>
      </c>
      <c r="K645" s="3">
        <v>0</v>
      </c>
      <c r="L645" s="3">
        <f t="shared" si="104"/>
        <v>0</v>
      </c>
      <c r="N645" s="11">
        <f t="shared" si="105"/>
        <v>-6.8289542547816495E-2</v>
      </c>
      <c r="O645" s="3">
        <v>1.7852645425478164</v>
      </c>
      <c r="P645" s="11">
        <f t="shared" si="106"/>
        <v>-1.1475533331943846</v>
      </c>
      <c r="Q645" s="12">
        <f t="shared" si="107"/>
        <v>-14.26294187999358</v>
      </c>
      <c r="R645" s="13">
        <f t="shared" si="108"/>
        <v>17.328925570439566</v>
      </c>
      <c r="S645" s="3" t="s">
        <v>30</v>
      </c>
      <c r="T645" s="3" t="s">
        <v>28</v>
      </c>
      <c r="U645" s="10">
        <v>0</v>
      </c>
      <c r="V645" s="3">
        <v>0</v>
      </c>
      <c r="W645" s="3">
        <f t="shared" si="109"/>
        <v>0</v>
      </c>
      <c r="AA645" s="3">
        <v>28</v>
      </c>
    </row>
    <row r="646" spans="1:27" x14ac:dyDescent="0.3">
      <c r="A646" s="3" t="str">
        <f t="shared" si="100"/>
        <v>South9420029999195</v>
      </c>
      <c r="B646" s="3" t="str">
        <f t="shared" si="101"/>
        <v>CMR9420029999195</v>
      </c>
      <c r="C646" s="10">
        <v>9420029999195</v>
      </c>
      <c r="D646" s="10" t="str">
        <f t="shared" si="102"/>
        <v>9420029999</v>
      </c>
      <c r="E646" s="3" t="s">
        <v>5</v>
      </c>
      <c r="F646" s="3" t="s">
        <v>65</v>
      </c>
      <c r="H646" s="3">
        <v>1.6178499999999998</v>
      </c>
      <c r="I646" s="10">
        <f t="shared" si="103"/>
        <v>33.882149674821449</v>
      </c>
      <c r="J646" s="3">
        <v>1.4324799478726038</v>
      </c>
      <c r="K646" s="3">
        <v>0</v>
      </c>
      <c r="L646" s="3">
        <f t="shared" si="104"/>
        <v>0</v>
      </c>
      <c r="N646" s="11">
        <f t="shared" si="105"/>
        <v>0.18537005212739599</v>
      </c>
      <c r="O646" s="3">
        <v>1.4324799478726038</v>
      </c>
      <c r="P646" s="11">
        <f t="shared" si="106"/>
        <v>3.8821496748214521</v>
      </c>
      <c r="Q646" s="12">
        <f t="shared" si="107"/>
        <v>10.085347265315155</v>
      </c>
      <c r="R646" s="13">
        <f t="shared" si="108"/>
        <v>7.550065878312501</v>
      </c>
      <c r="S646" s="3" t="s">
        <v>31</v>
      </c>
      <c r="T646" s="3" t="s">
        <v>28</v>
      </c>
      <c r="U646" s="10">
        <v>0</v>
      </c>
      <c r="V646" s="3">
        <v>0</v>
      </c>
      <c r="W646" s="3">
        <f t="shared" si="109"/>
        <v>0</v>
      </c>
      <c r="AA646" s="3">
        <v>28</v>
      </c>
    </row>
    <row r="647" spans="1:27" x14ac:dyDescent="0.3">
      <c r="A647" s="3" t="str">
        <f t="shared" si="100"/>
        <v>South9420029999838</v>
      </c>
      <c r="B647" s="3" t="str">
        <f t="shared" si="101"/>
        <v>CMR9420029999838</v>
      </c>
      <c r="C647" s="10">
        <v>9420029999838</v>
      </c>
      <c r="D647" s="10" t="str">
        <f t="shared" si="102"/>
        <v>9420029999</v>
      </c>
      <c r="E647" s="3" t="s">
        <v>5</v>
      </c>
      <c r="F647" s="3" t="s">
        <v>65</v>
      </c>
      <c r="H647" s="3">
        <v>0.72960000000000003</v>
      </c>
      <c r="I647" s="10">
        <f t="shared" si="103"/>
        <v>15.463851652435537</v>
      </c>
      <c r="J647" s="3">
        <v>1.4154300294618172</v>
      </c>
      <c r="K647" s="3">
        <v>0</v>
      </c>
      <c r="L647" s="3">
        <f t="shared" si="104"/>
        <v>0</v>
      </c>
      <c r="N647" s="11">
        <f t="shared" si="105"/>
        <v>-0.68583002946181715</v>
      </c>
      <c r="O647" s="3">
        <v>1.4154300294618172</v>
      </c>
      <c r="P647" s="11">
        <f t="shared" si="106"/>
        <v>-14.536148347564463</v>
      </c>
      <c r="Q647" s="12">
        <f t="shared" si="107"/>
        <v>-17.147948863482583</v>
      </c>
      <c r="R647" s="13">
        <f t="shared" si="108"/>
        <v>-1.5040952227448274</v>
      </c>
      <c r="S647" s="3" t="s">
        <v>31</v>
      </c>
      <c r="T647" s="3" t="s">
        <v>28</v>
      </c>
      <c r="U647" s="10">
        <v>0</v>
      </c>
      <c r="V647" s="3">
        <v>0</v>
      </c>
      <c r="W647" s="3">
        <f t="shared" si="109"/>
        <v>0</v>
      </c>
      <c r="AA647" s="3">
        <v>28</v>
      </c>
    </row>
    <row r="648" spans="1:27" x14ac:dyDescent="0.3">
      <c r="A648" s="3" t="str">
        <f t="shared" si="100"/>
        <v>South9310019999219</v>
      </c>
      <c r="B648" s="3" t="str">
        <f t="shared" si="101"/>
        <v>CMR9310019999219</v>
      </c>
      <c r="C648" s="10">
        <v>9310019999219</v>
      </c>
      <c r="D648" s="10" t="str">
        <f t="shared" si="102"/>
        <v>9310019999</v>
      </c>
      <c r="E648" s="3" t="s">
        <v>5</v>
      </c>
      <c r="F648" s="3" t="s">
        <v>65</v>
      </c>
      <c r="H648" s="3">
        <v>6.0644999999999998</v>
      </c>
      <c r="I648" s="10">
        <f t="shared" si="103"/>
        <v>132.47307634720536</v>
      </c>
      <c r="J648" s="3">
        <v>1.3733734054998268</v>
      </c>
      <c r="K648" s="3">
        <v>0</v>
      </c>
      <c r="L648" s="3">
        <f t="shared" si="104"/>
        <v>0</v>
      </c>
      <c r="N648" s="11">
        <f t="shared" si="105"/>
        <v>4.6911265945001732</v>
      </c>
      <c r="O648" s="3">
        <v>1.3733734054998268</v>
      </c>
      <c r="P648" s="11">
        <f t="shared" si="106"/>
        <v>102.47307634720538</v>
      </c>
      <c r="Q648" s="12">
        <f t="shared" si="107"/>
        <v>44.966492817500153</v>
      </c>
      <c r="R648" s="13">
        <f t="shared" si="108"/>
        <v>46.246565856944308</v>
      </c>
      <c r="S648" s="3" t="s">
        <v>31</v>
      </c>
      <c r="T648" s="3" t="s">
        <v>32</v>
      </c>
      <c r="U648" s="10">
        <v>9310019900999</v>
      </c>
      <c r="V648" s="3">
        <v>0.1</v>
      </c>
      <c r="W648" s="3">
        <f t="shared" si="109"/>
        <v>0</v>
      </c>
      <c r="AA648" s="3">
        <v>28</v>
      </c>
    </row>
    <row r="649" spans="1:27" x14ac:dyDescent="0.3">
      <c r="A649" s="3" t="str">
        <f t="shared" si="100"/>
        <v>South9310099999097</v>
      </c>
      <c r="B649" s="3" t="str">
        <f t="shared" si="101"/>
        <v>CMR9310099999097</v>
      </c>
      <c r="C649" s="10">
        <v>9310099999097</v>
      </c>
      <c r="D649" s="10" t="str">
        <f t="shared" si="102"/>
        <v>9310099999</v>
      </c>
      <c r="E649" s="3" t="s">
        <v>5</v>
      </c>
      <c r="F649" s="3" t="s">
        <v>65</v>
      </c>
      <c r="H649" s="3">
        <v>0</v>
      </c>
      <c r="I649" s="10">
        <f t="shared" si="103"/>
        <v>0</v>
      </c>
      <c r="J649" s="3">
        <v>1.2190349480399998</v>
      </c>
      <c r="K649" s="3">
        <v>0</v>
      </c>
      <c r="L649" s="3">
        <f t="shared" si="104"/>
        <v>0</v>
      </c>
      <c r="N649" s="11">
        <f t="shared" si="105"/>
        <v>-1.2190349480399998</v>
      </c>
      <c r="O649" s="3">
        <v>1.2190349480399998</v>
      </c>
      <c r="P649" s="11">
        <f t="shared" si="106"/>
        <v>-30</v>
      </c>
      <c r="Q649" s="12">
        <f t="shared" si="107"/>
        <v>-30</v>
      </c>
      <c r="R649" s="13">
        <f t="shared" si="108"/>
        <v>-30</v>
      </c>
      <c r="S649" s="3">
        <v>0</v>
      </c>
      <c r="T649" s="3" t="s">
        <v>32</v>
      </c>
      <c r="U649" s="10">
        <v>0</v>
      </c>
      <c r="V649" s="3">
        <v>0</v>
      </c>
      <c r="W649" s="3">
        <f t="shared" si="109"/>
        <v>0</v>
      </c>
      <c r="AA649" s="3">
        <v>28</v>
      </c>
    </row>
    <row r="650" spans="1:27" x14ac:dyDescent="0.3">
      <c r="A650" s="3" t="str">
        <f t="shared" si="100"/>
        <v>South9432019999195</v>
      </c>
      <c r="B650" s="3" t="str">
        <f t="shared" si="101"/>
        <v>CMR9432019999195</v>
      </c>
      <c r="C650" s="10">
        <v>9432019999195</v>
      </c>
      <c r="D650" s="10" t="str">
        <f t="shared" si="102"/>
        <v>9432019999</v>
      </c>
      <c r="E650" s="3" t="s">
        <v>5</v>
      </c>
      <c r="F650" s="3" t="s">
        <v>65</v>
      </c>
      <c r="H650" s="3">
        <v>0.95095000000000007</v>
      </c>
      <c r="I650" s="10">
        <f t="shared" si="103"/>
        <v>34.5940375702179</v>
      </c>
      <c r="J650" s="3">
        <v>0.82466523146058757</v>
      </c>
      <c r="K650" s="3">
        <v>0</v>
      </c>
      <c r="L650" s="3">
        <f t="shared" si="104"/>
        <v>0</v>
      </c>
      <c r="N650" s="11">
        <f t="shared" si="105"/>
        <v>0.12628476853941251</v>
      </c>
      <c r="O650" s="3">
        <v>0.82466523146058757</v>
      </c>
      <c r="P650" s="11">
        <f t="shared" si="106"/>
        <v>4.5940375702178944</v>
      </c>
      <c r="Q650" s="12">
        <f t="shared" si="107"/>
        <v>14.459517344023306</v>
      </c>
      <c r="R650" s="13">
        <f t="shared" si="108"/>
        <v>6.1005383184753246</v>
      </c>
      <c r="S650" s="3" t="s">
        <v>31</v>
      </c>
      <c r="T650" s="3" t="s">
        <v>35</v>
      </c>
      <c r="U650" s="10">
        <v>0</v>
      </c>
      <c r="V650" s="3">
        <v>0</v>
      </c>
      <c r="W650" s="3">
        <f t="shared" si="109"/>
        <v>0</v>
      </c>
      <c r="AA650" s="3">
        <v>28</v>
      </c>
    </row>
    <row r="651" spans="1:27" x14ac:dyDescent="0.3">
      <c r="A651" s="3" t="str">
        <f t="shared" si="100"/>
        <v>South9160509999219</v>
      </c>
      <c r="B651" s="3" t="str">
        <f t="shared" si="101"/>
        <v>CMR9160509999219</v>
      </c>
      <c r="C651" s="10">
        <v>9160509999219</v>
      </c>
      <c r="D651" s="10" t="str">
        <f t="shared" si="102"/>
        <v>9160509999</v>
      </c>
      <c r="E651" s="3" t="s">
        <v>5</v>
      </c>
      <c r="F651" s="3" t="s">
        <v>65</v>
      </c>
      <c r="H651" s="3">
        <v>4.5240000000000009</v>
      </c>
      <c r="I651" s="10">
        <f t="shared" si="103"/>
        <v>178.0556381790839</v>
      </c>
      <c r="J651" s="3">
        <v>0.76223365565934087</v>
      </c>
      <c r="K651" s="3">
        <v>0</v>
      </c>
      <c r="L651" s="3">
        <f t="shared" si="104"/>
        <v>0</v>
      </c>
      <c r="N651" s="11">
        <f t="shared" si="105"/>
        <v>3.7617663443406602</v>
      </c>
      <c r="O651" s="3">
        <v>0.76223365565934087</v>
      </c>
      <c r="P651" s="11">
        <f t="shared" si="106"/>
        <v>148.05563817908393</v>
      </c>
      <c r="Q651" s="12">
        <f t="shared" si="107"/>
        <v>148.28049956676861</v>
      </c>
      <c r="R651" s="13">
        <f t="shared" si="108"/>
        <v>31.34794595299039</v>
      </c>
      <c r="S651" s="3" t="s">
        <v>30</v>
      </c>
      <c r="T651" s="3" t="s">
        <v>34</v>
      </c>
      <c r="U651" s="10">
        <v>0</v>
      </c>
      <c r="V651" s="3">
        <v>0</v>
      </c>
      <c r="W651" s="3">
        <f t="shared" si="109"/>
        <v>0</v>
      </c>
      <c r="AA651" s="3">
        <v>28</v>
      </c>
    </row>
    <row r="652" spans="1:27" x14ac:dyDescent="0.3">
      <c r="A652" s="3" t="str">
        <f t="shared" si="100"/>
        <v>South9420039999195</v>
      </c>
      <c r="B652" s="3" t="str">
        <f t="shared" si="101"/>
        <v>CMR9420039999195</v>
      </c>
      <c r="C652" s="10">
        <v>9420039999195</v>
      </c>
      <c r="D652" s="10" t="str">
        <f t="shared" si="102"/>
        <v>9420039999</v>
      </c>
      <c r="E652" s="3" t="s">
        <v>5</v>
      </c>
      <c r="F652" s="3" t="s">
        <v>65</v>
      </c>
      <c r="H652" s="3">
        <v>0.2641</v>
      </c>
      <c r="I652" s="10">
        <f t="shared" si="103"/>
        <v>11.119705379062978</v>
      </c>
      <c r="J652" s="3">
        <v>0.71251887796577995</v>
      </c>
      <c r="K652" s="3">
        <v>0</v>
      </c>
      <c r="L652" s="3">
        <f t="shared" si="104"/>
        <v>0</v>
      </c>
      <c r="N652" s="11">
        <f t="shared" si="105"/>
        <v>-0.44841887796577995</v>
      </c>
      <c r="O652" s="3">
        <v>0.71251887796577995</v>
      </c>
      <c r="P652" s="11">
        <f t="shared" si="106"/>
        <v>-18.880294620937022</v>
      </c>
      <c r="Q652" s="12">
        <f t="shared" si="107"/>
        <v>-20.234064572672711</v>
      </c>
      <c r="R652" s="13">
        <f t="shared" si="108"/>
        <v>-14.236938844724724</v>
      </c>
      <c r="S652" s="3" t="s">
        <v>31</v>
      </c>
      <c r="T652" s="3" t="s">
        <v>28</v>
      </c>
      <c r="U652" s="10">
        <v>0</v>
      </c>
      <c r="V652" s="3">
        <v>0</v>
      </c>
      <c r="W652" s="3">
        <f t="shared" si="109"/>
        <v>0</v>
      </c>
      <c r="AA652" s="3">
        <v>28</v>
      </c>
    </row>
    <row r="653" spans="1:27" x14ac:dyDescent="0.3">
      <c r="A653" s="3" t="str">
        <f t="shared" si="100"/>
        <v>South9320039999297</v>
      </c>
      <c r="B653" s="3" t="str">
        <f t="shared" si="101"/>
        <v>CMR9320039999297</v>
      </c>
      <c r="C653" s="10">
        <v>9320039999297</v>
      </c>
      <c r="D653" s="10" t="str">
        <f t="shared" si="102"/>
        <v>9320039999</v>
      </c>
      <c r="E653" s="3" t="s">
        <v>5</v>
      </c>
      <c r="F653" s="3" t="s">
        <v>65</v>
      </c>
      <c r="H653" s="3">
        <v>3.8220000000000001</v>
      </c>
      <c r="I653" s="10">
        <f t="shared" si="103"/>
        <v>162.81198595271636</v>
      </c>
      <c r="J653" s="3">
        <v>0.70424790490117484</v>
      </c>
      <c r="K653" s="3">
        <v>0</v>
      </c>
      <c r="L653" s="3">
        <f t="shared" si="104"/>
        <v>0</v>
      </c>
      <c r="N653" s="11">
        <f t="shared" si="105"/>
        <v>3.1177520950988251</v>
      </c>
      <c r="O653" s="3">
        <v>0.70424790490117484</v>
      </c>
      <c r="P653" s="11">
        <f t="shared" si="106"/>
        <v>132.81198595271636</v>
      </c>
      <c r="Q653" s="12">
        <f t="shared" si="107"/>
        <v>117.59894876634803</v>
      </c>
      <c r="R653" s="13">
        <f t="shared" si="108"/>
        <v>104.32505744629258</v>
      </c>
      <c r="S653" s="3" t="s">
        <v>31</v>
      </c>
      <c r="T653" s="3" t="s">
        <v>28</v>
      </c>
      <c r="U653" s="10">
        <v>9320039900999</v>
      </c>
      <c r="V653" s="3">
        <v>0.1</v>
      </c>
      <c r="W653" s="3">
        <f t="shared" si="109"/>
        <v>0</v>
      </c>
      <c r="AA653" s="3">
        <v>28</v>
      </c>
    </row>
    <row r="654" spans="1:27" x14ac:dyDescent="0.3">
      <c r="A654" s="3" t="str">
        <f t="shared" si="100"/>
        <v>South9320039999219</v>
      </c>
      <c r="B654" s="3" t="str">
        <f t="shared" si="101"/>
        <v>CMR9320039999219</v>
      </c>
      <c r="C654" s="10">
        <v>9320039999219</v>
      </c>
      <c r="D654" s="10" t="str">
        <f t="shared" si="102"/>
        <v>9320039999</v>
      </c>
      <c r="E654" s="3" t="s">
        <v>5</v>
      </c>
      <c r="F654" s="3" t="s">
        <v>65</v>
      </c>
      <c r="H654" s="3">
        <v>3.1589999999999998</v>
      </c>
      <c r="I654" s="10">
        <f t="shared" si="103"/>
        <v>139.8273180752856</v>
      </c>
      <c r="J654" s="3">
        <v>0.67776455491318288</v>
      </c>
      <c r="K654" s="3">
        <v>0</v>
      </c>
      <c r="L654" s="3">
        <f t="shared" si="104"/>
        <v>0</v>
      </c>
      <c r="N654" s="11">
        <f t="shared" si="105"/>
        <v>2.481235445086817</v>
      </c>
      <c r="O654" s="3">
        <v>0.67776455491318288</v>
      </c>
      <c r="P654" s="11">
        <f t="shared" si="106"/>
        <v>109.8273180752856</v>
      </c>
      <c r="Q654" s="12">
        <f t="shared" si="107"/>
        <v>67.763182687831133</v>
      </c>
      <c r="R654" s="13">
        <f t="shared" si="108"/>
        <v>54.138526583137718</v>
      </c>
      <c r="S654" s="3" t="s">
        <v>31</v>
      </c>
      <c r="T654" s="3" t="s">
        <v>28</v>
      </c>
      <c r="U654" s="10">
        <v>9320039900999</v>
      </c>
      <c r="V654" s="3">
        <v>0.1</v>
      </c>
      <c r="W654" s="3">
        <f t="shared" si="109"/>
        <v>0</v>
      </c>
      <c r="AA654" s="3">
        <v>28</v>
      </c>
    </row>
    <row r="655" spans="1:27" x14ac:dyDescent="0.3">
      <c r="A655" s="3" t="str">
        <f t="shared" si="100"/>
        <v>South9420039999838</v>
      </c>
      <c r="B655" s="3" t="str">
        <f t="shared" si="101"/>
        <v>CMR9420039999838</v>
      </c>
      <c r="C655" s="10">
        <v>9420039999838</v>
      </c>
      <c r="D655" s="10" t="str">
        <f t="shared" si="102"/>
        <v>9420039999</v>
      </c>
      <c r="E655" s="3" t="s">
        <v>5</v>
      </c>
      <c r="F655" s="3" t="s">
        <v>65</v>
      </c>
      <c r="H655" s="3">
        <v>0.92339999999999978</v>
      </c>
      <c r="I655" s="10">
        <f t="shared" si="103"/>
        <v>48.654094711196748</v>
      </c>
      <c r="J655" s="3">
        <v>0.56936626124552969</v>
      </c>
      <c r="K655" s="3">
        <v>0</v>
      </c>
      <c r="L655" s="3">
        <f t="shared" si="104"/>
        <v>0</v>
      </c>
      <c r="N655" s="11">
        <f t="shared" si="105"/>
        <v>0.35403373875447008</v>
      </c>
      <c r="O655" s="3">
        <v>0.56936626124552969</v>
      </c>
      <c r="P655" s="11">
        <f t="shared" si="106"/>
        <v>18.654094711196748</v>
      </c>
      <c r="Q655" s="12">
        <f t="shared" si="107"/>
        <v>29.611291625663366</v>
      </c>
      <c r="R655" s="13">
        <f t="shared" si="108"/>
        <v>42.398978619991823</v>
      </c>
      <c r="S655" s="3" t="s">
        <v>31</v>
      </c>
      <c r="T655" s="3" t="s">
        <v>28</v>
      </c>
      <c r="U655" s="10">
        <v>0</v>
      </c>
      <c r="V655" s="3">
        <v>0</v>
      </c>
      <c r="W655" s="3">
        <f t="shared" si="109"/>
        <v>0</v>
      </c>
      <c r="AA655" s="3">
        <v>28</v>
      </c>
    </row>
    <row r="656" spans="1:27" x14ac:dyDescent="0.3">
      <c r="A656" s="3" t="str">
        <f t="shared" si="100"/>
        <v>South9432019999838</v>
      </c>
      <c r="B656" s="3" t="str">
        <f t="shared" si="101"/>
        <v>CMR9432019999838</v>
      </c>
      <c r="C656" s="10">
        <v>9432019999838</v>
      </c>
      <c r="D656" s="10" t="str">
        <f t="shared" si="102"/>
        <v>9432019999</v>
      </c>
      <c r="E656" s="3" t="s">
        <v>5</v>
      </c>
      <c r="F656" s="3" t="s">
        <v>65</v>
      </c>
      <c r="H656" s="3">
        <v>0.89300000000000002</v>
      </c>
      <c r="I656" s="10">
        <f t="shared" si="103"/>
        <v>47.777489719406816</v>
      </c>
      <c r="J656" s="3">
        <v>0.56072431091159081</v>
      </c>
      <c r="K656" s="3">
        <v>0</v>
      </c>
      <c r="L656" s="3">
        <f t="shared" si="104"/>
        <v>0</v>
      </c>
      <c r="N656" s="11">
        <f t="shared" si="105"/>
        <v>0.33227568908840921</v>
      </c>
      <c r="O656" s="3">
        <v>0.56072431091159081</v>
      </c>
      <c r="P656" s="11">
        <f t="shared" si="106"/>
        <v>17.777489719406812</v>
      </c>
      <c r="Q656" s="12">
        <f t="shared" si="107"/>
        <v>20.095683503632998</v>
      </c>
      <c r="R656" s="13">
        <f t="shared" si="108"/>
        <v>17.535302156467548</v>
      </c>
      <c r="S656" s="3" t="s">
        <v>31</v>
      </c>
      <c r="T656" s="3" t="s">
        <v>35</v>
      </c>
      <c r="U656" s="10">
        <v>0</v>
      </c>
      <c r="V656" s="3">
        <v>0</v>
      </c>
      <c r="W656" s="3">
        <f t="shared" si="109"/>
        <v>0</v>
      </c>
      <c r="AA656" s="3">
        <v>28</v>
      </c>
    </row>
    <row r="657" spans="1:27" x14ac:dyDescent="0.3">
      <c r="A657" s="3" t="str">
        <f t="shared" si="100"/>
        <v>South9160709999219</v>
      </c>
      <c r="B657" s="3" t="str">
        <f t="shared" si="101"/>
        <v>CMR9160709999219</v>
      </c>
      <c r="C657" s="10">
        <v>9160709999219</v>
      </c>
      <c r="D657" s="10" t="str">
        <f t="shared" si="102"/>
        <v>9160709999</v>
      </c>
      <c r="E657" s="3" t="s">
        <v>5</v>
      </c>
      <c r="F657" s="3" t="s">
        <v>65</v>
      </c>
      <c r="H657" s="3">
        <v>6.4739999999999984</v>
      </c>
      <c r="I657" s="10">
        <f t="shared" si="103"/>
        <v>504.50951930356314</v>
      </c>
      <c r="J657" s="3">
        <v>0.38496795911424198</v>
      </c>
      <c r="K657" s="3">
        <v>0</v>
      </c>
      <c r="L657" s="3">
        <f t="shared" si="104"/>
        <v>0</v>
      </c>
      <c r="N657" s="11">
        <f t="shared" si="105"/>
        <v>6.0890320408857566</v>
      </c>
      <c r="O657" s="3">
        <v>0.38496795911424198</v>
      </c>
      <c r="P657" s="11">
        <f t="shared" si="106"/>
        <v>474.50951930356314</v>
      </c>
      <c r="Q657" s="12">
        <f t="shared" si="107"/>
        <v>200.13795090492127</v>
      </c>
      <c r="R657" s="13">
        <f t="shared" si="108"/>
        <v>105.2313732458948</v>
      </c>
      <c r="S657" s="3" t="s">
        <v>31</v>
      </c>
      <c r="T657" s="3" t="s">
        <v>34</v>
      </c>
      <c r="U657" s="10">
        <v>0</v>
      </c>
      <c r="V657" s="3">
        <v>0</v>
      </c>
      <c r="W657" s="3">
        <f t="shared" si="109"/>
        <v>0</v>
      </c>
      <c r="AA657" s="3">
        <v>28</v>
      </c>
    </row>
    <row r="658" spans="1:27" x14ac:dyDescent="0.3">
      <c r="A658" s="3" t="str">
        <f t="shared" si="100"/>
        <v>South9420059999195</v>
      </c>
      <c r="B658" s="3" t="str">
        <f t="shared" si="101"/>
        <v>CMR9420059999195</v>
      </c>
      <c r="C658" s="10">
        <v>9420059999195</v>
      </c>
      <c r="D658" s="10" t="str">
        <f t="shared" si="102"/>
        <v>9420059999</v>
      </c>
      <c r="E658" s="3" t="s">
        <v>5</v>
      </c>
      <c r="F658" s="3" t="s">
        <v>65</v>
      </c>
      <c r="H658" s="3">
        <v>0.70014999999999994</v>
      </c>
      <c r="I658" s="10">
        <f t="shared" si="103"/>
        <v>54.959622680773471</v>
      </c>
      <c r="J658" s="3">
        <v>0.38218057139879169</v>
      </c>
      <c r="K658" s="3">
        <v>0</v>
      </c>
      <c r="L658" s="3">
        <f t="shared" si="104"/>
        <v>0</v>
      </c>
      <c r="N658" s="11">
        <f t="shared" si="105"/>
        <v>0.31796942860120825</v>
      </c>
      <c r="O658" s="3">
        <v>0.38218057139879169</v>
      </c>
      <c r="P658" s="11">
        <f t="shared" si="106"/>
        <v>24.959622680773474</v>
      </c>
      <c r="Q658" s="12">
        <f t="shared" si="107"/>
        <v>29.06185480195041</v>
      </c>
      <c r="R658" s="13">
        <f t="shared" si="108"/>
        <v>29.27901427061612</v>
      </c>
      <c r="S658" s="3" t="s">
        <v>31</v>
      </c>
      <c r="T658" s="3" t="s">
        <v>28</v>
      </c>
      <c r="U658" s="10">
        <v>0</v>
      </c>
      <c r="V658" s="3">
        <v>0</v>
      </c>
      <c r="W658" s="3">
        <f t="shared" si="109"/>
        <v>0</v>
      </c>
      <c r="AA658" s="3">
        <v>28</v>
      </c>
    </row>
    <row r="659" spans="1:27" x14ac:dyDescent="0.3">
      <c r="A659" s="3" t="str">
        <f t="shared" si="100"/>
        <v>South9410029999190</v>
      </c>
      <c r="B659" s="3" t="str">
        <f t="shared" si="101"/>
        <v>CMR9410029999190</v>
      </c>
      <c r="C659" s="10">
        <v>9410029999190</v>
      </c>
      <c r="D659" s="10" t="str">
        <f t="shared" si="102"/>
        <v>9410029999</v>
      </c>
      <c r="E659" s="3" t="s">
        <v>5</v>
      </c>
      <c r="F659" s="3" t="s">
        <v>65</v>
      </c>
      <c r="H659" s="3">
        <v>0.47519999999999996</v>
      </c>
      <c r="I659" s="10">
        <f t="shared" si="103"/>
        <v>69.812554752369977</v>
      </c>
      <c r="J659" s="3">
        <v>0.20420395802111854</v>
      </c>
      <c r="K659" s="3">
        <v>0</v>
      </c>
      <c r="L659" s="3">
        <f t="shared" si="104"/>
        <v>0</v>
      </c>
      <c r="N659" s="11">
        <f t="shared" si="105"/>
        <v>0.27099604197888139</v>
      </c>
      <c r="O659" s="3">
        <v>0.20420395802111854</v>
      </c>
      <c r="P659" s="11">
        <f t="shared" si="106"/>
        <v>39.812554752369977</v>
      </c>
      <c r="Q659" s="12">
        <f t="shared" si="107"/>
        <v>11.419410344184744</v>
      </c>
      <c r="R659" s="13">
        <f t="shared" si="108"/>
        <v>-5.105194524524161</v>
      </c>
      <c r="S659" s="3" t="s">
        <v>31</v>
      </c>
      <c r="T659" s="3" t="s">
        <v>32</v>
      </c>
      <c r="U659" s="10">
        <v>0</v>
      </c>
      <c r="V659" s="3">
        <v>0</v>
      </c>
      <c r="W659" s="3">
        <f t="shared" si="109"/>
        <v>0</v>
      </c>
      <c r="AA659" s="3">
        <v>28</v>
      </c>
    </row>
    <row r="660" spans="1:27" x14ac:dyDescent="0.3">
      <c r="A660" s="3" t="str">
        <f t="shared" si="100"/>
        <v>South9420059999838</v>
      </c>
      <c r="B660" s="3" t="str">
        <f t="shared" si="101"/>
        <v>CMR9420059999838</v>
      </c>
      <c r="C660" s="10">
        <v>9420059999838</v>
      </c>
      <c r="D660" s="10" t="str">
        <f t="shared" si="102"/>
        <v>9420059999</v>
      </c>
      <c r="E660" s="3" t="s">
        <v>5</v>
      </c>
      <c r="F660" s="3" t="s">
        <v>65</v>
      </c>
      <c r="H660" s="3">
        <v>0.93479999999999974</v>
      </c>
      <c r="I660" s="10">
        <f t="shared" si="103"/>
        <v>194.7416053509811</v>
      </c>
      <c r="J660" s="3">
        <v>0.14400620735079459</v>
      </c>
      <c r="K660" s="3">
        <v>0</v>
      </c>
      <c r="L660" s="3">
        <f t="shared" si="104"/>
        <v>0</v>
      </c>
      <c r="N660" s="11">
        <f t="shared" si="105"/>
        <v>0.79079379264920513</v>
      </c>
      <c r="O660" s="3">
        <v>0.14400620735079459</v>
      </c>
      <c r="P660" s="11">
        <f t="shared" si="106"/>
        <v>164.74160535098108</v>
      </c>
      <c r="Q660" s="12">
        <f t="shared" si="107"/>
        <v>132.51707175368969</v>
      </c>
      <c r="R660" s="13">
        <f t="shared" si="108"/>
        <v>22.423143014669041</v>
      </c>
      <c r="S660" s="3" t="s">
        <v>31</v>
      </c>
      <c r="T660" s="3" t="s">
        <v>28</v>
      </c>
      <c r="U660" s="10">
        <v>0</v>
      </c>
      <c r="V660" s="3">
        <v>0</v>
      </c>
      <c r="W660" s="3">
        <f t="shared" si="109"/>
        <v>0</v>
      </c>
      <c r="AA660" s="3">
        <v>28</v>
      </c>
    </row>
    <row r="661" spans="1:27" x14ac:dyDescent="0.3">
      <c r="A661" s="3" t="str">
        <f t="shared" si="100"/>
        <v>South9410029999836</v>
      </c>
      <c r="B661" s="3" t="str">
        <f t="shared" si="101"/>
        <v>CMR9410029999836</v>
      </c>
      <c r="C661" s="10">
        <v>9410029999836</v>
      </c>
      <c r="D661" s="10" t="str">
        <f t="shared" si="102"/>
        <v>9410029999</v>
      </c>
      <c r="E661" s="3" t="s">
        <v>5</v>
      </c>
      <c r="F661" s="3" t="s">
        <v>65</v>
      </c>
      <c r="H661" s="3">
        <v>1.1339999999999999</v>
      </c>
      <c r="I661" s="10">
        <f t="shared" si="103"/>
        <v>282.4691057299342</v>
      </c>
      <c r="J661" s="3">
        <v>0.12043794988513246</v>
      </c>
      <c r="K661" s="3">
        <v>0</v>
      </c>
      <c r="L661" s="3">
        <f t="shared" si="104"/>
        <v>0</v>
      </c>
      <c r="N661" s="11">
        <f t="shared" si="105"/>
        <v>1.0135620501148674</v>
      </c>
      <c r="O661" s="3">
        <v>0.12043794988513246</v>
      </c>
      <c r="P661" s="11">
        <f t="shared" si="106"/>
        <v>252.4691057299342</v>
      </c>
      <c r="Q661" s="12">
        <f t="shared" si="107"/>
        <v>194.09009570558635</v>
      </c>
      <c r="R661" s="13">
        <f t="shared" si="108"/>
        <v>21.8480649509738</v>
      </c>
      <c r="S661" s="3" t="s">
        <v>31</v>
      </c>
      <c r="T661" s="3" t="s">
        <v>32</v>
      </c>
      <c r="U661" s="10">
        <v>0</v>
      </c>
      <c r="V661" s="3">
        <v>0</v>
      </c>
      <c r="W661" s="3">
        <f t="shared" si="109"/>
        <v>0</v>
      </c>
      <c r="AA661" s="3">
        <v>28</v>
      </c>
    </row>
    <row r="662" spans="1:27" x14ac:dyDescent="0.3">
      <c r="A662" s="3" t="str">
        <f t="shared" si="100"/>
        <v>South9310029999839</v>
      </c>
      <c r="B662" s="3" t="str">
        <f t="shared" si="101"/>
        <v>CMR9310029999839</v>
      </c>
      <c r="C662" s="10">
        <v>9310029999839</v>
      </c>
      <c r="D662" s="10" t="str">
        <f t="shared" si="102"/>
        <v>9310029999</v>
      </c>
      <c r="E662" s="3" t="s">
        <v>5</v>
      </c>
      <c r="F662" s="3" t="s">
        <v>65</v>
      </c>
      <c r="H662" s="3">
        <v>0.156</v>
      </c>
      <c r="I662" s="10">
        <f t="shared" si="103"/>
        <v>65.634337068983484</v>
      </c>
      <c r="J662" s="3">
        <v>7.1304140622022144E-2</v>
      </c>
      <c r="K662" s="3">
        <v>0</v>
      </c>
      <c r="L662" s="3">
        <f t="shared" si="104"/>
        <v>0</v>
      </c>
      <c r="N662" s="11">
        <f t="shared" si="105"/>
        <v>8.4695859377977856E-2</v>
      </c>
      <c r="O662" s="3">
        <v>7.1304140622022144E-2</v>
      </c>
      <c r="P662" s="11">
        <f t="shared" si="106"/>
        <v>35.634337068983498</v>
      </c>
      <c r="Q662" s="12">
        <f t="shared" si="107"/>
        <v>234.62035806734647</v>
      </c>
      <c r="R662" s="13">
        <f t="shared" si="108"/>
        <v>277.8965501161872</v>
      </c>
      <c r="S662" s="3" t="s">
        <v>31</v>
      </c>
      <c r="T662" s="3" t="s">
        <v>32</v>
      </c>
      <c r="U662" s="10">
        <v>0</v>
      </c>
      <c r="V662" s="3">
        <v>0</v>
      </c>
      <c r="W662" s="3">
        <f t="shared" si="109"/>
        <v>0</v>
      </c>
      <c r="AA662" s="3">
        <v>28</v>
      </c>
    </row>
    <row r="663" spans="1:27" x14ac:dyDescent="0.3">
      <c r="A663" s="3" t="str">
        <f t="shared" si="100"/>
        <v>South9310029999297</v>
      </c>
      <c r="B663" s="3" t="str">
        <f t="shared" si="101"/>
        <v>CMR9310029999297</v>
      </c>
      <c r="C663" s="10">
        <v>9310029999297</v>
      </c>
      <c r="D663" s="10" t="str">
        <f t="shared" si="102"/>
        <v>9310029999</v>
      </c>
      <c r="E663" s="3" t="s">
        <v>5</v>
      </c>
      <c r="F663" s="3" t="s">
        <v>65</v>
      </c>
      <c r="H663" s="3">
        <v>1.5112499999999998</v>
      </c>
      <c r="I663" s="10">
        <f t="shared" si="103"/>
        <v>925.69460575520327</v>
      </c>
      <c r="J663" s="3">
        <v>4.8976735651400496E-2</v>
      </c>
      <c r="K663" s="3">
        <v>0</v>
      </c>
      <c r="L663" s="3">
        <f t="shared" si="104"/>
        <v>0</v>
      </c>
      <c r="N663" s="11">
        <f t="shared" si="105"/>
        <v>1.4622732643485992</v>
      </c>
      <c r="O663" s="3">
        <v>4.8976735651400496E-2</v>
      </c>
      <c r="P663" s="11">
        <f t="shared" si="106"/>
        <v>895.69460575520316</v>
      </c>
      <c r="Q663" s="12">
        <f t="shared" si="107"/>
        <v>2012.5003559243844</v>
      </c>
      <c r="R663" s="13">
        <f t="shared" si="108"/>
        <v>1144.2916541959814</v>
      </c>
      <c r="S663" s="3" t="s">
        <v>31</v>
      </c>
      <c r="T663" s="3" t="s">
        <v>32</v>
      </c>
      <c r="U663" s="10">
        <v>9310029900999</v>
      </c>
      <c r="V663" s="3">
        <v>0.1</v>
      </c>
      <c r="W663" s="3">
        <f t="shared" si="109"/>
        <v>0</v>
      </c>
      <c r="AA663" s="3">
        <v>28</v>
      </c>
    </row>
    <row r="664" spans="1:27" x14ac:dyDescent="0.3">
      <c r="A664" s="3" t="str">
        <f t="shared" si="100"/>
        <v>South9310029999097</v>
      </c>
      <c r="B664" s="3" t="str">
        <f t="shared" si="101"/>
        <v>CMR9310029999097</v>
      </c>
      <c r="C664" s="10">
        <v>9310029999097</v>
      </c>
      <c r="D664" s="10" t="str">
        <f t="shared" si="102"/>
        <v>9310029999</v>
      </c>
      <c r="E664" s="3" t="s">
        <v>5</v>
      </c>
      <c r="F664" s="3" t="s">
        <v>65</v>
      </c>
      <c r="H664" s="3">
        <v>0.36659999999999998</v>
      </c>
      <c r="I664" s="10">
        <f t="shared" si="103"/>
        <v>468.01876033161057</v>
      </c>
      <c r="J664" s="3">
        <v>2.3499058012562281E-2</v>
      </c>
      <c r="K664" s="3">
        <v>0</v>
      </c>
      <c r="L664" s="3">
        <f t="shared" si="104"/>
        <v>0</v>
      </c>
      <c r="N664" s="11">
        <f t="shared" si="105"/>
        <v>0.34310094198743768</v>
      </c>
      <c r="O664" s="3">
        <v>2.3499058012562281E-2</v>
      </c>
      <c r="P664" s="11">
        <f t="shared" si="106"/>
        <v>438.01876033161057</v>
      </c>
      <c r="Q664" s="12">
        <f t="shared" si="107"/>
        <v>226.03085078804284</v>
      </c>
      <c r="R664" s="13">
        <f t="shared" si="108"/>
        <v>354.59273598559759</v>
      </c>
      <c r="S664" s="3" t="s">
        <v>31</v>
      </c>
      <c r="T664" s="3" t="s">
        <v>32</v>
      </c>
      <c r="U664" s="10">
        <v>0</v>
      </c>
      <c r="V664" s="3">
        <v>0</v>
      </c>
      <c r="W664" s="3">
        <f t="shared" si="109"/>
        <v>0</v>
      </c>
      <c r="AA664" s="3">
        <v>28</v>
      </c>
    </row>
    <row r="665" spans="1:27" x14ac:dyDescent="0.3">
      <c r="A665" s="3" t="str">
        <f t="shared" si="100"/>
        <v>South9310029999219</v>
      </c>
      <c r="B665" s="3" t="str">
        <f t="shared" si="101"/>
        <v>CMR9310029999219</v>
      </c>
      <c r="C665" s="10">
        <v>9310029999219</v>
      </c>
      <c r="D665" s="10" t="str">
        <f t="shared" si="102"/>
        <v>9310029999</v>
      </c>
      <c r="E665" s="3" t="s">
        <v>5</v>
      </c>
      <c r="F665" s="3" t="s">
        <v>65</v>
      </c>
      <c r="H665" s="3">
        <v>0.60450000000000004</v>
      </c>
      <c r="I665" s="10">
        <f t="shared" si="103"/>
        <v>1139.9895100750809</v>
      </c>
      <c r="J665" s="3">
        <v>1.5908041117681522E-2</v>
      </c>
      <c r="K665" s="3">
        <v>0</v>
      </c>
      <c r="L665" s="3">
        <f t="shared" si="104"/>
        <v>0</v>
      </c>
      <c r="N665" s="11">
        <f t="shared" si="105"/>
        <v>0.58859195888231852</v>
      </c>
      <c r="O665" s="3">
        <v>1.5908041117681522E-2</v>
      </c>
      <c r="P665" s="11">
        <f t="shared" si="106"/>
        <v>1109.9895100750809</v>
      </c>
      <c r="Q665" s="12">
        <f t="shared" si="107"/>
        <v>2433.8482959687235</v>
      </c>
      <c r="R665" s="13">
        <f t="shared" si="108"/>
        <v>390.88539054406084</v>
      </c>
      <c r="S665" s="3" t="s">
        <v>31</v>
      </c>
      <c r="T665" s="3" t="s">
        <v>32</v>
      </c>
      <c r="U665" s="10">
        <v>9310029900999</v>
      </c>
      <c r="V665" s="3">
        <v>0.1</v>
      </c>
      <c r="W665" s="3">
        <f t="shared" si="109"/>
        <v>0</v>
      </c>
      <c r="AA665" s="3">
        <v>28</v>
      </c>
    </row>
    <row r="666" spans="1:27" x14ac:dyDescent="0.3">
      <c r="A666" s="3" t="str">
        <f t="shared" si="100"/>
        <v>South9420049999195</v>
      </c>
      <c r="B666" s="3" t="str">
        <f t="shared" si="101"/>
        <v>CMR9420049999195</v>
      </c>
      <c r="C666" s="10">
        <v>9420049999195</v>
      </c>
      <c r="D666" s="10" t="str">
        <f t="shared" si="102"/>
        <v>9420049999</v>
      </c>
      <c r="E666" s="3" t="s">
        <v>5</v>
      </c>
      <c r="F666" s="3" t="s">
        <v>65</v>
      </c>
      <c r="H666" s="3">
        <v>1.25875</v>
      </c>
      <c r="I666" s="10">
        <f t="shared" si="103"/>
        <v>5296.2275135624623</v>
      </c>
      <c r="J666" s="3">
        <v>7.1300751154097178E-3</v>
      </c>
      <c r="K666" s="3">
        <v>0</v>
      </c>
      <c r="L666" s="3">
        <f t="shared" si="104"/>
        <v>0</v>
      </c>
      <c r="N666" s="11">
        <f t="shared" si="105"/>
        <v>1.2516199248845903</v>
      </c>
      <c r="O666" s="3">
        <v>7.1300751154097178E-3</v>
      </c>
      <c r="P666" s="11">
        <f t="shared" si="106"/>
        <v>5266.2275135624623</v>
      </c>
      <c r="Q666" s="12">
        <f t="shared" si="107"/>
        <v>7632.5419950937667</v>
      </c>
      <c r="R666" s="13">
        <f t="shared" si="108"/>
        <v>1347.2670042698451</v>
      </c>
      <c r="S666" s="3" t="s">
        <v>31</v>
      </c>
      <c r="T666" s="3" t="s">
        <v>28</v>
      </c>
      <c r="U666" s="10">
        <v>0</v>
      </c>
      <c r="V666" s="3">
        <v>0</v>
      </c>
      <c r="W666" s="3">
        <f t="shared" si="109"/>
        <v>0</v>
      </c>
      <c r="AA666" s="3">
        <v>28</v>
      </c>
    </row>
    <row r="667" spans="1:27" x14ac:dyDescent="0.3">
      <c r="A667" s="3" t="str">
        <f t="shared" si="100"/>
        <v>South9420049999838</v>
      </c>
      <c r="B667" s="3" t="str">
        <f t="shared" si="101"/>
        <v>CMR9420049999838</v>
      </c>
      <c r="C667" s="10">
        <v>9420049999838</v>
      </c>
      <c r="D667" s="10" t="str">
        <f t="shared" si="102"/>
        <v>9420049999</v>
      </c>
      <c r="E667" s="3" t="s">
        <v>5</v>
      </c>
      <c r="F667" s="3" t="s">
        <v>65</v>
      </c>
      <c r="H667" s="3">
        <v>0</v>
      </c>
      <c r="I667" s="10">
        <f t="shared" si="103"/>
        <v>0</v>
      </c>
      <c r="J667" s="3">
        <v>0</v>
      </c>
      <c r="K667" s="3">
        <v>0</v>
      </c>
      <c r="L667" s="3">
        <f t="shared" si="104"/>
        <v>0</v>
      </c>
      <c r="N667" s="11">
        <f t="shared" si="105"/>
        <v>0</v>
      </c>
      <c r="O667" s="3">
        <v>0</v>
      </c>
      <c r="P667" s="11">
        <f t="shared" si="106"/>
        <v>9999</v>
      </c>
      <c r="Q667" s="12">
        <f t="shared" si="107"/>
        <v>9999</v>
      </c>
      <c r="R667" s="13">
        <f t="shared" si="108"/>
        <v>-30</v>
      </c>
      <c r="S667" s="3" t="s">
        <v>31</v>
      </c>
      <c r="T667" s="3" t="s">
        <v>28</v>
      </c>
      <c r="U667" s="10">
        <v>0</v>
      </c>
      <c r="V667" s="3">
        <v>0</v>
      </c>
      <c r="W667" s="3">
        <f t="shared" si="109"/>
        <v>0</v>
      </c>
      <c r="AA667" s="3">
        <v>28</v>
      </c>
    </row>
    <row r="668" spans="1:27" x14ac:dyDescent="0.3">
      <c r="A668" s="3" t="str">
        <f t="shared" si="100"/>
        <v>South9160509999097</v>
      </c>
      <c r="B668" s="3" t="str">
        <f t="shared" si="101"/>
        <v>CMR9160509999097</v>
      </c>
      <c r="C668" s="10">
        <v>9160509999097</v>
      </c>
      <c r="D668" s="10" t="str">
        <f t="shared" si="102"/>
        <v>9160509999</v>
      </c>
      <c r="E668" s="3" t="s">
        <v>5</v>
      </c>
      <c r="F668" s="3" t="s">
        <v>65</v>
      </c>
      <c r="H668" s="3">
        <v>0</v>
      </c>
      <c r="I668" s="10">
        <f t="shared" si="103"/>
        <v>0</v>
      </c>
      <c r="J668" s="3">
        <v>0</v>
      </c>
      <c r="K668" s="3">
        <v>0</v>
      </c>
      <c r="L668" s="3">
        <f t="shared" si="104"/>
        <v>0</v>
      </c>
      <c r="N668" s="11">
        <f t="shared" si="105"/>
        <v>0</v>
      </c>
      <c r="O668" s="3">
        <v>0</v>
      </c>
      <c r="P668" s="11">
        <f t="shared" si="106"/>
        <v>9999</v>
      </c>
      <c r="Q668" s="12">
        <f t="shared" si="107"/>
        <v>9999</v>
      </c>
      <c r="R668" s="13">
        <f t="shared" si="108"/>
        <v>9999</v>
      </c>
      <c r="S668" s="3" t="s">
        <v>31</v>
      </c>
      <c r="T668" s="3" t="s">
        <v>34</v>
      </c>
      <c r="U668" s="10" t="s">
        <v>72</v>
      </c>
      <c r="V668" s="3" t="s">
        <v>72</v>
      </c>
      <c r="W668" s="3">
        <f t="shared" si="109"/>
        <v>0</v>
      </c>
      <c r="AA668" s="3">
        <v>28</v>
      </c>
    </row>
    <row r="669" spans="1:27" x14ac:dyDescent="0.3">
      <c r="A669" s="3" t="str">
        <f t="shared" si="100"/>
        <v>South9160709999097</v>
      </c>
      <c r="B669" s="3" t="str">
        <f t="shared" si="101"/>
        <v>CMR9160709999097</v>
      </c>
      <c r="C669" s="10">
        <v>9160709999097</v>
      </c>
      <c r="D669" s="10" t="str">
        <f t="shared" si="102"/>
        <v>9160709999</v>
      </c>
      <c r="E669" s="3" t="s">
        <v>5</v>
      </c>
      <c r="F669" s="3" t="s">
        <v>65</v>
      </c>
      <c r="H669" s="3">
        <v>0</v>
      </c>
      <c r="I669" s="10">
        <f t="shared" si="103"/>
        <v>0</v>
      </c>
      <c r="J669" s="3">
        <v>0</v>
      </c>
      <c r="K669" s="3">
        <v>0</v>
      </c>
      <c r="L669" s="3">
        <f t="shared" si="104"/>
        <v>0</v>
      </c>
      <c r="N669" s="11">
        <f t="shared" si="105"/>
        <v>0</v>
      </c>
      <c r="O669" s="3">
        <v>0</v>
      </c>
      <c r="P669" s="11">
        <f t="shared" si="106"/>
        <v>9999</v>
      </c>
      <c r="Q669" s="12">
        <f t="shared" si="107"/>
        <v>9999</v>
      </c>
      <c r="R669" s="13">
        <f t="shared" si="108"/>
        <v>9999</v>
      </c>
      <c r="S669" s="3" t="s">
        <v>31</v>
      </c>
      <c r="T669" s="3" t="s">
        <v>34</v>
      </c>
      <c r="U669" s="10" t="s">
        <v>72</v>
      </c>
      <c r="V669" s="3" t="s">
        <v>72</v>
      </c>
      <c r="W669" s="3">
        <f t="shared" si="109"/>
        <v>0</v>
      </c>
      <c r="AA669" s="3">
        <v>28</v>
      </c>
    </row>
    <row r="670" spans="1:27" x14ac:dyDescent="0.3">
      <c r="A670" s="3" t="str">
        <f t="shared" si="100"/>
        <v>East9320029905219</v>
      </c>
      <c r="B670" s="3" t="str">
        <f t="shared" si="101"/>
        <v>KGP9320029905219</v>
      </c>
      <c r="C670" s="10">
        <v>9320029905219</v>
      </c>
      <c r="D670" s="10" t="str">
        <f t="shared" si="102"/>
        <v>9320029905</v>
      </c>
      <c r="E670" s="3" t="s">
        <v>6</v>
      </c>
      <c r="F670" s="3" t="s">
        <v>66</v>
      </c>
      <c r="H670" s="3">
        <v>40.657499999999992</v>
      </c>
      <c r="I670" s="10">
        <f t="shared" si="103"/>
        <v>93.204117862778375</v>
      </c>
      <c r="J670" s="3">
        <v>13.086599905336417</v>
      </c>
      <c r="K670" s="3">
        <v>0</v>
      </c>
      <c r="L670" s="3">
        <f t="shared" si="104"/>
        <v>0</v>
      </c>
      <c r="N670" s="11">
        <f t="shared" si="105"/>
        <v>27.570900094663575</v>
      </c>
      <c r="O670" s="3">
        <v>13.086599905336417</v>
      </c>
      <c r="P670" s="11">
        <f t="shared" si="106"/>
        <v>63.204117862778368</v>
      </c>
      <c r="Q670" s="12">
        <f t="shared" si="107"/>
        <v>63.204117862778382</v>
      </c>
      <c r="R670" s="13">
        <f t="shared" si="108"/>
        <v>59.568123641449816</v>
      </c>
      <c r="S670" s="3" t="s">
        <v>30</v>
      </c>
      <c r="T670" s="3" t="s">
        <v>28</v>
      </c>
      <c r="U670" s="10">
        <v>9320029900999</v>
      </c>
      <c r="V670" s="3">
        <v>0.1</v>
      </c>
      <c r="W670" s="3">
        <f t="shared" si="109"/>
        <v>0</v>
      </c>
      <c r="AA670" s="3">
        <v>28</v>
      </c>
    </row>
    <row r="671" spans="1:27" x14ac:dyDescent="0.3">
      <c r="A671" s="3" t="str">
        <f t="shared" si="100"/>
        <v>East9320029999219</v>
      </c>
      <c r="B671" s="3" t="str">
        <f t="shared" si="101"/>
        <v>KGP9320029999219</v>
      </c>
      <c r="C671" s="10">
        <v>9320029999219</v>
      </c>
      <c r="D671" s="10" t="str">
        <f t="shared" si="102"/>
        <v>9320029999</v>
      </c>
      <c r="E671" s="3" t="s">
        <v>6</v>
      </c>
      <c r="F671" s="3" t="s">
        <v>66</v>
      </c>
      <c r="H671" s="3">
        <v>13.298999999999999</v>
      </c>
      <c r="I671" s="10">
        <f t="shared" si="103"/>
        <v>43.720511844262489</v>
      </c>
      <c r="J671" s="3">
        <v>9.1254649858898542</v>
      </c>
      <c r="K671" s="3">
        <v>0</v>
      </c>
      <c r="L671" s="3">
        <f t="shared" si="104"/>
        <v>0</v>
      </c>
      <c r="N671" s="11">
        <f t="shared" si="105"/>
        <v>4.1735350141101453</v>
      </c>
      <c r="O671" s="3">
        <v>9.1254649858898542</v>
      </c>
      <c r="P671" s="11">
        <f t="shared" si="106"/>
        <v>13.720511844262488</v>
      </c>
      <c r="Q671" s="12">
        <f t="shared" si="107"/>
        <v>13.720511844262488</v>
      </c>
      <c r="R671" s="13">
        <f t="shared" si="108"/>
        <v>20.644368796962809</v>
      </c>
      <c r="S671" s="3" t="s">
        <v>30</v>
      </c>
      <c r="T671" s="3" t="s">
        <v>28</v>
      </c>
      <c r="U671" s="10">
        <v>9320029900999</v>
      </c>
      <c r="V671" s="3">
        <v>0.1</v>
      </c>
      <c r="W671" s="3">
        <f t="shared" si="109"/>
        <v>0</v>
      </c>
      <c r="AA671" s="3">
        <v>28</v>
      </c>
    </row>
    <row r="672" spans="1:27" x14ac:dyDescent="0.3">
      <c r="A672" s="3" t="str">
        <f t="shared" si="100"/>
        <v>East9320029905297</v>
      </c>
      <c r="B672" s="3" t="str">
        <f t="shared" si="101"/>
        <v>KGP9320029905297</v>
      </c>
      <c r="C672" s="10">
        <v>9320029905297</v>
      </c>
      <c r="D672" s="10" t="str">
        <f t="shared" si="102"/>
        <v>9320029905</v>
      </c>
      <c r="E672" s="3" t="s">
        <v>6</v>
      </c>
      <c r="F672" s="3" t="s">
        <v>66</v>
      </c>
      <c r="H672" s="3">
        <v>19.41225</v>
      </c>
      <c r="I672" s="10">
        <f t="shared" si="103"/>
        <v>82.02984370405116</v>
      </c>
      <c r="J672" s="3">
        <v>7.0994588518427095</v>
      </c>
      <c r="K672" s="3">
        <v>0</v>
      </c>
      <c r="L672" s="3">
        <f t="shared" si="104"/>
        <v>0</v>
      </c>
      <c r="N672" s="11">
        <f t="shared" si="105"/>
        <v>12.312791148157292</v>
      </c>
      <c r="O672" s="3">
        <v>7.0994588518427095</v>
      </c>
      <c r="P672" s="11">
        <f t="shared" si="106"/>
        <v>52.029843704051167</v>
      </c>
      <c r="Q672" s="12">
        <f t="shared" si="107"/>
        <v>52.029843704051174</v>
      </c>
      <c r="R672" s="13">
        <f t="shared" si="108"/>
        <v>46.691532983691296</v>
      </c>
      <c r="S672" s="3" t="s">
        <v>31</v>
      </c>
      <c r="T672" s="3" t="s">
        <v>28</v>
      </c>
      <c r="U672" s="10">
        <v>9320029900999</v>
      </c>
      <c r="V672" s="3">
        <v>0.1</v>
      </c>
      <c r="W672" s="3">
        <f t="shared" si="109"/>
        <v>0</v>
      </c>
      <c r="AA672" s="3">
        <v>28</v>
      </c>
    </row>
    <row r="673" spans="1:27" x14ac:dyDescent="0.3">
      <c r="A673" s="3" t="str">
        <f t="shared" si="100"/>
        <v>East9320029905839</v>
      </c>
      <c r="B673" s="3" t="str">
        <f t="shared" si="101"/>
        <v>KGP9320029905839</v>
      </c>
      <c r="C673" s="10">
        <v>9320029905839</v>
      </c>
      <c r="D673" s="10" t="str">
        <f t="shared" si="102"/>
        <v>9320029905</v>
      </c>
      <c r="E673" s="3" t="s">
        <v>6</v>
      </c>
      <c r="F673" s="3" t="s">
        <v>66</v>
      </c>
      <c r="H673" s="3">
        <v>9.4770000000000003</v>
      </c>
      <c r="I673" s="10">
        <f t="shared" si="103"/>
        <v>42.711821768596089</v>
      </c>
      <c r="J673" s="3">
        <v>6.6564709307023566</v>
      </c>
      <c r="K673" s="3">
        <v>0</v>
      </c>
      <c r="L673" s="3">
        <f t="shared" si="104"/>
        <v>0</v>
      </c>
      <c r="N673" s="11">
        <f t="shared" si="105"/>
        <v>2.8205290692976437</v>
      </c>
      <c r="O673" s="3">
        <v>6.6564709307023566</v>
      </c>
      <c r="P673" s="11">
        <f t="shared" si="106"/>
        <v>12.711821768596094</v>
      </c>
      <c r="Q673" s="12">
        <f t="shared" si="107"/>
        <v>12.711821768596094</v>
      </c>
      <c r="R673" s="13">
        <f t="shared" si="108"/>
        <v>73.358821186652634</v>
      </c>
      <c r="S673" s="3" t="s">
        <v>30</v>
      </c>
      <c r="T673" s="3" t="s">
        <v>28</v>
      </c>
      <c r="U673" s="10">
        <v>0</v>
      </c>
      <c r="V673" s="3">
        <v>0</v>
      </c>
      <c r="W673" s="3">
        <f t="shared" si="109"/>
        <v>0</v>
      </c>
      <c r="AA673" s="3">
        <v>28</v>
      </c>
    </row>
    <row r="674" spans="1:27" x14ac:dyDescent="0.3">
      <c r="A674" s="3" t="str">
        <f t="shared" si="100"/>
        <v>East9320029999839</v>
      </c>
      <c r="B674" s="3" t="str">
        <f t="shared" si="101"/>
        <v>KGP9320029999839</v>
      </c>
      <c r="C674" s="10">
        <v>9320029999839</v>
      </c>
      <c r="D674" s="10" t="str">
        <f t="shared" si="102"/>
        <v>9320029999</v>
      </c>
      <c r="E674" s="3" t="s">
        <v>6</v>
      </c>
      <c r="F674" s="3" t="s">
        <v>66</v>
      </c>
      <c r="H674" s="3">
        <v>11.259300000000001</v>
      </c>
      <c r="I674" s="10">
        <f t="shared" si="103"/>
        <v>55.060426323239874</v>
      </c>
      <c r="J674" s="3">
        <v>6.1346964154803585</v>
      </c>
      <c r="K674" s="3">
        <v>0</v>
      </c>
      <c r="L674" s="3">
        <f t="shared" si="104"/>
        <v>0</v>
      </c>
      <c r="N674" s="11">
        <f t="shared" si="105"/>
        <v>5.1246035845196429</v>
      </c>
      <c r="O674" s="3">
        <v>6.1346964154803585</v>
      </c>
      <c r="P674" s="11">
        <f t="shared" si="106"/>
        <v>25.060426323239874</v>
      </c>
      <c r="Q674" s="12">
        <f t="shared" si="107"/>
        <v>25.060426323239874</v>
      </c>
      <c r="R674" s="13">
        <f t="shared" si="108"/>
        <v>19.357265929212165</v>
      </c>
      <c r="S674" s="3" t="s">
        <v>30</v>
      </c>
      <c r="T674" s="3" t="s">
        <v>28</v>
      </c>
      <c r="U674" s="10">
        <v>0</v>
      </c>
      <c r="V674" s="3">
        <v>0</v>
      </c>
      <c r="W674" s="3">
        <f t="shared" si="109"/>
        <v>0</v>
      </c>
      <c r="AA674" s="3">
        <v>28</v>
      </c>
    </row>
    <row r="675" spans="1:27" x14ac:dyDescent="0.3">
      <c r="A675" s="3" t="str">
        <f t="shared" si="100"/>
        <v>East9320029905097</v>
      </c>
      <c r="B675" s="3" t="str">
        <f t="shared" si="101"/>
        <v>KGP9320029905097</v>
      </c>
      <c r="C675" s="10">
        <v>9320029905097</v>
      </c>
      <c r="D675" s="10" t="str">
        <f t="shared" si="102"/>
        <v>9320029905</v>
      </c>
      <c r="E675" s="3" t="s">
        <v>6</v>
      </c>
      <c r="F675" s="3" t="s">
        <v>66</v>
      </c>
      <c r="H675" s="3">
        <v>18.602999999999998</v>
      </c>
      <c r="I675" s="10">
        <f t="shared" si="103"/>
        <v>102.1649581402079</v>
      </c>
      <c r="J675" s="3">
        <v>5.4626362126444095</v>
      </c>
      <c r="K675" s="3">
        <v>0</v>
      </c>
      <c r="L675" s="3">
        <f t="shared" si="104"/>
        <v>0</v>
      </c>
      <c r="N675" s="11">
        <f t="shared" si="105"/>
        <v>13.140363787355589</v>
      </c>
      <c r="O675" s="3">
        <v>5.4626362126444095</v>
      </c>
      <c r="P675" s="11">
        <f t="shared" si="106"/>
        <v>72.164958140207915</v>
      </c>
      <c r="Q675" s="12">
        <f t="shared" si="107"/>
        <v>72.164958140207901</v>
      </c>
      <c r="R675" s="13">
        <f t="shared" si="108"/>
        <v>53.829655755962165</v>
      </c>
      <c r="S675" s="3" t="s">
        <v>30</v>
      </c>
      <c r="T675" s="3" t="s">
        <v>28</v>
      </c>
      <c r="U675" s="10">
        <v>0</v>
      </c>
      <c r="V675" s="3">
        <v>0</v>
      </c>
      <c r="W675" s="3">
        <f t="shared" si="109"/>
        <v>0</v>
      </c>
      <c r="AA675" s="3">
        <v>28</v>
      </c>
    </row>
    <row r="676" spans="1:27" x14ac:dyDescent="0.3">
      <c r="A676" s="3" t="str">
        <f t="shared" si="100"/>
        <v>East9320029999297</v>
      </c>
      <c r="B676" s="3" t="str">
        <f t="shared" si="101"/>
        <v>KGP9320029999297</v>
      </c>
      <c r="C676" s="10">
        <v>9320029999297</v>
      </c>
      <c r="D676" s="10" t="str">
        <f t="shared" si="102"/>
        <v>9320029999</v>
      </c>
      <c r="E676" s="3" t="s">
        <v>6</v>
      </c>
      <c r="F676" s="3" t="s">
        <v>66</v>
      </c>
      <c r="H676" s="3">
        <v>4.075499999999999</v>
      </c>
      <c r="I676" s="10">
        <f t="shared" si="103"/>
        <v>23.496759072718813</v>
      </c>
      <c r="J676" s="3">
        <v>5.2034835792293235</v>
      </c>
      <c r="K676" s="3">
        <v>0</v>
      </c>
      <c r="L676" s="3">
        <f t="shared" si="104"/>
        <v>0</v>
      </c>
      <c r="N676" s="11">
        <f t="shared" si="105"/>
        <v>-1.1279835792293245</v>
      </c>
      <c r="O676" s="3">
        <v>5.2034835792293235</v>
      </c>
      <c r="P676" s="11">
        <f t="shared" si="106"/>
        <v>-6.5032409272811869</v>
      </c>
      <c r="Q676" s="12">
        <f t="shared" si="107"/>
        <v>-6.5032409272811877</v>
      </c>
      <c r="R676" s="13">
        <f t="shared" si="108"/>
        <v>17.77009633775095</v>
      </c>
      <c r="S676" s="3" t="s">
        <v>30</v>
      </c>
      <c r="T676" s="3" t="s">
        <v>28</v>
      </c>
      <c r="U676" s="10">
        <v>9320029900999</v>
      </c>
      <c r="V676" s="3">
        <v>0.1</v>
      </c>
      <c r="W676" s="3">
        <f t="shared" si="109"/>
        <v>0</v>
      </c>
      <c r="AA676" s="3">
        <v>28</v>
      </c>
    </row>
    <row r="677" spans="1:27" x14ac:dyDescent="0.3">
      <c r="A677" s="3" t="str">
        <f t="shared" si="100"/>
        <v>East9320029999097</v>
      </c>
      <c r="B677" s="3" t="str">
        <f t="shared" si="101"/>
        <v>KGP9320029999097</v>
      </c>
      <c r="C677" s="10">
        <v>9320029999097</v>
      </c>
      <c r="D677" s="10" t="str">
        <f t="shared" si="102"/>
        <v>9320029999</v>
      </c>
      <c r="E677" s="3" t="s">
        <v>6</v>
      </c>
      <c r="F677" s="3" t="s">
        <v>66</v>
      </c>
      <c r="H677" s="3">
        <v>13.576875000000001</v>
      </c>
      <c r="I677" s="10">
        <f t="shared" si="103"/>
        <v>83.612728305541381</v>
      </c>
      <c r="J677" s="3">
        <v>4.871342656247303</v>
      </c>
      <c r="K677" s="3">
        <v>0</v>
      </c>
      <c r="L677" s="3">
        <f t="shared" si="104"/>
        <v>0</v>
      </c>
      <c r="N677" s="11">
        <f t="shared" si="105"/>
        <v>8.7055323437526972</v>
      </c>
      <c r="O677" s="3">
        <v>4.871342656247303</v>
      </c>
      <c r="P677" s="11">
        <f t="shared" si="106"/>
        <v>53.612728305541381</v>
      </c>
      <c r="Q677" s="12">
        <f t="shared" si="107"/>
        <v>53.612728305541374</v>
      </c>
      <c r="R677" s="13">
        <f t="shared" si="108"/>
        <v>27.782787977034157</v>
      </c>
      <c r="S677" s="3" t="s">
        <v>30</v>
      </c>
      <c r="T677" s="3" t="s">
        <v>28</v>
      </c>
      <c r="U677" s="10">
        <v>0</v>
      </c>
      <c r="V677" s="3">
        <v>0</v>
      </c>
      <c r="W677" s="3">
        <f t="shared" si="109"/>
        <v>0</v>
      </c>
      <c r="AA677" s="3">
        <v>28</v>
      </c>
    </row>
    <row r="678" spans="1:27" x14ac:dyDescent="0.3">
      <c r="A678" s="3" t="str">
        <f t="shared" si="100"/>
        <v>East9320039999839</v>
      </c>
      <c r="B678" s="3" t="str">
        <f t="shared" si="101"/>
        <v>KGP9320039999839</v>
      </c>
      <c r="C678" s="10">
        <v>9320039999839</v>
      </c>
      <c r="D678" s="10" t="str">
        <f t="shared" si="102"/>
        <v>9320039999</v>
      </c>
      <c r="E678" s="3" t="s">
        <v>6</v>
      </c>
      <c r="F678" s="3" t="s">
        <v>66</v>
      </c>
      <c r="H678" s="3">
        <v>2.5973999999999999</v>
      </c>
      <c r="I678" s="10">
        <f t="shared" si="103"/>
        <v>16.968370231507553</v>
      </c>
      <c r="J678" s="3">
        <v>4.5921911731576497</v>
      </c>
      <c r="K678" s="3">
        <v>14</v>
      </c>
      <c r="L678" s="3">
        <f t="shared" si="104"/>
        <v>0</v>
      </c>
      <c r="N678" s="11">
        <f t="shared" si="105"/>
        <v>-1.9947911731576498</v>
      </c>
      <c r="O678" s="3">
        <v>4.5921911731576497</v>
      </c>
      <c r="P678" s="11">
        <f t="shared" si="106"/>
        <v>-13.031629768492451</v>
      </c>
      <c r="Q678" s="12">
        <f t="shared" si="107"/>
        <v>-13.031629768492449</v>
      </c>
      <c r="R678" s="13">
        <f t="shared" si="108"/>
        <v>5.6471689168472166</v>
      </c>
      <c r="S678" s="3" t="s">
        <v>30</v>
      </c>
      <c r="T678" s="3" t="s">
        <v>28</v>
      </c>
      <c r="U678" s="10">
        <v>0</v>
      </c>
      <c r="V678" s="3">
        <v>0</v>
      </c>
      <c r="W678" s="3">
        <f t="shared" si="109"/>
        <v>0</v>
      </c>
      <c r="AA678" s="3">
        <v>28</v>
      </c>
    </row>
    <row r="679" spans="1:27" x14ac:dyDescent="0.3">
      <c r="A679" s="3" t="str">
        <f t="shared" si="100"/>
        <v>East9320039999219</v>
      </c>
      <c r="B679" s="3" t="str">
        <f t="shared" si="101"/>
        <v>KGP9320039999219</v>
      </c>
      <c r="C679" s="10">
        <v>9320039999219</v>
      </c>
      <c r="D679" s="10" t="str">
        <f t="shared" si="102"/>
        <v>9320039999</v>
      </c>
      <c r="E679" s="3" t="s">
        <v>6</v>
      </c>
      <c r="F679" s="3" t="s">
        <v>66</v>
      </c>
      <c r="H679" s="3">
        <v>9.6720000000000024</v>
      </c>
      <c r="I679" s="10">
        <f t="shared" si="103"/>
        <v>66.369576400102432</v>
      </c>
      <c r="J679" s="3">
        <v>4.3718826567582587</v>
      </c>
      <c r="K679" s="3">
        <v>14</v>
      </c>
      <c r="L679" s="3">
        <f t="shared" si="104"/>
        <v>0</v>
      </c>
      <c r="N679" s="11">
        <f t="shared" si="105"/>
        <v>5.3001173432417437</v>
      </c>
      <c r="O679" s="3">
        <v>4.3718826567582587</v>
      </c>
      <c r="P679" s="11">
        <f t="shared" si="106"/>
        <v>36.369576400102439</v>
      </c>
      <c r="Q679" s="12">
        <f t="shared" si="107"/>
        <v>36.369576400102439</v>
      </c>
      <c r="R679" s="13">
        <f t="shared" si="108"/>
        <v>54.138526583137718</v>
      </c>
      <c r="S679" s="3" t="s">
        <v>31</v>
      </c>
      <c r="T679" s="3" t="s">
        <v>28</v>
      </c>
      <c r="U679" s="10">
        <v>9320039900999</v>
      </c>
      <c r="V679" s="3">
        <v>0.1</v>
      </c>
      <c r="W679" s="3">
        <f t="shared" si="109"/>
        <v>1.4000000000000001</v>
      </c>
      <c r="AA679" s="3">
        <v>28</v>
      </c>
    </row>
    <row r="680" spans="1:27" x14ac:dyDescent="0.3">
      <c r="A680" s="3" t="str">
        <f t="shared" si="100"/>
        <v>East9420059999838</v>
      </c>
      <c r="B680" s="3" t="str">
        <f t="shared" si="101"/>
        <v>KGP9420059999838</v>
      </c>
      <c r="C680" s="10">
        <v>9420059999838</v>
      </c>
      <c r="D680" s="10" t="str">
        <f t="shared" si="102"/>
        <v>9420059999</v>
      </c>
      <c r="E680" s="3" t="s">
        <v>6</v>
      </c>
      <c r="F680" s="3" t="s">
        <v>66</v>
      </c>
      <c r="H680" s="3">
        <v>4.7347999999999999</v>
      </c>
      <c r="I680" s="10">
        <f t="shared" si="103"/>
        <v>34.277847821354221</v>
      </c>
      <c r="J680" s="3">
        <v>4.1439007705585942</v>
      </c>
      <c r="K680" s="3">
        <v>12</v>
      </c>
      <c r="L680" s="3">
        <f t="shared" si="104"/>
        <v>0</v>
      </c>
      <c r="N680" s="11">
        <f t="shared" si="105"/>
        <v>0.59089922944140572</v>
      </c>
      <c r="O680" s="3">
        <v>4.1439007705585942</v>
      </c>
      <c r="P680" s="11">
        <f t="shared" si="106"/>
        <v>4.2778478213542233</v>
      </c>
      <c r="Q680" s="12">
        <f t="shared" si="107"/>
        <v>4.2778478213542241</v>
      </c>
      <c r="R680" s="13">
        <f t="shared" si="108"/>
        <v>22.423143014669041</v>
      </c>
      <c r="S680" s="3" t="s">
        <v>31</v>
      </c>
      <c r="T680" s="3" t="s">
        <v>28</v>
      </c>
      <c r="U680" s="10">
        <v>0</v>
      </c>
      <c r="V680" s="3">
        <v>0</v>
      </c>
      <c r="W680" s="3">
        <f t="shared" si="109"/>
        <v>0</v>
      </c>
      <c r="AA680" s="3">
        <v>28</v>
      </c>
    </row>
    <row r="681" spans="1:27" x14ac:dyDescent="0.3">
      <c r="A681" s="3" t="str">
        <f t="shared" si="100"/>
        <v>East9420059999195</v>
      </c>
      <c r="B681" s="3" t="str">
        <f t="shared" si="101"/>
        <v>KGP9420059999195</v>
      </c>
      <c r="C681" s="10">
        <v>9420059999195</v>
      </c>
      <c r="D681" s="10" t="str">
        <f t="shared" si="102"/>
        <v>9420059999</v>
      </c>
      <c r="E681" s="3" t="s">
        <v>6</v>
      </c>
      <c r="F681" s="3" t="s">
        <v>66</v>
      </c>
      <c r="H681" s="3">
        <v>6.6138999999999992</v>
      </c>
      <c r="I681" s="10">
        <f t="shared" si="103"/>
        <v>59.154961353805945</v>
      </c>
      <c r="J681" s="3">
        <v>3.3541903410817477</v>
      </c>
      <c r="K681" s="3">
        <v>12</v>
      </c>
      <c r="L681" s="3">
        <f t="shared" si="104"/>
        <v>0</v>
      </c>
      <c r="N681" s="11">
        <f t="shared" si="105"/>
        <v>3.2597096589182515</v>
      </c>
      <c r="O681" s="3">
        <v>3.3541903410817477</v>
      </c>
      <c r="P681" s="11">
        <f t="shared" si="106"/>
        <v>29.154961353805948</v>
      </c>
      <c r="Q681" s="12">
        <f t="shared" si="107"/>
        <v>29.154961353805945</v>
      </c>
      <c r="R681" s="13">
        <f t="shared" si="108"/>
        <v>29.27901427061612</v>
      </c>
      <c r="S681" s="3" t="s">
        <v>31</v>
      </c>
      <c r="T681" s="3" t="s">
        <v>28</v>
      </c>
      <c r="U681" s="10">
        <v>0</v>
      </c>
      <c r="V681" s="3">
        <v>0</v>
      </c>
      <c r="W681" s="3">
        <f t="shared" si="109"/>
        <v>0</v>
      </c>
      <c r="AA681" s="3">
        <v>28</v>
      </c>
    </row>
    <row r="682" spans="1:27" x14ac:dyDescent="0.3">
      <c r="A682" s="3" t="str">
        <f t="shared" si="100"/>
        <v>East9320039999097</v>
      </c>
      <c r="B682" s="3" t="str">
        <f t="shared" si="101"/>
        <v>KGP9320039999097</v>
      </c>
      <c r="C682" s="10">
        <v>9320039999097</v>
      </c>
      <c r="D682" s="10" t="str">
        <f t="shared" si="102"/>
        <v>9320039999</v>
      </c>
      <c r="E682" s="3" t="s">
        <v>6</v>
      </c>
      <c r="F682" s="3" t="s">
        <v>66</v>
      </c>
      <c r="H682" s="3">
        <v>2.120625</v>
      </c>
      <c r="I682" s="10">
        <f t="shared" si="103"/>
        <v>20.660805202713451</v>
      </c>
      <c r="J682" s="3">
        <v>3.0791999331974118</v>
      </c>
      <c r="K682" s="3">
        <v>0</v>
      </c>
      <c r="L682" s="3">
        <f t="shared" si="104"/>
        <v>0</v>
      </c>
      <c r="N682" s="11">
        <f t="shared" si="105"/>
        <v>-0.95857493319741183</v>
      </c>
      <c r="O682" s="3">
        <v>3.0791999331974118</v>
      </c>
      <c r="P682" s="11">
        <f t="shared" si="106"/>
        <v>-9.3391947972865488</v>
      </c>
      <c r="Q682" s="12">
        <f t="shared" si="107"/>
        <v>-9.3391947972865488</v>
      </c>
      <c r="R682" s="13">
        <f t="shared" si="108"/>
        <v>17.328925570439566</v>
      </c>
      <c r="S682" s="3" t="s">
        <v>30</v>
      </c>
      <c r="T682" s="3" t="s">
        <v>28</v>
      </c>
      <c r="U682" s="10">
        <v>0</v>
      </c>
      <c r="V682" s="3">
        <v>0</v>
      </c>
      <c r="W682" s="3">
        <f t="shared" si="109"/>
        <v>0</v>
      </c>
      <c r="AA682" s="3">
        <v>28</v>
      </c>
    </row>
    <row r="683" spans="1:27" x14ac:dyDescent="0.3">
      <c r="A683" s="3" t="str">
        <f t="shared" si="100"/>
        <v>East9420039999838</v>
      </c>
      <c r="B683" s="3" t="str">
        <f t="shared" si="101"/>
        <v>KGP9420039999838</v>
      </c>
      <c r="C683" s="10">
        <v>9420039999838</v>
      </c>
      <c r="D683" s="10" t="str">
        <f t="shared" si="102"/>
        <v>9420039999</v>
      </c>
      <c r="E683" s="3" t="s">
        <v>6</v>
      </c>
      <c r="F683" s="3" t="s">
        <v>66</v>
      </c>
      <c r="H683" s="3">
        <v>6.3383999999999991</v>
      </c>
      <c r="I683" s="10">
        <f t="shared" si="103"/>
        <v>61.7913616495158</v>
      </c>
      <c r="J683" s="3">
        <v>3.077323349476472</v>
      </c>
      <c r="K683" s="3">
        <v>0</v>
      </c>
      <c r="L683" s="3">
        <f t="shared" si="104"/>
        <v>0</v>
      </c>
      <c r="N683" s="11">
        <f t="shared" si="105"/>
        <v>3.2610766505235271</v>
      </c>
      <c r="O683" s="3">
        <v>3.077323349476472</v>
      </c>
      <c r="P683" s="11">
        <f t="shared" si="106"/>
        <v>31.791361649515796</v>
      </c>
      <c r="Q683" s="12">
        <f t="shared" si="107"/>
        <v>31.791361649515796</v>
      </c>
      <c r="R683" s="13">
        <f t="shared" si="108"/>
        <v>42.398978619991823</v>
      </c>
      <c r="S683" s="3" t="s">
        <v>31</v>
      </c>
      <c r="T683" s="3" t="s">
        <v>28</v>
      </c>
      <c r="U683" s="10">
        <v>0</v>
      </c>
      <c r="V683" s="3">
        <v>0</v>
      </c>
      <c r="W683" s="3">
        <f t="shared" si="109"/>
        <v>0</v>
      </c>
      <c r="AA683" s="3">
        <v>28</v>
      </c>
    </row>
    <row r="684" spans="1:27" x14ac:dyDescent="0.3">
      <c r="A684" s="3" t="str">
        <f t="shared" si="100"/>
        <v>East9310099999839</v>
      </c>
      <c r="B684" s="3" t="str">
        <f t="shared" si="101"/>
        <v>KGP9310099999839</v>
      </c>
      <c r="C684" s="10">
        <v>9310099999839</v>
      </c>
      <c r="D684" s="10" t="str">
        <f t="shared" si="102"/>
        <v>9310099999</v>
      </c>
      <c r="E684" s="3" t="s">
        <v>6</v>
      </c>
      <c r="F684" s="3" t="s">
        <v>66</v>
      </c>
      <c r="H684" s="3">
        <v>0</v>
      </c>
      <c r="I684" s="10">
        <f t="shared" si="103"/>
        <v>0</v>
      </c>
      <c r="J684" s="3">
        <v>3.0181420815000002</v>
      </c>
      <c r="K684" s="3">
        <v>14</v>
      </c>
      <c r="L684" s="3">
        <f t="shared" si="104"/>
        <v>0</v>
      </c>
      <c r="N684" s="11">
        <f t="shared" si="105"/>
        <v>-3.0181420815000002</v>
      </c>
      <c r="O684" s="3">
        <v>3.0181420815000002</v>
      </c>
      <c r="P684" s="11">
        <f t="shared" si="106"/>
        <v>-30</v>
      </c>
      <c r="Q684" s="12">
        <f t="shared" si="107"/>
        <v>-30</v>
      </c>
      <c r="R684" s="13">
        <f t="shared" si="108"/>
        <v>-30</v>
      </c>
      <c r="S684" s="3">
        <v>0</v>
      </c>
      <c r="T684" s="3" t="s">
        <v>32</v>
      </c>
      <c r="U684" s="10">
        <v>0</v>
      </c>
      <c r="V684" s="3">
        <v>0</v>
      </c>
      <c r="W684" s="3">
        <f t="shared" si="109"/>
        <v>0</v>
      </c>
      <c r="AA684" s="3">
        <v>28</v>
      </c>
    </row>
    <row r="685" spans="1:27" x14ac:dyDescent="0.3">
      <c r="A685" s="3" t="str">
        <f t="shared" si="100"/>
        <v>East9310019999219</v>
      </c>
      <c r="B685" s="3" t="str">
        <f t="shared" si="101"/>
        <v>KGP9310019999219</v>
      </c>
      <c r="C685" s="10">
        <v>9310019999219</v>
      </c>
      <c r="D685" s="10" t="str">
        <f t="shared" si="102"/>
        <v>9310019999</v>
      </c>
      <c r="E685" s="3" t="s">
        <v>6</v>
      </c>
      <c r="F685" s="3" t="s">
        <v>66</v>
      </c>
      <c r="H685" s="3">
        <v>5.6489549999999991</v>
      </c>
      <c r="I685" s="10">
        <f t="shared" si="103"/>
        <v>57.635056874919577</v>
      </c>
      <c r="J685" s="3">
        <v>2.9403744732617034</v>
      </c>
      <c r="K685" s="3">
        <v>0</v>
      </c>
      <c r="L685" s="3">
        <f t="shared" si="104"/>
        <v>0</v>
      </c>
      <c r="N685" s="11">
        <f t="shared" si="105"/>
        <v>2.7085805267382956</v>
      </c>
      <c r="O685" s="3">
        <v>2.9403744732617034</v>
      </c>
      <c r="P685" s="11">
        <f t="shared" si="106"/>
        <v>27.635056874919577</v>
      </c>
      <c r="Q685" s="12">
        <f t="shared" si="107"/>
        <v>27.635056874919577</v>
      </c>
      <c r="R685" s="13">
        <f t="shared" si="108"/>
        <v>46.246565856944308</v>
      </c>
      <c r="S685" s="3" t="s">
        <v>31</v>
      </c>
      <c r="T685" s="3" t="s">
        <v>32</v>
      </c>
      <c r="U685" s="10">
        <v>9310019900999</v>
      </c>
      <c r="V685" s="3">
        <v>0.1</v>
      </c>
      <c r="W685" s="3">
        <f t="shared" si="109"/>
        <v>0</v>
      </c>
      <c r="AA685" s="3">
        <v>28</v>
      </c>
    </row>
    <row r="686" spans="1:27" x14ac:dyDescent="0.3">
      <c r="A686" s="3" t="str">
        <f t="shared" si="100"/>
        <v>East9320039999297</v>
      </c>
      <c r="B686" s="3" t="str">
        <f t="shared" si="101"/>
        <v>KGP9320039999297</v>
      </c>
      <c r="C686" s="10">
        <v>9320039999297</v>
      </c>
      <c r="D686" s="10" t="str">
        <f t="shared" si="102"/>
        <v>9320039999</v>
      </c>
      <c r="E686" s="3" t="s">
        <v>6</v>
      </c>
      <c r="F686" s="3" t="s">
        <v>66</v>
      </c>
      <c r="H686" s="3">
        <v>5.9182500000000022</v>
      </c>
      <c r="I686" s="10">
        <f t="shared" si="103"/>
        <v>62.292961935395269</v>
      </c>
      <c r="J686" s="3">
        <v>2.8502016035798161</v>
      </c>
      <c r="K686" s="3">
        <v>0</v>
      </c>
      <c r="L686" s="3">
        <f t="shared" si="104"/>
        <v>0</v>
      </c>
      <c r="N686" s="11">
        <f t="shared" si="105"/>
        <v>3.0680483964201861</v>
      </c>
      <c r="O686" s="3">
        <v>2.8502016035798161</v>
      </c>
      <c r="P686" s="11">
        <f t="shared" si="106"/>
        <v>32.292961935395276</v>
      </c>
      <c r="Q686" s="12">
        <f t="shared" si="107"/>
        <v>32.292961935395276</v>
      </c>
      <c r="R686" s="13">
        <f t="shared" si="108"/>
        <v>104.32505744629258</v>
      </c>
      <c r="S686" s="3" t="s">
        <v>31</v>
      </c>
      <c r="T686" s="3" t="s">
        <v>28</v>
      </c>
      <c r="U686" s="10">
        <v>9320039900999</v>
      </c>
      <c r="V686" s="3">
        <v>0.1</v>
      </c>
      <c r="W686" s="3">
        <f t="shared" si="109"/>
        <v>0</v>
      </c>
      <c r="AA686" s="3">
        <v>28</v>
      </c>
    </row>
    <row r="687" spans="1:27" x14ac:dyDescent="0.3">
      <c r="A687" s="3" t="str">
        <f t="shared" si="100"/>
        <v>East9310019999839</v>
      </c>
      <c r="B687" s="3" t="str">
        <f t="shared" si="101"/>
        <v>KGP9310019999839</v>
      </c>
      <c r="C687" s="10">
        <v>9310019999839</v>
      </c>
      <c r="D687" s="10" t="str">
        <f t="shared" si="102"/>
        <v>9310019999</v>
      </c>
      <c r="E687" s="3" t="s">
        <v>6</v>
      </c>
      <c r="F687" s="3" t="s">
        <v>66</v>
      </c>
      <c r="H687" s="3">
        <v>2.9406000000000003</v>
      </c>
      <c r="I687" s="10">
        <f t="shared" si="103"/>
        <v>33.453466395754816</v>
      </c>
      <c r="J687" s="3">
        <v>2.6370361431721383</v>
      </c>
      <c r="K687" s="3">
        <v>0</v>
      </c>
      <c r="L687" s="3">
        <f t="shared" si="104"/>
        <v>0</v>
      </c>
      <c r="N687" s="11">
        <f t="shared" si="105"/>
        <v>0.30356385682786202</v>
      </c>
      <c r="O687" s="3">
        <v>2.6370361431721383</v>
      </c>
      <c r="P687" s="11">
        <f t="shared" si="106"/>
        <v>3.453466395754814</v>
      </c>
      <c r="Q687" s="12">
        <f t="shared" si="107"/>
        <v>3.453466395754814</v>
      </c>
      <c r="R687" s="13">
        <f t="shared" si="108"/>
        <v>0.90281642977410392</v>
      </c>
      <c r="S687" s="3" t="s">
        <v>30</v>
      </c>
      <c r="T687" s="3" t="s">
        <v>32</v>
      </c>
      <c r="U687" s="10">
        <v>0</v>
      </c>
      <c r="V687" s="3">
        <v>0</v>
      </c>
      <c r="W687" s="3">
        <f t="shared" si="109"/>
        <v>0</v>
      </c>
      <c r="AA687" s="3">
        <v>28</v>
      </c>
    </row>
    <row r="688" spans="1:27" x14ac:dyDescent="0.3">
      <c r="A688" s="3" t="str">
        <f t="shared" si="100"/>
        <v>East9420039999195</v>
      </c>
      <c r="B688" s="3" t="str">
        <f t="shared" si="101"/>
        <v>KGP9420039999195</v>
      </c>
      <c r="C688" s="10">
        <v>9420039999195</v>
      </c>
      <c r="D688" s="10" t="str">
        <f t="shared" si="102"/>
        <v>9420039999</v>
      </c>
      <c r="E688" s="3" t="s">
        <v>6</v>
      </c>
      <c r="F688" s="3" t="s">
        <v>66</v>
      </c>
      <c r="H688" s="3">
        <v>0.69920000000000004</v>
      </c>
      <c r="I688" s="10">
        <f t="shared" si="103"/>
        <v>8.9748952302506417</v>
      </c>
      <c r="J688" s="3">
        <v>2.3371860575373207</v>
      </c>
      <c r="K688" s="3">
        <v>0</v>
      </c>
      <c r="L688" s="3">
        <f t="shared" si="104"/>
        <v>0</v>
      </c>
      <c r="N688" s="11">
        <f t="shared" si="105"/>
        <v>-1.6379860575373206</v>
      </c>
      <c r="O688" s="3">
        <v>2.3371860575373207</v>
      </c>
      <c r="P688" s="11">
        <f t="shared" si="106"/>
        <v>-21.025104769749358</v>
      </c>
      <c r="Q688" s="12">
        <f t="shared" si="107"/>
        <v>-21.025104769749358</v>
      </c>
      <c r="R688" s="13">
        <f t="shared" si="108"/>
        <v>-14.236938844724724</v>
      </c>
      <c r="S688" s="3" t="s">
        <v>31</v>
      </c>
      <c r="T688" s="3" t="s">
        <v>28</v>
      </c>
      <c r="U688" s="10">
        <v>0</v>
      </c>
      <c r="V688" s="3">
        <v>0</v>
      </c>
      <c r="W688" s="3">
        <f t="shared" si="109"/>
        <v>0</v>
      </c>
      <c r="AA688" s="3">
        <v>28</v>
      </c>
    </row>
    <row r="689" spans="1:27" x14ac:dyDescent="0.3">
      <c r="A689" s="3" t="str">
        <f t="shared" si="100"/>
        <v>East9160509999219</v>
      </c>
      <c r="B689" s="3" t="str">
        <f t="shared" si="101"/>
        <v>KGP9160509999219</v>
      </c>
      <c r="C689" s="10">
        <v>9160509999219</v>
      </c>
      <c r="D689" s="10" t="str">
        <f t="shared" si="102"/>
        <v>9160509999</v>
      </c>
      <c r="E689" s="3" t="s">
        <v>6</v>
      </c>
      <c r="F689" s="3" t="s">
        <v>66</v>
      </c>
      <c r="H689" s="3">
        <v>8.1900000000000013</v>
      </c>
      <c r="I689" s="10">
        <f t="shared" si="103"/>
        <v>110.04507203591142</v>
      </c>
      <c r="J689" s="3">
        <v>2.2327215154152458</v>
      </c>
      <c r="K689" s="3">
        <v>0</v>
      </c>
      <c r="L689" s="3">
        <f t="shared" si="104"/>
        <v>0</v>
      </c>
      <c r="N689" s="11">
        <f t="shared" si="105"/>
        <v>5.9572784845847551</v>
      </c>
      <c r="O689" s="3">
        <v>2.2327215154152458</v>
      </c>
      <c r="P689" s="11">
        <f t="shared" si="106"/>
        <v>80.045072035911417</v>
      </c>
      <c r="Q689" s="12">
        <f t="shared" si="107"/>
        <v>80.045072035911417</v>
      </c>
      <c r="R689" s="13">
        <f t="shared" si="108"/>
        <v>31.34794595299039</v>
      </c>
      <c r="S689" s="3" t="s">
        <v>30</v>
      </c>
      <c r="T689" s="3" t="s">
        <v>34</v>
      </c>
      <c r="U689" s="10">
        <v>0</v>
      </c>
      <c r="V689" s="3">
        <v>0</v>
      </c>
      <c r="W689" s="3">
        <f t="shared" si="109"/>
        <v>0</v>
      </c>
      <c r="AA689" s="3">
        <v>28</v>
      </c>
    </row>
    <row r="690" spans="1:27" x14ac:dyDescent="0.3">
      <c r="A690" s="3" t="str">
        <f t="shared" si="100"/>
        <v>East9310019999297</v>
      </c>
      <c r="B690" s="3" t="str">
        <f t="shared" si="101"/>
        <v>KGP9310019999297</v>
      </c>
      <c r="C690" s="10">
        <v>9310019999297</v>
      </c>
      <c r="D690" s="10" t="str">
        <f t="shared" si="102"/>
        <v>9310019999</v>
      </c>
      <c r="E690" s="3" t="s">
        <v>6</v>
      </c>
      <c r="F690" s="3" t="s">
        <v>66</v>
      </c>
      <c r="H690" s="3">
        <v>2.9249999999999998</v>
      </c>
      <c r="I690" s="10">
        <f t="shared" si="103"/>
        <v>45.607520247332346</v>
      </c>
      <c r="J690" s="3">
        <v>1.9240247995095201</v>
      </c>
      <c r="K690" s="3">
        <v>0</v>
      </c>
      <c r="L690" s="3">
        <f t="shared" si="104"/>
        <v>0</v>
      </c>
      <c r="N690" s="11">
        <f t="shared" si="105"/>
        <v>1.0009752004904797</v>
      </c>
      <c r="O690" s="3">
        <v>1.9240247995095201</v>
      </c>
      <c r="P690" s="11">
        <f t="shared" si="106"/>
        <v>15.607520247332348</v>
      </c>
      <c r="Q690" s="12">
        <f t="shared" si="107"/>
        <v>15.607520247332346</v>
      </c>
      <c r="R690" s="13">
        <f t="shared" si="108"/>
        <v>27.652805977650061</v>
      </c>
      <c r="S690" s="3" t="s">
        <v>31</v>
      </c>
      <c r="T690" s="3" t="s">
        <v>32</v>
      </c>
      <c r="U690" s="10">
        <v>9310019900999</v>
      </c>
      <c r="V690" s="3">
        <v>0.1</v>
      </c>
      <c r="W690" s="3">
        <f t="shared" si="109"/>
        <v>0</v>
      </c>
      <c r="AA690" s="3">
        <v>28</v>
      </c>
    </row>
    <row r="691" spans="1:27" x14ac:dyDescent="0.3">
      <c r="A691" s="3" t="str">
        <f t="shared" si="100"/>
        <v>East9310019999097</v>
      </c>
      <c r="B691" s="3" t="str">
        <f t="shared" si="101"/>
        <v>KGP9310019999097</v>
      </c>
      <c r="C691" s="10">
        <v>9310019999097</v>
      </c>
      <c r="D691" s="10" t="str">
        <f t="shared" si="102"/>
        <v>9310019999</v>
      </c>
      <c r="E691" s="3" t="s">
        <v>6</v>
      </c>
      <c r="F691" s="3" t="s">
        <v>66</v>
      </c>
      <c r="H691" s="3">
        <v>2.4189750000000005</v>
      </c>
      <c r="I691" s="10">
        <f t="shared" si="103"/>
        <v>39.630795864030731</v>
      </c>
      <c r="J691" s="3">
        <v>1.831132795035906</v>
      </c>
      <c r="K691" s="3">
        <v>0</v>
      </c>
      <c r="L691" s="3">
        <f t="shared" si="104"/>
        <v>0</v>
      </c>
      <c r="N691" s="11">
        <f t="shared" si="105"/>
        <v>0.58784220496409456</v>
      </c>
      <c r="O691" s="3">
        <v>1.831132795035906</v>
      </c>
      <c r="P691" s="11">
        <f t="shared" si="106"/>
        <v>9.6307958640307323</v>
      </c>
      <c r="Q691" s="12">
        <f t="shared" si="107"/>
        <v>9.6307958640307323</v>
      </c>
      <c r="R691" s="13">
        <f t="shared" si="108"/>
        <v>17.765600858039242</v>
      </c>
      <c r="S691" s="3" t="s">
        <v>31</v>
      </c>
      <c r="T691" s="3" t="s">
        <v>32</v>
      </c>
      <c r="U691" s="10">
        <v>0</v>
      </c>
      <c r="V691" s="3">
        <v>0</v>
      </c>
      <c r="W691" s="3">
        <f t="shared" si="109"/>
        <v>0</v>
      </c>
      <c r="AA691" s="3">
        <v>28</v>
      </c>
    </row>
    <row r="692" spans="1:27" x14ac:dyDescent="0.3">
      <c r="A692" s="3" t="str">
        <f t="shared" si="100"/>
        <v>East9310099999097</v>
      </c>
      <c r="B692" s="3" t="str">
        <f t="shared" si="101"/>
        <v>KGP9310099999097</v>
      </c>
      <c r="C692" s="10">
        <v>9310099999097</v>
      </c>
      <c r="D692" s="10" t="str">
        <f t="shared" si="102"/>
        <v>9310099999</v>
      </c>
      <c r="E692" s="3" t="s">
        <v>6</v>
      </c>
      <c r="F692" s="3" t="s">
        <v>66</v>
      </c>
      <c r="H692" s="3">
        <v>0</v>
      </c>
      <c r="I692" s="10">
        <f t="shared" si="103"/>
        <v>0</v>
      </c>
      <c r="J692" s="3">
        <v>1.8108852488999998</v>
      </c>
      <c r="K692" s="3">
        <v>14</v>
      </c>
      <c r="L692" s="3">
        <f t="shared" si="104"/>
        <v>0</v>
      </c>
      <c r="N692" s="11">
        <f t="shared" si="105"/>
        <v>-1.8108852488999998</v>
      </c>
      <c r="O692" s="3">
        <v>1.8108852488999998</v>
      </c>
      <c r="P692" s="11">
        <f t="shared" si="106"/>
        <v>-30</v>
      </c>
      <c r="Q692" s="12">
        <f t="shared" si="107"/>
        <v>-30</v>
      </c>
      <c r="R692" s="13">
        <f t="shared" si="108"/>
        <v>-30</v>
      </c>
      <c r="S692" s="3">
        <v>0</v>
      </c>
      <c r="T692" s="3" t="s">
        <v>32</v>
      </c>
      <c r="U692" s="10">
        <v>0</v>
      </c>
      <c r="V692" s="3">
        <v>0</v>
      </c>
      <c r="W692" s="3">
        <f t="shared" si="109"/>
        <v>0</v>
      </c>
      <c r="AA692" s="3">
        <v>28</v>
      </c>
    </row>
    <row r="693" spans="1:27" x14ac:dyDescent="0.3">
      <c r="A693" s="3" t="str">
        <f t="shared" si="100"/>
        <v>East9160709999219</v>
      </c>
      <c r="B693" s="3" t="str">
        <f t="shared" si="101"/>
        <v>KGP9160709999219</v>
      </c>
      <c r="C693" s="10">
        <v>9160709999219</v>
      </c>
      <c r="D693" s="10" t="str">
        <f t="shared" si="102"/>
        <v>9160709999</v>
      </c>
      <c r="E693" s="3" t="s">
        <v>6</v>
      </c>
      <c r="F693" s="3" t="s">
        <v>66</v>
      </c>
      <c r="H693" s="3">
        <v>16.555499999999999</v>
      </c>
      <c r="I693" s="10">
        <f t="shared" si="103"/>
        <v>295.10800084114044</v>
      </c>
      <c r="J693" s="3">
        <v>1.6829940177303415</v>
      </c>
      <c r="K693" s="3">
        <v>0</v>
      </c>
      <c r="L693" s="3">
        <f t="shared" si="104"/>
        <v>0</v>
      </c>
      <c r="N693" s="11">
        <f t="shared" si="105"/>
        <v>14.872505982269658</v>
      </c>
      <c r="O693" s="3">
        <v>1.6829940177303415</v>
      </c>
      <c r="P693" s="11">
        <f t="shared" si="106"/>
        <v>265.10800084114049</v>
      </c>
      <c r="Q693" s="12">
        <f t="shared" si="107"/>
        <v>265.10800084114044</v>
      </c>
      <c r="R693" s="13">
        <f t="shared" si="108"/>
        <v>105.2313732458948</v>
      </c>
      <c r="S693" s="3" t="s">
        <v>31</v>
      </c>
      <c r="T693" s="3" t="s">
        <v>34</v>
      </c>
      <c r="U693" s="10">
        <v>0</v>
      </c>
      <c r="V693" s="3">
        <v>0</v>
      </c>
      <c r="W693" s="3">
        <f t="shared" si="109"/>
        <v>0</v>
      </c>
      <c r="AA693" s="3">
        <v>28</v>
      </c>
    </row>
    <row r="694" spans="1:27" x14ac:dyDescent="0.3">
      <c r="A694" s="3" t="str">
        <f t="shared" si="100"/>
        <v>East9310029999297</v>
      </c>
      <c r="B694" s="3" t="str">
        <f t="shared" si="101"/>
        <v>KGP9310029999297</v>
      </c>
      <c r="C694" s="10">
        <v>9310029999297</v>
      </c>
      <c r="D694" s="10" t="str">
        <f t="shared" si="102"/>
        <v>9310029999</v>
      </c>
      <c r="E694" s="3" t="s">
        <v>6</v>
      </c>
      <c r="F694" s="3" t="s">
        <v>66</v>
      </c>
      <c r="H694" s="3">
        <v>4.3777499999999998</v>
      </c>
      <c r="I694" s="10">
        <f t="shared" si="103"/>
        <v>4228.9453743790909</v>
      </c>
      <c r="J694" s="3">
        <v>3.1055615141229561E-2</v>
      </c>
      <c r="K694" s="3">
        <v>0</v>
      </c>
      <c r="L694" s="3">
        <f t="shared" si="104"/>
        <v>0</v>
      </c>
      <c r="N694" s="11">
        <f t="shared" si="105"/>
        <v>4.34669438485877</v>
      </c>
      <c r="O694" s="3">
        <v>3.1055615141229561E-2</v>
      </c>
      <c r="P694" s="11">
        <f t="shared" si="106"/>
        <v>4198.94537437909</v>
      </c>
      <c r="Q694" s="12">
        <f t="shared" si="107"/>
        <v>4198.9453743790909</v>
      </c>
      <c r="R694" s="13">
        <f t="shared" si="108"/>
        <v>1144.2916541959814</v>
      </c>
      <c r="S694" s="3" t="s">
        <v>31</v>
      </c>
      <c r="T694" s="3" t="s">
        <v>32</v>
      </c>
      <c r="U694" s="10">
        <v>9310029900999</v>
      </c>
      <c r="V694" s="3">
        <v>0.1</v>
      </c>
      <c r="W694" s="3">
        <f t="shared" si="109"/>
        <v>0</v>
      </c>
      <c r="AA694" s="3">
        <v>28</v>
      </c>
    </row>
    <row r="695" spans="1:27" x14ac:dyDescent="0.3">
      <c r="A695" s="3" t="str">
        <f t="shared" si="100"/>
        <v>East9310029999219</v>
      </c>
      <c r="B695" s="3" t="str">
        <f t="shared" si="101"/>
        <v>KGP9310029999219</v>
      </c>
      <c r="C695" s="10">
        <v>9310029999219</v>
      </c>
      <c r="D695" s="10" t="str">
        <f t="shared" si="102"/>
        <v>9310029999</v>
      </c>
      <c r="E695" s="3" t="s">
        <v>6</v>
      </c>
      <c r="F695" s="3" t="s">
        <v>66</v>
      </c>
      <c r="H695" s="3">
        <v>0.78</v>
      </c>
      <c r="I695" s="10">
        <f t="shared" si="103"/>
        <v>906.22053957119181</v>
      </c>
      <c r="J695" s="3">
        <v>2.5821529062972335E-2</v>
      </c>
      <c r="K695" s="3">
        <v>0</v>
      </c>
      <c r="L695" s="3">
        <f t="shared" si="104"/>
        <v>0</v>
      </c>
      <c r="N695" s="11">
        <f t="shared" si="105"/>
        <v>0.75417847093702772</v>
      </c>
      <c r="O695" s="3">
        <v>2.5821529062972335E-2</v>
      </c>
      <c r="P695" s="11">
        <f t="shared" si="106"/>
        <v>876.22053957119181</v>
      </c>
      <c r="Q695" s="12">
        <f t="shared" si="107"/>
        <v>876.22053957119192</v>
      </c>
      <c r="R695" s="13">
        <f t="shared" si="108"/>
        <v>390.88539054406084</v>
      </c>
      <c r="S695" s="3" t="s">
        <v>31</v>
      </c>
      <c r="T695" s="3" t="s">
        <v>32</v>
      </c>
      <c r="U695" s="10">
        <v>9310029900999</v>
      </c>
      <c r="V695" s="3">
        <v>0.1</v>
      </c>
      <c r="W695" s="3">
        <f t="shared" si="109"/>
        <v>0</v>
      </c>
      <c r="AA695" s="3">
        <v>28</v>
      </c>
    </row>
    <row r="696" spans="1:27" x14ac:dyDescent="0.3">
      <c r="A696" s="3" t="str">
        <f t="shared" si="100"/>
        <v>East9310029999839</v>
      </c>
      <c r="B696" s="3" t="str">
        <f t="shared" si="101"/>
        <v>KGP9310029999839</v>
      </c>
      <c r="C696" s="10">
        <v>9310029999839</v>
      </c>
      <c r="D696" s="10" t="str">
        <f t="shared" si="102"/>
        <v>9310029999</v>
      </c>
      <c r="E696" s="3" t="s">
        <v>6</v>
      </c>
      <c r="F696" s="3" t="s">
        <v>66</v>
      </c>
      <c r="H696" s="3">
        <v>0.87359999999999993</v>
      </c>
      <c r="I696" s="10">
        <f t="shared" si="103"/>
        <v>2548.7558748154579</v>
      </c>
      <c r="J696" s="3">
        <v>1.0282663890631573E-2</v>
      </c>
      <c r="K696" s="3">
        <v>0</v>
      </c>
      <c r="L696" s="3">
        <f t="shared" si="104"/>
        <v>0</v>
      </c>
      <c r="N696" s="11">
        <f t="shared" si="105"/>
        <v>0.86331733610936834</v>
      </c>
      <c r="O696" s="3">
        <v>1.0282663890631573E-2</v>
      </c>
      <c r="P696" s="11">
        <f t="shared" si="106"/>
        <v>2518.7558748154579</v>
      </c>
      <c r="Q696" s="12">
        <f t="shared" si="107"/>
        <v>2518.7558748154584</v>
      </c>
      <c r="R696" s="13">
        <f t="shared" si="108"/>
        <v>277.8965501161872</v>
      </c>
      <c r="S696" s="3" t="s">
        <v>31</v>
      </c>
      <c r="T696" s="3" t="s">
        <v>32</v>
      </c>
      <c r="U696" s="10">
        <v>0</v>
      </c>
      <c r="V696" s="3">
        <v>0</v>
      </c>
      <c r="W696" s="3">
        <f t="shared" si="109"/>
        <v>0</v>
      </c>
      <c r="AA696" s="3">
        <v>28</v>
      </c>
    </row>
    <row r="697" spans="1:27" x14ac:dyDescent="0.3">
      <c r="A697" s="3" t="str">
        <f t="shared" si="100"/>
        <v>East9310029999097</v>
      </c>
      <c r="B697" s="3" t="str">
        <f t="shared" si="101"/>
        <v>KGP9310029999097</v>
      </c>
      <c r="C697" s="10">
        <v>9310029999097</v>
      </c>
      <c r="D697" s="10" t="str">
        <f t="shared" si="102"/>
        <v>9310029999</v>
      </c>
      <c r="E697" s="3" t="s">
        <v>6</v>
      </c>
      <c r="F697" s="3" t="s">
        <v>66</v>
      </c>
      <c r="H697" s="3">
        <v>1.1056500000000002</v>
      </c>
      <c r="I697" s="10">
        <f t="shared" si="103"/>
        <v>4692.0278148843508</v>
      </c>
      <c r="J697" s="3">
        <v>7.0693314934701795E-3</v>
      </c>
      <c r="K697" s="3">
        <v>0</v>
      </c>
      <c r="L697" s="3">
        <f t="shared" si="104"/>
        <v>0</v>
      </c>
      <c r="N697" s="11">
        <f t="shared" si="105"/>
        <v>1.09858066850653</v>
      </c>
      <c r="O697" s="3">
        <v>7.0693314934701795E-3</v>
      </c>
      <c r="P697" s="11">
        <f t="shared" si="106"/>
        <v>4662.0278148843508</v>
      </c>
      <c r="Q697" s="12">
        <f t="shared" si="107"/>
        <v>4662.0278148843508</v>
      </c>
      <c r="R697" s="13">
        <f t="shared" si="108"/>
        <v>354.59273598559759</v>
      </c>
      <c r="S697" s="3" t="s">
        <v>31</v>
      </c>
      <c r="T697" s="3" t="s">
        <v>32</v>
      </c>
      <c r="U697" s="10">
        <v>0</v>
      </c>
      <c r="V697" s="3">
        <v>0</v>
      </c>
      <c r="W697" s="3">
        <f t="shared" si="109"/>
        <v>0</v>
      </c>
      <c r="AA697" s="3">
        <v>28</v>
      </c>
    </row>
    <row r="698" spans="1:27" x14ac:dyDescent="0.3">
      <c r="A698" s="3" t="str">
        <f t="shared" si="100"/>
        <v>East9160709999097</v>
      </c>
      <c r="B698" s="3" t="str">
        <f t="shared" si="101"/>
        <v>KGP9160709999097</v>
      </c>
      <c r="C698" s="10">
        <v>9160709999097</v>
      </c>
      <c r="D698" s="10" t="str">
        <f t="shared" si="102"/>
        <v>9160709999</v>
      </c>
      <c r="E698" s="3" t="s">
        <v>6</v>
      </c>
      <c r="F698" s="3" t="s">
        <v>66</v>
      </c>
      <c r="H698" s="3">
        <v>0</v>
      </c>
      <c r="I698" s="10">
        <f t="shared" si="103"/>
        <v>0</v>
      </c>
      <c r="J698" s="3">
        <v>0</v>
      </c>
      <c r="K698" s="3">
        <v>0</v>
      </c>
      <c r="L698" s="3">
        <f t="shared" si="104"/>
        <v>0</v>
      </c>
      <c r="N698" s="11">
        <f t="shared" si="105"/>
        <v>0</v>
      </c>
      <c r="O698" s="3">
        <v>0</v>
      </c>
      <c r="P698" s="11">
        <f t="shared" si="106"/>
        <v>9999</v>
      </c>
      <c r="Q698" s="12">
        <f t="shared" si="107"/>
        <v>9999</v>
      </c>
      <c r="R698" s="13">
        <f t="shared" si="108"/>
        <v>9999</v>
      </c>
      <c r="S698" s="3" t="s">
        <v>31</v>
      </c>
      <c r="T698" s="3" t="s">
        <v>34</v>
      </c>
      <c r="U698" s="10" t="s">
        <v>72</v>
      </c>
      <c r="V698" s="3" t="s">
        <v>72</v>
      </c>
      <c r="W698" s="3">
        <f t="shared" si="109"/>
        <v>0</v>
      </c>
      <c r="AA698" s="3">
        <v>28</v>
      </c>
    </row>
    <row r="699" spans="1:27" x14ac:dyDescent="0.3">
      <c r="A699" s="3" t="str">
        <f t="shared" si="100"/>
        <v>East9160509999097</v>
      </c>
      <c r="B699" s="3" t="str">
        <f t="shared" si="101"/>
        <v>KGP9160509999097</v>
      </c>
      <c r="C699" s="10">
        <v>9160509999097</v>
      </c>
      <c r="D699" s="10" t="str">
        <f t="shared" si="102"/>
        <v>9160509999</v>
      </c>
      <c r="E699" s="3" t="s">
        <v>6</v>
      </c>
      <c r="F699" s="3" t="s">
        <v>66</v>
      </c>
      <c r="H699" s="3">
        <v>0</v>
      </c>
      <c r="I699" s="10">
        <f t="shared" si="103"/>
        <v>0</v>
      </c>
      <c r="J699" s="3">
        <v>0</v>
      </c>
      <c r="K699" s="3">
        <v>0</v>
      </c>
      <c r="L699" s="3">
        <f t="shared" si="104"/>
        <v>0</v>
      </c>
      <c r="N699" s="11">
        <f t="shared" si="105"/>
        <v>0</v>
      </c>
      <c r="O699" s="3">
        <v>0</v>
      </c>
      <c r="P699" s="11">
        <f t="shared" si="106"/>
        <v>9999</v>
      </c>
      <c r="Q699" s="12">
        <f t="shared" si="107"/>
        <v>9999</v>
      </c>
      <c r="R699" s="13">
        <f t="shared" si="108"/>
        <v>9999</v>
      </c>
      <c r="S699" s="3" t="s">
        <v>31</v>
      </c>
      <c r="T699" s="3" t="s">
        <v>34</v>
      </c>
      <c r="U699" s="10" t="s">
        <v>72</v>
      </c>
      <c r="V699" s="3" t="s">
        <v>72</v>
      </c>
      <c r="W699" s="3">
        <f t="shared" si="109"/>
        <v>0</v>
      </c>
      <c r="AA699" s="3">
        <v>28</v>
      </c>
    </row>
    <row r="700" spans="1:27" x14ac:dyDescent="0.3">
      <c r="A700" s="3" t="str">
        <f t="shared" si="100"/>
        <v>East9420049999838</v>
      </c>
      <c r="B700" s="3" t="str">
        <f t="shared" si="101"/>
        <v>KGP9420049999838</v>
      </c>
      <c r="C700" s="10">
        <v>9420049999838</v>
      </c>
      <c r="D700" s="10" t="str">
        <f t="shared" si="102"/>
        <v>9420049999</v>
      </c>
      <c r="E700" s="3" t="s">
        <v>6</v>
      </c>
      <c r="F700" s="3" t="s">
        <v>66</v>
      </c>
      <c r="H700" s="3">
        <v>0</v>
      </c>
      <c r="I700" s="10">
        <f t="shared" si="103"/>
        <v>0</v>
      </c>
      <c r="J700" s="3">
        <v>0</v>
      </c>
      <c r="K700" s="3">
        <v>0</v>
      </c>
      <c r="L700" s="3">
        <f t="shared" si="104"/>
        <v>0</v>
      </c>
      <c r="N700" s="11">
        <f t="shared" si="105"/>
        <v>0</v>
      </c>
      <c r="O700" s="3">
        <v>0</v>
      </c>
      <c r="P700" s="11">
        <f t="shared" si="106"/>
        <v>9999</v>
      </c>
      <c r="Q700" s="12">
        <f t="shared" si="107"/>
        <v>9999</v>
      </c>
      <c r="R700" s="13">
        <f t="shared" si="108"/>
        <v>-30</v>
      </c>
      <c r="S700" s="3" t="s">
        <v>31</v>
      </c>
      <c r="T700" s="3" t="s">
        <v>28</v>
      </c>
      <c r="U700" s="10">
        <v>0</v>
      </c>
      <c r="V700" s="3">
        <v>0</v>
      </c>
      <c r="W700" s="3">
        <f t="shared" si="109"/>
        <v>0</v>
      </c>
      <c r="AA700" s="3">
        <v>28</v>
      </c>
    </row>
    <row r="701" spans="1:27" x14ac:dyDescent="0.3">
      <c r="A701" s="3" t="str">
        <f t="shared" si="100"/>
        <v>East9420049999195</v>
      </c>
      <c r="B701" s="3" t="str">
        <f t="shared" si="101"/>
        <v>KGP9420049999195</v>
      </c>
      <c r="C701" s="10">
        <v>9420049999195</v>
      </c>
      <c r="D701" s="10" t="str">
        <f t="shared" si="102"/>
        <v>9420049999</v>
      </c>
      <c r="E701" s="3" t="s">
        <v>6</v>
      </c>
      <c r="F701" s="3" t="s">
        <v>66</v>
      </c>
      <c r="H701" s="3">
        <v>0.17099999999999996</v>
      </c>
      <c r="I701" s="10">
        <f t="shared" si="103"/>
        <v>0</v>
      </c>
      <c r="J701" s="3">
        <v>0</v>
      </c>
      <c r="K701" s="3">
        <v>0</v>
      </c>
      <c r="L701" s="3">
        <f t="shared" si="104"/>
        <v>0</v>
      </c>
      <c r="N701" s="11">
        <f t="shared" si="105"/>
        <v>0.17099999999999996</v>
      </c>
      <c r="O701" s="3">
        <v>0</v>
      </c>
      <c r="P701" s="11">
        <f t="shared" si="106"/>
        <v>9999</v>
      </c>
      <c r="Q701" s="12">
        <f t="shared" si="107"/>
        <v>9999</v>
      </c>
      <c r="R701" s="13">
        <f t="shared" si="108"/>
        <v>1347.2670042698451</v>
      </c>
      <c r="S701" s="3" t="s">
        <v>31</v>
      </c>
      <c r="T701" s="3" t="s">
        <v>28</v>
      </c>
      <c r="U701" s="10">
        <v>0</v>
      </c>
      <c r="V701" s="3">
        <v>0</v>
      </c>
      <c r="W701" s="3">
        <f t="shared" si="109"/>
        <v>0</v>
      </c>
      <c r="AA701" s="3">
        <v>28</v>
      </c>
    </row>
    <row r="702" spans="1:27" x14ac:dyDescent="0.3">
      <c r="A702" s="3" t="str">
        <f t="shared" si="100"/>
        <v>West9410149999190</v>
      </c>
      <c r="B702" s="3" t="str">
        <f t="shared" si="101"/>
        <v>Mah9410149999190</v>
      </c>
      <c r="C702" s="10">
        <v>9410149999190</v>
      </c>
      <c r="D702" s="10" t="str">
        <f t="shared" si="102"/>
        <v>9410149999</v>
      </c>
      <c r="E702" s="3" t="s">
        <v>1</v>
      </c>
      <c r="F702" s="3" t="s">
        <v>63</v>
      </c>
      <c r="H702" s="3">
        <v>3.3711002999999997</v>
      </c>
      <c r="I702" s="10">
        <f t="shared" si="103"/>
        <v>98.759406839152476</v>
      </c>
      <c r="J702" s="3">
        <v>1.024034188102338</v>
      </c>
      <c r="K702" s="3">
        <v>0</v>
      </c>
      <c r="L702" s="3">
        <f t="shared" si="104"/>
        <v>0</v>
      </c>
      <c r="M702" s="32"/>
      <c r="N702" s="11">
        <f t="shared" si="105"/>
        <v>2.3470661118976617</v>
      </c>
      <c r="O702" s="3">
        <v>1.024034188102338</v>
      </c>
      <c r="P702" s="11">
        <f t="shared" si="106"/>
        <v>68.759406839152476</v>
      </c>
      <c r="Q702" s="12">
        <f t="shared" si="107"/>
        <v>68.759406839152476</v>
      </c>
      <c r="R702" s="13">
        <f t="shared" si="108"/>
        <v>68.759406839152476</v>
      </c>
      <c r="S702" s="3" t="s">
        <v>31</v>
      </c>
      <c r="T702" s="3" t="s">
        <v>32</v>
      </c>
      <c r="U702" s="10">
        <v>0</v>
      </c>
      <c r="V702" s="3">
        <v>0</v>
      </c>
      <c r="W702" s="3">
        <f t="shared" si="109"/>
        <v>0</v>
      </c>
      <c r="Y702" s="3">
        <v>0</v>
      </c>
      <c r="Z702" s="3">
        <v>105</v>
      </c>
      <c r="AA702" s="3">
        <v>29.5</v>
      </c>
    </row>
    <row r="703" spans="1:27" x14ac:dyDescent="0.3">
      <c r="A703" s="3" t="str">
        <f t="shared" si="100"/>
        <v>West9410149999836</v>
      </c>
      <c r="B703" s="3" t="str">
        <f t="shared" si="101"/>
        <v>Mah9410149999836</v>
      </c>
      <c r="C703" s="10">
        <v>9410149999836</v>
      </c>
      <c r="D703" s="10" t="str">
        <f t="shared" si="102"/>
        <v>9410149999</v>
      </c>
      <c r="E703" s="3" t="s">
        <v>1</v>
      </c>
      <c r="F703" s="3" t="s">
        <v>63</v>
      </c>
      <c r="H703" s="3">
        <v>6.1056000000000008</v>
      </c>
      <c r="I703" s="10">
        <f t="shared" si="103"/>
        <v>415.04631454004812</v>
      </c>
      <c r="J703" s="3">
        <v>0.44131942287690401</v>
      </c>
      <c r="K703" s="3">
        <v>0</v>
      </c>
      <c r="L703" s="3">
        <f t="shared" si="104"/>
        <v>0</v>
      </c>
      <c r="N703" s="11">
        <f t="shared" si="105"/>
        <v>5.6642805771230966</v>
      </c>
      <c r="O703" s="3">
        <v>0.44131942287690401</v>
      </c>
      <c r="P703" s="11">
        <f t="shared" si="106"/>
        <v>385.04631454004812</v>
      </c>
      <c r="Q703" s="12">
        <f t="shared" si="107"/>
        <v>385.04631454004817</v>
      </c>
      <c r="R703" s="13">
        <f t="shared" si="108"/>
        <v>385.04631454004817</v>
      </c>
      <c r="S703" s="3" t="s">
        <v>31</v>
      </c>
      <c r="T703" s="3" t="s">
        <v>32</v>
      </c>
      <c r="U703" s="10">
        <v>0</v>
      </c>
      <c r="V703" s="3">
        <v>0</v>
      </c>
      <c r="W703" s="3">
        <f t="shared" si="109"/>
        <v>0</v>
      </c>
      <c r="AA703" s="3">
        <v>29.5</v>
      </c>
    </row>
    <row r="704" spans="1:27" x14ac:dyDescent="0.3">
      <c r="A704" s="3" t="str">
        <f t="shared" si="100"/>
        <v>West9410149901320</v>
      </c>
      <c r="B704" s="3" t="str">
        <f t="shared" si="101"/>
        <v>Mah9410149901320</v>
      </c>
      <c r="C704" s="14">
        <v>9410149901320</v>
      </c>
      <c r="D704" s="10" t="str">
        <f t="shared" si="102"/>
        <v>9410149901</v>
      </c>
      <c r="E704" s="3" t="s">
        <v>1</v>
      </c>
      <c r="F704" s="3" t="s">
        <v>63</v>
      </c>
      <c r="H704" s="3">
        <v>44.179999999999993</v>
      </c>
      <c r="I704" s="10">
        <f t="shared" si="103"/>
        <v>64.107336628465006</v>
      </c>
      <c r="J704" s="3">
        <v>20.674700739501542</v>
      </c>
      <c r="K704" s="3">
        <v>30</v>
      </c>
      <c r="L704" s="3">
        <f t="shared" si="104"/>
        <v>0</v>
      </c>
      <c r="M704" s="32"/>
      <c r="N704" s="11">
        <f t="shared" si="105"/>
        <v>23.50529926049845</v>
      </c>
      <c r="O704" s="3">
        <v>20.674700739501542</v>
      </c>
      <c r="P704" s="11">
        <f t="shared" si="106"/>
        <v>34.107336628465006</v>
      </c>
      <c r="Q704" s="12">
        <f t="shared" si="107"/>
        <v>34.107336628465006</v>
      </c>
      <c r="R704" s="13">
        <f t="shared" si="108"/>
        <v>34.107336628465006</v>
      </c>
      <c r="S704" s="3" t="s">
        <v>30</v>
      </c>
      <c r="T704" s="3" t="s">
        <v>32</v>
      </c>
      <c r="U704" s="10">
        <v>9410149900999</v>
      </c>
      <c r="V704" s="3">
        <v>0.1</v>
      </c>
      <c r="W704" s="3">
        <f t="shared" si="109"/>
        <v>3</v>
      </c>
      <c r="Y704" s="3">
        <v>0</v>
      </c>
      <c r="Z704" s="3">
        <v>0</v>
      </c>
      <c r="AA704" s="3">
        <v>30</v>
      </c>
    </row>
    <row r="705" spans="1:27" x14ac:dyDescent="0.3">
      <c r="A705" s="3" t="str">
        <f t="shared" si="100"/>
        <v>West9410149900320</v>
      </c>
      <c r="B705" s="3" t="str">
        <f t="shared" si="101"/>
        <v>Mah9410149900320</v>
      </c>
      <c r="C705" s="14">
        <v>9410149900320</v>
      </c>
      <c r="D705" s="10" t="str">
        <f t="shared" si="102"/>
        <v>9410149900</v>
      </c>
      <c r="E705" s="3" t="s">
        <v>1</v>
      </c>
      <c r="F705" s="3" t="s">
        <v>63</v>
      </c>
      <c r="H705" s="3">
        <v>12.259999999999996</v>
      </c>
      <c r="I705" s="10">
        <f t="shared" si="103"/>
        <v>42.756277969812182</v>
      </c>
      <c r="J705" s="3">
        <v>8.6022455055531939</v>
      </c>
      <c r="K705" s="3">
        <v>30</v>
      </c>
      <c r="L705" s="3">
        <f t="shared" si="104"/>
        <v>0</v>
      </c>
      <c r="M705" s="32"/>
      <c r="N705" s="11">
        <f t="shared" si="105"/>
        <v>3.6577544944468023</v>
      </c>
      <c r="O705" s="3">
        <v>8.6022455055531939</v>
      </c>
      <c r="P705" s="11">
        <f t="shared" si="106"/>
        <v>12.756277969812182</v>
      </c>
      <c r="Q705" s="12">
        <f t="shared" si="107"/>
        <v>12.756277969812182</v>
      </c>
      <c r="R705" s="13">
        <f t="shared" si="108"/>
        <v>12.756277969812182</v>
      </c>
      <c r="S705" s="3" t="s">
        <v>31</v>
      </c>
      <c r="T705" s="3" t="s">
        <v>32</v>
      </c>
      <c r="U705" s="10">
        <v>9410149900999</v>
      </c>
      <c r="V705" s="3">
        <v>0.1</v>
      </c>
      <c r="W705" s="3">
        <f t="shared" si="109"/>
        <v>3</v>
      </c>
      <c r="Y705" s="3">
        <v>0</v>
      </c>
      <c r="Z705" s="3">
        <v>330</v>
      </c>
      <c r="AA705" s="3">
        <v>30</v>
      </c>
    </row>
    <row r="706" spans="1:27" x14ac:dyDescent="0.3">
      <c r="A706" s="3" t="str">
        <f t="shared" si="100"/>
        <v>West9410039913320</v>
      </c>
      <c r="B706" s="3" t="str">
        <f t="shared" si="101"/>
        <v>Mah9410039913320</v>
      </c>
      <c r="C706" s="14">
        <v>9410039913320</v>
      </c>
      <c r="D706" s="10" t="str">
        <f t="shared" si="102"/>
        <v>9410039913</v>
      </c>
      <c r="E706" s="3" t="s">
        <v>1</v>
      </c>
      <c r="F706" s="3" t="s">
        <v>63</v>
      </c>
      <c r="H706" s="3">
        <v>0.23899999999999996</v>
      </c>
      <c r="I706" s="10">
        <f t="shared" si="103"/>
        <v>0.85852068808578075</v>
      </c>
      <c r="J706" s="3">
        <v>8.3515750983086328</v>
      </c>
      <c r="K706" s="3">
        <v>15</v>
      </c>
      <c r="L706" s="3">
        <f t="shared" si="104"/>
        <v>0</v>
      </c>
      <c r="M706" s="32"/>
      <c r="N706" s="11">
        <f t="shared" si="105"/>
        <v>-8.112575098308632</v>
      </c>
      <c r="O706" s="3">
        <v>8.3515750983086328</v>
      </c>
      <c r="P706" s="11">
        <f t="shared" si="106"/>
        <v>-29.141479311914217</v>
      </c>
      <c r="Q706" s="12">
        <f t="shared" si="107"/>
        <v>-29.141479311914214</v>
      </c>
      <c r="R706" s="13">
        <f t="shared" si="108"/>
        <v>-24.610155052378161</v>
      </c>
      <c r="S706" s="3" t="s">
        <v>30</v>
      </c>
      <c r="T706" s="3" t="s">
        <v>32</v>
      </c>
      <c r="U706" s="10">
        <v>9410039913999</v>
      </c>
      <c r="V706" s="3">
        <v>0.1</v>
      </c>
      <c r="W706" s="3">
        <f t="shared" si="109"/>
        <v>1.5</v>
      </c>
      <c r="Y706" s="3">
        <v>0</v>
      </c>
      <c r="Z706" s="3">
        <v>272</v>
      </c>
      <c r="AA706" s="3">
        <v>30</v>
      </c>
    </row>
    <row r="707" spans="1:27" x14ac:dyDescent="0.3">
      <c r="A707" s="3" t="str">
        <f t="shared" si="100"/>
        <v>West9410149901310</v>
      </c>
      <c r="B707" s="3" t="str">
        <f t="shared" si="101"/>
        <v>Mah9410149901310</v>
      </c>
      <c r="C707" s="10">
        <v>9410149901310</v>
      </c>
      <c r="D707" s="10" t="str">
        <f t="shared" si="102"/>
        <v>9410149901</v>
      </c>
      <c r="E707" s="3" t="s">
        <v>1</v>
      </c>
      <c r="F707" s="3" t="s">
        <v>63</v>
      </c>
      <c r="H707" s="3">
        <v>21.11</v>
      </c>
      <c r="I707" s="10">
        <f t="shared" si="103"/>
        <v>83.685481396641734</v>
      </c>
      <c r="J707" s="3">
        <v>7.567620923375773</v>
      </c>
      <c r="K707" s="3">
        <v>0</v>
      </c>
      <c r="L707" s="3">
        <f t="shared" si="104"/>
        <v>0</v>
      </c>
      <c r="M707" s="32"/>
      <c r="N707" s="11">
        <f t="shared" si="105"/>
        <v>13.542379076624226</v>
      </c>
      <c r="O707" s="3">
        <v>7.567620923375773</v>
      </c>
      <c r="P707" s="11">
        <f t="shared" si="106"/>
        <v>53.685481396641734</v>
      </c>
      <c r="Q707" s="12">
        <f t="shared" si="107"/>
        <v>53.685481396641727</v>
      </c>
      <c r="R707" s="13">
        <f t="shared" si="108"/>
        <v>53.685481396641727</v>
      </c>
      <c r="S707" s="3" t="s">
        <v>31</v>
      </c>
      <c r="T707" s="3" t="s">
        <v>32</v>
      </c>
      <c r="U707" s="10">
        <v>9410149900999</v>
      </c>
      <c r="V707" s="3">
        <v>0.1</v>
      </c>
      <c r="W707" s="3">
        <f t="shared" si="109"/>
        <v>0</v>
      </c>
      <c r="Y707" s="3">
        <v>0</v>
      </c>
      <c r="Z707" s="3">
        <v>91</v>
      </c>
      <c r="AA707" s="3">
        <v>30</v>
      </c>
    </row>
    <row r="708" spans="1:27" x14ac:dyDescent="0.3">
      <c r="A708" s="3" t="str">
        <f t="shared" ref="A708:A771" si="110">_xlfn.CONCAT(F708,C708)</f>
        <v>West9410149901840</v>
      </c>
      <c r="B708" s="3" t="str">
        <f t="shared" ref="B708:B771" si="111">_xlfn.CONCAT(E708,C708)</f>
        <v>Mah9410149901840</v>
      </c>
      <c r="C708" s="10">
        <v>9410149901840</v>
      </c>
      <c r="D708" s="10" t="str">
        <f t="shared" ref="D708:D771" si="112">LEFT(C708,10)</f>
        <v>9410149901</v>
      </c>
      <c r="E708" s="3" t="s">
        <v>1</v>
      </c>
      <c r="F708" s="3" t="s">
        <v>63</v>
      </c>
      <c r="H708" s="3">
        <v>26.359999999999996</v>
      </c>
      <c r="I708" s="10">
        <f t="shared" ref="I708:I771" si="113">IFERROR(H708/J708*30,0)</f>
        <v>126.77274586351436</v>
      </c>
      <c r="J708" s="3">
        <v>6.2379338288640387</v>
      </c>
      <c r="K708" s="3">
        <v>0</v>
      </c>
      <c r="L708" s="3">
        <f t="shared" ref="L708:L771" si="114">M708*G708</f>
        <v>0</v>
      </c>
      <c r="M708" s="32"/>
      <c r="N708" s="11">
        <f t="shared" ref="N708:N771" si="115">H708-J708+L708</f>
        <v>20.122066171135955</v>
      </c>
      <c r="O708" s="3">
        <v>6.2379338288640387</v>
      </c>
      <c r="P708" s="11">
        <f t="shared" ref="P708:P771" si="116">IF(O708=0,9999,N708/O708*30)</f>
        <v>96.772745863514345</v>
      </c>
      <c r="Q708" s="12">
        <f t="shared" ref="Q708:Q771" si="117">IF(SUMIF($A:$A,$A708,$O:$O)=0,9999,SUMIF($A:$A,$A708,$N:$N)*30/SUMIF($A:$A,$A708,$O:$O))</f>
        <v>96.772745863514359</v>
      </c>
      <c r="R708" s="13">
        <f t="shared" ref="R708:R771" si="118">IF(SUMIF($C:$C,$C708,$O:$O)=0,9999,SUMIF($C:$C,$C708,$N:$N)*30/SUMIF($C:$C,$C708,$O:$O))</f>
        <v>96.772745863514359</v>
      </c>
      <c r="S708" s="3" t="s">
        <v>31</v>
      </c>
      <c r="T708" s="3" t="s">
        <v>32</v>
      </c>
      <c r="U708" s="10">
        <v>0</v>
      </c>
      <c r="V708" s="3">
        <v>0</v>
      </c>
      <c r="W708" s="3">
        <f t="shared" ref="W708:W771" si="119">IFERROR(K708*V708,0)</f>
        <v>0</v>
      </c>
      <c r="Y708" s="3">
        <v>0</v>
      </c>
      <c r="Z708" s="3">
        <v>0</v>
      </c>
      <c r="AA708" s="3">
        <v>30</v>
      </c>
    </row>
    <row r="709" spans="1:27" ht="15.6" x14ac:dyDescent="0.3">
      <c r="A709" s="3" t="str">
        <f t="shared" si="110"/>
        <v>West9420059900320</v>
      </c>
      <c r="B709" s="3" t="str">
        <f t="shared" si="111"/>
        <v>Mah9420059900320</v>
      </c>
      <c r="C709" s="10">
        <v>9420059900320</v>
      </c>
      <c r="D709" s="10" t="str">
        <f t="shared" si="112"/>
        <v>9420059900</v>
      </c>
      <c r="E709" s="3" t="s">
        <v>1</v>
      </c>
      <c r="F709" s="3" t="s">
        <v>63</v>
      </c>
      <c r="H709" s="3">
        <v>7.58</v>
      </c>
      <c r="I709" s="10">
        <f t="shared" si="113"/>
        <v>63.916516686636101</v>
      </c>
      <c r="J709" s="3">
        <v>3.5577658450142926</v>
      </c>
      <c r="K709" s="3">
        <v>0</v>
      </c>
      <c r="L709" s="3">
        <f t="shared" si="114"/>
        <v>0</v>
      </c>
      <c r="N709" s="11">
        <f t="shared" si="115"/>
        <v>4.022234154985707</v>
      </c>
      <c r="O709" s="3">
        <v>3.5577658450142926</v>
      </c>
      <c r="P709" s="11">
        <f t="shared" si="116"/>
        <v>33.916516686636093</v>
      </c>
      <c r="Q709" s="12">
        <f t="shared" si="117"/>
        <v>33.916516686636086</v>
      </c>
      <c r="R709" s="13">
        <f t="shared" si="118"/>
        <v>11.423436010590386</v>
      </c>
      <c r="S709" s="3" t="s">
        <v>30</v>
      </c>
      <c r="T709" s="3" t="s">
        <v>28</v>
      </c>
      <c r="U709" s="10">
        <v>9420059900999</v>
      </c>
      <c r="V709" s="3">
        <v>0.1</v>
      </c>
      <c r="W709" s="3">
        <f t="shared" si="119"/>
        <v>0</v>
      </c>
      <c r="Y709">
        <v>3</v>
      </c>
      <c r="Z709" s="3">
        <v>23</v>
      </c>
      <c r="AA709">
        <v>30</v>
      </c>
    </row>
    <row r="710" spans="1:27" x14ac:dyDescent="0.3">
      <c r="A710" s="3" t="str">
        <f t="shared" si="110"/>
        <v>West9410149901210</v>
      </c>
      <c r="B710" s="3" t="str">
        <f t="shared" si="111"/>
        <v>Mah9410149901210</v>
      </c>
      <c r="C710" s="10">
        <v>9410149901210</v>
      </c>
      <c r="D710" s="10" t="str">
        <f t="shared" si="112"/>
        <v>9410149901</v>
      </c>
      <c r="E710" s="3" t="s">
        <v>1</v>
      </c>
      <c r="F710" s="3" t="s">
        <v>63</v>
      </c>
      <c r="H710" s="3">
        <v>8.5179999999999954</v>
      </c>
      <c r="I710" s="10">
        <f t="shared" si="113"/>
        <v>76.61583975721426</v>
      </c>
      <c r="J710" s="3">
        <v>3.3353416318319193</v>
      </c>
      <c r="K710" s="3">
        <v>0</v>
      </c>
      <c r="L710" s="3">
        <f t="shared" si="114"/>
        <v>0</v>
      </c>
      <c r="M710" s="32"/>
      <c r="N710" s="11">
        <f t="shared" si="115"/>
        <v>5.1826583681680756</v>
      </c>
      <c r="O710" s="3">
        <v>3.3353416318319193</v>
      </c>
      <c r="P710" s="11">
        <f t="shared" si="116"/>
        <v>46.61583975721426</v>
      </c>
      <c r="Q710" s="12">
        <f t="shared" si="117"/>
        <v>46.61583975721426</v>
      </c>
      <c r="R710" s="13">
        <f t="shared" si="118"/>
        <v>46.61583975721426</v>
      </c>
      <c r="S710" s="3" t="s">
        <v>31</v>
      </c>
      <c r="T710" s="3" t="s">
        <v>32</v>
      </c>
      <c r="U710" s="10">
        <v>0</v>
      </c>
      <c r="V710" s="3">
        <v>0</v>
      </c>
      <c r="W710" s="3">
        <f t="shared" si="119"/>
        <v>0</v>
      </c>
      <c r="Y710" s="3">
        <v>0</v>
      </c>
      <c r="Z710" s="3">
        <v>57.5</v>
      </c>
      <c r="AA710" s="3">
        <v>30</v>
      </c>
    </row>
    <row r="711" spans="1:27" x14ac:dyDescent="0.3">
      <c r="A711" s="3" t="str">
        <f t="shared" si="110"/>
        <v>West9410039913310</v>
      </c>
      <c r="B711" s="3" t="str">
        <f t="shared" si="111"/>
        <v>Mah9410039913310</v>
      </c>
      <c r="C711" s="10">
        <v>9410039913310</v>
      </c>
      <c r="D711" s="10" t="str">
        <f t="shared" si="112"/>
        <v>9410039913</v>
      </c>
      <c r="E711" s="3" t="s">
        <v>1</v>
      </c>
      <c r="F711" s="3" t="s">
        <v>63</v>
      </c>
      <c r="H711" s="3">
        <v>0.84000000000000008</v>
      </c>
      <c r="I711" s="10">
        <f t="shared" si="113"/>
        <v>8.1826942571213248</v>
      </c>
      <c r="J711" s="3">
        <v>3.0796702416283819</v>
      </c>
      <c r="K711" s="3">
        <v>0</v>
      </c>
      <c r="L711" s="3">
        <f t="shared" si="114"/>
        <v>0</v>
      </c>
      <c r="M711" s="32"/>
      <c r="N711" s="11">
        <f t="shared" si="115"/>
        <v>-2.2396702416283816</v>
      </c>
      <c r="O711" s="3">
        <v>3.0796702416283819</v>
      </c>
      <c r="P711" s="11">
        <f t="shared" si="116"/>
        <v>-21.817305742878673</v>
      </c>
      <c r="Q711" s="12">
        <f t="shared" si="117"/>
        <v>-21.817305742878673</v>
      </c>
      <c r="R711" s="13">
        <f t="shared" si="118"/>
        <v>1.878232723294978</v>
      </c>
      <c r="S711" s="3" t="s">
        <v>31</v>
      </c>
      <c r="T711" s="3" t="s">
        <v>32</v>
      </c>
      <c r="U711" s="10">
        <v>9410039913999</v>
      </c>
      <c r="V711" s="3">
        <v>0.1</v>
      </c>
      <c r="W711" s="3">
        <f t="shared" si="119"/>
        <v>0</v>
      </c>
      <c r="Y711" s="3">
        <v>0</v>
      </c>
      <c r="Z711" s="3">
        <v>1587</v>
      </c>
      <c r="AA711" s="3">
        <v>30</v>
      </c>
    </row>
    <row r="712" spans="1:27" x14ac:dyDescent="0.3">
      <c r="A712" s="3" t="str">
        <f t="shared" si="110"/>
        <v>West9410149900840</v>
      </c>
      <c r="B712" s="3" t="str">
        <f t="shared" si="111"/>
        <v>Mah9410149900840</v>
      </c>
      <c r="C712" s="10">
        <v>9410149900840</v>
      </c>
      <c r="D712" s="10" t="str">
        <f t="shared" si="112"/>
        <v>9410149900</v>
      </c>
      <c r="E712" s="3" t="s">
        <v>1</v>
      </c>
      <c r="F712" s="3" t="s">
        <v>63</v>
      </c>
      <c r="H712" s="3">
        <v>4.2040000000000015</v>
      </c>
      <c r="I712" s="10">
        <f t="shared" si="113"/>
        <v>47.372502797596191</v>
      </c>
      <c r="J712" s="3">
        <v>2.6623039221478439</v>
      </c>
      <c r="K712" s="3">
        <v>0</v>
      </c>
      <c r="L712" s="3">
        <f t="shared" si="114"/>
        <v>0</v>
      </c>
      <c r="M712" s="32"/>
      <c r="N712" s="11">
        <f t="shared" si="115"/>
        <v>1.5416960778521576</v>
      </c>
      <c r="O712" s="3">
        <v>2.6623039221478439</v>
      </c>
      <c r="P712" s="11">
        <f t="shared" si="116"/>
        <v>17.372502797596191</v>
      </c>
      <c r="Q712" s="12">
        <f t="shared" si="117"/>
        <v>17.372502797596187</v>
      </c>
      <c r="R712" s="13">
        <f t="shared" si="118"/>
        <v>17.372502797596187</v>
      </c>
      <c r="S712" s="3" t="s">
        <v>31</v>
      </c>
      <c r="T712" s="3" t="s">
        <v>32</v>
      </c>
      <c r="U712" s="10">
        <v>0</v>
      </c>
      <c r="V712" s="3">
        <v>0</v>
      </c>
      <c r="W712" s="3">
        <f t="shared" si="119"/>
        <v>0</v>
      </c>
      <c r="Y712" s="3">
        <v>0</v>
      </c>
      <c r="Z712" s="3">
        <v>46</v>
      </c>
      <c r="AA712" s="3">
        <v>30</v>
      </c>
    </row>
    <row r="713" spans="1:27" x14ac:dyDescent="0.3">
      <c r="A713" s="3" t="str">
        <f t="shared" si="110"/>
        <v>West9410149900310</v>
      </c>
      <c r="B713" s="3" t="str">
        <f t="shared" si="111"/>
        <v>Mah9410149900310</v>
      </c>
      <c r="C713" s="10">
        <v>9410149900310</v>
      </c>
      <c r="D713" s="10" t="str">
        <f t="shared" si="112"/>
        <v>9410149900</v>
      </c>
      <c r="E713" s="3" t="s">
        <v>1</v>
      </c>
      <c r="F713" s="3" t="s">
        <v>63</v>
      </c>
      <c r="H713" s="3">
        <v>11.739999999999998</v>
      </c>
      <c r="I713" s="10">
        <f t="shared" si="113"/>
        <v>143.41099858618915</v>
      </c>
      <c r="J713" s="3">
        <v>2.4558785830385936</v>
      </c>
      <c r="K713" s="3">
        <v>0</v>
      </c>
      <c r="L713" s="3">
        <f t="shared" si="114"/>
        <v>0</v>
      </c>
      <c r="M713" s="32"/>
      <c r="N713" s="11">
        <f t="shared" si="115"/>
        <v>9.2841214169614048</v>
      </c>
      <c r="O713" s="3">
        <v>2.4558785830385936</v>
      </c>
      <c r="P713" s="11">
        <f t="shared" si="116"/>
        <v>113.41099858618915</v>
      </c>
      <c r="Q713" s="12">
        <f t="shared" si="117"/>
        <v>113.41099858618915</v>
      </c>
      <c r="R713" s="13">
        <f t="shared" si="118"/>
        <v>113.41099858618915</v>
      </c>
      <c r="S713" s="3" t="s">
        <v>31</v>
      </c>
      <c r="T713" s="3" t="s">
        <v>32</v>
      </c>
      <c r="U713" s="10">
        <v>9410149900999</v>
      </c>
      <c r="V713" s="3">
        <v>0.1</v>
      </c>
      <c r="W713" s="3">
        <f t="shared" si="119"/>
        <v>0</v>
      </c>
      <c r="Y713" s="3">
        <v>0</v>
      </c>
      <c r="Z713" s="3">
        <v>32</v>
      </c>
      <c r="AA713" s="3">
        <v>30</v>
      </c>
    </row>
    <row r="714" spans="1:27" x14ac:dyDescent="0.3">
      <c r="A714" s="3" t="str">
        <f t="shared" si="110"/>
        <v>West9410039913840</v>
      </c>
      <c r="B714" s="3" t="str">
        <f t="shared" si="111"/>
        <v>Mah9410039913840</v>
      </c>
      <c r="C714" s="10">
        <v>9410039913840</v>
      </c>
      <c r="D714" s="10" t="str">
        <f t="shared" si="112"/>
        <v>9410039913</v>
      </c>
      <c r="E714" s="3" t="s">
        <v>1</v>
      </c>
      <c r="F714" s="3" t="s">
        <v>63</v>
      </c>
      <c r="H714" s="3">
        <v>0.8600000000000001</v>
      </c>
      <c r="I714" s="10">
        <f t="shared" si="113"/>
        <v>14.477937626535375</v>
      </c>
      <c r="J714" s="3">
        <v>1.7820217675695318</v>
      </c>
      <c r="K714" s="3">
        <v>15</v>
      </c>
      <c r="L714" s="3">
        <f t="shared" si="114"/>
        <v>0</v>
      </c>
      <c r="M714" s="32"/>
      <c r="N714" s="11">
        <f t="shared" si="115"/>
        <v>-0.92202176756953169</v>
      </c>
      <c r="O714" s="3">
        <v>1.7820217675695318</v>
      </c>
      <c r="P714" s="11">
        <f t="shared" si="116"/>
        <v>-15.522062373464623</v>
      </c>
      <c r="Q714" s="12">
        <f t="shared" si="117"/>
        <v>-15.522062373464623</v>
      </c>
      <c r="R714" s="13">
        <f t="shared" si="118"/>
        <v>12.253991710375868</v>
      </c>
      <c r="S714" s="3" t="s">
        <v>31</v>
      </c>
      <c r="T714" s="3" t="s">
        <v>32</v>
      </c>
      <c r="U714" s="10">
        <v>0</v>
      </c>
      <c r="V714" s="3">
        <v>0</v>
      </c>
      <c r="W714" s="3">
        <f t="shared" si="119"/>
        <v>0</v>
      </c>
      <c r="Y714" s="3">
        <v>0</v>
      </c>
      <c r="Z714" s="3">
        <v>0</v>
      </c>
      <c r="AA714" s="3">
        <v>30</v>
      </c>
    </row>
    <row r="715" spans="1:27" x14ac:dyDescent="0.3">
      <c r="A715" s="3" t="str">
        <f t="shared" si="110"/>
        <v>West9420059900310</v>
      </c>
      <c r="B715" s="3" t="str">
        <f t="shared" si="111"/>
        <v>Mah9420059900310</v>
      </c>
      <c r="C715" s="10">
        <v>9420059900310</v>
      </c>
      <c r="D715" s="10" t="str">
        <f t="shared" si="112"/>
        <v>9420059900</v>
      </c>
      <c r="E715" s="3" t="s">
        <v>1</v>
      </c>
      <c r="F715" s="3" t="s">
        <v>63</v>
      </c>
      <c r="H715" s="3">
        <v>1.4100000000000001</v>
      </c>
      <c r="I715" s="10">
        <f t="shared" si="113"/>
        <v>25.211298549717036</v>
      </c>
      <c r="J715" s="3">
        <v>1.6778191697101126</v>
      </c>
      <c r="K715" s="3">
        <v>15</v>
      </c>
      <c r="L715" s="3">
        <f t="shared" si="114"/>
        <v>0</v>
      </c>
      <c r="M715" s="32"/>
      <c r="N715" s="11">
        <f t="shared" si="115"/>
        <v>-0.26781916971011244</v>
      </c>
      <c r="O715" s="3">
        <v>1.6778191697101126</v>
      </c>
      <c r="P715" s="11">
        <f t="shared" si="116"/>
        <v>-4.7887014502829635</v>
      </c>
      <c r="Q715" s="12">
        <f t="shared" si="117"/>
        <v>-4.7887014502829635</v>
      </c>
      <c r="R715" s="13">
        <f t="shared" si="118"/>
        <v>6.0010965144808175</v>
      </c>
      <c r="S715" s="3" t="s">
        <v>31</v>
      </c>
      <c r="T715" s="3" t="s">
        <v>28</v>
      </c>
      <c r="U715" s="10">
        <v>9420059900999</v>
      </c>
      <c r="V715" s="3">
        <v>0.1</v>
      </c>
      <c r="W715" s="3">
        <f t="shared" si="119"/>
        <v>1.5</v>
      </c>
      <c r="Y715" s="3">
        <v>0</v>
      </c>
      <c r="Z715" s="3">
        <v>9</v>
      </c>
      <c r="AA715" s="3">
        <v>30</v>
      </c>
    </row>
    <row r="716" spans="1:27" x14ac:dyDescent="0.3">
      <c r="A716" s="3" t="str">
        <f t="shared" si="110"/>
        <v>West9410149900210</v>
      </c>
      <c r="B716" s="3" t="str">
        <f t="shared" si="111"/>
        <v>Mah9410149900210</v>
      </c>
      <c r="C716" s="10">
        <v>9410149900210</v>
      </c>
      <c r="D716" s="10" t="str">
        <f t="shared" si="112"/>
        <v>9410149900</v>
      </c>
      <c r="E716" s="3" t="s">
        <v>1</v>
      </c>
      <c r="F716" s="3" t="s">
        <v>63</v>
      </c>
      <c r="H716" s="3">
        <v>3.9519999999999982</v>
      </c>
      <c r="I716" s="10">
        <f t="shared" si="113"/>
        <v>104.07841006566301</v>
      </c>
      <c r="J716" s="3">
        <v>1.1391411525714172</v>
      </c>
      <c r="K716" s="3">
        <v>0</v>
      </c>
      <c r="L716" s="3">
        <f t="shared" si="114"/>
        <v>0</v>
      </c>
      <c r="M716" s="32"/>
      <c r="N716" s="11">
        <f t="shared" si="115"/>
        <v>2.8128588474285809</v>
      </c>
      <c r="O716" s="3">
        <v>1.1391411525714172</v>
      </c>
      <c r="P716" s="11">
        <f t="shared" si="116"/>
        <v>74.078410065663007</v>
      </c>
      <c r="Q716" s="12">
        <f t="shared" si="117"/>
        <v>74.078410065663007</v>
      </c>
      <c r="R716" s="13">
        <f t="shared" si="118"/>
        <v>74.078410065663007</v>
      </c>
      <c r="S716" s="3" t="s">
        <v>31</v>
      </c>
      <c r="T716" s="3" t="s">
        <v>32</v>
      </c>
      <c r="U716" s="10">
        <v>0</v>
      </c>
      <c r="V716" s="3">
        <v>0</v>
      </c>
      <c r="W716" s="3">
        <f t="shared" si="119"/>
        <v>0</v>
      </c>
      <c r="Y716" s="3">
        <v>0</v>
      </c>
      <c r="Z716" s="3">
        <v>530</v>
      </c>
      <c r="AA716" s="3">
        <v>30</v>
      </c>
    </row>
    <row r="717" spans="1:27" x14ac:dyDescent="0.3">
      <c r="A717" s="3" t="str">
        <f t="shared" si="110"/>
        <v>West9420059900840</v>
      </c>
      <c r="B717" s="3" t="str">
        <f t="shared" si="111"/>
        <v>Mah9420059900840</v>
      </c>
      <c r="C717" s="10">
        <v>9420059900840</v>
      </c>
      <c r="D717" s="10" t="str">
        <f t="shared" si="112"/>
        <v>9420059900</v>
      </c>
      <c r="E717" s="3" t="s">
        <v>1</v>
      </c>
      <c r="F717" s="3" t="s">
        <v>63</v>
      </c>
      <c r="H717" s="10">
        <v>0.85600000000000009</v>
      </c>
      <c r="I717" s="10">
        <f t="shared" si="113"/>
        <v>37.416183085278234</v>
      </c>
      <c r="J717" s="3">
        <v>0.68633403737283005</v>
      </c>
      <c r="K717" s="3">
        <v>0</v>
      </c>
      <c r="L717" s="3">
        <f t="shared" si="114"/>
        <v>0</v>
      </c>
      <c r="N717" s="11">
        <f t="shared" si="115"/>
        <v>0.16966596262717004</v>
      </c>
      <c r="O717" s="3">
        <v>0.68633403737283005</v>
      </c>
      <c r="P717" s="11">
        <f t="shared" si="116"/>
        <v>7.4161830852782336</v>
      </c>
      <c r="Q717" s="12">
        <f t="shared" si="117"/>
        <v>7.4161830852782336</v>
      </c>
      <c r="R717" s="13">
        <f t="shared" si="118"/>
        <v>-15.041796421296725</v>
      </c>
      <c r="S717" s="3" t="s">
        <v>31</v>
      </c>
      <c r="T717" s="3" t="s">
        <v>28</v>
      </c>
      <c r="U717" s="10">
        <v>0</v>
      </c>
      <c r="V717" s="3">
        <v>0</v>
      </c>
      <c r="W717" s="3">
        <f t="shared" si="119"/>
        <v>0</v>
      </c>
      <c r="AA717" s="3">
        <v>30</v>
      </c>
    </row>
    <row r="718" spans="1:27" x14ac:dyDescent="0.3">
      <c r="A718" s="3" t="str">
        <f t="shared" si="110"/>
        <v>West9410039913210</v>
      </c>
      <c r="B718" s="3" t="str">
        <f t="shared" si="111"/>
        <v>Mah9410039913210</v>
      </c>
      <c r="C718" s="10">
        <v>9410039913210</v>
      </c>
      <c r="D718" s="10" t="str">
        <f t="shared" si="112"/>
        <v>9410039913</v>
      </c>
      <c r="E718" s="3" t="s">
        <v>1</v>
      </c>
      <c r="F718" s="3" t="s">
        <v>63</v>
      </c>
      <c r="H718" s="3">
        <v>2.0889999999999995</v>
      </c>
      <c r="I718" s="10">
        <f t="shared" si="113"/>
        <v>101.6141382895721</v>
      </c>
      <c r="J718" s="3">
        <v>0.6167448846676028</v>
      </c>
      <c r="K718" s="3">
        <v>0</v>
      </c>
      <c r="L718" s="3">
        <f t="shared" si="114"/>
        <v>0</v>
      </c>
      <c r="N718" s="11">
        <f t="shared" si="115"/>
        <v>1.4722551153323966</v>
      </c>
      <c r="O718" s="3">
        <v>0.6167448846676028</v>
      </c>
      <c r="P718" s="11">
        <f t="shared" si="116"/>
        <v>71.614138289572082</v>
      </c>
      <c r="Q718" s="12">
        <f t="shared" si="117"/>
        <v>71.614138289572097</v>
      </c>
      <c r="R718" s="13">
        <f t="shared" si="118"/>
        <v>78.02259951781717</v>
      </c>
      <c r="S718" s="3" t="s">
        <v>31</v>
      </c>
      <c r="T718" s="3" t="s">
        <v>32</v>
      </c>
      <c r="U718" s="10">
        <v>0</v>
      </c>
      <c r="V718" s="3">
        <v>0</v>
      </c>
      <c r="W718" s="3">
        <f t="shared" si="119"/>
        <v>0</v>
      </c>
      <c r="AA718" s="3">
        <v>30</v>
      </c>
    </row>
    <row r="719" spans="1:27" x14ac:dyDescent="0.3">
      <c r="A719" s="3" t="str">
        <f t="shared" si="110"/>
        <v>West9420059900210</v>
      </c>
      <c r="B719" s="3" t="str">
        <f t="shared" si="111"/>
        <v>Mah9420059900210</v>
      </c>
      <c r="C719" s="10">
        <v>9420059900210</v>
      </c>
      <c r="D719" s="10" t="str">
        <f t="shared" si="112"/>
        <v>9420059900</v>
      </c>
      <c r="E719" s="3" t="s">
        <v>1</v>
      </c>
      <c r="F719" s="3" t="s">
        <v>63</v>
      </c>
      <c r="H719" s="3">
        <v>0.32999999999999996</v>
      </c>
      <c r="I719" s="10">
        <f t="shared" si="113"/>
        <v>31.60580896282433</v>
      </c>
      <c r="J719" s="3">
        <v>0.31323355816156029</v>
      </c>
      <c r="K719" s="3">
        <v>0</v>
      </c>
      <c r="L719" s="3">
        <f t="shared" si="114"/>
        <v>0</v>
      </c>
      <c r="N719" s="11">
        <f t="shared" si="115"/>
        <v>1.6766441838439672E-2</v>
      </c>
      <c r="O719" s="3">
        <v>0.31323355816156029</v>
      </c>
      <c r="P719" s="11">
        <f t="shared" si="116"/>
        <v>1.6058089628243319</v>
      </c>
      <c r="Q719" s="12">
        <f t="shared" si="117"/>
        <v>1.6058089628243319</v>
      </c>
      <c r="R719" s="13">
        <f t="shared" si="118"/>
        <v>2.7646503276073755</v>
      </c>
      <c r="S719" s="3" t="s">
        <v>31</v>
      </c>
      <c r="T719" s="3" t="s">
        <v>28</v>
      </c>
      <c r="U719" s="10">
        <v>0</v>
      </c>
      <c r="V719" s="3">
        <v>0</v>
      </c>
      <c r="W719" s="3">
        <f t="shared" si="119"/>
        <v>0</v>
      </c>
      <c r="AA719" s="3">
        <v>30</v>
      </c>
    </row>
    <row r="720" spans="1:27" x14ac:dyDescent="0.3">
      <c r="A720" s="3" t="str">
        <f t="shared" si="110"/>
        <v>West9410039902319</v>
      </c>
      <c r="B720" s="3" t="str">
        <f t="shared" si="111"/>
        <v>Mah9410039902319</v>
      </c>
      <c r="C720" s="10">
        <v>9410039902319</v>
      </c>
      <c r="D720" s="10" t="str">
        <f t="shared" si="112"/>
        <v>9410039902</v>
      </c>
      <c r="E720" s="3" t="s">
        <v>1</v>
      </c>
      <c r="F720" s="3" t="s">
        <v>63</v>
      </c>
      <c r="H720" s="3">
        <v>3.99</v>
      </c>
      <c r="I720" s="10">
        <f t="shared" si="113"/>
        <v>1523.3117974288891</v>
      </c>
      <c r="J720" s="3">
        <v>7.8578791421450814E-2</v>
      </c>
      <c r="K720" s="3">
        <v>0</v>
      </c>
      <c r="L720" s="3">
        <f t="shared" si="114"/>
        <v>0</v>
      </c>
      <c r="N720" s="11">
        <f t="shared" si="115"/>
        <v>3.9114212085785494</v>
      </c>
      <c r="O720" s="3">
        <v>7.8578791421450814E-2</v>
      </c>
      <c r="P720" s="11">
        <f t="shared" si="116"/>
        <v>1493.3117974288891</v>
      </c>
      <c r="Q720" s="12">
        <f t="shared" si="117"/>
        <v>1493.3117974288889</v>
      </c>
      <c r="R720" s="13">
        <f t="shared" si="118"/>
        <v>1588.2169228535811</v>
      </c>
      <c r="S720" s="3" t="s">
        <v>31</v>
      </c>
      <c r="T720" s="3" t="s">
        <v>32</v>
      </c>
      <c r="U720" s="10">
        <v>9410039913999</v>
      </c>
      <c r="V720" s="3">
        <v>0.1</v>
      </c>
      <c r="W720" s="3">
        <f t="shared" si="119"/>
        <v>0</v>
      </c>
      <c r="AA720" s="3">
        <v>30</v>
      </c>
    </row>
    <row r="721" spans="1:27" x14ac:dyDescent="0.3">
      <c r="A721" s="3" t="str">
        <f t="shared" si="110"/>
        <v>West9410039902195</v>
      </c>
      <c r="B721" s="3" t="str">
        <f t="shared" si="111"/>
        <v>Mah9410039902195</v>
      </c>
      <c r="C721" s="10">
        <v>9410039902195</v>
      </c>
      <c r="D721" s="10" t="str">
        <f t="shared" si="112"/>
        <v>9410039902</v>
      </c>
      <c r="E721" s="3" t="s">
        <v>1</v>
      </c>
      <c r="F721" s="3" t="s">
        <v>63</v>
      </c>
      <c r="H721" s="3">
        <v>0.89680000000000004</v>
      </c>
      <c r="I721" s="10">
        <f t="shared" si="113"/>
        <v>567.41263607156861</v>
      </c>
      <c r="J721" s="3">
        <v>4.7415228864601033E-2</v>
      </c>
      <c r="K721" s="3">
        <v>0</v>
      </c>
      <c r="L721" s="3">
        <f t="shared" si="114"/>
        <v>0</v>
      </c>
      <c r="N721" s="11">
        <f t="shared" si="115"/>
        <v>0.84938477113539901</v>
      </c>
      <c r="O721" s="3">
        <v>4.7415228864601033E-2</v>
      </c>
      <c r="P721" s="11">
        <f t="shared" si="116"/>
        <v>537.41263607156861</v>
      </c>
      <c r="Q721" s="12">
        <f t="shared" si="117"/>
        <v>537.41263607156861</v>
      </c>
      <c r="R721" s="13">
        <f t="shared" si="118"/>
        <v>1426.4457706037354</v>
      </c>
      <c r="S721" s="3" t="s">
        <v>31</v>
      </c>
      <c r="T721" s="3" t="s">
        <v>32</v>
      </c>
      <c r="U721" s="10">
        <v>0</v>
      </c>
      <c r="V721" s="3">
        <v>0</v>
      </c>
      <c r="W721" s="3">
        <f t="shared" si="119"/>
        <v>0</v>
      </c>
      <c r="AA721" s="3">
        <v>30</v>
      </c>
    </row>
    <row r="722" spans="1:27" x14ac:dyDescent="0.3">
      <c r="A722" s="3" t="str">
        <f t="shared" si="110"/>
        <v>West9410039902838</v>
      </c>
      <c r="B722" s="3" t="str">
        <f t="shared" si="111"/>
        <v>Mah9410039902838</v>
      </c>
      <c r="C722" s="10">
        <v>9410039902838</v>
      </c>
      <c r="D722" s="10" t="str">
        <f t="shared" si="112"/>
        <v>9410039902</v>
      </c>
      <c r="E722" s="3" t="s">
        <v>1</v>
      </c>
      <c r="F722" s="3" t="s">
        <v>63</v>
      </c>
      <c r="H722" s="3">
        <v>3.2604000000000006</v>
      </c>
      <c r="I722" s="10">
        <f t="shared" si="113"/>
        <v>3270.7650311180937</v>
      </c>
      <c r="J722" s="3">
        <v>2.9904930213395214E-2</v>
      </c>
      <c r="K722" s="3">
        <v>0</v>
      </c>
      <c r="L722" s="3">
        <f t="shared" si="114"/>
        <v>0</v>
      </c>
      <c r="N722" s="11">
        <f t="shared" si="115"/>
        <v>3.2304950697866053</v>
      </c>
      <c r="O722" s="3">
        <v>2.9904930213395214E-2</v>
      </c>
      <c r="P722" s="11">
        <f t="shared" si="116"/>
        <v>3240.7650311180937</v>
      </c>
      <c r="Q722" s="12">
        <f t="shared" si="117"/>
        <v>3240.7650311180937</v>
      </c>
      <c r="R722" s="13">
        <f t="shared" si="118"/>
        <v>19340.266627370947</v>
      </c>
      <c r="S722" s="3" t="s">
        <v>31</v>
      </c>
      <c r="T722" s="3" t="s">
        <v>32</v>
      </c>
      <c r="U722" s="10">
        <v>0</v>
      </c>
      <c r="V722" s="3">
        <v>0</v>
      </c>
      <c r="W722" s="3">
        <f t="shared" si="119"/>
        <v>0</v>
      </c>
      <c r="AA722" s="3">
        <v>30</v>
      </c>
    </row>
    <row r="723" spans="1:27" x14ac:dyDescent="0.3">
      <c r="A723" s="3" t="str">
        <f t="shared" si="110"/>
        <v>West9410039902295</v>
      </c>
      <c r="B723" s="3" t="str">
        <f t="shared" si="111"/>
        <v>Mah9410039902295</v>
      </c>
      <c r="C723" s="10">
        <v>9410039902295</v>
      </c>
      <c r="D723" s="10" t="str">
        <f t="shared" si="112"/>
        <v>9410039902</v>
      </c>
      <c r="E723" s="3" t="s">
        <v>1</v>
      </c>
      <c r="F723" s="3" t="s">
        <v>63</v>
      </c>
      <c r="H723" s="3">
        <v>3.3440000000000003</v>
      </c>
      <c r="I723" s="10">
        <f t="shared" si="113"/>
        <v>8945.6769797343004</v>
      </c>
      <c r="J723" s="3">
        <v>1.1214355294436269E-2</v>
      </c>
      <c r="K723" s="3">
        <v>0</v>
      </c>
      <c r="L723" s="3">
        <f t="shared" si="114"/>
        <v>0</v>
      </c>
      <c r="N723" s="11">
        <f t="shared" si="115"/>
        <v>3.3327856447055639</v>
      </c>
      <c r="O723" s="3">
        <v>1.1214355294436269E-2</v>
      </c>
      <c r="P723" s="11">
        <f t="shared" si="116"/>
        <v>8915.6769797343004</v>
      </c>
      <c r="Q723" s="12">
        <f t="shared" si="117"/>
        <v>8915.6769797343004</v>
      </c>
      <c r="R723" s="13">
        <f t="shared" si="118"/>
        <v>14507.811824597666</v>
      </c>
      <c r="S723" s="3" t="s">
        <v>31</v>
      </c>
      <c r="T723" s="3" t="s">
        <v>32</v>
      </c>
      <c r="U723" s="10">
        <v>9410039913999</v>
      </c>
      <c r="V723" s="3">
        <v>0.1</v>
      </c>
      <c r="W723" s="3">
        <f t="shared" si="119"/>
        <v>0</v>
      </c>
      <c r="AA723" s="3">
        <v>30</v>
      </c>
    </row>
    <row r="724" spans="1:27" x14ac:dyDescent="0.3">
      <c r="A724" s="3" t="str">
        <f t="shared" si="110"/>
        <v>South9410019902838</v>
      </c>
      <c r="B724" s="3" t="str">
        <f t="shared" si="111"/>
        <v>CMR9410019902838</v>
      </c>
      <c r="C724" s="10">
        <v>9410019902838</v>
      </c>
      <c r="D724" s="10" t="str">
        <f t="shared" si="112"/>
        <v>9410019902</v>
      </c>
      <c r="E724" s="3" t="s">
        <v>5</v>
      </c>
      <c r="F724" s="3" t="s">
        <v>65</v>
      </c>
      <c r="H724" s="3">
        <v>1.6340000000000001</v>
      </c>
      <c r="I724" s="10">
        <f t="shared" si="113"/>
        <v>39.860512797396218</v>
      </c>
      <c r="J724" s="3">
        <v>1.2297884939202814</v>
      </c>
      <c r="K724" s="3">
        <v>0</v>
      </c>
      <c r="L724" s="3">
        <f t="shared" si="114"/>
        <v>0</v>
      </c>
      <c r="N724" s="11">
        <f t="shared" si="115"/>
        <v>0.40421150607971867</v>
      </c>
      <c r="O724" s="3">
        <v>1.2297884939202814</v>
      </c>
      <c r="P724" s="11">
        <f t="shared" si="116"/>
        <v>9.8605127973962201</v>
      </c>
      <c r="Q724" s="12">
        <f t="shared" si="117"/>
        <v>2.1236761485244311</v>
      </c>
      <c r="R724" s="13">
        <f t="shared" si="118"/>
        <v>24.377359140430364</v>
      </c>
      <c r="S724" s="3" t="s">
        <v>31</v>
      </c>
      <c r="T724" s="3" t="s">
        <v>32</v>
      </c>
      <c r="U724" s="10">
        <v>0</v>
      </c>
      <c r="V724" s="3">
        <v>0</v>
      </c>
      <c r="W724" s="3">
        <f t="shared" si="119"/>
        <v>0</v>
      </c>
      <c r="AA724" s="3">
        <v>30</v>
      </c>
    </row>
    <row r="725" spans="1:27" x14ac:dyDescent="0.3">
      <c r="A725" s="3" t="str">
        <f t="shared" si="110"/>
        <v>South9410019902195</v>
      </c>
      <c r="B725" s="3" t="str">
        <f t="shared" si="111"/>
        <v>CMR9410019902195</v>
      </c>
      <c r="C725" s="10">
        <v>9410019902195</v>
      </c>
      <c r="D725" s="10" t="str">
        <f t="shared" si="112"/>
        <v>9410019902</v>
      </c>
      <c r="E725" s="3" t="s">
        <v>5</v>
      </c>
      <c r="F725" s="3" t="s">
        <v>65</v>
      </c>
      <c r="H725" s="3">
        <v>1.28155</v>
      </c>
      <c r="I725" s="10">
        <f t="shared" si="113"/>
        <v>53.842180138544229</v>
      </c>
      <c r="J725" s="3">
        <v>0.71405912429755314</v>
      </c>
      <c r="K725" s="3">
        <v>0</v>
      </c>
      <c r="L725" s="3">
        <f t="shared" si="114"/>
        <v>0</v>
      </c>
      <c r="N725" s="11">
        <f t="shared" si="115"/>
        <v>0.56749087570244683</v>
      </c>
      <c r="O725" s="3">
        <v>0.71405912429755314</v>
      </c>
      <c r="P725" s="11">
        <f t="shared" si="116"/>
        <v>23.842180138544226</v>
      </c>
      <c r="Q725" s="12">
        <f t="shared" si="117"/>
        <v>19.644148428774638</v>
      </c>
      <c r="R725" s="13">
        <f t="shared" si="118"/>
        <v>42.341008548262515</v>
      </c>
      <c r="S725" s="3" t="s">
        <v>31</v>
      </c>
      <c r="T725" s="3" t="s">
        <v>32</v>
      </c>
      <c r="U725" s="10">
        <v>0</v>
      </c>
      <c r="V725" s="3">
        <v>0</v>
      </c>
      <c r="W725" s="3">
        <f t="shared" si="119"/>
        <v>0</v>
      </c>
      <c r="AA725" s="3">
        <v>30</v>
      </c>
    </row>
    <row r="726" spans="1:27" x14ac:dyDescent="0.3">
      <c r="A726" s="3" t="str">
        <f t="shared" si="110"/>
        <v>South9410019902319</v>
      </c>
      <c r="B726" s="3" t="str">
        <f t="shared" si="111"/>
        <v>CMR9410019902319</v>
      </c>
      <c r="C726" s="10">
        <v>9410019902319</v>
      </c>
      <c r="D726" s="10" t="str">
        <f t="shared" si="112"/>
        <v>9410019902</v>
      </c>
      <c r="E726" s="3" t="s">
        <v>5</v>
      </c>
      <c r="F726" s="3" t="s">
        <v>65</v>
      </c>
      <c r="H726" s="3">
        <v>1.9950000000000001</v>
      </c>
      <c r="I726" s="10">
        <f t="shared" si="113"/>
        <v>326.28514651738539</v>
      </c>
      <c r="J726" s="3">
        <v>0.18342851533025895</v>
      </c>
      <c r="K726" s="3">
        <v>0</v>
      </c>
      <c r="L726" s="3">
        <f t="shared" si="114"/>
        <v>0</v>
      </c>
      <c r="N726" s="11">
        <f t="shared" si="115"/>
        <v>1.8115714846697411</v>
      </c>
      <c r="O726" s="3">
        <v>0.18342851533025895</v>
      </c>
      <c r="P726" s="11">
        <f t="shared" si="116"/>
        <v>296.28514651738533</v>
      </c>
      <c r="Q726" s="12">
        <f t="shared" si="117"/>
        <v>281.02774108262429</v>
      </c>
      <c r="R726" s="13">
        <f t="shared" si="118"/>
        <v>817.45792202059476</v>
      </c>
      <c r="S726" s="3" t="s">
        <v>31</v>
      </c>
      <c r="T726" s="3" t="s">
        <v>32</v>
      </c>
      <c r="U726" s="10">
        <v>9410019900999</v>
      </c>
      <c r="V726" s="3">
        <v>0.1</v>
      </c>
      <c r="W726" s="3">
        <f t="shared" si="119"/>
        <v>0</v>
      </c>
      <c r="AA726" s="3">
        <v>30</v>
      </c>
    </row>
    <row r="727" spans="1:27" x14ac:dyDescent="0.3">
      <c r="A727" s="3" t="str">
        <f t="shared" si="110"/>
        <v>South9410019902295</v>
      </c>
      <c r="B727" s="3" t="str">
        <f t="shared" si="111"/>
        <v>CMR9410019902295</v>
      </c>
      <c r="C727" s="10">
        <v>9410019902295</v>
      </c>
      <c r="D727" s="10" t="str">
        <f t="shared" si="112"/>
        <v>9410019902</v>
      </c>
      <c r="E727" s="3" t="s">
        <v>5</v>
      </c>
      <c r="F727" s="3" t="s">
        <v>65</v>
      </c>
      <c r="H727" s="3">
        <v>0.17100000000000001</v>
      </c>
      <c r="I727" s="10">
        <f t="shared" si="113"/>
        <v>130.63044885970481</v>
      </c>
      <c r="J727" s="3">
        <v>3.9271089127999134E-2</v>
      </c>
      <c r="K727" s="3">
        <v>0</v>
      </c>
      <c r="L727" s="3">
        <f t="shared" si="114"/>
        <v>0</v>
      </c>
      <c r="N727" s="11">
        <f t="shared" si="115"/>
        <v>0.13172891087200089</v>
      </c>
      <c r="O727" s="3">
        <v>3.9271089127999134E-2</v>
      </c>
      <c r="P727" s="11">
        <f t="shared" si="116"/>
        <v>100.63044885970481</v>
      </c>
      <c r="Q727" s="12">
        <f t="shared" si="117"/>
        <v>38.16392455897077</v>
      </c>
      <c r="R727" s="13">
        <f t="shared" si="118"/>
        <v>173.07710804149639</v>
      </c>
      <c r="S727" s="3" t="s">
        <v>31</v>
      </c>
      <c r="T727" s="3" t="s">
        <v>32</v>
      </c>
      <c r="U727" s="10">
        <v>9410019900999</v>
      </c>
      <c r="V727" s="3">
        <v>0.1</v>
      </c>
      <c r="W727" s="3">
        <f t="shared" si="119"/>
        <v>0</v>
      </c>
      <c r="AA727" s="3">
        <v>30</v>
      </c>
    </row>
    <row r="728" spans="1:27" x14ac:dyDescent="0.3">
      <c r="A728" s="3" t="str">
        <f t="shared" si="110"/>
        <v>North9420059901320</v>
      </c>
      <c r="B728" s="3" t="str">
        <f t="shared" si="111"/>
        <v>Pan9420059901320</v>
      </c>
      <c r="C728" s="10">
        <v>9420059901320</v>
      </c>
      <c r="D728" s="10" t="str">
        <f t="shared" si="112"/>
        <v>9420059901</v>
      </c>
      <c r="E728" s="3" t="s">
        <v>2</v>
      </c>
      <c r="F728" s="3" t="s">
        <v>64</v>
      </c>
      <c r="H728" s="3">
        <v>22.939999999999998</v>
      </c>
      <c r="I728" s="10">
        <f t="shared" si="113"/>
        <v>14.262101546704461</v>
      </c>
      <c r="J728" s="3">
        <v>48.253758237966139</v>
      </c>
      <c r="K728" s="3">
        <v>69.75</v>
      </c>
      <c r="L728" s="3">
        <f t="shared" si="114"/>
        <v>0</v>
      </c>
      <c r="N728" s="11">
        <f t="shared" si="115"/>
        <v>-25.313758237966141</v>
      </c>
      <c r="O728" s="3">
        <v>48.253758237966139</v>
      </c>
      <c r="P728" s="11">
        <f t="shared" si="116"/>
        <v>-15.737898453295539</v>
      </c>
      <c r="Q728" s="12">
        <f t="shared" si="117"/>
        <v>-9.2190084096866318</v>
      </c>
      <c r="R728" s="13">
        <f t="shared" si="118"/>
        <v>-2.9292804868373241</v>
      </c>
      <c r="S728" s="3" t="s">
        <v>29</v>
      </c>
      <c r="T728" s="3" t="s">
        <v>28</v>
      </c>
      <c r="U728" s="10">
        <v>9420059900999</v>
      </c>
      <c r="V728" s="3">
        <v>0.1</v>
      </c>
      <c r="W728" s="3">
        <f t="shared" si="119"/>
        <v>6.9750000000000005</v>
      </c>
      <c r="AA728" s="3">
        <v>31</v>
      </c>
    </row>
    <row r="729" spans="1:27" x14ac:dyDescent="0.3">
      <c r="A729" s="3" t="str">
        <f t="shared" si="110"/>
        <v>North9420059901310</v>
      </c>
      <c r="B729" s="3" t="str">
        <f t="shared" si="111"/>
        <v>Pan9420059901310</v>
      </c>
      <c r="C729" s="10">
        <v>9420059901310</v>
      </c>
      <c r="D729" s="10" t="str">
        <f t="shared" si="112"/>
        <v>9420059901</v>
      </c>
      <c r="E729" s="3" t="s">
        <v>2</v>
      </c>
      <c r="F729" s="3" t="s">
        <v>64</v>
      </c>
      <c r="H729" s="3">
        <v>17.61</v>
      </c>
      <c r="I729" s="10">
        <f t="shared" si="113"/>
        <v>38.35367427475569</v>
      </c>
      <c r="J729" s="3">
        <v>13.774429959836363</v>
      </c>
      <c r="K729" s="3">
        <v>12</v>
      </c>
      <c r="L729" s="3">
        <f t="shared" si="114"/>
        <v>0</v>
      </c>
      <c r="N729" s="11">
        <f t="shared" si="115"/>
        <v>3.8355700401636366</v>
      </c>
      <c r="O729" s="3">
        <v>13.774429959836363</v>
      </c>
      <c r="P729" s="11">
        <f t="shared" si="116"/>
        <v>8.35367427475569</v>
      </c>
      <c r="Q729" s="12">
        <f t="shared" si="117"/>
        <v>7.431940229598256</v>
      </c>
      <c r="R729" s="13">
        <f t="shared" si="118"/>
        <v>11.425874448246407</v>
      </c>
      <c r="S729" s="3" t="s">
        <v>30</v>
      </c>
      <c r="T729" s="3" t="s">
        <v>28</v>
      </c>
      <c r="U729" s="10">
        <v>9420059900999</v>
      </c>
      <c r="V729" s="3">
        <v>0.1</v>
      </c>
      <c r="W729" s="3">
        <f t="shared" si="119"/>
        <v>1.2000000000000002</v>
      </c>
      <c r="AA729" s="3">
        <v>31</v>
      </c>
    </row>
    <row r="730" spans="1:27" x14ac:dyDescent="0.3">
      <c r="A730" s="3" t="str">
        <f t="shared" si="110"/>
        <v>North9420059901840</v>
      </c>
      <c r="B730" s="3" t="str">
        <f t="shared" si="111"/>
        <v>Pan9420059901840</v>
      </c>
      <c r="C730" s="10">
        <v>9420059901840</v>
      </c>
      <c r="D730" s="10" t="str">
        <f t="shared" si="112"/>
        <v>9420059901</v>
      </c>
      <c r="E730" s="3" t="s">
        <v>2</v>
      </c>
      <c r="F730" s="3" t="s">
        <v>64</v>
      </c>
      <c r="H730" s="3">
        <v>6.4880000000000004</v>
      </c>
      <c r="I730" s="10">
        <f t="shared" si="113"/>
        <v>30.599421636233615</v>
      </c>
      <c r="J730" s="3">
        <v>6.360904539761675</v>
      </c>
      <c r="K730" s="3">
        <v>7.75</v>
      </c>
      <c r="L730" s="3">
        <f t="shared" si="114"/>
        <v>0</v>
      </c>
      <c r="N730" s="11">
        <f t="shared" si="115"/>
        <v>0.12709546023832541</v>
      </c>
      <c r="O730" s="3">
        <v>6.360904539761675</v>
      </c>
      <c r="P730" s="11">
        <f t="shared" si="116"/>
        <v>0.59942163623361333</v>
      </c>
      <c r="Q730" s="12">
        <f t="shared" si="117"/>
        <v>-8.112833734751761E-3</v>
      </c>
      <c r="R730" s="13">
        <f t="shared" si="118"/>
        <v>10.165483682719454</v>
      </c>
      <c r="S730" s="3" t="s">
        <v>30</v>
      </c>
      <c r="T730" s="3" t="s">
        <v>28</v>
      </c>
      <c r="U730" s="10">
        <v>0</v>
      </c>
      <c r="V730" s="3">
        <v>0</v>
      </c>
      <c r="W730" s="3">
        <f t="shared" si="119"/>
        <v>0</v>
      </c>
      <c r="AA730" s="3">
        <v>31</v>
      </c>
    </row>
    <row r="731" spans="1:27" x14ac:dyDescent="0.3">
      <c r="A731" s="3" t="str">
        <f t="shared" si="110"/>
        <v>North9420059901210</v>
      </c>
      <c r="B731" s="3" t="str">
        <f t="shared" si="111"/>
        <v>Pan9420059901210</v>
      </c>
      <c r="C731" s="10">
        <v>9420059901210</v>
      </c>
      <c r="D731" s="10" t="str">
        <f t="shared" si="112"/>
        <v>9420059901</v>
      </c>
      <c r="E731" s="3" t="s">
        <v>2</v>
      </c>
      <c r="F731" s="3" t="s">
        <v>64</v>
      </c>
      <c r="H731" s="3">
        <v>5.4660000000000002</v>
      </c>
      <c r="I731" s="10">
        <f t="shared" si="113"/>
        <v>71.63597681651035</v>
      </c>
      <c r="J731" s="3">
        <v>2.2890732741736914</v>
      </c>
      <c r="K731" s="3">
        <v>0</v>
      </c>
      <c r="L731" s="3">
        <f t="shared" si="114"/>
        <v>0</v>
      </c>
      <c r="N731" s="11">
        <f t="shared" si="115"/>
        <v>3.1769267258263088</v>
      </c>
      <c r="O731" s="3">
        <v>2.2890732741736914</v>
      </c>
      <c r="P731" s="11">
        <f t="shared" si="116"/>
        <v>41.63597681651035</v>
      </c>
      <c r="Q731" s="12">
        <f t="shared" si="117"/>
        <v>34.730083739439785</v>
      </c>
      <c r="R731" s="13">
        <f t="shared" si="118"/>
        <v>19.510512160893086</v>
      </c>
      <c r="S731" s="3" t="s">
        <v>31</v>
      </c>
      <c r="T731" s="3" t="s">
        <v>28</v>
      </c>
      <c r="U731" s="10">
        <v>0</v>
      </c>
      <c r="V731" s="3">
        <v>0</v>
      </c>
      <c r="W731" s="3">
        <f t="shared" si="119"/>
        <v>0</v>
      </c>
      <c r="AA731" s="3">
        <v>31</v>
      </c>
    </row>
    <row r="732" spans="1:27" ht="15.6" x14ac:dyDescent="0.3">
      <c r="A732" s="3" t="str">
        <f t="shared" si="110"/>
        <v>West9161089900320</v>
      </c>
      <c r="B732" s="3" t="str">
        <f t="shared" si="111"/>
        <v>Mah9161089900320</v>
      </c>
      <c r="C732" s="14">
        <v>9161089900320</v>
      </c>
      <c r="D732" s="10" t="str">
        <f t="shared" si="112"/>
        <v>9161089900</v>
      </c>
      <c r="E732" s="3" t="s">
        <v>1</v>
      </c>
      <c r="F732" s="3" t="s">
        <v>63</v>
      </c>
      <c r="G732"/>
      <c r="H732" s="3">
        <v>74.28</v>
      </c>
      <c r="I732" s="10">
        <f t="shared" si="113"/>
        <v>50.74866162478385</v>
      </c>
      <c r="J732" s="3">
        <v>43.910517610807851</v>
      </c>
      <c r="K732" s="3">
        <v>64</v>
      </c>
      <c r="L732" s="3">
        <f t="shared" si="114"/>
        <v>0</v>
      </c>
      <c r="M732" s="32"/>
      <c r="N732" s="11">
        <f t="shared" si="115"/>
        <v>30.36948238919215</v>
      </c>
      <c r="O732" s="3">
        <v>43.910517610807851</v>
      </c>
      <c r="P732" s="11">
        <f t="shared" si="116"/>
        <v>20.748661624783857</v>
      </c>
      <c r="Q732" s="12">
        <f t="shared" si="117"/>
        <v>20.748661624783853</v>
      </c>
      <c r="R732" s="13">
        <f t="shared" si="118"/>
        <v>27.706955085899509</v>
      </c>
      <c r="S732" s="3" t="s">
        <v>29</v>
      </c>
      <c r="T732" s="3" t="s">
        <v>34</v>
      </c>
      <c r="U732" s="10">
        <v>0</v>
      </c>
      <c r="V732" s="3">
        <v>0</v>
      </c>
      <c r="W732" s="3">
        <f t="shared" si="119"/>
        <v>0</v>
      </c>
      <c r="Y732" s="3">
        <v>0</v>
      </c>
      <c r="Z732" s="3">
        <v>24</v>
      </c>
      <c r="AA732">
        <v>32</v>
      </c>
    </row>
    <row r="733" spans="1:27" x14ac:dyDescent="0.3">
      <c r="A733" s="3" t="str">
        <f t="shared" si="110"/>
        <v>West9101069900320</v>
      </c>
      <c r="B733" s="3" t="str">
        <f t="shared" si="111"/>
        <v>Mah9101069900320</v>
      </c>
      <c r="C733" s="14">
        <v>9101069900320</v>
      </c>
      <c r="D733" s="10" t="str">
        <f t="shared" si="112"/>
        <v>9101069900</v>
      </c>
      <c r="E733" s="3" t="s">
        <v>1</v>
      </c>
      <c r="F733" s="3" t="s">
        <v>63</v>
      </c>
      <c r="H733" s="3">
        <v>77.52</v>
      </c>
      <c r="I733" s="10">
        <f t="shared" si="113"/>
        <v>60.426985373785691</v>
      </c>
      <c r="J733" s="3">
        <v>38.486116519208103</v>
      </c>
      <c r="K733" s="3">
        <v>32</v>
      </c>
      <c r="L733" s="3">
        <f t="shared" si="114"/>
        <v>0</v>
      </c>
      <c r="M733" s="32"/>
      <c r="N733" s="11">
        <f t="shared" si="115"/>
        <v>39.033883480791893</v>
      </c>
      <c r="O733" s="3">
        <v>38.486116519208103</v>
      </c>
      <c r="P733" s="11">
        <f t="shared" si="116"/>
        <v>30.426985373785694</v>
      </c>
      <c r="Q733" s="12">
        <f t="shared" si="117"/>
        <v>30.426985373785687</v>
      </c>
      <c r="R733" s="13">
        <f t="shared" si="118"/>
        <v>25.087060035412687</v>
      </c>
      <c r="S733" s="3" t="s">
        <v>29</v>
      </c>
      <c r="T733" s="3" t="s">
        <v>34</v>
      </c>
      <c r="U733" s="10">
        <v>0</v>
      </c>
      <c r="V733" s="3">
        <v>0</v>
      </c>
      <c r="W733" s="3">
        <f t="shared" si="119"/>
        <v>0</v>
      </c>
      <c r="Y733" s="3">
        <v>0</v>
      </c>
      <c r="Z733" s="3">
        <v>32</v>
      </c>
      <c r="AA733" s="3">
        <v>32</v>
      </c>
    </row>
    <row r="734" spans="1:27" x14ac:dyDescent="0.3">
      <c r="A734" s="3" t="str">
        <f t="shared" si="110"/>
        <v>West9420059901320</v>
      </c>
      <c r="B734" s="3" t="str">
        <f t="shared" si="111"/>
        <v>Mah9420059901320</v>
      </c>
      <c r="C734" s="14">
        <v>9420059901320</v>
      </c>
      <c r="D734" s="10" t="str">
        <f t="shared" si="112"/>
        <v>9420059901</v>
      </c>
      <c r="E734" s="3" t="s">
        <v>1</v>
      </c>
      <c r="F734" s="3" t="s">
        <v>63</v>
      </c>
      <c r="H734" s="3">
        <v>34.279999999999994</v>
      </c>
      <c r="I734" s="10">
        <f t="shared" si="113"/>
        <v>40.517982089630337</v>
      </c>
      <c r="J734" s="3">
        <v>25.381323228907682</v>
      </c>
      <c r="K734" s="3">
        <v>24</v>
      </c>
      <c r="L734" s="3">
        <f t="shared" si="114"/>
        <v>0</v>
      </c>
      <c r="M734" s="32"/>
      <c r="N734" s="11">
        <f t="shared" si="115"/>
        <v>8.8986767710923118</v>
      </c>
      <c r="O734" s="3">
        <v>25.381323228907682</v>
      </c>
      <c r="P734" s="11">
        <f t="shared" si="116"/>
        <v>10.517982089630333</v>
      </c>
      <c r="Q734" s="12">
        <f t="shared" si="117"/>
        <v>10.517982089630333</v>
      </c>
      <c r="R734" s="13">
        <f t="shared" si="118"/>
        <v>-2.9292804868373241</v>
      </c>
      <c r="S734" s="3" t="s">
        <v>29</v>
      </c>
      <c r="T734" s="3" t="s">
        <v>28</v>
      </c>
      <c r="U734" s="10">
        <v>9420059900999</v>
      </c>
      <c r="V734" s="3">
        <v>0.1</v>
      </c>
      <c r="W734" s="3">
        <f t="shared" si="119"/>
        <v>2.4000000000000004</v>
      </c>
      <c r="Y734" s="3">
        <v>0</v>
      </c>
      <c r="Z734" s="3">
        <v>11.5</v>
      </c>
      <c r="AA734" s="3">
        <v>32</v>
      </c>
    </row>
    <row r="735" spans="1:27" x14ac:dyDescent="0.3">
      <c r="A735" s="3" t="str">
        <f t="shared" si="110"/>
        <v>West9410019901320</v>
      </c>
      <c r="B735" s="3" t="str">
        <f t="shared" si="111"/>
        <v>Mah9410019901320</v>
      </c>
      <c r="C735" s="14">
        <v>9410019901320</v>
      </c>
      <c r="D735" s="10" t="str">
        <f t="shared" si="112"/>
        <v>9410019901</v>
      </c>
      <c r="E735" s="3" t="s">
        <v>1</v>
      </c>
      <c r="F735" s="3" t="s">
        <v>63</v>
      </c>
      <c r="H735" s="3">
        <v>37.340000000000003</v>
      </c>
      <c r="I735" s="10">
        <f t="shared" si="113"/>
        <v>64.384043775445761</v>
      </c>
      <c r="J735" s="3">
        <v>17.398720774777004</v>
      </c>
      <c r="K735" s="3">
        <v>0</v>
      </c>
      <c r="L735" s="3">
        <f t="shared" si="114"/>
        <v>0</v>
      </c>
      <c r="M735" s="32"/>
      <c r="N735" s="11">
        <f t="shared" si="115"/>
        <v>19.941279225222999</v>
      </c>
      <c r="O735" s="3">
        <v>17.398720774777004</v>
      </c>
      <c r="P735" s="11">
        <f t="shared" si="116"/>
        <v>34.384043775445754</v>
      </c>
      <c r="Q735" s="12">
        <f t="shared" si="117"/>
        <v>34.384043775445754</v>
      </c>
      <c r="R735" s="13">
        <f t="shared" si="118"/>
        <v>43.13809711858017</v>
      </c>
      <c r="S735" s="3" t="s">
        <v>29</v>
      </c>
      <c r="T735" s="3" t="s">
        <v>32</v>
      </c>
      <c r="U735" s="10">
        <v>9410019900999</v>
      </c>
      <c r="V735" s="3">
        <v>0.1</v>
      </c>
      <c r="W735" s="3">
        <f t="shared" si="119"/>
        <v>0</v>
      </c>
      <c r="Y735" s="3">
        <v>0</v>
      </c>
      <c r="Z735" s="3">
        <v>2322</v>
      </c>
      <c r="AA735" s="3">
        <v>32</v>
      </c>
    </row>
    <row r="736" spans="1:27" x14ac:dyDescent="0.3">
      <c r="A736" s="3" t="str">
        <f t="shared" si="110"/>
        <v>West9420059901310</v>
      </c>
      <c r="B736" s="3" t="str">
        <f t="shared" si="111"/>
        <v>Mah9420059901310</v>
      </c>
      <c r="C736" s="14">
        <v>9420059901310</v>
      </c>
      <c r="D736" s="10" t="str">
        <f t="shared" si="112"/>
        <v>9420059901</v>
      </c>
      <c r="E736" s="3" t="s">
        <v>1</v>
      </c>
      <c r="F736" s="3" t="s">
        <v>63</v>
      </c>
      <c r="H736" s="3">
        <v>15.16</v>
      </c>
      <c r="I736" s="10">
        <f t="shared" si="113"/>
        <v>51.749975940036364</v>
      </c>
      <c r="J736" s="3">
        <v>8.7884098830690274</v>
      </c>
      <c r="K736" s="3">
        <v>0</v>
      </c>
      <c r="L736" s="3">
        <f t="shared" si="114"/>
        <v>0</v>
      </c>
      <c r="M736" s="32"/>
      <c r="N736" s="11">
        <f t="shared" si="115"/>
        <v>6.3715901169309728</v>
      </c>
      <c r="O736" s="3">
        <v>8.7884098830690274</v>
      </c>
      <c r="P736" s="11">
        <f t="shared" si="116"/>
        <v>21.749975940036368</v>
      </c>
      <c r="Q736" s="12">
        <f t="shared" si="117"/>
        <v>21.749975940036368</v>
      </c>
      <c r="R736" s="13">
        <f t="shared" si="118"/>
        <v>11.425874448246407</v>
      </c>
      <c r="S736" s="3" t="s">
        <v>30</v>
      </c>
      <c r="T736" s="3" t="s">
        <v>28</v>
      </c>
      <c r="U736" s="10">
        <v>9420059900999</v>
      </c>
      <c r="V736" s="3">
        <v>0.1</v>
      </c>
      <c r="W736" s="3">
        <f t="shared" si="119"/>
        <v>0</v>
      </c>
      <c r="Y736" s="3">
        <v>0</v>
      </c>
      <c r="Z736" s="3">
        <v>144</v>
      </c>
      <c r="AA736" s="3">
        <v>32</v>
      </c>
    </row>
    <row r="737" spans="1:27" x14ac:dyDescent="0.3">
      <c r="A737" s="3" t="str">
        <f t="shared" si="110"/>
        <v>West9410019901310</v>
      </c>
      <c r="B737" s="3" t="str">
        <f t="shared" si="111"/>
        <v>Mah9410019901310</v>
      </c>
      <c r="C737" s="10">
        <v>9410019901310</v>
      </c>
      <c r="D737" s="10" t="str">
        <f t="shared" si="112"/>
        <v>9410019901</v>
      </c>
      <c r="E737" s="3" t="s">
        <v>1</v>
      </c>
      <c r="F737" s="3" t="s">
        <v>63</v>
      </c>
      <c r="H737" s="3">
        <v>16.7</v>
      </c>
      <c r="I737" s="10">
        <f t="shared" si="113"/>
        <v>85.22453977555179</v>
      </c>
      <c r="J737" s="3">
        <v>5.878588506543287</v>
      </c>
      <c r="K737" s="3">
        <v>0</v>
      </c>
      <c r="L737" s="3">
        <f t="shared" si="114"/>
        <v>0</v>
      </c>
      <c r="M737" s="32"/>
      <c r="N737" s="11">
        <f t="shared" si="115"/>
        <v>10.821411493456711</v>
      </c>
      <c r="O737" s="3">
        <v>5.878588506543287</v>
      </c>
      <c r="P737" s="11">
        <f t="shared" si="116"/>
        <v>55.22453977555179</v>
      </c>
      <c r="Q737" s="12">
        <f t="shared" si="117"/>
        <v>55.22453977555179</v>
      </c>
      <c r="R737" s="13">
        <f t="shared" si="118"/>
        <v>32.120956447684101</v>
      </c>
      <c r="S737" s="3" t="s">
        <v>30</v>
      </c>
      <c r="T737" s="3" t="s">
        <v>32</v>
      </c>
      <c r="U737" s="10">
        <v>9410019900999</v>
      </c>
      <c r="V737" s="3">
        <v>0.1</v>
      </c>
      <c r="W737" s="3">
        <f t="shared" si="119"/>
        <v>0</v>
      </c>
      <c r="Y737" s="3">
        <v>0</v>
      </c>
      <c r="Z737" s="3">
        <v>240</v>
      </c>
      <c r="AA737" s="3">
        <v>32</v>
      </c>
    </row>
    <row r="738" spans="1:27" ht="15.6" x14ac:dyDescent="0.3">
      <c r="A738" s="3" t="str">
        <f t="shared" si="110"/>
        <v>West9420059901840</v>
      </c>
      <c r="B738" s="3" t="str">
        <f t="shared" si="111"/>
        <v>Mah9420059901840</v>
      </c>
      <c r="C738" s="10">
        <v>9420059901840</v>
      </c>
      <c r="D738" s="10" t="str">
        <f t="shared" si="112"/>
        <v>9420059901</v>
      </c>
      <c r="E738" s="3" t="s">
        <v>1</v>
      </c>
      <c r="F738" s="3" t="s">
        <v>63</v>
      </c>
      <c r="H738" s="3">
        <v>8.64</v>
      </c>
      <c r="I738" s="10">
        <f t="shared" si="113"/>
        <v>50.810496450855737</v>
      </c>
      <c r="J738" s="3">
        <v>5.1013081568825065</v>
      </c>
      <c r="K738" s="3">
        <v>0</v>
      </c>
      <c r="L738" s="3">
        <f t="shared" si="114"/>
        <v>0</v>
      </c>
      <c r="M738" s="32"/>
      <c r="N738" s="11">
        <f t="shared" si="115"/>
        <v>3.5386918431174941</v>
      </c>
      <c r="O738" s="3">
        <v>5.1013081568825065</v>
      </c>
      <c r="P738" s="11">
        <f t="shared" si="116"/>
        <v>20.810496450855737</v>
      </c>
      <c r="Q738" s="12">
        <f t="shared" si="117"/>
        <v>20.810496450855737</v>
      </c>
      <c r="R738" s="13">
        <f t="shared" si="118"/>
        <v>10.165483682719454</v>
      </c>
      <c r="S738" s="3" t="s">
        <v>30</v>
      </c>
      <c r="T738" s="3" t="s">
        <v>28</v>
      </c>
      <c r="U738" s="10">
        <v>0</v>
      </c>
      <c r="V738" s="3">
        <v>0</v>
      </c>
      <c r="W738" s="3">
        <f t="shared" si="119"/>
        <v>0</v>
      </c>
      <c r="Y738" s="3">
        <v>0</v>
      </c>
      <c r="Z738" s="3">
        <v>10</v>
      </c>
      <c r="AA738">
        <v>32</v>
      </c>
    </row>
    <row r="739" spans="1:27" x14ac:dyDescent="0.3">
      <c r="A739" s="3" t="str">
        <f t="shared" si="110"/>
        <v>West9410019901840</v>
      </c>
      <c r="B739" s="3" t="str">
        <f t="shared" si="111"/>
        <v>Mah9410019901840</v>
      </c>
      <c r="C739" s="10">
        <v>9410019901840</v>
      </c>
      <c r="D739" s="10" t="str">
        <f t="shared" si="112"/>
        <v>9410019901</v>
      </c>
      <c r="E739" s="3" t="s">
        <v>1</v>
      </c>
      <c r="F739" s="3" t="s">
        <v>63</v>
      </c>
      <c r="H739" s="3">
        <v>17.655999999999999</v>
      </c>
      <c r="I739" s="10">
        <f t="shared" si="113"/>
        <v>107.2412306551457</v>
      </c>
      <c r="J739" s="3">
        <v>4.939145110179548</v>
      </c>
      <c r="K739" s="3">
        <v>0</v>
      </c>
      <c r="L739" s="3">
        <f t="shared" si="114"/>
        <v>0</v>
      </c>
      <c r="M739" s="32"/>
      <c r="N739" s="11">
        <f t="shared" si="115"/>
        <v>12.71685488982045</v>
      </c>
      <c r="O739" s="3">
        <v>4.939145110179548</v>
      </c>
      <c r="P739" s="11">
        <f t="shared" si="116"/>
        <v>77.241230655145699</v>
      </c>
      <c r="Q739" s="12">
        <f t="shared" si="117"/>
        <v>77.241230655145699</v>
      </c>
      <c r="R739" s="13">
        <f t="shared" si="118"/>
        <v>37.852173480378191</v>
      </c>
      <c r="S739" s="3" t="s">
        <v>30</v>
      </c>
      <c r="T739" s="3" t="s">
        <v>32</v>
      </c>
      <c r="U739" s="10">
        <v>0</v>
      </c>
      <c r="V739" s="3">
        <v>0</v>
      </c>
      <c r="W739" s="3">
        <f t="shared" si="119"/>
        <v>0</v>
      </c>
      <c r="Y739" s="3">
        <v>0</v>
      </c>
      <c r="Z739" s="3">
        <v>105</v>
      </c>
      <c r="AA739" s="3">
        <v>32</v>
      </c>
    </row>
    <row r="740" spans="1:27" x14ac:dyDescent="0.3">
      <c r="A740" s="3" t="str">
        <f t="shared" si="110"/>
        <v>West9410019900320</v>
      </c>
      <c r="B740" s="3" t="str">
        <f t="shared" si="111"/>
        <v>Mah9410019900320</v>
      </c>
      <c r="C740" s="10">
        <v>9410019900320</v>
      </c>
      <c r="D740" s="10" t="str">
        <f t="shared" si="112"/>
        <v>9410019900</v>
      </c>
      <c r="E740" s="3" t="s">
        <v>1</v>
      </c>
      <c r="F740" s="3" t="s">
        <v>63</v>
      </c>
      <c r="H740" s="3">
        <v>13.52</v>
      </c>
      <c r="I740" s="10">
        <f t="shared" si="113"/>
        <v>97.621813598502882</v>
      </c>
      <c r="J740" s="3">
        <v>4.1548091051467644</v>
      </c>
      <c r="K740" s="3">
        <v>0</v>
      </c>
      <c r="L740" s="3">
        <f t="shared" si="114"/>
        <v>0</v>
      </c>
      <c r="M740" s="32"/>
      <c r="N740" s="11">
        <f t="shared" si="115"/>
        <v>9.3651908948532352</v>
      </c>
      <c r="O740" s="3">
        <v>4.1548091051467644</v>
      </c>
      <c r="P740" s="11">
        <f t="shared" si="116"/>
        <v>67.621813598502882</v>
      </c>
      <c r="Q740" s="12">
        <f t="shared" si="117"/>
        <v>67.621813598502882</v>
      </c>
      <c r="R740" s="13">
        <f t="shared" si="118"/>
        <v>51.132960383204811</v>
      </c>
      <c r="S740" s="3" t="s">
        <v>30</v>
      </c>
      <c r="T740" s="3" t="s">
        <v>32</v>
      </c>
      <c r="U740" s="10">
        <v>9410019900999</v>
      </c>
      <c r="V740" s="3">
        <v>0.1</v>
      </c>
      <c r="W740" s="3">
        <f t="shared" si="119"/>
        <v>0</v>
      </c>
      <c r="Y740" s="3">
        <v>0</v>
      </c>
      <c r="Z740" s="3">
        <v>40</v>
      </c>
      <c r="AA740" s="3">
        <v>32</v>
      </c>
    </row>
    <row r="741" spans="1:27" x14ac:dyDescent="0.3">
      <c r="A741" s="3" t="str">
        <f t="shared" si="110"/>
        <v>West9160909902219</v>
      </c>
      <c r="B741" s="3" t="str">
        <f t="shared" si="111"/>
        <v>Mah9160909902219</v>
      </c>
      <c r="C741" s="10">
        <v>9160909902219</v>
      </c>
      <c r="D741" s="10" t="str">
        <f t="shared" si="112"/>
        <v>9160909902</v>
      </c>
      <c r="E741" s="3" t="s">
        <v>1</v>
      </c>
      <c r="F741" s="3" t="s">
        <v>63</v>
      </c>
      <c r="H741" s="3">
        <v>14.352000000000004</v>
      </c>
      <c r="I741" s="10">
        <f t="shared" si="113"/>
        <v>115.32985397126519</v>
      </c>
      <c r="J741" s="3">
        <v>3.73329181624799</v>
      </c>
      <c r="K741" s="3">
        <v>0</v>
      </c>
      <c r="L741" s="3">
        <f t="shared" si="114"/>
        <v>0</v>
      </c>
      <c r="M741" s="32"/>
      <c r="N741" s="11">
        <f t="shared" si="115"/>
        <v>10.618708183752014</v>
      </c>
      <c r="O741" s="3">
        <v>3.73329181624799</v>
      </c>
      <c r="P741" s="11">
        <f t="shared" si="116"/>
        <v>85.329853971265194</v>
      </c>
      <c r="Q741" s="12">
        <f t="shared" si="117"/>
        <v>85.329853971265209</v>
      </c>
      <c r="R741" s="13">
        <f t="shared" si="118"/>
        <v>109.1236064775905</v>
      </c>
      <c r="S741" s="3" t="s">
        <v>31</v>
      </c>
      <c r="T741" s="3" t="s">
        <v>34</v>
      </c>
      <c r="U741" s="10">
        <v>0</v>
      </c>
      <c r="V741" s="3">
        <v>0</v>
      </c>
      <c r="W741" s="3">
        <f t="shared" si="119"/>
        <v>0</v>
      </c>
      <c r="Y741" s="3">
        <v>0</v>
      </c>
      <c r="Z741" s="3">
        <v>184</v>
      </c>
      <c r="AA741" s="3">
        <v>32</v>
      </c>
    </row>
    <row r="742" spans="1:27" x14ac:dyDescent="0.3">
      <c r="A742" s="3" t="str">
        <f t="shared" si="110"/>
        <v>West9410019901210</v>
      </c>
      <c r="B742" s="3" t="str">
        <f t="shared" si="111"/>
        <v>Mah9410019901210</v>
      </c>
      <c r="C742" s="10">
        <v>9410019901210</v>
      </c>
      <c r="D742" s="10" t="str">
        <f t="shared" si="112"/>
        <v>9410019901</v>
      </c>
      <c r="E742" s="3" t="s">
        <v>1</v>
      </c>
      <c r="F742" s="3" t="s">
        <v>63</v>
      </c>
      <c r="H742" s="3">
        <v>13.890999999999998</v>
      </c>
      <c r="I742" s="10">
        <f t="shared" si="113"/>
        <v>132.05856943994777</v>
      </c>
      <c r="J742" s="3">
        <v>3.1556452698777981</v>
      </c>
      <c r="K742" s="3">
        <v>0</v>
      </c>
      <c r="L742" s="3">
        <f t="shared" si="114"/>
        <v>0</v>
      </c>
      <c r="M742" s="32"/>
      <c r="N742" s="11">
        <f t="shared" si="115"/>
        <v>10.7353547301222</v>
      </c>
      <c r="O742" s="3">
        <v>3.1556452698777981</v>
      </c>
      <c r="P742" s="11">
        <f t="shared" si="116"/>
        <v>102.05856943994777</v>
      </c>
      <c r="Q742" s="12">
        <f t="shared" si="117"/>
        <v>102.05856943994777</v>
      </c>
      <c r="R742" s="13">
        <f t="shared" si="118"/>
        <v>39.024678852944916</v>
      </c>
      <c r="S742" s="3" t="s">
        <v>30</v>
      </c>
      <c r="T742" s="3" t="s">
        <v>32</v>
      </c>
      <c r="U742" s="10">
        <v>0</v>
      </c>
      <c r="V742" s="3">
        <v>0</v>
      </c>
      <c r="W742" s="3">
        <f t="shared" si="119"/>
        <v>0</v>
      </c>
      <c r="Y742" s="3">
        <v>0</v>
      </c>
      <c r="Z742" s="3">
        <v>0</v>
      </c>
      <c r="AA742" s="3">
        <v>32</v>
      </c>
    </row>
    <row r="743" spans="1:27" x14ac:dyDescent="0.3">
      <c r="A743" s="3" t="str">
        <f t="shared" si="110"/>
        <v>West9310019902219</v>
      </c>
      <c r="B743" s="3" t="str">
        <f t="shared" si="111"/>
        <v>Mah9310019902219</v>
      </c>
      <c r="C743" s="10">
        <v>9310019902219</v>
      </c>
      <c r="D743" s="10" t="str">
        <f t="shared" si="112"/>
        <v>9310019902</v>
      </c>
      <c r="E743" s="3" t="s">
        <v>1</v>
      </c>
      <c r="F743" s="3" t="s">
        <v>63</v>
      </c>
      <c r="H743" s="3">
        <v>7.1760000000000002</v>
      </c>
      <c r="I743" s="10">
        <f t="shared" si="113"/>
        <v>79.546265267609513</v>
      </c>
      <c r="J743" s="3">
        <v>2.7063495599165481</v>
      </c>
      <c r="K743" s="3">
        <v>0</v>
      </c>
      <c r="L743" s="3">
        <f t="shared" si="114"/>
        <v>0</v>
      </c>
      <c r="M743" s="32"/>
      <c r="N743" s="11">
        <f t="shared" si="115"/>
        <v>4.469650440083452</v>
      </c>
      <c r="O743" s="3">
        <v>2.7063495599165481</v>
      </c>
      <c r="P743" s="11">
        <f t="shared" si="116"/>
        <v>49.546265267609513</v>
      </c>
      <c r="Q743" s="12">
        <f t="shared" si="117"/>
        <v>49.546265267609513</v>
      </c>
      <c r="R743" s="13">
        <f t="shared" si="118"/>
        <v>23.550066035894439</v>
      </c>
      <c r="S743" s="3" t="s">
        <v>30</v>
      </c>
      <c r="T743" s="3" t="s">
        <v>32</v>
      </c>
      <c r="U743" s="10">
        <v>9310019900999</v>
      </c>
      <c r="V743" s="3">
        <v>0.1</v>
      </c>
      <c r="W743" s="3">
        <f t="shared" si="119"/>
        <v>0</v>
      </c>
      <c r="Y743" s="3">
        <v>0</v>
      </c>
      <c r="Z743" s="3">
        <v>11</v>
      </c>
      <c r="AA743" s="3">
        <v>32</v>
      </c>
    </row>
    <row r="744" spans="1:27" x14ac:dyDescent="0.3">
      <c r="A744" s="3" t="str">
        <f t="shared" si="110"/>
        <v>West9420059901210</v>
      </c>
      <c r="B744" s="3" t="str">
        <f t="shared" si="111"/>
        <v>Mah9420059901210</v>
      </c>
      <c r="C744" s="10">
        <v>9420059901210</v>
      </c>
      <c r="D744" s="10" t="str">
        <f t="shared" si="112"/>
        <v>9420059901</v>
      </c>
      <c r="E744" s="3" t="s">
        <v>1</v>
      </c>
      <c r="F744" s="3" t="s">
        <v>63</v>
      </c>
      <c r="H744" s="3">
        <v>2.2240000000000002</v>
      </c>
      <c r="I744" s="10">
        <f t="shared" si="113"/>
        <v>26.442672200996181</v>
      </c>
      <c r="J744" s="3">
        <v>2.5231943085346136</v>
      </c>
      <c r="K744" s="3">
        <v>8</v>
      </c>
      <c r="L744" s="3">
        <f t="shared" si="114"/>
        <v>0</v>
      </c>
      <c r="M744" s="32"/>
      <c r="N744" s="11">
        <f t="shared" si="115"/>
        <v>-0.29919430853461337</v>
      </c>
      <c r="O744" s="3">
        <v>2.5231943085346136</v>
      </c>
      <c r="P744" s="11">
        <f t="shared" si="116"/>
        <v>-3.5573277990038195</v>
      </c>
      <c r="Q744" s="12">
        <f t="shared" si="117"/>
        <v>-3.5573277990038199</v>
      </c>
      <c r="R744" s="13">
        <f t="shared" si="118"/>
        <v>19.510512160893086</v>
      </c>
      <c r="S744" s="3" t="s">
        <v>31</v>
      </c>
      <c r="T744" s="3" t="s">
        <v>28</v>
      </c>
      <c r="U744" s="10">
        <v>0</v>
      </c>
      <c r="V744" s="3">
        <v>0</v>
      </c>
      <c r="W744" s="3">
        <f t="shared" si="119"/>
        <v>0</v>
      </c>
      <c r="Y744" s="3">
        <v>0</v>
      </c>
      <c r="Z744" s="3">
        <v>0</v>
      </c>
      <c r="AA744" s="3">
        <v>32</v>
      </c>
    </row>
    <row r="745" spans="1:27" x14ac:dyDescent="0.3">
      <c r="A745" s="3" t="str">
        <f t="shared" si="110"/>
        <v>West9310099902297</v>
      </c>
      <c r="B745" s="3" t="str">
        <f t="shared" si="111"/>
        <v>Mah9310099902297</v>
      </c>
      <c r="C745" s="10">
        <v>9310099902297</v>
      </c>
      <c r="D745" s="10" t="str">
        <f t="shared" si="112"/>
        <v>9310099902</v>
      </c>
      <c r="E745" s="3" t="s">
        <v>1</v>
      </c>
      <c r="F745" s="3" t="s">
        <v>63</v>
      </c>
      <c r="H745" s="3">
        <v>0</v>
      </c>
      <c r="I745" s="10">
        <f t="shared" si="113"/>
        <v>0</v>
      </c>
      <c r="J745" s="3">
        <v>1.4439516525000009</v>
      </c>
      <c r="K745" s="3">
        <v>0</v>
      </c>
      <c r="L745" s="3">
        <f t="shared" si="114"/>
        <v>0</v>
      </c>
      <c r="M745" s="32"/>
      <c r="N745" s="11">
        <f t="shared" si="115"/>
        <v>-1.4439516525000009</v>
      </c>
      <c r="O745" s="3">
        <v>1.4439516525000009</v>
      </c>
      <c r="P745" s="11">
        <f t="shared" si="116"/>
        <v>-30</v>
      </c>
      <c r="Q745" s="12">
        <f t="shared" si="117"/>
        <v>-30</v>
      </c>
      <c r="R745" s="13">
        <f t="shared" si="118"/>
        <v>-30</v>
      </c>
      <c r="S745" s="3">
        <v>0</v>
      </c>
      <c r="T745" s="3" t="s">
        <v>32</v>
      </c>
      <c r="U745" s="10">
        <v>0</v>
      </c>
      <c r="V745" s="3">
        <v>0</v>
      </c>
      <c r="W745" s="3">
        <f t="shared" si="119"/>
        <v>0</v>
      </c>
      <c r="Y745" s="3">
        <v>0</v>
      </c>
      <c r="Z745" s="3">
        <v>180</v>
      </c>
      <c r="AA745" s="3">
        <v>32</v>
      </c>
    </row>
    <row r="746" spans="1:27" x14ac:dyDescent="0.3">
      <c r="A746" s="3" t="str">
        <f t="shared" si="110"/>
        <v>West9410019900840</v>
      </c>
      <c r="B746" s="3" t="str">
        <f t="shared" si="111"/>
        <v>Mah9410019900840</v>
      </c>
      <c r="C746" s="10">
        <v>9410019900840</v>
      </c>
      <c r="D746" s="10" t="str">
        <f t="shared" si="112"/>
        <v>9410019900</v>
      </c>
      <c r="E746" s="3" t="s">
        <v>1</v>
      </c>
      <c r="F746" s="3" t="s">
        <v>63</v>
      </c>
      <c r="H746" s="3">
        <v>0.876</v>
      </c>
      <c r="I746" s="10">
        <f t="shared" si="113"/>
        <v>18.669284458338442</v>
      </c>
      <c r="J746" s="3">
        <v>1.4076597342895114</v>
      </c>
      <c r="K746" s="3">
        <v>0</v>
      </c>
      <c r="L746" s="3">
        <f t="shared" si="114"/>
        <v>0</v>
      </c>
      <c r="M746" s="32"/>
      <c r="N746" s="11">
        <f t="shared" si="115"/>
        <v>-0.53165973428951141</v>
      </c>
      <c r="O746" s="3">
        <v>1.4076597342895114</v>
      </c>
      <c r="P746" s="11">
        <f t="shared" si="116"/>
        <v>-11.330715541661554</v>
      </c>
      <c r="Q746" s="12">
        <f t="shared" si="117"/>
        <v>-11.330715541661556</v>
      </c>
      <c r="R746" s="13">
        <f t="shared" si="118"/>
        <v>23.050514541033518</v>
      </c>
      <c r="S746" s="3" t="s">
        <v>31</v>
      </c>
      <c r="T746" s="3" t="s">
        <v>32</v>
      </c>
      <c r="U746" s="10">
        <v>0</v>
      </c>
      <c r="V746" s="3">
        <v>0</v>
      </c>
      <c r="W746" s="3">
        <f t="shared" si="119"/>
        <v>0</v>
      </c>
      <c r="Y746" s="3">
        <v>0</v>
      </c>
      <c r="Z746" s="3">
        <v>54</v>
      </c>
      <c r="AA746" s="3">
        <v>32</v>
      </c>
    </row>
    <row r="747" spans="1:27" x14ac:dyDescent="0.3">
      <c r="A747" s="3" t="str">
        <f t="shared" si="110"/>
        <v>West9310019902839</v>
      </c>
      <c r="B747" s="3" t="str">
        <f t="shared" si="111"/>
        <v>Mah9310019902839</v>
      </c>
      <c r="C747" s="10">
        <v>9310019902839</v>
      </c>
      <c r="D747" s="10" t="str">
        <f t="shared" si="112"/>
        <v>9310019902</v>
      </c>
      <c r="E747" s="3" t="s">
        <v>1</v>
      </c>
      <c r="F747" s="3" t="s">
        <v>63</v>
      </c>
      <c r="H747" s="3">
        <v>13.439399999999999</v>
      </c>
      <c r="I747" s="10">
        <f t="shared" si="113"/>
        <v>324.89865696578067</v>
      </c>
      <c r="J747" s="3">
        <v>1.2409469579385315</v>
      </c>
      <c r="K747" s="3">
        <v>0</v>
      </c>
      <c r="L747" s="3">
        <f t="shared" si="114"/>
        <v>0</v>
      </c>
      <c r="M747" s="32"/>
      <c r="N747" s="11">
        <f t="shared" si="115"/>
        <v>12.198453042061468</v>
      </c>
      <c r="O747" s="3">
        <v>1.2409469579385315</v>
      </c>
      <c r="P747" s="11">
        <f t="shared" si="116"/>
        <v>294.89865696578067</v>
      </c>
      <c r="Q747" s="12">
        <f t="shared" si="117"/>
        <v>294.89865696578067</v>
      </c>
      <c r="R747" s="13">
        <f t="shared" si="118"/>
        <v>34.250706408111796</v>
      </c>
      <c r="S747" s="3" t="s">
        <v>31</v>
      </c>
      <c r="T747" s="3" t="s">
        <v>32</v>
      </c>
      <c r="U747" s="10">
        <v>0</v>
      </c>
      <c r="V747" s="3">
        <v>0</v>
      </c>
      <c r="W747" s="3">
        <f t="shared" si="119"/>
        <v>0</v>
      </c>
      <c r="Y747" s="3">
        <v>0</v>
      </c>
      <c r="Z747" s="3">
        <v>273</v>
      </c>
      <c r="AA747" s="3">
        <v>32</v>
      </c>
    </row>
    <row r="748" spans="1:27" x14ac:dyDescent="0.3">
      <c r="A748" s="3" t="str">
        <f t="shared" si="110"/>
        <v>West9410019900310</v>
      </c>
      <c r="B748" s="3" t="str">
        <f t="shared" si="111"/>
        <v>Mah9410019900310</v>
      </c>
      <c r="C748" s="10">
        <v>9410019900310</v>
      </c>
      <c r="D748" s="10" t="str">
        <f t="shared" si="112"/>
        <v>9410019900</v>
      </c>
      <c r="E748" s="3" t="s">
        <v>1</v>
      </c>
      <c r="F748" s="3" t="s">
        <v>63</v>
      </c>
      <c r="H748" s="3">
        <v>1.7700000000000002</v>
      </c>
      <c r="I748" s="10">
        <f t="shared" si="113"/>
        <v>46.625329207145207</v>
      </c>
      <c r="J748" s="3">
        <v>1.1388659533981924</v>
      </c>
      <c r="K748" s="3">
        <v>0</v>
      </c>
      <c r="L748" s="3">
        <f t="shared" si="114"/>
        <v>0</v>
      </c>
      <c r="M748" s="32"/>
      <c r="N748" s="11">
        <f t="shared" si="115"/>
        <v>0.63113404660180783</v>
      </c>
      <c r="O748" s="3">
        <v>1.1388659533981924</v>
      </c>
      <c r="P748" s="11">
        <f t="shared" si="116"/>
        <v>16.625329207145203</v>
      </c>
      <c r="Q748" s="12">
        <f t="shared" si="117"/>
        <v>16.625329207145203</v>
      </c>
      <c r="R748" s="13">
        <f t="shared" si="118"/>
        <v>100.97016749365775</v>
      </c>
      <c r="S748" s="3" t="s">
        <v>31</v>
      </c>
      <c r="T748" s="3" t="s">
        <v>32</v>
      </c>
      <c r="U748" s="10">
        <v>9410019900999</v>
      </c>
      <c r="V748" s="3">
        <v>0.1</v>
      </c>
      <c r="W748" s="3">
        <f t="shared" si="119"/>
        <v>0</v>
      </c>
      <c r="Y748" s="3">
        <v>0</v>
      </c>
      <c r="Z748" s="3">
        <v>450</v>
      </c>
      <c r="AA748" s="3">
        <v>32</v>
      </c>
    </row>
    <row r="749" spans="1:27" x14ac:dyDescent="0.3">
      <c r="A749" s="3" t="str">
        <f t="shared" si="110"/>
        <v>West9410019902195</v>
      </c>
      <c r="B749" s="3" t="str">
        <f t="shared" si="111"/>
        <v>Mah9410019902195</v>
      </c>
      <c r="C749" s="10">
        <v>9410019902195</v>
      </c>
      <c r="D749" s="10" t="str">
        <f t="shared" si="112"/>
        <v>9410019902</v>
      </c>
      <c r="E749" s="3" t="s">
        <v>1</v>
      </c>
      <c r="F749" s="3" t="s">
        <v>63</v>
      </c>
      <c r="H749" s="3">
        <v>1.1419000000000001</v>
      </c>
      <c r="I749" s="10">
        <f t="shared" si="113"/>
        <v>35.298122896139532</v>
      </c>
      <c r="J749" s="3">
        <v>0.97050486511130052</v>
      </c>
      <c r="K749" s="3">
        <v>0</v>
      </c>
      <c r="L749" s="3">
        <f t="shared" si="114"/>
        <v>0</v>
      </c>
      <c r="M749" s="32"/>
      <c r="N749" s="11">
        <f t="shared" si="115"/>
        <v>0.17139513488869962</v>
      </c>
      <c r="O749" s="3">
        <v>0.97050486511130052</v>
      </c>
      <c r="P749" s="11">
        <f t="shared" si="116"/>
        <v>5.2981228961395308</v>
      </c>
      <c r="Q749" s="12">
        <f t="shared" si="117"/>
        <v>5.2981228961395308</v>
      </c>
      <c r="R749" s="13">
        <f t="shared" si="118"/>
        <v>42.341008548262515</v>
      </c>
      <c r="S749" s="3" t="s">
        <v>31</v>
      </c>
      <c r="T749" s="3" t="s">
        <v>32</v>
      </c>
      <c r="U749" s="10">
        <v>0</v>
      </c>
      <c r="V749" s="3">
        <v>0</v>
      </c>
      <c r="W749" s="3">
        <f t="shared" si="119"/>
        <v>0</v>
      </c>
      <c r="Y749" s="3">
        <v>9.0949470177292824E-13</v>
      </c>
      <c r="Z749" s="3">
        <v>450</v>
      </c>
      <c r="AA749" s="3">
        <v>32</v>
      </c>
    </row>
    <row r="750" spans="1:27" x14ac:dyDescent="0.3">
      <c r="A750" s="3" t="str">
        <f t="shared" si="110"/>
        <v>West9310019902097</v>
      </c>
      <c r="B750" s="3" t="str">
        <f t="shared" si="111"/>
        <v>Mah9310019902097</v>
      </c>
      <c r="C750" s="10">
        <v>9310019902097</v>
      </c>
      <c r="D750" s="10" t="str">
        <f t="shared" si="112"/>
        <v>9310019902</v>
      </c>
      <c r="E750" s="3" t="s">
        <v>1</v>
      </c>
      <c r="F750" s="3" t="s">
        <v>63</v>
      </c>
      <c r="H750" s="3">
        <v>1.3533000000000002</v>
      </c>
      <c r="I750" s="10">
        <f t="shared" si="113"/>
        <v>43.914669923289821</v>
      </c>
      <c r="J750" s="3">
        <v>0.92449744176418425</v>
      </c>
      <c r="K750" s="3">
        <v>0</v>
      </c>
      <c r="L750" s="3">
        <f t="shared" si="114"/>
        <v>0</v>
      </c>
      <c r="M750" s="32"/>
      <c r="N750" s="11">
        <f t="shared" si="115"/>
        <v>0.42880255823581592</v>
      </c>
      <c r="O750" s="3">
        <v>0.92449744176418425</v>
      </c>
      <c r="P750" s="11">
        <f t="shared" si="116"/>
        <v>13.914669923289821</v>
      </c>
      <c r="Q750" s="12">
        <f t="shared" si="117"/>
        <v>13.914669923289821</v>
      </c>
      <c r="R750" s="13">
        <f t="shared" si="118"/>
        <v>-5.8812893016433128</v>
      </c>
      <c r="S750" s="3" t="s">
        <v>31</v>
      </c>
      <c r="T750" s="3" t="s">
        <v>32</v>
      </c>
      <c r="U750" s="10">
        <v>0</v>
      </c>
      <c r="V750" s="3">
        <v>0</v>
      </c>
      <c r="W750" s="3">
        <f t="shared" si="119"/>
        <v>0</v>
      </c>
      <c r="Y750" s="3">
        <v>0</v>
      </c>
      <c r="Z750" s="3">
        <v>20</v>
      </c>
      <c r="AA750" s="3">
        <v>32</v>
      </c>
    </row>
    <row r="751" spans="1:27" ht="15.6" x14ac:dyDescent="0.3">
      <c r="A751" s="3" t="str">
        <f t="shared" si="110"/>
        <v>West9310099902839</v>
      </c>
      <c r="B751" s="3" t="str">
        <f t="shared" si="111"/>
        <v>Mah9310099902839</v>
      </c>
      <c r="C751" s="10">
        <v>9310099902839</v>
      </c>
      <c r="D751" s="10" t="str">
        <f t="shared" si="112"/>
        <v>9310099902</v>
      </c>
      <c r="E751" s="3" t="s">
        <v>1</v>
      </c>
      <c r="F751" s="3" t="s">
        <v>63</v>
      </c>
      <c r="H751" s="3">
        <v>0</v>
      </c>
      <c r="I751" s="10">
        <f t="shared" si="113"/>
        <v>0</v>
      </c>
      <c r="J751" s="3">
        <v>0.83919072510000048</v>
      </c>
      <c r="K751" s="3">
        <v>0</v>
      </c>
      <c r="L751" s="3">
        <f t="shared" si="114"/>
        <v>0</v>
      </c>
      <c r="N751" s="11">
        <f t="shared" si="115"/>
        <v>-0.83919072510000048</v>
      </c>
      <c r="O751" s="3">
        <v>0.83919072510000048</v>
      </c>
      <c r="P751" s="11">
        <f t="shared" si="116"/>
        <v>-30</v>
      </c>
      <c r="Q751" s="12">
        <f t="shared" si="117"/>
        <v>-30</v>
      </c>
      <c r="R751" s="13">
        <f t="shared" si="118"/>
        <v>-30.000000000000004</v>
      </c>
      <c r="S751" s="3">
        <v>0</v>
      </c>
      <c r="T751" s="3" t="s">
        <v>32</v>
      </c>
      <c r="U751" s="10">
        <v>0</v>
      </c>
      <c r="V751" s="3">
        <v>0</v>
      </c>
      <c r="W751" s="3">
        <f t="shared" si="119"/>
        <v>0</v>
      </c>
      <c r="Y751">
        <v>-8</v>
      </c>
      <c r="Z751" s="3">
        <v>224</v>
      </c>
      <c r="AA751" s="3">
        <v>32</v>
      </c>
    </row>
    <row r="752" spans="1:27" ht="15.6" x14ac:dyDescent="0.3">
      <c r="A752" s="3" t="str">
        <f t="shared" si="110"/>
        <v>West9310039902219</v>
      </c>
      <c r="B752" s="3" t="str">
        <f t="shared" si="111"/>
        <v>Mah9310039902219</v>
      </c>
      <c r="C752" s="10">
        <v>9310039902219</v>
      </c>
      <c r="D752" s="10" t="str">
        <f t="shared" si="112"/>
        <v>9310039902</v>
      </c>
      <c r="E752" s="3" t="s">
        <v>1</v>
      </c>
      <c r="F752" s="3" t="s">
        <v>63</v>
      </c>
      <c r="H752" s="3">
        <v>3.6854999999999998</v>
      </c>
      <c r="I752" s="10">
        <f t="shared" si="113"/>
        <v>133.21029956697643</v>
      </c>
      <c r="J752" s="3">
        <v>0.83000338832215703</v>
      </c>
      <c r="K752" s="3">
        <v>0</v>
      </c>
      <c r="L752" s="3">
        <f t="shared" si="114"/>
        <v>0</v>
      </c>
      <c r="N752" s="11">
        <f t="shared" si="115"/>
        <v>2.8554966116778426</v>
      </c>
      <c r="O752" s="3">
        <v>0.83000338832215703</v>
      </c>
      <c r="P752" s="11">
        <f t="shared" si="116"/>
        <v>103.2102995669764</v>
      </c>
      <c r="Q752" s="12">
        <f t="shared" si="117"/>
        <v>103.21029956697642</v>
      </c>
      <c r="R752" s="13">
        <f t="shared" si="118"/>
        <v>50.261699549000284</v>
      </c>
      <c r="S752" s="3" t="s">
        <v>30</v>
      </c>
      <c r="T752" s="3" t="s">
        <v>32</v>
      </c>
      <c r="U752" s="10">
        <v>9310039900999</v>
      </c>
      <c r="V752" s="3">
        <v>0.1</v>
      </c>
      <c r="W752" s="3">
        <f t="shared" si="119"/>
        <v>0</v>
      </c>
      <c r="Y752">
        <v>86.5</v>
      </c>
      <c r="Z752" s="3">
        <v>218.5</v>
      </c>
      <c r="AA752" s="3">
        <v>32</v>
      </c>
    </row>
    <row r="753" spans="1:27" x14ac:dyDescent="0.3">
      <c r="A753" s="3" t="str">
        <f t="shared" si="110"/>
        <v>West9310019902297</v>
      </c>
      <c r="B753" s="3" t="str">
        <f t="shared" si="111"/>
        <v>Mah9310019902297</v>
      </c>
      <c r="C753" s="10">
        <v>9310019902297</v>
      </c>
      <c r="D753" s="10" t="str">
        <f t="shared" si="112"/>
        <v>9310019902</v>
      </c>
      <c r="E753" s="3" t="s">
        <v>1</v>
      </c>
      <c r="F753" s="3" t="s">
        <v>63</v>
      </c>
      <c r="H753" s="3">
        <v>4.9627499999999998</v>
      </c>
      <c r="I753" s="10">
        <f t="shared" si="113"/>
        <v>246.18150357705585</v>
      </c>
      <c r="J753" s="3">
        <v>0.60476720564589104</v>
      </c>
      <c r="K753" s="3">
        <v>0</v>
      </c>
      <c r="L753" s="3">
        <f t="shared" si="114"/>
        <v>0</v>
      </c>
      <c r="N753" s="11">
        <f t="shared" si="115"/>
        <v>4.3579827943541085</v>
      </c>
      <c r="O753" s="3">
        <v>0.60476720564589104</v>
      </c>
      <c r="P753" s="11">
        <f t="shared" si="116"/>
        <v>216.18150357705582</v>
      </c>
      <c r="Q753" s="12">
        <f t="shared" si="117"/>
        <v>216.18150357705582</v>
      </c>
      <c r="R753" s="13">
        <f t="shared" si="118"/>
        <v>54.023302349984483</v>
      </c>
      <c r="S753" s="3" t="s">
        <v>31</v>
      </c>
      <c r="T753" s="3" t="s">
        <v>32</v>
      </c>
      <c r="U753" s="10">
        <v>9310019900999</v>
      </c>
      <c r="V753" s="3">
        <v>0.1</v>
      </c>
      <c r="W753" s="3">
        <f t="shared" si="119"/>
        <v>0</v>
      </c>
      <c r="AA753" s="3">
        <v>32</v>
      </c>
    </row>
    <row r="754" spans="1:27" x14ac:dyDescent="0.3">
      <c r="A754" s="3" t="str">
        <f t="shared" si="110"/>
        <v>West9410019902838</v>
      </c>
      <c r="B754" s="3" t="str">
        <f t="shared" si="111"/>
        <v>Mah9410019902838</v>
      </c>
      <c r="C754" s="10">
        <v>9410019902838</v>
      </c>
      <c r="D754" s="10" t="str">
        <f t="shared" si="112"/>
        <v>9410019902</v>
      </c>
      <c r="E754" s="3" t="s">
        <v>1</v>
      </c>
      <c r="F754" s="3" t="s">
        <v>63</v>
      </c>
      <c r="H754" s="3">
        <v>1.7707999999999999</v>
      </c>
      <c r="I754" s="10">
        <f t="shared" si="113"/>
        <v>92.781450155576692</v>
      </c>
      <c r="J754" s="3">
        <v>0.57257134816195743</v>
      </c>
      <c r="K754" s="3">
        <v>0</v>
      </c>
      <c r="L754" s="3">
        <f t="shared" si="114"/>
        <v>0</v>
      </c>
      <c r="N754" s="11">
        <f t="shared" si="115"/>
        <v>1.1982286518380425</v>
      </c>
      <c r="O754" s="3">
        <v>0.57257134816195743</v>
      </c>
      <c r="P754" s="11">
        <f t="shared" si="116"/>
        <v>62.781450155576685</v>
      </c>
      <c r="Q754" s="12">
        <f t="shared" si="117"/>
        <v>62.781450155576685</v>
      </c>
      <c r="R754" s="13">
        <f t="shared" si="118"/>
        <v>24.377359140430364</v>
      </c>
      <c r="S754" s="3" t="s">
        <v>31</v>
      </c>
      <c r="T754" s="3" t="s">
        <v>32</v>
      </c>
      <c r="U754" s="10">
        <v>0</v>
      </c>
      <c r="V754" s="3">
        <v>0</v>
      </c>
      <c r="W754" s="3">
        <f t="shared" si="119"/>
        <v>0</v>
      </c>
      <c r="AA754" s="3">
        <v>32</v>
      </c>
    </row>
    <row r="755" spans="1:27" x14ac:dyDescent="0.3">
      <c r="A755" s="3" t="str">
        <f t="shared" si="110"/>
        <v>West9410019900210</v>
      </c>
      <c r="B755" s="3" t="str">
        <f t="shared" si="111"/>
        <v>Mah9410019900210</v>
      </c>
      <c r="C755" s="10">
        <v>9410019900210</v>
      </c>
      <c r="D755" s="10" t="str">
        <f t="shared" si="112"/>
        <v>9410019900</v>
      </c>
      <c r="E755" s="3" t="s">
        <v>1</v>
      </c>
      <c r="F755" s="3" t="s">
        <v>63</v>
      </c>
      <c r="H755" s="3">
        <v>3.2349999999999994</v>
      </c>
      <c r="I755" s="10">
        <f t="shared" si="113"/>
        <v>186.20456167147037</v>
      </c>
      <c r="J755" s="3">
        <v>0.52120097987303848</v>
      </c>
      <c r="K755" s="3">
        <v>0</v>
      </c>
      <c r="L755" s="3">
        <f t="shared" si="114"/>
        <v>0</v>
      </c>
      <c r="N755" s="11">
        <f t="shared" si="115"/>
        <v>2.7137990201269608</v>
      </c>
      <c r="O755" s="3">
        <v>0.52120097987303848</v>
      </c>
      <c r="P755" s="11">
        <f t="shared" si="116"/>
        <v>156.20456167147034</v>
      </c>
      <c r="Q755" s="12">
        <f t="shared" si="117"/>
        <v>156.20456167147034</v>
      </c>
      <c r="R755" s="13">
        <f t="shared" si="118"/>
        <v>475.08999835834976</v>
      </c>
      <c r="S755" s="3" t="s">
        <v>31</v>
      </c>
      <c r="T755" s="3" t="s">
        <v>32</v>
      </c>
      <c r="U755" s="10">
        <v>0</v>
      </c>
      <c r="V755" s="3">
        <v>0</v>
      </c>
      <c r="W755" s="3">
        <f t="shared" si="119"/>
        <v>0</v>
      </c>
      <c r="AA755" s="3">
        <v>32</v>
      </c>
    </row>
    <row r="756" spans="1:27" x14ac:dyDescent="0.3">
      <c r="A756" s="3" t="str">
        <f t="shared" si="110"/>
        <v>West9310039902839</v>
      </c>
      <c r="B756" s="3" t="str">
        <f t="shared" si="111"/>
        <v>Mah9310039902839</v>
      </c>
      <c r="C756" s="10">
        <v>9310039902839</v>
      </c>
      <c r="D756" s="10" t="str">
        <f t="shared" si="112"/>
        <v>9310039902</v>
      </c>
      <c r="E756" s="3" t="s">
        <v>1</v>
      </c>
      <c r="F756" s="3" t="s">
        <v>63</v>
      </c>
      <c r="H756" s="3">
        <v>0.86189999999999989</v>
      </c>
      <c r="I756" s="10">
        <f t="shared" si="113"/>
        <v>73.24637542002985</v>
      </c>
      <c r="J756" s="3">
        <v>0.35301405498529531</v>
      </c>
      <c r="K756" s="3">
        <v>0</v>
      </c>
      <c r="L756" s="3">
        <f t="shared" si="114"/>
        <v>0</v>
      </c>
      <c r="N756" s="11">
        <f t="shared" si="115"/>
        <v>0.50888594501470452</v>
      </c>
      <c r="O756" s="3">
        <v>0.35301405498529531</v>
      </c>
      <c r="P756" s="11">
        <f t="shared" si="116"/>
        <v>43.246375420029835</v>
      </c>
      <c r="Q756" s="12">
        <f t="shared" si="117"/>
        <v>43.246375420029835</v>
      </c>
      <c r="R756" s="13">
        <f t="shared" si="118"/>
        <v>147.06389746158985</v>
      </c>
      <c r="S756" s="3" t="s">
        <v>31</v>
      </c>
      <c r="T756" s="3" t="s">
        <v>32</v>
      </c>
      <c r="U756" s="10">
        <v>0</v>
      </c>
      <c r="V756" s="3">
        <v>0</v>
      </c>
      <c r="W756" s="3">
        <f t="shared" si="119"/>
        <v>0</v>
      </c>
      <c r="AA756" s="3">
        <v>32</v>
      </c>
    </row>
    <row r="757" spans="1:27" x14ac:dyDescent="0.3">
      <c r="A757" s="3" t="str">
        <f t="shared" si="110"/>
        <v>West9310039902297</v>
      </c>
      <c r="B757" s="3" t="str">
        <f t="shared" si="111"/>
        <v>Mah9310039902297</v>
      </c>
      <c r="C757" s="10">
        <v>9310039902297</v>
      </c>
      <c r="D757" s="10" t="str">
        <f t="shared" si="112"/>
        <v>9310039902</v>
      </c>
      <c r="E757" s="3" t="s">
        <v>1</v>
      </c>
      <c r="F757" s="3" t="s">
        <v>63</v>
      </c>
      <c r="H757" s="3">
        <v>1.2577499999999999</v>
      </c>
      <c r="I757" s="10">
        <f t="shared" si="113"/>
        <v>184.47703801107312</v>
      </c>
      <c r="J757" s="3">
        <v>0.20453765090122017</v>
      </c>
      <c r="K757" s="3">
        <v>0</v>
      </c>
      <c r="L757" s="3">
        <f t="shared" si="114"/>
        <v>0</v>
      </c>
      <c r="N757" s="11">
        <f t="shared" si="115"/>
        <v>1.0532123490987797</v>
      </c>
      <c r="O757" s="3">
        <v>0.20453765090122017</v>
      </c>
      <c r="P757" s="11">
        <f t="shared" si="116"/>
        <v>154.47703801107312</v>
      </c>
      <c r="Q757" s="12">
        <f t="shared" si="117"/>
        <v>154.47703801107312</v>
      </c>
      <c r="R757" s="13">
        <f t="shared" si="118"/>
        <v>108.69545438572041</v>
      </c>
      <c r="S757" s="3" t="s">
        <v>31</v>
      </c>
      <c r="T757" s="3" t="s">
        <v>32</v>
      </c>
      <c r="U757" s="10">
        <v>9310039900999</v>
      </c>
      <c r="V757" s="3">
        <v>0.1</v>
      </c>
      <c r="W757" s="3">
        <f t="shared" si="119"/>
        <v>0</v>
      </c>
      <c r="AA757" s="3">
        <v>32</v>
      </c>
    </row>
    <row r="758" spans="1:27" x14ac:dyDescent="0.3">
      <c r="A758" s="3" t="str">
        <f t="shared" si="110"/>
        <v>West9310039902097</v>
      </c>
      <c r="B758" s="3" t="str">
        <f t="shared" si="111"/>
        <v>Mah9310039902097</v>
      </c>
      <c r="C758" s="10">
        <v>9310039902097</v>
      </c>
      <c r="D758" s="10" t="str">
        <f t="shared" si="112"/>
        <v>9310039902</v>
      </c>
      <c r="E758" s="3" t="s">
        <v>1</v>
      </c>
      <c r="F758" s="3" t="s">
        <v>63</v>
      </c>
      <c r="H758" s="3">
        <v>0.40657500000000008</v>
      </c>
      <c r="I758" s="10">
        <f t="shared" si="113"/>
        <v>63.538628102580731</v>
      </c>
      <c r="J758" s="3">
        <v>0.19196590112565856</v>
      </c>
      <c r="K758" s="3">
        <v>0</v>
      </c>
      <c r="L758" s="3">
        <f t="shared" si="114"/>
        <v>0</v>
      </c>
      <c r="N758" s="11">
        <f t="shared" si="115"/>
        <v>0.21460909887434151</v>
      </c>
      <c r="O758" s="3">
        <v>0.19196590112565856</v>
      </c>
      <c r="P758" s="11">
        <f t="shared" si="116"/>
        <v>33.538628102580731</v>
      </c>
      <c r="Q758" s="12">
        <f t="shared" si="117"/>
        <v>33.538628102580731</v>
      </c>
      <c r="R758" s="13">
        <f t="shared" si="118"/>
        <v>263.59855286489056</v>
      </c>
      <c r="S758" s="3" t="s">
        <v>31</v>
      </c>
      <c r="T758" s="3" t="s">
        <v>32</v>
      </c>
      <c r="U758" s="10">
        <v>0</v>
      </c>
      <c r="V758" s="3">
        <v>0</v>
      </c>
      <c r="W758" s="3">
        <f t="shared" si="119"/>
        <v>0</v>
      </c>
      <c r="AA758" s="3">
        <v>32</v>
      </c>
    </row>
    <row r="759" spans="1:27" x14ac:dyDescent="0.3">
      <c r="A759" s="3" t="str">
        <f t="shared" si="110"/>
        <v>West9410019902319</v>
      </c>
      <c r="B759" s="3" t="str">
        <f t="shared" si="111"/>
        <v>Mah9410019902319</v>
      </c>
      <c r="C759" s="10">
        <v>9410019902319</v>
      </c>
      <c r="D759" s="10" t="str">
        <f t="shared" si="112"/>
        <v>9410019902</v>
      </c>
      <c r="E759" s="3" t="s">
        <v>1</v>
      </c>
      <c r="F759" s="3" t="s">
        <v>63</v>
      </c>
      <c r="H759" s="3">
        <v>9.1010000000000009</v>
      </c>
      <c r="I759" s="10">
        <f t="shared" si="113"/>
        <v>1852.4504989384332</v>
      </c>
      <c r="J759" s="3">
        <v>0.14738855378670729</v>
      </c>
      <c r="K759" s="3">
        <v>0</v>
      </c>
      <c r="L759" s="3">
        <f t="shared" si="114"/>
        <v>0</v>
      </c>
      <c r="N759" s="11">
        <f t="shared" si="115"/>
        <v>8.9536114462132943</v>
      </c>
      <c r="O759" s="3">
        <v>0.14738855378670729</v>
      </c>
      <c r="P759" s="11">
        <f t="shared" si="116"/>
        <v>1822.4504989384334</v>
      </c>
      <c r="Q759" s="12">
        <f t="shared" si="117"/>
        <v>1822.4504989384334</v>
      </c>
      <c r="R759" s="13">
        <f t="shared" si="118"/>
        <v>817.45792202059476</v>
      </c>
      <c r="S759" s="3" t="s">
        <v>31</v>
      </c>
      <c r="T759" s="3" t="s">
        <v>32</v>
      </c>
      <c r="U759" s="10">
        <v>9410019900999</v>
      </c>
      <c r="V759" s="3">
        <v>0.1</v>
      </c>
      <c r="W759" s="3">
        <f t="shared" si="119"/>
        <v>0</v>
      </c>
      <c r="AA759" s="3">
        <v>32</v>
      </c>
    </row>
    <row r="760" spans="1:27" x14ac:dyDescent="0.3">
      <c r="A760" s="3" t="str">
        <f t="shared" si="110"/>
        <v>West9410019902295</v>
      </c>
      <c r="B760" s="3" t="str">
        <f t="shared" si="111"/>
        <v>Mah9410019902295</v>
      </c>
      <c r="C760" s="10">
        <v>9410019902295</v>
      </c>
      <c r="D760" s="10" t="str">
        <f t="shared" si="112"/>
        <v>9410019902</v>
      </c>
      <c r="E760" s="3" t="s">
        <v>1</v>
      </c>
      <c r="F760" s="3" t="s">
        <v>63</v>
      </c>
      <c r="H760" s="3">
        <v>1.1589999999999998</v>
      </c>
      <c r="I760" s="10">
        <f t="shared" si="113"/>
        <v>351.45648287922984</v>
      </c>
      <c r="J760" s="3">
        <v>9.8931166997274944E-2</v>
      </c>
      <c r="K760" s="3">
        <v>0</v>
      </c>
      <c r="L760" s="3">
        <f t="shared" si="114"/>
        <v>0</v>
      </c>
      <c r="N760" s="11">
        <f t="shared" si="115"/>
        <v>1.0600688330027248</v>
      </c>
      <c r="O760" s="3">
        <v>9.8931166997274944E-2</v>
      </c>
      <c r="P760" s="11">
        <f t="shared" si="116"/>
        <v>321.45648287922984</v>
      </c>
      <c r="Q760" s="12">
        <f t="shared" si="117"/>
        <v>321.4564828792299</v>
      </c>
      <c r="R760" s="13">
        <f t="shared" si="118"/>
        <v>173.07710804149639</v>
      </c>
      <c r="S760" s="3" t="s">
        <v>31</v>
      </c>
      <c r="T760" s="3" t="s">
        <v>32</v>
      </c>
      <c r="U760" s="10">
        <v>9410019900999</v>
      </c>
      <c r="V760" s="3">
        <v>0.1</v>
      </c>
      <c r="W760" s="3">
        <f t="shared" si="119"/>
        <v>0</v>
      </c>
      <c r="AA760" s="3">
        <v>32</v>
      </c>
    </row>
    <row r="761" spans="1:27" x14ac:dyDescent="0.3">
      <c r="A761" s="3" t="str">
        <f t="shared" si="110"/>
        <v>West9161089900210</v>
      </c>
      <c r="B761" s="3" t="str">
        <f t="shared" si="111"/>
        <v>Mah9161089900210</v>
      </c>
      <c r="C761" s="10">
        <v>9161089900210</v>
      </c>
      <c r="D761" s="10" t="str">
        <f t="shared" si="112"/>
        <v>9161089900</v>
      </c>
      <c r="E761" s="3" t="s">
        <v>1</v>
      </c>
      <c r="F761" s="3" t="s">
        <v>63</v>
      </c>
      <c r="H761" s="3">
        <v>0</v>
      </c>
      <c r="I761" s="10">
        <f t="shared" si="113"/>
        <v>0</v>
      </c>
      <c r="J761" s="3">
        <v>0</v>
      </c>
      <c r="K761" s="3">
        <v>0</v>
      </c>
      <c r="L761" s="3">
        <f t="shared" si="114"/>
        <v>0</v>
      </c>
      <c r="N761" s="11">
        <f t="shared" si="115"/>
        <v>0</v>
      </c>
      <c r="O761" s="3">
        <v>0</v>
      </c>
      <c r="P761" s="11">
        <f t="shared" si="116"/>
        <v>9999</v>
      </c>
      <c r="Q761" s="12">
        <f t="shared" si="117"/>
        <v>9999</v>
      </c>
      <c r="R761" s="13">
        <f t="shared" si="118"/>
        <v>9999</v>
      </c>
      <c r="S761" s="3" t="s">
        <v>31</v>
      </c>
      <c r="T761" s="3" t="s">
        <v>34</v>
      </c>
      <c r="U761" s="10" t="s">
        <v>72</v>
      </c>
      <c r="V761" s="3" t="s">
        <v>72</v>
      </c>
      <c r="W761" s="3">
        <f t="shared" si="119"/>
        <v>0</v>
      </c>
      <c r="AA761" s="3">
        <v>32</v>
      </c>
    </row>
    <row r="762" spans="1:27" x14ac:dyDescent="0.3">
      <c r="A762" s="3" t="str">
        <f t="shared" si="110"/>
        <v>West9160909902097</v>
      </c>
      <c r="B762" s="3" t="str">
        <f t="shared" si="111"/>
        <v>Mah9160909902097</v>
      </c>
      <c r="C762" s="10">
        <v>9160909902097</v>
      </c>
      <c r="D762" s="10" t="str">
        <f t="shared" si="112"/>
        <v>9160909902</v>
      </c>
      <c r="E762" s="3" t="s">
        <v>1</v>
      </c>
      <c r="F762" s="3" t="s">
        <v>63</v>
      </c>
      <c r="H762" s="3">
        <v>0</v>
      </c>
      <c r="I762" s="10">
        <f t="shared" si="113"/>
        <v>0</v>
      </c>
      <c r="J762" s="3">
        <v>0</v>
      </c>
      <c r="K762" s="3">
        <v>0</v>
      </c>
      <c r="L762" s="3">
        <f t="shared" si="114"/>
        <v>0</v>
      </c>
      <c r="N762" s="11">
        <f t="shared" si="115"/>
        <v>0</v>
      </c>
      <c r="O762" s="3">
        <v>0</v>
      </c>
      <c r="P762" s="11">
        <f t="shared" si="116"/>
        <v>9999</v>
      </c>
      <c r="Q762" s="12">
        <f t="shared" si="117"/>
        <v>9999</v>
      </c>
      <c r="R762" s="13">
        <f t="shared" si="118"/>
        <v>9999</v>
      </c>
      <c r="S762" s="3" t="s">
        <v>31</v>
      </c>
      <c r="T762" s="3" t="s">
        <v>34</v>
      </c>
      <c r="U762" s="10" t="s">
        <v>72</v>
      </c>
      <c r="V762" s="3" t="s">
        <v>72</v>
      </c>
      <c r="W762" s="3">
        <f t="shared" si="119"/>
        <v>0</v>
      </c>
      <c r="AA762" s="3">
        <v>32</v>
      </c>
    </row>
    <row r="763" spans="1:27" x14ac:dyDescent="0.3">
      <c r="A763" s="3" t="str">
        <f t="shared" si="110"/>
        <v>North9410019901320</v>
      </c>
      <c r="B763" s="3" t="str">
        <f t="shared" si="111"/>
        <v>Pan9410019901320</v>
      </c>
      <c r="C763" s="10">
        <v>9410019901320</v>
      </c>
      <c r="D763" s="10" t="str">
        <f t="shared" si="112"/>
        <v>9410019901</v>
      </c>
      <c r="E763" s="3" t="s">
        <v>2</v>
      </c>
      <c r="F763" s="3" t="s">
        <v>64</v>
      </c>
      <c r="H763" s="3">
        <v>34.199999999999996</v>
      </c>
      <c r="I763" s="10">
        <f t="shared" si="113"/>
        <v>55.890196793920488</v>
      </c>
      <c r="J763" s="3">
        <v>18.357423284499941</v>
      </c>
      <c r="K763" s="3">
        <v>0</v>
      </c>
      <c r="L763" s="3">
        <f t="shared" si="114"/>
        <v>0</v>
      </c>
      <c r="N763" s="11">
        <f t="shared" si="115"/>
        <v>15.842576715500055</v>
      </c>
      <c r="O763" s="3">
        <v>18.357423284499941</v>
      </c>
      <c r="P763" s="11">
        <f t="shared" si="116"/>
        <v>25.890196793920484</v>
      </c>
      <c r="Q763" s="12">
        <f t="shared" si="117"/>
        <v>25.890196793920484</v>
      </c>
      <c r="R763" s="13">
        <f t="shared" si="118"/>
        <v>43.13809711858017</v>
      </c>
      <c r="S763" s="3" t="s">
        <v>29</v>
      </c>
      <c r="T763" s="3" t="s">
        <v>32</v>
      </c>
      <c r="U763" s="10">
        <v>9410019900999</v>
      </c>
      <c r="V763" s="3">
        <v>0.1</v>
      </c>
      <c r="W763" s="3">
        <f t="shared" si="119"/>
        <v>0</v>
      </c>
      <c r="AA763" s="3">
        <v>32</v>
      </c>
    </row>
    <row r="764" spans="1:27" x14ac:dyDescent="0.3">
      <c r="A764" s="3" t="str">
        <f t="shared" si="110"/>
        <v>North9410019900320</v>
      </c>
      <c r="B764" s="3" t="str">
        <f t="shared" si="111"/>
        <v>Pan9410019900320</v>
      </c>
      <c r="C764" s="10">
        <v>9410019900320</v>
      </c>
      <c r="D764" s="10" t="str">
        <f t="shared" si="112"/>
        <v>9410019900</v>
      </c>
      <c r="E764" s="3" t="s">
        <v>2</v>
      </c>
      <c r="F764" s="3" t="s">
        <v>64</v>
      </c>
      <c r="H764" s="3">
        <v>9.8799999999999955</v>
      </c>
      <c r="I764" s="10">
        <f t="shared" si="113"/>
        <v>29.6527343324593</v>
      </c>
      <c r="J764" s="3">
        <v>9.9957055115671505</v>
      </c>
      <c r="K764" s="3">
        <v>0</v>
      </c>
      <c r="L764" s="3">
        <f t="shared" si="114"/>
        <v>0</v>
      </c>
      <c r="N764" s="11">
        <f t="shared" si="115"/>
        <v>-0.11570551156715503</v>
      </c>
      <c r="O764" s="3">
        <v>9.9957055115671505</v>
      </c>
      <c r="P764" s="11">
        <f t="shared" si="116"/>
        <v>-0.34726566754070298</v>
      </c>
      <c r="Q764" s="12">
        <f t="shared" si="117"/>
        <v>-0.34726566754070304</v>
      </c>
      <c r="R764" s="13">
        <f t="shared" si="118"/>
        <v>51.132960383204811</v>
      </c>
      <c r="S764" s="3" t="s">
        <v>30</v>
      </c>
      <c r="T764" s="3" t="s">
        <v>32</v>
      </c>
      <c r="U764" s="10">
        <v>9410019900999</v>
      </c>
      <c r="V764" s="3">
        <v>0.1</v>
      </c>
      <c r="W764" s="3">
        <f t="shared" si="119"/>
        <v>0</v>
      </c>
      <c r="AA764" s="3">
        <v>32</v>
      </c>
    </row>
    <row r="765" spans="1:27" x14ac:dyDescent="0.3">
      <c r="A765" s="3" t="str">
        <f t="shared" si="110"/>
        <v>North9410019901310</v>
      </c>
      <c r="B765" s="3" t="str">
        <f t="shared" si="111"/>
        <v>Pan9410019901310</v>
      </c>
      <c r="C765" s="10">
        <v>9410019901310</v>
      </c>
      <c r="D765" s="10" t="str">
        <f t="shared" si="112"/>
        <v>9410019901</v>
      </c>
      <c r="E765" s="3" t="s">
        <v>2</v>
      </c>
      <c r="F765" s="3" t="s">
        <v>64</v>
      </c>
      <c r="H765" s="3">
        <v>4.9699999999999989</v>
      </c>
      <c r="I765" s="10">
        <f t="shared" si="113"/>
        <v>35.703796502528135</v>
      </c>
      <c r="J765" s="3">
        <v>4.1760264903325446</v>
      </c>
      <c r="K765" s="3">
        <v>0</v>
      </c>
      <c r="L765" s="3">
        <f t="shared" si="114"/>
        <v>0</v>
      </c>
      <c r="N765" s="11">
        <f t="shared" si="115"/>
        <v>0.79397350966745428</v>
      </c>
      <c r="O765" s="3">
        <v>4.1760264903325446</v>
      </c>
      <c r="P765" s="11">
        <f t="shared" si="116"/>
        <v>5.7037965025281396</v>
      </c>
      <c r="Q765" s="12">
        <f t="shared" si="117"/>
        <v>5.7037965025281396</v>
      </c>
      <c r="R765" s="13">
        <f t="shared" si="118"/>
        <v>32.120956447684101</v>
      </c>
      <c r="S765" s="3" t="s">
        <v>30</v>
      </c>
      <c r="T765" s="3" t="s">
        <v>32</v>
      </c>
      <c r="U765" s="10">
        <v>9410019900999</v>
      </c>
      <c r="V765" s="3">
        <v>0.1</v>
      </c>
      <c r="W765" s="3">
        <f t="shared" si="119"/>
        <v>0</v>
      </c>
      <c r="AA765" s="3">
        <v>32</v>
      </c>
    </row>
    <row r="766" spans="1:27" x14ac:dyDescent="0.3">
      <c r="A766" s="3" t="str">
        <f t="shared" si="110"/>
        <v>North9410019901840</v>
      </c>
      <c r="B766" s="3" t="str">
        <f t="shared" si="111"/>
        <v>Pan9410019901840</v>
      </c>
      <c r="C766" s="10">
        <v>9410019901840</v>
      </c>
      <c r="D766" s="10" t="str">
        <f t="shared" si="112"/>
        <v>9410019901</v>
      </c>
      <c r="E766" s="3" t="s">
        <v>2</v>
      </c>
      <c r="F766" s="3" t="s">
        <v>64</v>
      </c>
      <c r="H766" s="3">
        <v>3.7160000000000015</v>
      </c>
      <c r="I766" s="10">
        <f t="shared" si="113"/>
        <v>41.771158432167006</v>
      </c>
      <c r="J766" s="3">
        <v>2.6688271090454569</v>
      </c>
      <c r="K766" s="3">
        <v>0</v>
      </c>
      <c r="L766" s="3">
        <f t="shared" si="114"/>
        <v>0</v>
      </c>
      <c r="N766" s="11">
        <f t="shared" si="115"/>
        <v>1.0471728909545446</v>
      </c>
      <c r="O766" s="3">
        <v>2.6688271090454569</v>
      </c>
      <c r="P766" s="11">
        <f t="shared" si="116"/>
        <v>11.771158432167011</v>
      </c>
      <c r="Q766" s="12">
        <f t="shared" si="117"/>
        <v>11.77115843216701</v>
      </c>
      <c r="R766" s="13">
        <f t="shared" si="118"/>
        <v>37.852173480378191</v>
      </c>
      <c r="S766" s="3" t="s">
        <v>30</v>
      </c>
      <c r="T766" s="3" t="s">
        <v>32</v>
      </c>
      <c r="U766" s="10">
        <v>0</v>
      </c>
      <c r="V766" s="3">
        <v>0</v>
      </c>
      <c r="W766" s="3">
        <f t="shared" si="119"/>
        <v>0</v>
      </c>
      <c r="AA766" s="3">
        <v>32</v>
      </c>
    </row>
    <row r="767" spans="1:27" x14ac:dyDescent="0.3">
      <c r="A767" s="3" t="str">
        <f t="shared" si="110"/>
        <v>North9410019900310</v>
      </c>
      <c r="B767" s="3" t="str">
        <f t="shared" si="111"/>
        <v>Pan9410019900310</v>
      </c>
      <c r="C767" s="10">
        <v>9410019900310</v>
      </c>
      <c r="D767" s="10" t="str">
        <f t="shared" si="112"/>
        <v>9410019900</v>
      </c>
      <c r="E767" s="3" t="s">
        <v>2</v>
      </c>
      <c r="F767" s="3" t="s">
        <v>64</v>
      </c>
      <c r="H767" s="3">
        <v>6.7399999999999984</v>
      </c>
      <c r="I767" s="10">
        <f t="shared" si="113"/>
        <v>76.33984619720097</v>
      </c>
      <c r="J767" s="3">
        <v>2.64868230776464</v>
      </c>
      <c r="K767" s="3">
        <v>0</v>
      </c>
      <c r="L767" s="3">
        <f t="shared" si="114"/>
        <v>0</v>
      </c>
      <c r="N767" s="11">
        <f t="shared" si="115"/>
        <v>4.0913176922353589</v>
      </c>
      <c r="O767" s="3">
        <v>2.64868230776464</v>
      </c>
      <c r="P767" s="11">
        <f t="shared" si="116"/>
        <v>46.339846197200984</v>
      </c>
      <c r="Q767" s="12">
        <f t="shared" si="117"/>
        <v>46.339846197200984</v>
      </c>
      <c r="R767" s="13">
        <f t="shared" si="118"/>
        <v>100.97016749365775</v>
      </c>
      <c r="S767" s="3" t="s">
        <v>31</v>
      </c>
      <c r="T767" s="3" t="s">
        <v>32</v>
      </c>
      <c r="U767" s="10">
        <v>9410019900999</v>
      </c>
      <c r="V767" s="3">
        <v>0.1</v>
      </c>
      <c r="W767" s="3">
        <f t="shared" si="119"/>
        <v>0</v>
      </c>
      <c r="AA767" s="3">
        <v>32</v>
      </c>
    </row>
    <row r="768" spans="1:27" x14ac:dyDescent="0.3">
      <c r="A768" s="3" t="str">
        <f t="shared" si="110"/>
        <v>North9410019901210</v>
      </c>
      <c r="B768" s="3" t="str">
        <f t="shared" si="111"/>
        <v>Pan9410019901210</v>
      </c>
      <c r="C768" s="10">
        <v>9410019901210</v>
      </c>
      <c r="D768" s="10" t="str">
        <f t="shared" si="112"/>
        <v>9410019901</v>
      </c>
      <c r="E768" s="3" t="s">
        <v>2</v>
      </c>
      <c r="F768" s="3" t="s">
        <v>64</v>
      </c>
      <c r="H768" s="3">
        <v>3.6059999999999999</v>
      </c>
      <c r="I768" s="10">
        <f t="shared" si="113"/>
        <v>76.051536606460076</v>
      </c>
      <c r="J768" s="3">
        <v>1.4224564660644978</v>
      </c>
      <c r="K768" s="3">
        <v>0</v>
      </c>
      <c r="L768" s="3">
        <f t="shared" si="114"/>
        <v>0</v>
      </c>
      <c r="N768" s="11">
        <f t="shared" si="115"/>
        <v>2.1835435339355023</v>
      </c>
      <c r="O768" s="3">
        <v>1.4224564660644978</v>
      </c>
      <c r="P768" s="11">
        <f t="shared" si="116"/>
        <v>46.051536606460083</v>
      </c>
      <c r="Q768" s="12">
        <f t="shared" si="117"/>
        <v>46.051536606460083</v>
      </c>
      <c r="R768" s="13">
        <f t="shared" si="118"/>
        <v>39.024678852944916</v>
      </c>
      <c r="S768" s="3" t="s">
        <v>30</v>
      </c>
      <c r="T768" s="3" t="s">
        <v>32</v>
      </c>
      <c r="U768" s="10">
        <v>0</v>
      </c>
      <c r="V768" s="3">
        <v>0</v>
      </c>
      <c r="W768" s="3">
        <f t="shared" si="119"/>
        <v>0</v>
      </c>
      <c r="AA768" s="3">
        <v>32</v>
      </c>
    </row>
    <row r="769" spans="1:27" x14ac:dyDescent="0.3">
      <c r="A769" s="3" t="str">
        <f t="shared" si="110"/>
        <v>North9410019900840</v>
      </c>
      <c r="B769" s="3" t="str">
        <f t="shared" si="111"/>
        <v>Pan9410019900840</v>
      </c>
      <c r="C769" s="10">
        <v>9410019900840</v>
      </c>
      <c r="D769" s="10" t="str">
        <f t="shared" si="112"/>
        <v>9410019900</v>
      </c>
      <c r="E769" s="3" t="s">
        <v>2</v>
      </c>
      <c r="F769" s="3" t="s">
        <v>64</v>
      </c>
      <c r="H769" s="3">
        <v>1.9480000000000004</v>
      </c>
      <c r="I769" s="10">
        <f t="shared" si="113"/>
        <v>65.73036720099816</v>
      </c>
      <c r="J769" s="3">
        <v>0.88908677204396569</v>
      </c>
      <c r="K769" s="3">
        <v>0</v>
      </c>
      <c r="L769" s="3">
        <f t="shared" si="114"/>
        <v>0</v>
      </c>
      <c r="N769" s="11">
        <f t="shared" si="115"/>
        <v>1.0589132279560347</v>
      </c>
      <c r="O769" s="3">
        <v>0.88908677204396569</v>
      </c>
      <c r="P769" s="11">
        <f t="shared" si="116"/>
        <v>35.73036720099816</v>
      </c>
      <c r="Q769" s="12">
        <f t="shared" si="117"/>
        <v>35.73036720099816</v>
      </c>
      <c r="R769" s="13">
        <f t="shared" si="118"/>
        <v>23.050514541033518</v>
      </c>
      <c r="S769" s="3" t="s">
        <v>31</v>
      </c>
      <c r="T769" s="3" t="s">
        <v>32</v>
      </c>
      <c r="U769" s="10">
        <v>0</v>
      </c>
      <c r="V769" s="3">
        <v>0</v>
      </c>
      <c r="W769" s="3">
        <f t="shared" si="119"/>
        <v>0</v>
      </c>
      <c r="AA769" s="3">
        <v>32</v>
      </c>
    </row>
    <row r="770" spans="1:27" x14ac:dyDescent="0.3">
      <c r="A770" s="3" t="str">
        <f t="shared" si="110"/>
        <v>North9410019900210</v>
      </c>
      <c r="B770" s="3" t="str">
        <f t="shared" si="111"/>
        <v>Pan9410019900210</v>
      </c>
      <c r="C770" s="10">
        <v>9410019900210</v>
      </c>
      <c r="D770" s="10" t="str">
        <f t="shared" si="112"/>
        <v>9410019900</v>
      </c>
      <c r="E770" s="3" t="s">
        <v>2</v>
      </c>
      <c r="F770" s="3" t="s">
        <v>64</v>
      </c>
      <c r="H770" s="3">
        <v>8.9139999999999979</v>
      </c>
      <c r="I770" s="10">
        <f t="shared" si="113"/>
        <v>432.79036255989485</v>
      </c>
      <c r="J770" s="3">
        <v>0.61789730810604881</v>
      </c>
      <c r="K770" s="3">
        <v>0</v>
      </c>
      <c r="L770" s="3">
        <f t="shared" si="114"/>
        <v>0</v>
      </c>
      <c r="N770" s="11">
        <f t="shared" si="115"/>
        <v>8.2961026918939496</v>
      </c>
      <c r="O770" s="3">
        <v>0.61789730810604881</v>
      </c>
      <c r="P770" s="11">
        <f t="shared" si="116"/>
        <v>402.7903625598949</v>
      </c>
      <c r="Q770" s="12">
        <f t="shared" si="117"/>
        <v>402.7903625598949</v>
      </c>
      <c r="R770" s="13">
        <f t="shared" si="118"/>
        <v>475.08999835834976</v>
      </c>
      <c r="S770" s="3" t="s">
        <v>31</v>
      </c>
      <c r="T770" s="3" t="s">
        <v>32</v>
      </c>
      <c r="U770" s="10">
        <v>0</v>
      </c>
      <c r="V770" s="3">
        <v>0</v>
      </c>
      <c r="W770" s="3">
        <f t="shared" si="119"/>
        <v>0</v>
      </c>
      <c r="AA770" s="3">
        <v>32</v>
      </c>
    </row>
    <row r="771" spans="1:27" x14ac:dyDescent="0.3">
      <c r="A771" s="3" t="str">
        <f t="shared" si="110"/>
        <v>South9101069900320</v>
      </c>
      <c r="B771" s="3" t="str">
        <f t="shared" si="111"/>
        <v>CY9101069900320</v>
      </c>
      <c r="C771" s="10">
        <v>9101069900320</v>
      </c>
      <c r="D771" s="10" t="str">
        <f t="shared" si="112"/>
        <v>9101069900</v>
      </c>
      <c r="E771" s="3" t="s">
        <v>4</v>
      </c>
      <c r="F771" s="3" t="s">
        <v>65</v>
      </c>
      <c r="H771" s="3">
        <v>28.959999999999994</v>
      </c>
      <c r="I771" s="10">
        <f t="shared" si="113"/>
        <v>73.1527774400342</v>
      </c>
      <c r="J771" s="3">
        <v>11.876514199507799</v>
      </c>
      <c r="K771" s="3">
        <v>32</v>
      </c>
      <c r="L771" s="3">
        <f t="shared" si="114"/>
        <v>0</v>
      </c>
      <c r="N771" s="11">
        <f t="shared" si="115"/>
        <v>17.083485800492195</v>
      </c>
      <c r="O771" s="3">
        <v>11.876514199507799</v>
      </c>
      <c r="P771" s="11">
        <f t="shared" si="116"/>
        <v>43.152777440034185</v>
      </c>
      <c r="Q771" s="12">
        <f t="shared" si="117"/>
        <v>45.562505759431531</v>
      </c>
      <c r="R771" s="13">
        <f t="shared" si="118"/>
        <v>25.087060035412687</v>
      </c>
      <c r="S771" s="3" t="s">
        <v>29</v>
      </c>
      <c r="T771" s="3" t="s">
        <v>34</v>
      </c>
      <c r="U771" s="10">
        <v>0</v>
      </c>
      <c r="V771" s="3">
        <v>0</v>
      </c>
      <c r="W771" s="3">
        <f t="shared" si="119"/>
        <v>0</v>
      </c>
      <c r="AA771" s="3">
        <v>32</v>
      </c>
    </row>
    <row r="772" spans="1:27" x14ac:dyDescent="0.3">
      <c r="A772" s="3" t="str">
        <f t="shared" ref="A772:A835" si="120">_xlfn.CONCAT(F772,C772)</f>
        <v>South9161089900320</v>
      </c>
      <c r="B772" s="3" t="str">
        <f t="shared" ref="B772:B835" si="121">_xlfn.CONCAT(E772,C772)</f>
        <v>CY9161089900320</v>
      </c>
      <c r="C772" s="10">
        <v>9161089900320</v>
      </c>
      <c r="D772" s="10" t="str">
        <f t="shared" ref="D772:D835" si="122">LEFT(C772,10)</f>
        <v>9161089900</v>
      </c>
      <c r="E772" s="3" t="s">
        <v>4</v>
      </c>
      <c r="F772" s="3" t="s">
        <v>65</v>
      </c>
      <c r="H772" s="3">
        <v>28.24</v>
      </c>
      <c r="I772" s="10">
        <f t="shared" ref="I772:I835" si="123">IFERROR(H772/J772*30,0)</f>
        <v>78.870537072959038</v>
      </c>
      <c r="J772" s="3">
        <v>10.741653746015437</v>
      </c>
      <c r="K772" s="3">
        <v>0</v>
      </c>
      <c r="L772" s="3">
        <f t="shared" ref="L772:L835" si="124">M772*G772</f>
        <v>0</v>
      </c>
      <c r="N772" s="11">
        <f t="shared" ref="N772:N835" si="125">H772-J772+L772</f>
        <v>17.498346253984561</v>
      </c>
      <c r="O772" s="3">
        <v>10.741653746015437</v>
      </c>
      <c r="P772" s="11">
        <f t="shared" ref="P772:P835" si="126">IF(O772=0,9999,N772/O772*30)</f>
        <v>48.870537072959046</v>
      </c>
      <c r="Q772" s="12">
        <f t="shared" ref="Q772:Q835" si="127">IF(SUMIF($A:$A,$A772,$O:$O)=0,9999,SUMIF($A:$A,$A772,$N:$N)*30/SUMIF($A:$A,$A772,$O:$O))</f>
        <v>28.777084849165171</v>
      </c>
      <c r="R772" s="13">
        <f t="shared" ref="R772:R835" si="128">IF(SUMIF($C:$C,$C772,$O:$O)=0,9999,SUMIF($C:$C,$C772,$N:$N)*30/SUMIF($C:$C,$C772,$O:$O))</f>
        <v>27.706955085899509</v>
      </c>
      <c r="S772" s="3" t="s">
        <v>29</v>
      </c>
      <c r="T772" s="3" t="s">
        <v>34</v>
      </c>
      <c r="U772" s="10">
        <v>0</v>
      </c>
      <c r="V772" s="3">
        <v>0</v>
      </c>
      <c r="W772" s="3">
        <f t="shared" ref="W772:W835" si="129">IFERROR(K772*V772,0)</f>
        <v>0</v>
      </c>
      <c r="AA772" s="3">
        <v>32</v>
      </c>
    </row>
    <row r="773" spans="1:27" x14ac:dyDescent="0.3">
      <c r="A773" s="3" t="str">
        <f t="shared" si="120"/>
        <v>South9320049981240</v>
      </c>
      <c r="B773" s="3" t="str">
        <f t="shared" si="121"/>
        <v>CY9320049981240</v>
      </c>
      <c r="C773" s="10">
        <v>9320049981240</v>
      </c>
      <c r="D773" s="10" t="str">
        <f t="shared" si="122"/>
        <v>9320049981</v>
      </c>
      <c r="E773" s="3" t="s">
        <v>4</v>
      </c>
      <c r="F773" s="3" t="s">
        <v>65</v>
      </c>
      <c r="H773" s="3">
        <v>13.744000000000002</v>
      </c>
      <c r="I773" s="10">
        <f t="shared" si="123"/>
        <v>67.207198900665631</v>
      </c>
      <c r="J773" s="3">
        <v>6.1350570585365727</v>
      </c>
      <c r="K773" s="3">
        <v>0</v>
      </c>
      <c r="L773" s="3">
        <f t="shared" si="124"/>
        <v>0</v>
      </c>
      <c r="N773" s="11">
        <f t="shared" si="125"/>
        <v>7.6089429414634289</v>
      </c>
      <c r="O773" s="3">
        <v>6.1350570585365727</v>
      </c>
      <c r="P773" s="11">
        <f t="shared" si="126"/>
        <v>37.207198900665631</v>
      </c>
      <c r="Q773" s="12">
        <f t="shared" si="127"/>
        <v>37.207198900665631</v>
      </c>
      <c r="R773" s="13">
        <f t="shared" si="128"/>
        <v>39.279282390333343</v>
      </c>
      <c r="S773" s="3" t="s">
        <v>31</v>
      </c>
      <c r="T773" s="3" t="s">
        <v>28</v>
      </c>
      <c r="U773" s="10">
        <v>0</v>
      </c>
      <c r="V773" s="3">
        <v>0</v>
      </c>
      <c r="W773" s="3">
        <f t="shared" si="129"/>
        <v>0</v>
      </c>
      <c r="AA773" s="3">
        <v>32</v>
      </c>
    </row>
    <row r="774" spans="1:27" x14ac:dyDescent="0.3">
      <c r="A774" s="3" t="str">
        <f t="shared" si="120"/>
        <v>South9320049981210</v>
      </c>
      <c r="B774" s="3" t="str">
        <f t="shared" si="121"/>
        <v>CY9320049981210</v>
      </c>
      <c r="C774" s="10">
        <v>9320049981210</v>
      </c>
      <c r="D774" s="10" t="str">
        <f t="shared" si="122"/>
        <v>9320049981</v>
      </c>
      <c r="E774" s="3" t="s">
        <v>4</v>
      </c>
      <c r="F774" s="3" t="s">
        <v>65</v>
      </c>
      <c r="H774" s="3">
        <v>14.203999999999997</v>
      </c>
      <c r="I774" s="10">
        <f t="shared" si="123"/>
        <v>78.231148376652285</v>
      </c>
      <c r="J774" s="3">
        <v>5.4469352533136712</v>
      </c>
      <c r="K774" s="3">
        <v>0</v>
      </c>
      <c r="L774" s="3">
        <f t="shared" si="124"/>
        <v>0</v>
      </c>
      <c r="N774" s="11">
        <f t="shared" si="125"/>
        <v>8.757064746686325</v>
      </c>
      <c r="O774" s="3">
        <v>5.4469352533136712</v>
      </c>
      <c r="P774" s="11">
        <f t="shared" si="126"/>
        <v>48.231148376652285</v>
      </c>
      <c r="Q774" s="12">
        <f t="shared" si="127"/>
        <v>48.231148376652278</v>
      </c>
      <c r="R774" s="13">
        <f t="shared" si="128"/>
        <v>33.125651389011466</v>
      </c>
      <c r="S774" s="3" t="s">
        <v>31</v>
      </c>
      <c r="T774" s="3" t="s">
        <v>28</v>
      </c>
      <c r="U774" s="10">
        <v>0</v>
      </c>
      <c r="V774" s="3">
        <v>0</v>
      </c>
      <c r="W774" s="3">
        <f t="shared" si="129"/>
        <v>0</v>
      </c>
      <c r="AA774" s="3">
        <v>32</v>
      </c>
    </row>
    <row r="775" spans="1:27" x14ac:dyDescent="0.3">
      <c r="A775" s="3" t="str">
        <f t="shared" si="120"/>
        <v>South9160909901320</v>
      </c>
      <c r="B775" s="3" t="str">
        <f t="shared" si="121"/>
        <v>CY9160909901320</v>
      </c>
      <c r="C775" s="10">
        <v>9160909901320</v>
      </c>
      <c r="D775" s="10" t="str">
        <f t="shared" si="122"/>
        <v>9160909901</v>
      </c>
      <c r="E775" s="3" t="s">
        <v>4</v>
      </c>
      <c r="F775" s="3" t="s">
        <v>65</v>
      </c>
      <c r="H775" s="3">
        <v>13.139999999999999</v>
      </c>
      <c r="I775" s="10">
        <f t="shared" si="123"/>
        <v>86.012705059323963</v>
      </c>
      <c r="J775" s="3">
        <v>4.5830438622772718</v>
      </c>
      <c r="K775" s="3">
        <v>0</v>
      </c>
      <c r="L775" s="3">
        <f t="shared" si="124"/>
        <v>0</v>
      </c>
      <c r="N775" s="11">
        <f t="shared" si="125"/>
        <v>8.556956137722727</v>
      </c>
      <c r="O775" s="3">
        <v>4.5830438622772718</v>
      </c>
      <c r="P775" s="11">
        <f t="shared" si="126"/>
        <v>56.01270505932397</v>
      </c>
      <c r="Q775" s="12">
        <f t="shared" si="127"/>
        <v>55.727478956328028</v>
      </c>
      <c r="R775" s="13">
        <f t="shared" si="128"/>
        <v>79.654804762418195</v>
      </c>
      <c r="S775" s="3" t="s">
        <v>30</v>
      </c>
      <c r="T775" s="3" t="s">
        <v>34</v>
      </c>
      <c r="U775" s="10">
        <v>0</v>
      </c>
      <c r="V775" s="3">
        <v>0</v>
      </c>
      <c r="W775" s="3">
        <f t="shared" si="129"/>
        <v>0</v>
      </c>
      <c r="AA775" s="3">
        <v>32</v>
      </c>
    </row>
    <row r="776" spans="1:27" x14ac:dyDescent="0.3">
      <c r="A776" s="3" t="str">
        <f t="shared" si="120"/>
        <v>South9420029905190</v>
      </c>
      <c r="B776" s="3" t="str">
        <f t="shared" si="121"/>
        <v>CY9420029905190</v>
      </c>
      <c r="C776" s="10">
        <v>9420029905190</v>
      </c>
      <c r="D776" s="10" t="str">
        <f t="shared" si="122"/>
        <v>9420029905</v>
      </c>
      <c r="E776" s="3" t="s">
        <v>4</v>
      </c>
      <c r="F776" s="3" t="s">
        <v>65</v>
      </c>
      <c r="H776" s="3">
        <v>12.754799999999999</v>
      </c>
      <c r="I776" s="10">
        <f t="shared" si="123"/>
        <v>143.49299798103419</v>
      </c>
      <c r="J776" s="3">
        <v>2.6666388282623728</v>
      </c>
      <c r="K776" s="3">
        <v>0</v>
      </c>
      <c r="L776" s="3">
        <f t="shared" si="124"/>
        <v>0</v>
      </c>
      <c r="N776" s="11">
        <f t="shared" si="125"/>
        <v>10.088161171737626</v>
      </c>
      <c r="O776" s="3">
        <v>2.6666388282623728</v>
      </c>
      <c r="P776" s="11">
        <f t="shared" si="126"/>
        <v>113.49299798103416</v>
      </c>
      <c r="Q776" s="12">
        <f t="shared" si="127"/>
        <v>113.49299798103416</v>
      </c>
      <c r="R776" s="13">
        <f t="shared" si="128"/>
        <v>90.385840401137301</v>
      </c>
      <c r="S776" s="3" t="s">
        <v>31</v>
      </c>
      <c r="T776" s="3" t="s">
        <v>28</v>
      </c>
      <c r="U776" s="10">
        <v>0</v>
      </c>
      <c r="V776" s="3">
        <v>0</v>
      </c>
      <c r="W776" s="3">
        <f t="shared" si="129"/>
        <v>0</v>
      </c>
      <c r="AA776" s="3">
        <v>32</v>
      </c>
    </row>
    <row r="777" spans="1:27" x14ac:dyDescent="0.3">
      <c r="A777" s="3" t="str">
        <f t="shared" si="120"/>
        <v>South9420029905836</v>
      </c>
      <c r="B777" s="3" t="str">
        <f t="shared" si="121"/>
        <v>CY9420029905836</v>
      </c>
      <c r="C777" s="10">
        <v>9420029905836</v>
      </c>
      <c r="D777" s="10" t="str">
        <f t="shared" si="122"/>
        <v>9420029905</v>
      </c>
      <c r="E777" s="3" t="s">
        <v>4</v>
      </c>
      <c r="F777" s="3" t="s">
        <v>65</v>
      </c>
      <c r="H777" s="3">
        <v>15.717599999999999</v>
      </c>
      <c r="I777" s="10">
        <f t="shared" si="123"/>
        <v>243.43959985628379</v>
      </c>
      <c r="J777" s="3">
        <v>1.9369404167537643</v>
      </c>
      <c r="K777" s="3">
        <v>0</v>
      </c>
      <c r="L777" s="3">
        <f t="shared" si="124"/>
        <v>0</v>
      </c>
      <c r="N777" s="11">
        <f t="shared" si="125"/>
        <v>13.780659583246235</v>
      </c>
      <c r="O777" s="3">
        <v>1.9369404167537643</v>
      </c>
      <c r="P777" s="11">
        <f t="shared" si="126"/>
        <v>213.43959985628379</v>
      </c>
      <c r="Q777" s="12">
        <f t="shared" si="127"/>
        <v>213.43959985628382</v>
      </c>
      <c r="R777" s="13">
        <f t="shared" si="128"/>
        <v>132.10265768444361</v>
      </c>
      <c r="S777" s="3" t="s">
        <v>31</v>
      </c>
      <c r="T777" s="3" t="s">
        <v>28</v>
      </c>
      <c r="U777" s="10">
        <v>0</v>
      </c>
      <c r="V777" s="3">
        <v>0</v>
      </c>
      <c r="W777" s="3">
        <f t="shared" si="129"/>
        <v>0</v>
      </c>
      <c r="AA777" s="3">
        <v>32</v>
      </c>
    </row>
    <row r="778" spans="1:27" x14ac:dyDescent="0.3">
      <c r="A778" s="3" t="str">
        <f t="shared" si="120"/>
        <v>South9320049981310</v>
      </c>
      <c r="B778" s="3" t="str">
        <f t="shared" si="121"/>
        <v>CY9320049981310</v>
      </c>
      <c r="C778" s="10">
        <v>9320049981310</v>
      </c>
      <c r="D778" s="10" t="str">
        <f t="shared" si="122"/>
        <v>9320049981</v>
      </c>
      <c r="E778" s="3" t="s">
        <v>4</v>
      </c>
      <c r="F778" s="3" t="s">
        <v>65</v>
      </c>
      <c r="H778" s="3">
        <v>25.15</v>
      </c>
      <c r="I778" s="10">
        <f t="shared" si="123"/>
        <v>502.95876274634787</v>
      </c>
      <c r="J778" s="3">
        <v>1.500122984000001</v>
      </c>
      <c r="K778" s="3">
        <v>0</v>
      </c>
      <c r="L778" s="3">
        <f t="shared" si="124"/>
        <v>0</v>
      </c>
      <c r="N778" s="11">
        <f t="shared" si="125"/>
        <v>23.649877015999998</v>
      </c>
      <c r="O778" s="3">
        <v>1.500122984000001</v>
      </c>
      <c r="P778" s="11">
        <f t="shared" si="126"/>
        <v>472.95876274634793</v>
      </c>
      <c r="Q778" s="12">
        <f t="shared" si="127"/>
        <v>472.95876274634793</v>
      </c>
      <c r="R778" s="13">
        <f t="shared" si="128"/>
        <v>472.95876274634793</v>
      </c>
      <c r="S778" s="3" t="s">
        <v>31</v>
      </c>
      <c r="T778" s="3" t="s">
        <v>28</v>
      </c>
      <c r="U778" s="10">
        <v>0</v>
      </c>
      <c r="V778" s="3">
        <v>0</v>
      </c>
      <c r="W778" s="3">
        <f t="shared" si="129"/>
        <v>0</v>
      </c>
      <c r="AA778" s="3">
        <v>32</v>
      </c>
    </row>
    <row r="779" spans="1:27" x14ac:dyDescent="0.3">
      <c r="A779" s="3" t="str">
        <f t="shared" si="120"/>
        <v>South9310039905097</v>
      </c>
      <c r="B779" s="3" t="str">
        <f t="shared" si="121"/>
        <v>CY9310039905097</v>
      </c>
      <c r="C779" s="10">
        <v>9310039905097</v>
      </c>
      <c r="D779" s="10" t="str">
        <f t="shared" si="122"/>
        <v>9310039905</v>
      </c>
      <c r="E779" s="3" t="s">
        <v>4</v>
      </c>
      <c r="F779" s="3" t="s">
        <v>65</v>
      </c>
      <c r="H779" s="3">
        <v>2.8294500000000005</v>
      </c>
      <c r="I779" s="10">
        <f t="shared" si="123"/>
        <v>86.169846408571203</v>
      </c>
      <c r="J779" s="3">
        <v>0.98507196586527468</v>
      </c>
      <c r="K779" s="3">
        <v>0</v>
      </c>
      <c r="L779" s="3">
        <f t="shared" si="124"/>
        <v>0</v>
      </c>
      <c r="N779" s="11">
        <f t="shared" si="125"/>
        <v>1.8443780341347258</v>
      </c>
      <c r="O779" s="3">
        <v>0.98507196586527468</v>
      </c>
      <c r="P779" s="11">
        <f t="shared" si="126"/>
        <v>56.169846408571203</v>
      </c>
      <c r="Q779" s="12">
        <f t="shared" si="127"/>
        <v>56.169846408571203</v>
      </c>
      <c r="R779" s="13">
        <f t="shared" si="128"/>
        <v>48.560911153070627</v>
      </c>
      <c r="S779" s="3" t="s">
        <v>31</v>
      </c>
      <c r="T779" s="3" t="s">
        <v>32</v>
      </c>
      <c r="U779" s="10">
        <v>0</v>
      </c>
      <c r="V779" s="3">
        <v>0</v>
      </c>
      <c r="W779" s="3">
        <f t="shared" si="129"/>
        <v>0</v>
      </c>
      <c r="AA779" s="3">
        <v>32</v>
      </c>
    </row>
    <row r="780" spans="1:27" x14ac:dyDescent="0.3">
      <c r="A780" s="3" t="str">
        <f t="shared" si="120"/>
        <v>South9310039905839</v>
      </c>
      <c r="B780" s="3" t="str">
        <f t="shared" si="121"/>
        <v>CY9310039905839</v>
      </c>
      <c r="C780" s="10">
        <v>9310039905839</v>
      </c>
      <c r="D780" s="10" t="str">
        <f t="shared" si="122"/>
        <v>9310039905</v>
      </c>
      <c r="E780" s="3" t="s">
        <v>4</v>
      </c>
      <c r="F780" s="3" t="s">
        <v>65</v>
      </c>
      <c r="H780" s="3">
        <v>7.6829999999999998</v>
      </c>
      <c r="I780" s="10">
        <f t="shared" si="123"/>
        <v>282.61280625293807</v>
      </c>
      <c r="J780" s="3">
        <v>0.81556813739612266</v>
      </c>
      <c r="K780" s="3">
        <v>0</v>
      </c>
      <c r="L780" s="3">
        <f t="shared" si="124"/>
        <v>0</v>
      </c>
      <c r="N780" s="11">
        <f t="shared" si="125"/>
        <v>6.8674318626038771</v>
      </c>
      <c r="O780" s="3">
        <v>0.81556813739612266</v>
      </c>
      <c r="P780" s="11">
        <f t="shared" si="126"/>
        <v>252.6128062529381</v>
      </c>
      <c r="Q780" s="12">
        <f t="shared" si="127"/>
        <v>252.61280625293807</v>
      </c>
      <c r="R780" s="13">
        <f t="shared" si="128"/>
        <v>134.20483718041208</v>
      </c>
      <c r="S780" s="3" t="s">
        <v>31</v>
      </c>
      <c r="T780" s="3" t="s">
        <v>32</v>
      </c>
      <c r="U780" s="10">
        <v>0</v>
      </c>
      <c r="V780" s="3">
        <v>0</v>
      </c>
      <c r="W780" s="3">
        <f t="shared" si="129"/>
        <v>0</v>
      </c>
      <c r="AA780" s="3">
        <v>32</v>
      </c>
    </row>
    <row r="781" spans="1:27" x14ac:dyDescent="0.3">
      <c r="A781" s="3" t="str">
        <f t="shared" si="120"/>
        <v>South9310039905219</v>
      </c>
      <c r="B781" s="3" t="str">
        <f t="shared" si="121"/>
        <v>CY9310039905219</v>
      </c>
      <c r="C781" s="10">
        <v>9310039905219</v>
      </c>
      <c r="D781" s="10" t="str">
        <f t="shared" si="122"/>
        <v>9310039905</v>
      </c>
      <c r="E781" s="3" t="s">
        <v>4</v>
      </c>
      <c r="F781" s="3" t="s">
        <v>65</v>
      </c>
      <c r="H781" s="3">
        <v>7.4295000000000027</v>
      </c>
      <c r="I781" s="10">
        <f t="shared" si="123"/>
        <v>275.69078119375843</v>
      </c>
      <c r="J781" s="3">
        <v>0.80846011257574157</v>
      </c>
      <c r="K781" s="3">
        <v>0</v>
      </c>
      <c r="L781" s="3">
        <f t="shared" si="124"/>
        <v>0</v>
      </c>
      <c r="N781" s="11">
        <f t="shared" si="125"/>
        <v>6.6210398874242609</v>
      </c>
      <c r="O781" s="3">
        <v>0.80846011257574157</v>
      </c>
      <c r="P781" s="11">
        <f t="shared" si="126"/>
        <v>245.6907811937584</v>
      </c>
      <c r="Q781" s="12">
        <f t="shared" si="127"/>
        <v>245.69078119375843</v>
      </c>
      <c r="R781" s="13">
        <f t="shared" si="128"/>
        <v>51.607111455156293</v>
      </c>
      <c r="S781" s="3" t="s">
        <v>31</v>
      </c>
      <c r="T781" s="3" t="s">
        <v>32</v>
      </c>
      <c r="U781" s="10">
        <v>9310039900999</v>
      </c>
      <c r="V781" s="3">
        <v>0.1</v>
      </c>
      <c r="W781" s="3">
        <f t="shared" si="129"/>
        <v>0</v>
      </c>
      <c r="AA781" s="3">
        <v>32</v>
      </c>
    </row>
    <row r="782" spans="1:27" x14ac:dyDescent="0.3">
      <c r="A782" s="3" t="str">
        <f t="shared" si="120"/>
        <v>South9410029905190</v>
      </c>
      <c r="B782" s="3" t="str">
        <f t="shared" si="121"/>
        <v>CY9410029905190</v>
      </c>
      <c r="C782" s="10">
        <v>9410029905190</v>
      </c>
      <c r="D782" s="10" t="str">
        <f t="shared" si="122"/>
        <v>9410029905</v>
      </c>
      <c r="E782" s="3" t="s">
        <v>4</v>
      </c>
      <c r="F782" s="3" t="s">
        <v>65</v>
      </c>
      <c r="H782" s="3">
        <v>1.4355000000000009</v>
      </c>
      <c r="I782" s="10">
        <f t="shared" si="123"/>
        <v>72.221953108282506</v>
      </c>
      <c r="J782" s="3">
        <v>0.59628683726446163</v>
      </c>
      <c r="K782" s="3">
        <v>0</v>
      </c>
      <c r="L782" s="3">
        <f t="shared" si="124"/>
        <v>0</v>
      </c>
      <c r="N782" s="11">
        <f t="shared" si="125"/>
        <v>0.83921316273553925</v>
      </c>
      <c r="O782" s="3">
        <v>0.59628683726446163</v>
      </c>
      <c r="P782" s="11">
        <f t="shared" si="126"/>
        <v>42.221953108282506</v>
      </c>
      <c r="Q782" s="12">
        <f t="shared" si="127"/>
        <v>42.221953108282499</v>
      </c>
      <c r="R782" s="13">
        <f t="shared" si="128"/>
        <v>140.30510959586513</v>
      </c>
      <c r="S782" s="3" t="s">
        <v>31</v>
      </c>
      <c r="T782" s="3" t="s">
        <v>32</v>
      </c>
      <c r="U782" s="10">
        <v>0</v>
      </c>
      <c r="V782" s="3">
        <v>0</v>
      </c>
      <c r="W782" s="3">
        <f t="shared" si="129"/>
        <v>0</v>
      </c>
      <c r="AA782" s="3">
        <v>32</v>
      </c>
    </row>
    <row r="783" spans="1:27" x14ac:dyDescent="0.3">
      <c r="A783" s="3" t="str">
        <f t="shared" si="120"/>
        <v>South9160909902219</v>
      </c>
      <c r="B783" s="3" t="str">
        <f t="shared" si="121"/>
        <v>CY9160909902219</v>
      </c>
      <c r="C783" s="10">
        <v>9160909902219</v>
      </c>
      <c r="D783" s="10" t="str">
        <f t="shared" si="122"/>
        <v>9160909902</v>
      </c>
      <c r="E783" s="3" t="s">
        <v>4</v>
      </c>
      <c r="F783" s="3" t="s">
        <v>65</v>
      </c>
      <c r="H783" s="3">
        <v>1.3455000000000001</v>
      </c>
      <c r="I783" s="10">
        <f t="shared" si="123"/>
        <v>88.185423154731069</v>
      </c>
      <c r="J783" s="3">
        <v>0.45772871021070177</v>
      </c>
      <c r="K783" s="3">
        <v>0</v>
      </c>
      <c r="L783" s="3">
        <f t="shared" si="124"/>
        <v>0</v>
      </c>
      <c r="N783" s="11">
        <f t="shared" si="125"/>
        <v>0.88777128978929842</v>
      </c>
      <c r="O783" s="3">
        <v>0.45772871021070177</v>
      </c>
      <c r="P783" s="11">
        <f t="shared" si="126"/>
        <v>58.185423154731069</v>
      </c>
      <c r="Q783" s="12">
        <f t="shared" si="127"/>
        <v>298.09106382075873</v>
      </c>
      <c r="R783" s="13">
        <f t="shared" si="128"/>
        <v>109.1236064775905</v>
      </c>
      <c r="S783" s="3" t="s">
        <v>31</v>
      </c>
      <c r="T783" s="3" t="s">
        <v>34</v>
      </c>
      <c r="U783" s="10">
        <v>0</v>
      </c>
      <c r="V783" s="3">
        <v>0</v>
      </c>
      <c r="W783" s="3">
        <f t="shared" si="129"/>
        <v>0</v>
      </c>
      <c r="AA783" s="3">
        <v>32</v>
      </c>
    </row>
    <row r="784" spans="1:27" x14ac:dyDescent="0.3">
      <c r="A784" s="3" t="str">
        <f t="shared" si="120"/>
        <v>South9420029906190</v>
      </c>
      <c r="B784" s="3" t="str">
        <f t="shared" si="121"/>
        <v>CY9420029906190</v>
      </c>
      <c r="C784" s="10">
        <v>9420029906190</v>
      </c>
      <c r="D784" s="10" t="str">
        <f t="shared" si="122"/>
        <v>9420029906</v>
      </c>
      <c r="E784" s="3" t="s">
        <v>4</v>
      </c>
      <c r="F784" s="3" t="s">
        <v>65</v>
      </c>
      <c r="H784" s="3">
        <v>1.3130999999999995</v>
      </c>
      <c r="I784" s="10">
        <f t="shared" si="123"/>
        <v>90.242379773865295</v>
      </c>
      <c r="J784" s="3">
        <v>0.43652439240535656</v>
      </c>
      <c r="K784" s="3">
        <v>0</v>
      </c>
      <c r="L784" s="3">
        <f t="shared" si="124"/>
        <v>0</v>
      </c>
      <c r="N784" s="11">
        <f t="shared" si="125"/>
        <v>0.87657560759464292</v>
      </c>
      <c r="O784" s="3">
        <v>0.43652439240535656</v>
      </c>
      <c r="P784" s="11">
        <f t="shared" si="126"/>
        <v>60.242379773865288</v>
      </c>
      <c r="Q784" s="12">
        <f t="shared" si="127"/>
        <v>60.242379773865295</v>
      </c>
      <c r="R784" s="13">
        <f t="shared" si="128"/>
        <v>132.02554309598722</v>
      </c>
      <c r="S784" s="3" t="s">
        <v>31</v>
      </c>
      <c r="T784" s="3" t="s">
        <v>28</v>
      </c>
      <c r="U784" s="10">
        <v>0</v>
      </c>
      <c r="V784" s="3">
        <v>0</v>
      </c>
      <c r="W784" s="3">
        <f t="shared" si="129"/>
        <v>0</v>
      </c>
      <c r="AA784" s="3">
        <v>32</v>
      </c>
    </row>
    <row r="785" spans="1:27" x14ac:dyDescent="0.3">
      <c r="A785" s="3" t="str">
        <f t="shared" si="120"/>
        <v>South9410029905836</v>
      </c>
      <c r="B785" s="3" t="str">
        <f t="shared" si="121"/>
        <v>CY9410029905836</v>
      </c>
      <c r="C785" s="10">
        <v>9410029905836</v>
      </c>
      <c r="D785" s="10" t="str">
        <f t="shared" si="122"/>
        <v>9410029905</v>
      </c>
      <c r="E785" s="3" t="s">
        <v>4</v>
      </c>
      <c r="F785" s="3" t="s">
        <v>65</v>
      </c>
      <c r="H785" s="3">
        <v>2.5524000000000004</v>
      </c>
      <c r="I785" s="10">
        <f t="shared" si="123"/>
        <v>188.9243370968542</v>
      </c>
      <c r="J785" s="3">
        <v>0.40530511408249387</v>
      </c>
      <c r="K785" s="3">
        <v>0</v>
      </c>
      <c r="L785" s="3">
        <f t="shared" si="124"/>
        <v>0</v>
      </c>
      <c r="N785" s="11">
        <f t="shared" si="125"/>
        <v>2.1470948859175065</v>
      </c>
      <c r="O785" s="3">
        <v>0.40530511408249387</v>
      </c>
      <c r="P785" s="11">
        <f t="shared" si="126"/>
        <v>158.9243370968542</v>
      </c>
      <c r="Q785" s="12">
        <f t="shared" si="127"/>
        <v>158.9243370968542</v>
      </c>
      <c r="R785" s="13">
        <f t="shared" si="128"/>
        <v>144.47238082969847</v>
      </c>
      <c r="S785" s="3" t="s">
        <v>31</v>
      </c>
      <c r="T785" s="3" t="s">
        <v>32</v>
      </c>
      <c r="U785" s="10">
        <v>0</v>
      </c>
      <c r="V785" s="3">
        <v>0</v>
      </c>
      <c r="W785" s="3">
        <f t="shared" si="129"/>
        <v>0</v>
      </c>
      <c r="AA785" s="3">
        <v>32</v>
      </c>
    </row>
    <row r="786" spans="1:27" x14ac:dyDescent="0.3">
      <c r="A786" s="3" t="str">
        <f t="shared" si="120"/>
        <v>South9410149905190</v>
      </c>
      <c r="B786" s="3" t="str">
        <f t="shared" si="121"/>
        <v>CY9410149905190</v>
      </c>
      <c r="C786" s="10">
        <v>9410149905190</v>
      </c>
      <c r="D786" s="10" t="str">
        <f t="shared" si="122"/>
        <v>9410149905</v>
      </c>
      <c r="E786" s="3" t="s">
        <v>4</v>
      </c>
      <c r="F786" s="3" t="s">
        <v>65</v>
      </c>
      <c r="H786" s="3">
        <v>26.613900000000005</v>
      </c>
      <c r="I786" s="10">
        <f t="shared" si="123"/>
        <v>2410.8776420372023</v>
      </c>
      <c r="J786" s="3">
        <v>0.33117275886524639</v>
      </c>
      <c r="K786" s="3">
        <v>0</v>
      </c>
      <c r="L786" s="3">
        <f t="shared" si="124"/>
        <v>0</v>
      </c>
      <c r="N786" s="11">
        <f t="shared" si="125"/>
        <v>26.282727241134758</v>
      </c>
      <c r="O786" s="3">
        <v>0.33117275886524639</v>
      </c>
      <c r="P786" s="11">
        <f t="shared" si="126"/>
        <v>2380.8776420372023</v>
      </c>
      <c r="Q786" s="12">
        <f t="shared" si="127"/>
        <v>2380.8776420372023</v>
      </c>
      <c r="R786" s="13">
        <f t="shared" si="128"/>
        <v>2234.6328584927655</v>
      </c>
      <c r="S786" s="3" t="s">
        <v>31</v>
      </c>
      <c r="T786" s="3" t="s">
        <v>32</v>
      </c>
      <c r="U786" s="10">
        <v>0</v>
      </c>
      <c r="V786" s="3">
        <v>0</v>
      </c>
      <c r="W786" s="3">
        <f t="shared" si="129"/>
        <v>0</v>
      </c>
      <c r="AA786" s="3">
        <v>32</v>
      </c>
    </row>
    <row r="787" spans="1:27" x14ac:dyDescent="0.3">
      <c r="A787" s="3" t="str">
        <f t="shared" si="120"/>
        <v>South9420019905190</v>
      </c>
      <c r="B787" s="3" t="str">
        <f t="shared" si="121"/>
        <v>CY9420019905190</v>
      </c>
      <c r="C787" s="10">
        <v>9420019905190</v>
      </c>
      <c r="D787" s="10" t="str">
        <f t="shared" si="122"/>
        <v>9420019905</v>
      </c>
      <c r="E787" s="3" t="s">
        <v>4</v>
      </c>
      <c r="F787" s="3" t="s">
        <v>65</v>
      </c>
      <c r="H787" s="3">
        <v>0.86670000000000014</v>
      </c>
      <c r="I787" s="10">
        <f t="shared" si="123"/>
        <v>78.745825323465979</v>
      </c>
      <c r="J787" s="3">
        <v>0.33018893246969117</v>
      </c>
      <c r="K787" s="3">
        <v>0</v>
      </c>
      <c r="L787" s="3">
        <f t="shared" si="124"/>
        <v>0</v>
      </c>
      <c r="N787" s="11">
        <f t="shared" si="125"/>
        <v>0.53651106753030897</v>
      </c>
      <c r="O787" s="3">
        <v>0.33018893246969117</v>
      </c>
      <c r="P787" s="11">
        <f t="shared" si="126"/>
        <v>48.745825323465979</v>
      </c>
      <c r="Q787" s="12">
        <f t="shared" si="127"/>
        <v>48.745825323465972</v>
      </c>
      <c r="R787" s="13">
        <f t="shared" si="128"/>
        <v>52.043218159316559</v>
      </c>
      <c r="S787" s="3" t="s">
        <v>31</v>
      </c>
      <c r="T787" s="3" t="s">
        <v>28</v>
      </c>
      <c r="U787" s="10">
        <v>0</v>
      </c>
      <c r="V787" s="3">
        <v>0</v>
      </c>
      <c r="W787" s="3">
        <f t="shared" si="129"/>
        <v>0</v>
      </c>
      <c r="AA787" s="3">
        <v>32</v>
      </c>
    </row>
    <row r="788" spans="1:27" x14ac:dyDescent="0.3">
      <c r="A788" s="3" t="str">
        <f t="shared" si="120"/>
        <v>South9420029906836</v>
      </c>
      <c r="B788" s="3" t="str">
        <f t="shared" si="121"/>
        <v>CY9420029906836</v>
      </c>
      <c r="C788" s="10">
        <v>9420029906836</v>
      </c>
      <c r="D788" s="10" t="str">
        <f t="shared" si="122"/>
        <v>9420029906</v>
      </c>
      <c r="E788" s="3" t="s">
        <v>4</v>
      </c>
      <c r="F788" s="3" t="s">
        <v>65</v>
      </c>
      <c r="H788" s="3">
        <v>9.9288000000000007</v>
      </c>
      <c r="I788" s="10">
        <f t="shared" si="123"/>
        <v>934.47419572140859</v>
      </c>
      <c r="J788" s="3">
        <v>0.31875037466395822</v>
      </c>
      <c r="K788" s="3">
        <v>0</v>
      </c>
      <c r="L788" s="3">
        <f t="shared" si="124"/>
        <v>0</v>
      </c>
      <c r="N788" s="11">
        <f t="shared" si="125"/>
        <v>9.6100496253360426</v>
      </c>
      <c r="O788" s="3">
        <v>0.31875037466395822</v>
      </c>
      <c r="P788" s="11">
        <f t="shared" si="126"/>
        <v>904.47419572140859</v>
      </c>
      <c r="Q788" s="12">
        <f t="shared" si="127"/>
        <v>904.47419572140859</v>
      </c>
      <c r="R788" s="13">
        <f t="shared" si="128"/>
        <v>1137.5067134430094</v>
      </c>
      <c r="S788" s="3" t="s">
        <v>31</v>
      </c>
      <c r="T788" s="3" t="s">
        <v>28</v>
      </c>
      <c r="U788" s="10">
        <v>0</v>
      </c>
      <c r="V788" s="3">
        <v>0</v>
      </c>
      <c r="W788" s="3">
        <f t="shared" si="129"/>
        <v>0</v>
      </c>
      <c r="AA788" s="3">
        <v>32</v>
      </c>
    </row>
    <row r="789" spans="1:27" x14ac:dyDescent="0.3">
      <c r="A789" s="3" t="str">
        <f t="shared" si="120"/>
        <v>South9310039905297</v>
      </c>
      <c r="B789" s="3" t="str">
        <f t="shared" si="121"/>
        <v>CY9310039905297</v>
      </c>
      <c r="C789" s="10">
        <v>9310039905297</v>
      </c>
      <c r="D789" s="10" t="str">
        <f t="shared" si="122"/>
        <v>9310039905</v>
      </c>
      <c r="E789" s="3" t="s">
        <v>4</v>
      </c>
      <c r="F789" s="3" t="s">
        <v>65</v>
      </c>
      <c r="H789" s="3">
        <v>3.0907499999999994</v>
      </c>
      <c r="I789" s="10">
        <f t="shared" si="123"/>
        <v>426.64221397844597</v>
      </c>
      <c r="J789" s="3">
        <v>0.21733081481872382</v>
      </c>
      <c r="K789" s="3">
        <v>0</v>
      </c>
      <c r="L789" s="3">
        <f t="shared" si="124"/>
        <v>0</v>
      </c>
      <c r="N789" s="11">
        <f t="shared" si="125"/>
        <v>2.8734191851812758</v>
      </c>
      <c r="O789" s="3">
        <v>0.21733081481872382</v>
      </c>
      <c r="P789" s="11">
        <f t="shared" si="126"/>
        <v>396.64221397844597</v>
      </c>
      <c r="Q789" s="12">
        <f t="shared" si="127"/>
        <v>396.64221397844597</v>
      </c>
      <c r="R789" s="13">
        <f t="shared" si="128"/>
        <v>141.65295197272914</v>
      </c>
      <c r="S789" s="3" t="s">
        <v>31</v>
      </c>
      <c r="T789" s="3" t="s">
        <v>32</v>
      </c>
      <c r="U789" s="10">
        <v>9310039900999</v>
      </c>
      <c r="V789" s="3">
        <v>0.1</v>
      </c>
      <c r="W789" s="3">
        <f t="shared" si="129"/>
        <v>0</v>
      </c>
      <c r="AA789" s="3">
        <v>32</v>
      </c>
    </row>
    <row r="790" spans="1:27" x14ac:dyDescent="0.3">
      <c r="A790" s="3" t="str">
        <f t="shared" si="120"/>
        <v>South9420019905836</v>
      </c>
      <c r="B790" s="3" t="str">
        <f t="shared" si="121"/>
        <v>CY9420019905836</v>
      </c>
      <c r="C790" s="10">
        <v>9420019905836</v>
      </c>
      <c r="D790" s="10" t="str">
        <f t="shared" si="122"/>
        <v>9420019905</v>
      </c>
      <c r="E790" s="3" t="s">
        <v>4</v>
      </c>
      <c r="F790" s="3" t="s">
        <v>65</v>
      </c>
      <c r="H790" s="3">
        <v>2.7108000000000003</v>
      </c>
      <c r="I790" s="10">
        <f t="shared" si="123"/>
        <v>522.24325422315462</v>
      </c>
      <c r="J790" s="3">
        <v>0.15572053701482613</v>
      </c>
      <c r="K790" s="3">
        <v>0</v>
      </c>
      <c r="L790" s="3">
        <f t="shared" si="124"/>
        <v>0</v>
      </c>
      <c r="N790" s="11">
        <f t="shared" si="125"/>
        <v>2.5550794629851743</v>
      </c>
      <c r="O790" s="3">
        <v>0.15572053701482613</v>
      </c>
      <c r="P790" s="11">
        <f t="shared" si="126"/>
        <v>492.24325422315468</v>
      </c>
      <c r="Q790" s="12">
        <f t="shared" si="127"/>
        <v>492.24325422315468</v>
      </c>
      <c r="R790" s="13">
        <f t="shared" si="128"/>
        <v>440.19193774316301</v>
      </c>
      <c r="S790" s="3" t="s">
        <v>31</v>
      </c>
      <c r="T790" s="3" t="s">
        <v>28</v>
      </c>
      <c r="U790" s="10">
        <v>0</v>
      </c>
      <c r="V790" s="3">
        <v>0</v>
      </c>
      <c r="W790" s="3">
        <f t="shared" si="129"/>
        <v>0</v>
      </c>
      <c r="AA790" s="3">
        <v>32</v>
      </c>
    </row>
    <row r="791" spans="1:27" x14ac:dyDescent="0.3">
      <c r="A791" s="3" t="str">
        <f t="shared" si="120"/>
        <v>South9410029906190</v>
      </c>
      <c r="B791" s="3" t="str">
        <f t="shared" si="121"/>
        <v>CY9410029906190</v>
      </c>
      <c r="C791" s="10">
        <v>9410029906190</v>
      </c>
      <c r="D791" s="10" t="str">
        <f t="shared" si="122"/>
        <v>9410029906</v>
      </c>
      <c r="E791" s="3" t="s">
        <v>4</v>
      </c>
      <c r="F791" s="3" t="s">
        <v>65</v>
      </c>
      <c r="H791" s="3">
        <v>16.4358</v>
      </c>
      <c r="I791" s="10">
        <f t="shared" si="123"/>
        <v>3172.2614504228413</v>
      </c>
      <c r="J791" s="3">
        <v>0.15543296405606055</v>
      </c>
      <c r="K791" s="3">
        <v>0</v>
      </c>
      <c r="L791" s="3">
        <f t="shared" si="124"/>
        <v>0</v>
      </c>
      <c r="N791" s="11">
        <f t="shared" si="125"/>
        <v>16.280367035943939</v>
      </c>
      <c r="O791" s="3">
        <v>0.15543296405606055</v>
      </c>
      <c r="P791" s="11">
        <f t="shared" si="126"/>
        <v>3142.2614504228413</v>
      </c>
      <c r="Q791" s="12">
        <f t="shared" si="127"/>
        <v>3142.2614504228413</v>
      </c>
      <c r="R791" s="13">
        <f t="shared" si="128"/>
        <v>1057.5705199201618</v>
      </c>
      <c r="S791" s="3" t="s">
        <v>31</v>
      </c>
      <c r="T791" s="3" t="s">
        <v>32</v>
      </c>
      <c r="U791" s="10">
        <v>0</v>
      </c>
      <c r="V791" s="3">
        <v>0</v>
      </c>
      <c r="W791" s="3">
        <f t="shared" si="129"/>
        <v>0</v>
      </c>
      <c r="AA791" s="3">
        <v>32</v>
      </c>
    </row>
    <row r="792" spans="1:27" x14ac:dyDescent="0.3">
      <c r="A792" s="3" t="str">
        <f t="shared" si="120"/>
        <v>South9410049906836</v>
      </c>
      <c r="B792" s="3" t="str">
        <f t="shared" si="121"/>
        <v>CY9410049906836</v>
      </c>
      <c r="C792" s="10">
        <v>9410049906836</v>
      </c>
      <c r="D792" s="10" t="str">
        <f t="shared" si="122"/>
        <v>9410049906</v>
      </c>
      <c r="E792" s="3" t="s">
        <v>4</v>
      </c>
      <c r="F792" s="3" t="s">
        <v>65</v>
      </c>
      <c r="H792" s="3">
        <v>5.7491999999999992</v>
      </c>
      <c r="I792" s="10">
        <f t="shared" si="123"/>
        <v>1403.4280903800873</v>
      </c>
      <c r="J792" s="3">
        <v>0.12289621476315804</v>
      </c>
      <c r="K792" s="3">
        <v>0</v>
      </c>
      <c r="L792" s="3">
        <f t="shared" si="124"/>
        <v>0</v>
      </c>
      <c r="N792" s="11">
        <f t="shared" si="125"/>
        <v>5.6263037852368409</v>
      </c>
      <c r="O792" s="3">
        <v>0.12289621476315804</v>
      </c>
      <c r="P792" s="11">
        <f t="shared" si="126"/>
        <v>1373.428090380087</v>
      </c>
      <c r="Q792" s="12">
        <f t="shared" si="127"/>
        <v>1373.4280903800873</v>
      </c>
      <c r="R792" s="13">
        <f t="shared" si="128"/>
        <v>1129.2393805606578</v>
      </c>
      <c r="S792" s="3" t="s">
        <v>31</v>
      </c>
      <c r="T792" s="3" t="s">
        <v>32</v>
      </c>
      <c r="U792" s="10">
        <v>0</v>
      </c>
      <c r="V792" s="3">
        <v>0</v>
      </c>
      <c r="W792" s="3">
        <f t="shared" si="129"/>
        <v>0</v>
      </c>
      <c r="AA792" s="3">
        <v>32</v>
      </c>
    </row>
    <row r="793" spans="1:27" x14ac:dyDescent="0.3">
      <c r="A793" s="3" t="str">
        <f t="shared" si="120"/>
        <v>South9310039904097</v>
      </c>
      <c r="B793" s="3" t="str">
        <f t="shared" si="121"/>
        <v>CY9310039904097</v>
      </c>
      <c r="C793" s="10">
        <v>9310039904097</v>
      </c>
      <c r="D793" s="10" t="str">
        <f t="shared" si="122"/>
        <v>9310039904</v>
      </c>
      <c r="E793" s="3" t="s">
        <v>4</v>
      </c>
      <c r="F793" s="3" t="s">
        <v>65</v>
      </c>
      <c r="H793" s="3">
        <v>2.501850000000001</v>
      </c>
      <c r="I793" s="10">
        <f t="shared" si="123"/>
        <v>670.41061838915925</v>
      </c>
      <c r="J793" s="3">
        <v>0.11195452151450247</v>
      </c>
      <c r="K793" s="3">
        <v>0</v>
      </c>
      <c r="L793" s="3">
        <f t="shared" si="124"/>
        <v>0</v>
      </c>
      <c r="N793" s="11">
        <f t="shared" si="125"/>
        <v>2.3898954784854984</v>
      </c>
      <c r="O793" s="3">
        <v>0.11195452151450247</v>
      </c>
      <c r="P793" s="11">
        <f t="shared" si="126"/>
        <v>640.41061838915925</v>
      </c>
      <c r="Q793" s="12">
        <f t="shared" si="127"/>
        <v>640.41061838915914</v>
      </c>
      <c r="R793" s="13">
        <f t="shared" si="128"/>
        <v>1418.5220697053549</v>
      </c>
      <c r="S793" s="3" t="s">
        <v>31</v>
      </c>
      <c r="T793" s="3" t="s">
        <v>32</v>
      </c>
      <c r="U793" s="10">
        <v>0</v>
      </c>
      <c r="V793" s="3">
        <v>0</v>
      </c>
      <c r="W793" s="3">
        <f t="shared" si="129"/>
        <v>0</v>
      </c>
      <c r="AA793" s="3">
        <v>32</v>
      </c>
    </row>
    <row r="794" spans="1:27" x14ac:dyDescent="0.3">
      <c r="A794" s="3" t="str">
        <f t="shared" si="120"/>
        <v>South9410049905836</v>
      </c>
      <c r="B794" s="3" t="str">
        <f t="shared" si="121"/>
        <v>CY9410049905836</v>
      </c>
      <c r="C794" s="10">
        <v>9410049905836</v>
      </c>
      <c r="D794" s="10" t="str">
        <f t="shared" si="122"/>
        <v>9410049905</v>
      </c>
      <c r="E794" s="3" t="s">
        <v>4</v>
      </c>
      <c r="F794" s="3" t="s">
        <v>65</v>
      </c>
      <c r="H794" s="3">
        <v>4.6259999999999994</v>
      </c>
      <c r="I794" s="10">
        <f t="shared" si="123"/>
        <v>1937.0163988538166</v>
      </c>
      <c r="J794" s="3">
        <v>7.1646270048162611E-2</v>
      </c>
      <c r="K794" s="3">
        <v>0</v>
      </c>
      <c r="L794" s="3">
        <f t="shared" si="124"/>
        <v>0</v>
      </c>
      <c r="N794" s="11">
        <f t="shared" si="125"/>
        <v>4.5543537299518366</v>
      </c>
      <c r="O794" s="3">
        <v>7.1646270048162611E-2</v>
      </c>
      <c r="P794" s="11">
        <f t="shared" si="126"/>
        <v>1907.0163988538163</v>
      </c>
      <c r="Q794" s="12">
        <f t="shared" si="127"/>
        <v>1907.0163988538161</v>
      </c>
      <c r="R794" s="13">
        <f t="shared" si="128"/>
        <v>729.57630860364111</v>
      </c>
      <c r="S794" s="3" t="s">
        <v>31</v>
      </c>
      <c r="T794" s="3" t="s">
        <v>32</v>
      </c>
      <c r="U794" s="10">
        <v>0</v>
      </c>
      <c r="V794" s="3">
        <v>0</v>
      </c>
      <c r="W794" s="3">
        <f t="shared" si="129"/>
        <v>0</v>
      </c>
      <c r="AA794" s="3">
        <v>32</v>
      </c>
    </row>
    <row r="795" spans="1:27" x14ac:dyDescent="0.3">
      <c r="A795" s="3" t="str">
        <f t="shared" si="120"/>
        <v>South9310039904297</v>
      </c>
      <c r="B795" s="3" t="str">
        <f t="shared" si="121"/>
        <v>CY9310039904297</v>
      </c>
      <c r="C795" s="10">
        <v>9310039904297</v>
      </c>
      <c r="D795" s="10" t="str">
        <f t="shared" si="122"/>
        <v>9310039904</v>
      </c>
      <c r="E795" s="3" t="s">
        <v>4</v>
      </c>
      <c r="F795" s="3" t="s">
        <v>65</v>
      </c>
      <c r="H795" s="3">
        <v>9.7012500000000017</v>
      </c>
      <c r="I795" s="10">
        <f t="shared" si="123"/>
        <v>5109.5085363284934</v>
      </c>
      <c r="J795" s="3">
        <v>5.6959979209493403E-2</v>
      </c>
      <c r="K795" s="3">
        <v>0</v>
      </c>
      <c r="L795" s="3">
        <f t="shared" si="124"/>
        <v>0</v>
      </c>
      <c r="N795" s="11">
        <f t="shared" si="125"/>
        <v>9.6442900207905087</v>
      </c>
      <c r="O795" s="3">
        <v>5.6959979209493403E-2</v>
      </c>
      <c r="P795" s="11">
        <f t="shared" si="126"/>
        <v>5079.5085363284934</v>
      </c>
      <c r="Q795" s="12">
        <f t="shared" si="127"/>
        <v>5079.5085363284934</v>
      </c>
      <c r="R795" s="13">
        <f t="shared" si="128"/>
        <v>2442.2311191614003</v>
      </c>
      <c r="S795" s="3" t="s">
        <v>31</v>
      </c>
      <c r="T795" s="3" t="s">
        <v>32</v>
      </c>
      <c r="U795" s="10">
        <v>9310039900999</v>
      </c>
      <c r="V795" s="3">
        <v>0.1</v>
      </c>
      <c r="W795" s="3">
        <f t="shared" si="129"/>
        <v>0</v>
      </c>
      <c r="AA795" s="3">
        <v>32</v>
      </c>
    </row>
    <row r="796" spans="1:27" x14ac:dyDescent="0.3">
      <c r="A796" s="3" t="str">
        <f t="shared" si="120"/>
        <v>South9310039904839</v>
      </c>
      <c r="B796" s="3" t="str">
        <f t="shared" si="121"/>
        <v>CY9310039904839</v>
      </c>
      <c r="C796" s="10">
        <v>9310039904839</v>
      </c>
      <c r="D796" s="10" t="str">
        <f t="shared" si="122"/>
        <v>9310039904</v>
      </c>
      <c r="E796" s="3" t="s">
        <v>4</v>
      </c>
      <c r="F796" s="3" t="s">
        <v>65</v>
      </c>
      <c r="H796" s="3">
        <v>10.124399999999998</v>
      </c>
      <c r="I796" s="10">
        <f t="shared" si="123"/>
        <v>6094.0528528487839</v>
      </c>
      <c r="J796" s="3">
        <v>4.9840722969446263E-2</v>
      </c>
      <c r="K796" s="3">
        <v>0</v>
      </c>
      <c r="L796" s="3">
        <f t="shared" si="124"/>
        <v>0</v>
      </c>
      <c r="N796" s="11">
        <f t="shared" si="125"/>
        <v>10.074559277030552</v>
      </c>
      <c r="O796" s="3">
        <v>4.9840722969446263E-2</v>
      </c>
      <c r="P796" s="11">
        <f t="shared" si="126"/>
        <v>6064.0528528487848</v>
      </c>
      <c r="Q796" s="12">
        <f t="shared" si="127"/>
        <v>6064.0528528487848</v>
      </c>
      <c r="R796" s="13">
        <f t="shared" si="128"/>
        <v>5688.9618727009747</v>
      </c>
      <c r="S796" s="3" t="s">
        <v>31</v>
      </c>
      <c r="T796" s="3" t="s">
        <v>32</v>
      </c>
      <c r="U796" s="10">
        <v>0</v>
      </c>
      <c r="V796" s="3">
        <v>0</v>
      </c>
      <c r="W796" s="3">
        <f t="shared" si="129"/>
        <v>0</v>
      </c>
      <c r="AA796" s="3">
        <v>32</v>
      </c>
    </row>
    <row r="797" spans="1:27" x14ac:dyDescent="0.3">
      <c r="A797" s="3" t="str">
        <f t="shared" si="120"/>
        <v>South9410049905190</v>
      </c>
      <c r="B797" s="3" t="str">
        <f t="shared" si="121"/>
        <v>CY9410049905190</v>
      </c>
      <c r="C797" s="10">
        <v>9410049905190</v>
      </c>
      <c r="D797" s="10" t="str">
        <f t="shared" si="122"/>
        <v>9410049905</v>
      </c>
      <c r="E797" s="3" t="s">
        <v>4</v>
      </c>
      <c r="F797" s="3" t="s">
        <v>65</v>
      </c>
      <c r="H797" s="3">
        <v>6.9713999999999992</v>
      </c>
      <c r="I797" s="10">
        <f t="shared" si="123"/>
        <v>4985.3533800022451</v>
      </c>
      <c r="J797" s="3">
        <v>4.1951288917437941E-2</v>
      </c>
      <c r="K797" s="3">
        <v>0</v>
      </c>
      <c r="L797" s="3">
        <f t="shared" si="124"/>
        <v>0</v>
      </c>
      <c r="N797" s="11">
        <f t="shared" si="125"/>
        <v>6.9294487110825616</v>
      </c>
      <c r="O797" s="3">
        <v>4.1951288917437941E-2</v>
      </c>
      <c r="P797" s="11">
        <f t="shared" si="126"/>
        <v>4955.3533800022451</v>
      </c>
      <c r="Q797" s="12">
        <f t="shared" si="127"/>
        <v>4955.353380002246</v>
      </c>
      <c r="R797" s="13">
        <f t="shared" si="128"/>
        <v>1371.8231806671633</v>
      </c>
      <c r="S797" s="3" t="s">
        <v>31</v>
      </c>
      <c r="T797" s="3" t="s">
        <v>32</v>
      </c>
      <c r="U797" s="10">
        <v>0</v>
      </c>
      <c r="V797" s="3">
        <v>0</v>
      </c>
      <c r="W797" s="3">
        <f t="shared" si="129"/>
        <v>0</v>
      </c>
      <c r="AA797" s="3">
        <v>32</v>
      </c>
    </row>
    <row r="798" spans="1:27" x14ac:dyDescent="0.3">
      <c r="A798" s="3" t="str">
        <f t="shared" si="120"/>
        <v>South9410049906190</v>
      </c>
      <c r="B798" s="3" t="str">
        <f t="shared" si="121"/>
        <v>CY9410049906190</v>
      </c>
      <c r="C798" s="10">
        <v>9410049906190</v>
      </c>
      <c r="D798" s="10" t="str">
        <f t="shared" si="122"/>
        <v>9410049906</v>
      </c>
      <c r="E798" s="3" t="s">
        <v>4</v>
      </c>
      <c r="F798" s="3" t="s">
        <v>65</v>
      </c>
      <c r="H798" s="3">
        <v>8.2071000000000005</v>
      </c>
      <c r="I798" s="10">
        <f t="shared" si="123"/>
        <v>8410.8594514353899</v>
      </c>
      <c r="J798" s="3">
        <v>2.9273227239337774E-2</v>
      </c>
      <c r="K798" s="3">
        <v>0</v>
      </c>
      <c r="L798" s="3">
        <f t="shared" si="124"/>
        <v>0</v>
      </c>
      <c r="N798" s="11">
        <f t="shared" si="125"/>
        <v>8.1778267727606622</v>
      </c>
      <c r="O798" s="3">
        <v>2.9273227239337774E-2</v>
      </c>
      <c r="P798" s="11">
        <f t="shared" si="126"/>
        <v>8380.8594514353899</v>
      </c>
      <c r="Q798" s="12">
        <f t="shared" si="127"/>
        <v>8380.8594514353881</v>
      </c>
      <c r="R798" s="13">
        <f t="shared" si="128"/>
        <v>3692.6769758058704</v>
      </c>
      <c r="S798" s="3" t="s">
        <v>31</v>
      </c>
      <c r="T798" s="3" t="s">
        <v>32</v>
      </c>
      <c r="U798" s="10">
        <v>0</v>
      </c>
      <c r="V798" s="3">
        <v>0</v>
      </c>
      <c r="W798" s="3">
        <f t="shared" si="129"/>
        <v>0</v>
      </c>
      <c r="AA798" s="3">
        <v>32</v>
      </c>
    </row>
    <row r="799" spans="1:27" x14ac:dyDescent="0.3">
      <c r="A799" s="3" t="str">
        <f t="shared" si="120"/>
        <v>South9410039902319</v>
      </c>
      <c r="B799" s="3" t="str">
        <f t="shared" si="121"/>
        <v>CY9410039902319</v>
      </c>
      <c r="C799" s="10">
        <v>9410039902319</v>
      </c>
      <c r="D799" s="10" t="str">
        <f t="shared" si="122"/>
        <v>9410039902</v>
      </c>
      <c r="E799" s="3" t="s">
        <v>4</v>
      </c>
      <c r="F799" s="3" t="s">
        <v>65</v>
      </c>
      <c r="H799" s="3">
        <v>0.41800000000000004</v>
      </c>
      <c r="I799" s="10">
        <f t="shared" si="123"/>
        <v>780.89724112319948</v>
      </c>
      <c r="J799" s="3">
        <v>1.6058450894208764E-2</v>
      </c>
      <c r="K799" s="3">
        <v>0</v>
      </c>
      <c r="L799" s="3">
        <f t="shared" si="124"/>
        <v>0</v>
      </c>
      <c r="N799" s="11">
        <f t="shared" si="125"/>
        <v>0.40194154910579127</v>
      </c>
      <c r="O799" s="3">
        <v>1.6058450894208764E-2</v>
      </c>
      <c r="P799" s="11">
        <f t="shared" si="126"/>
        <v>750.89724112319948</v>
      </c>
      <c r="Q799" s="12">
        <f t="shared" si="127"/>
        <v>3566.4203024608828</v>
      </c>
      <c r="R799" s="13">
        <f t="shared" si="128"/>
        <v>1588.2169228535811</v>
      </c>
      <c r="S799" s="3" t="s">
        <v>31</v>
      </c>
      <c r="T799" s="3" t="s">
        <v>32</v>
      </c>
      <c r="U799" s="10">
        <v>9410039913999</v>
      </c>
      <c r="V799" s="3">
        <v>0.1</v>
      </c>
      <c r="W799" s="3">
        <f t="shared" si="129"/>
        <v>0</v>
      </c>
      <c r="AA799" s="3">
        <v>32</v>
      </c>
    </row>
    <row r="800" spans="1:27" x14ac:dyDescent="0.3">
      <c r="A800" s="3" t="str">
        <f t="shared" si="120"/>
        <v>South9410029906836</v>
      </c>
      <c r="B800" s="3" t="str">
        <f t="shared" si="121"/>
        <v>CY9410029906836</v>
      </c>
      <c r="C800" s="10">
        <v>9410029906836</v>
      </c>
      <c r="D800" s="10" t="str">
        <f t="shared" si="122"/>
        <v>9410029906</v>
      </c>
      <c r="E800" s="3" t="s">
        <v>4</v>
      </c>
      <c r="F800" s="3" t="s">
        <v>65</v>
      </c>
      <c r="H800" s="3">
        <v>26.805599999999998</v>
      </c>
      <c r="I800" s="10">
        <f t="shared" si="123"/>
        <v>81912.291804251654</v>
      </c>
      <c r="J800" s="3">
        <v>9.8174276691188819E-3</v>
      </c>
      <c r="K800" s="3">
        <v>0</v>
      </c>
      <c r="L800" s="3">
        <f t="shared" si="124"/>
        <v>0</v>
      </c>
      <c r="N800" s="11">
        <f t="shared" si="125"/>
        <v>26.795782572330879</v>
      </c>
      <c r="O800" s="3">
        <v>9.8174276691188819E-3</v>
      </c>
      <c r="P800" s="11">
        <f t="shared" si="126"/>
        <v>81882.291804251654</v>
      </c>
      <c r="Q800" s="12">
        <f t="shared" si="127"/>
        <v>81882.291804251639</v>
      </c>
      <c r="R800" s="13">
        <f t="shared" si="128"/>
        <v>5490.8157019902492</v>
      </c>
      <c r="S800" s="3" t="s">
        <v>31</v>
      </c>
      <c r="T800" s="3" t="s">
        <v>32</v>
      </c>
      <c r="U800" s="10">
        <v>0</v>
      </c>
      <c r="V800" s="3">
        <v>0</v>
      </c>
      <c r="W800" s="3">
        <f t="shared" si="129"/>
        <v>0</v>
      </c>
      <c r="AA800" s="3">
        <v>32</v>
      </c>
    </row>
    <row r="801" spans="1:27" x14ac:dyDescent="0.3">
      <c r="A801" s="3" t="str">
        <f t="shared" si="120"/>
        <v>South9160909901210</v>
      </c>
      <c r="B801" s="3" t="str">
        <f t="shared" si="121"/>
        <v>CY9160909901210</v>
      </c>
      <c r="C801" s="10">
        <v>9160909901210</v>
      </c>
      <c r="D801" s="10" t="str">
        <f t="shared" si="122"/>
        <v>9160909901</v>
      </c>
      <c r="E801" s="3" t="s">
        <v>4</v>
      </c>
      <c r="F801" s="3" t="s">
        <v>65</v>
      </c>
      <c r="H801" s="3">
        <v>0</v>
      </c>
      <c r="I801" s="10">
        <f t="shared" si="123"/>
        <v>0</v>
      </c>
      <c r="J801" s="3">
        <v>0</v>
      </c>
      <c r="K801" s="3">
        <v>0</v>
      </c>
      <c r="L801" s="3">
        <f t="shared" si="124"/>
        <v>0</v>
      </c>
      <c r="N801" s="11">
        <f t="shared" si="125"/>
        <v>0</v>
      </c>
      <c r="O801" s="3">
        <v>0</v>
      </c>
      <c r="P801" s="11">
        <f t="shared" si="126"/>
        <v>9999</v>
      </c>
      <c r="Q801" s="12">
        <f t="shared" si="127"/>
        <v>9999</v>
      </c>
      <c r="R801" s="13">
        <f t="shared" si="128"/>
        <v>9999</v>
      </c>
      <c r="S801" s="3" t="s">
        <v>31</v>
      </c>
      <c r="T801" s="3" t="s">
        <v>34</v>
      </c>
      <c r="U801" s="10" t="s">
        <v>72</v>
      </c>
      <c r="V801" s="3" t="s">
        <v>72</v>
      </c>
      <c r="W801" s="3">
        <f t="shared" si="129"/>
        <v>0</v>
      </c>
      <c r="AA801" s="3">
        <v>32</v>
      </c>
    </row>
    <row r="802" spans="1:27" x14ac:dyDescent="0.3">
      <c r="A802" s="3" t="str">
        <f t="shared" si="120"/>
        <v>South9310039904219</v>
      </c>
      <c r="B802" s="3" t="str">
        <f t="shared" si="121"/>
        <v>CY9310039904219</v>
      </c>
      <c r="C802" s="10">
        <v>9310039904219</v>
      </c>
      <c r="D802" s="10" t="str">
        <f t="shared" si="122"/>
        <v>9310039904</v>
      </c>
      <c r="E802" s="3" t="s">
        <v>4</v>
      </c>
      <c r="F802" s="3" t="s">
        <v>65</v>
      </c>
      <c r="H802" s="3">
        <v>1.7745</v>
      </c>
      <c r="I802" s="10">
        <f t="shared" si="123"/>
        <v>0</v>
      </c>
      <c r="J802" s="3">
        <v>0</v>
      </c>
      <c r="K802" s="3">
        <v>0</v>
      </c>
      <c r="L802" s="3">
        <f t="shared" si="124"/>
        <v>0</v>
      </c>
      <c r="N802" s="11">
        <f t="shared" si="125"/>
        <v>1.7745</v>
      </c>
      <c r="O802" s="3">
        <v>0</v>
      </c>
      <c r="P802" s="11">
        <f t="shared" si="126"/>
        <v>9999</v>
      </c>
      <c r="Q802" s="12">
        <f t="shared" si="127"/>
        <v>9999</v>
      </c>
      <c r="R802" s="13">
        <f t="shared" si="128"/>
        <v>1534.9932759307439</v>
      </c>
      <c r="S802" s="3" t="s">
        <v>31</v>
      </c>
      <c r="T802" s="3" t="s">
        <v>32</v>
      </c>
      <c r="U802" s="10">
        <v>9310039900999</v>
      </c>
      <c r="V802" s="3">
        <v>0.1</v>
      </c>
      <c r="W802" s="3">
        <f t="shared" si="129"/>
        <v>0</v>
      </c>
      <c r="AA802" s="3">
        <v>32</v>
      </c>
    </row>
    <row r="803" spans="1:27" x14ac:dyDescent="0.3">
      <c r="A803" s="3" t="str">
        <f t="shared" si="120"/>
        <v>South9410149905836</v>
      </c>
      <c r="B803" s="3" t="str">
        <f t="shared" si="121"/>
        <v>CY9410149905836</v>
      </c>
      <c r="C803" s="10">
        <v>9410149905836</v>
      </c>
      <c r="D803" s="10" t="str">
        <f t="shared" si="122"/>
        <v>9410149905</v>
      </c>
      <c r="E803" s="3" t="s">
        <v>4</v>
      </c>
      <c r="F803" s="3" t="s">
        <v>65</v>
      </c>
      <c r="H803" s="3">
        <v>0</v>
      </c>
      <c r="I803" s="10">
        <f t="shared" si="123"/>
        <v>0</v>
      </c>
      <c r="J803" s="3">
        <v>0</v>
      </c>
      <c r="K803" s="3">
        <v>0</v>
      </c>
      <c r="L803" s="3">
        <f t="shared" si="124"/>
        <v>0</v>
      </c>
      <c r="N803" s="11">
        <f t="shared" si="125"/>
        <v>0</v>
      </c>
      <c r="O803" s="3">
        <v>0</v>
      </c>
      <c r="P803" s="11">
        <f t="shared" si="126"/>
        <v>9999</v>
      </c>
      <c r="Q803" s="12">
        <f t="shared" si="127"/>
        <v>9999</v>
      </c>
      <c r="R803" s="13">
        <f t="shared" si="128"/>
        <v>9999</v>
      </c>
      <c r="S803" s="3" t="s">
        <v>31</v>
      </c>
      <c r="T803" s="3" t="s">
        <v>32</v>
      </c>
      <c r="U803" s="10" t="s">
        <v>72</v>
      </c>
      <c r="V803" s="3" t="s">
        <v>72</v>
      </c>
      <c r="W803" s="3">
        <f t="shared" si="129"/>
        <v>0</v>
      </c>
      <c r="AA803" s="3">
        <v>32</v>
      </c>
    </row>
    <row r="804" spans="1:27" x14ac:dyDescent="0.3">
      <c r="A804" s="3" t="str">
        <f t="shared" si="120"/>
        <v>South9160909902097</v>
      </c>
      <c r="B804" s="3" t="str">
        <f t="shared" si="121"/>
        <v>CY9160909902097</v>
      </c>
      <c r="C804" s="10">
        <v>9160909902097</v>
      </c>
      <c r="D804" s="10" t="str">
        <f t="shared" si="122"/>
        <v>9160909902</v>
      </c>
      <c r="E804" s="3" t="s">
        <v>4</v>
      </c>
      <c r="F804" s="3" t="s">
        <v>65</v>
      </c>
      <c r="H804" s="3">
        <v>0</v>
      </c>
      <c r="I804" s="10">
        <f t="shared" si="123"/>
        <v>0</v>
      </c>
      <c r="J804" s="3">
        <v>0</v>
      </c>
      <c r="K804" s="3">
        <v>0</v>
      </c>
      <c r="L804" s="3">
        <f t="shared" si="124"/>
        <v>0</v>
      </c>
      <c r="N804" s="11">
        <f t="shared" si="125"/>
        <v>0</v>
      </c>
      <c r="O804" s="3">
        <v>0</v>
      </c>
      <c r="P804" s="11">
        <f t="shared" si="126"/>
        <v>9999</v>
      </c>
      <c r="Q804" s="12">
        <f t="shared" si="127"/>
        <v>9999</v>
      </c>
      <c r="R804" s="13">
        <f t="shared" si="128"/>
        <v>9999</v>
      </c>
      <c r="S804" s="3" t="s">
        <v>31</v>
      </c>
      <c r="T804" s="3" t="s">
        <v>34</v>
      </c>
      <c r="U804" s="10" t="s">
        <v>72</v>
      </c>
      <c r="V804" s="3" t="s">
        <v>72</v>
      </c>
      <c r="W804" s="3">
        <f t="shared" si="129"/>
        <v>0</v>
      </c>
      <c r="AA804" s="3">
        <v>32</v>
      </c>
    </row>
    <row r="805" spans="1:27" x14ac:dyDescent="0.3">
      <c r="A805" s="3" t="str">
        <f t="shared" si="120"/>
        <v>South9161089900210</v>
      </c>
      <c r="B805" s="3" t="str">
        <f t="shared" si="121"/>
        <v>CY9161089900210</v>
      </c>
      <c r="C805" s="10">
        <v>9161089900210</v>
      </c>
      <c r="D805" s="10" t="str">
        <f t="shared" si="122"/>
        <v>9161089900</v>
      </c>
      <c r="E805" s="3" t="s">
        <v>4</v>
      </c>
      <c r="F805" s="3" t="s">
        <v>65</v>
      </c>
      <c r="H805" s="3">
        <v>0</v>
      </c>
      <c r="I805" s="10">
        <f t="shared" si="123"/>
        <v>0</v>
      </c>
      <c r="J805" s="3">
        <v>0</v>
      </c>
      <c r="K805" s="3">
        <v>0</v>
      </c>
      <c r="L805" s="3">
        <f t="shared" si="124"/>
        <v>0</v>
      </c>
      <c r="N805" s="11">
        <f t="shared" si="125"/>
        <v>0</v>
      </c>
      <c r="O805" s="3">
        <v>0</v>
      </c>
      <c r="P805" s="11">
        <f t="shared" si="126"/>
        <v>9999</v>
      </c>
      <c r="Q805" s="12">
        <f t="shared" si="127"/>
        <v>9999</v>
      </c>
      <c r="R805" s="13">
        <f t="shared" si="128"/>
        <v>9999</v>
      </c>
      <c r="S805" s="3" t="s">
        <v>31</v>
      </c>
      <c r="T805" s="3" t="s">
        <v>34</v>
      </c>
      <c r="U805" s="10" t="s">
        <v>72</v>
      </c>
      <c r="V805" s="3" t="s">
        <v>72</v>
      </c>
      <c r="W805" s="3">
        <f t="shared" si="129"/>
        <v>0</v>
      </c>
      <c r="AA805" s="3">
        <v>32</v>
      </c>
    </row>
    <row r="806" spans="1:27" x14ac:dyDescent="0.3">
      <c r="A806" s="3" t="str">
        <f t="shared" si="120"/>
        <v>South9410039902838</v>
      </c>
      <c r="B806" s="3" t="str">
        <f t="shared" si="121"/>
        <v>CY9410039902838</v>
      </c>
      <c r="C806" s="10">
        <v>9410039902838</v>
      </c>
      <c r="D806" s="10" t="str">
        <f t="shared" si="122"/>
        <v>9410039902</v>
      </c>
      <c r="E806" s="3" t="s">
        <v>4</v>
      </c>
      <c r="F806" s="3" t="s">
        <v>65</v>
      </c>
      <c r="H806" s="3">
        <v>10.924999999999999</v>
      </c>
      <c r="I806" s="10">
        <f t="shared" si="123"/>
        <v>0</v>
      </c>
      <c r="J806" s="3">
        <v>0</v>
      </c>
      <c r="K806" s="3">
        <v>0</v>
      </c>
      <c r="L806" s="3">
        <f t="shared" si="124"/>
        <v>0</v>
      </c>
      <c r="N806" s="11">
        <f t="shared" si="125"/>
        <v>10.924999999999999</v>
      </c>
      <c r="O806" s="3">
        <v>0</v>
      </c>
      <c r="P806" s="11">
        <f t="shared" si="126"/>
        <v>9999</v>
      </c>
      <c r="Q806" s="12">
        <f t="shared" si="127"/>
        <v>9999</v>
      </c>
      <c r="R806" s="13">
        <f t="shared" si="128"/>
        <v>19340.266627370947</v>
      </c>
      <c r="S806" s="3" t="s">
        <v>31</v>
      </c>
      <c r="T806" s="3" t="s">
        <v>32</v>
      </c>
      <c r="U806" s="10">
        <v>0</v>
      </c>
      <c r="V806" s="3">
        <v>0</v>
      </c>
      <c r="W806" s="3">
        <f t="shared" si="129"/>
        <v>0</v>
      </c>
      <c r="AA806" s="3">
        <v>32</v>
      </c>
    </row>
    <row r="807" spans="1:27" x14ac:dyDescent="0.3">
      <c r="A807" s="3" t="str">
        <f t="shared" si="120"/>
        <v>South9410039902295</v>
      </c>
      <c r="B807" s="3" t="str">
        <f t="shared" si="121"/>
        <v>CY9410039902295</v>
      </c>
      <c r="C807" s="10">
        <v>9410039902295</v>
      </c>
      <c r="D807" s="10" t="str">
        <f t="shared" si="122"/>
        <v>9410039902</v>
      </c>
      <c r="E807" s="3" t="s">
        <v>4</v>
      </c>
      <c r="F807" s="3" t="s">
        <v>65</v>
      </c>
      <c r="H807" s="3">
        <v>1.4344999999999999</v>
      </c>
      <c r="I807" s="10">
        <f t="shared" si="123"/>
        <v>0</v>
      </c>
      <c r="J807" s="3">
        <v>0</v>
      </c>
      <c r="K807" s="3">
        <v>0</v>
      </c>
      <c r="L807" s="3">
        <f t="shared" si="124"/>
        <v>0</v>
      </c>
      <c r="N807" s="11">
        <f t="shared" si="125"/>
        <v>1.4344999999999999</v>
      </c>
      <c r="O807" s="3">
        <v>0</v>
      </c>
      <c r="P807" s="11">
        <f t="shared" si="126"/>
        <v>9999</v>
      </c>
      <c r="Q807" s="12">
        <f t="shared" si="127"/>
        <v>6118.8012705299861</v>
      </c>
      <c r="R807" s="13">
        <f t="shared" si="128"/>
        <v>14507.811824597666</v>
      </c>
      <c r="S807" s="3" t="s">
        <v>31</v>
      </c>
      <c r="T807" s="3" t="s">
        <v>32</v>
      </c>
      <c r="U807" s="10">
        <v>9410039913999</v>
      </c>
      <c r="V807" s="3">
        <v>0.1</v>
      </c>
      <c r="W807" s="3">
        <f t="shared" si="129"/>
        <v>0</v>
      </c>
      <c r="AA807" s="3">
        <v>32</v>
      </c>
    </row>
    <row r="808" spans="1:27" x14ac:dyDescent="0.3">
      <c r="A808" s="3" t="str">
        <f t="shared" si="120"/>
        <v>South9410039902195</v>
      </c>
      <c r="B808" s="3" t="str">
        <f t="shared" si="121"/>
        <v>CY9410039902195</v>
      </c>
      <c r="C808" s="10">
        <v>9410039902195</v>
      </c>
      <c r="D808" s="10" t="str">
        <f t="shared" si="122"/>
        <v>9410039902</v>
      </c>
      <c r="E808" s="3" t="s">
        <v>4</v>
      </c>
      <c r="F808" s="3" t="s">
        <v>65</v>
      </c>
      <c r="H808" s="3">
        <v>0.39995000000000003</v>
      </c>
      <c r="I808" s="10">
        <f t="shared" si="123"/>
        <v>0</v>
      </c>
      <c r="J808" s="3">
        <v>0</v>
      </c>
      <c r="K808" s="3">
        <v>0</v>
      </c>
      <c r="L808" s="3">
        <f t="shared" si="124"/>
        <v>0</v>
      </c>
      <c r="N808" s="11">
        <f t="shared" si="125"/>
        <v>0.39995000000000003</v>
      </c>
      <c r="O808" s="3">
        <v>0</v>
      </c>
      <c r="P808" s="11">
        <f t="shared" si="126"/>
        <v>9999</v>
      </c>
      <c r="Q808" s="12">
        <f t="shared" si="127"/>
        <v>1232.8673224304553</v>
      </c>
      <c r="R808" s="13">
        <f t="shared" si="128"/>
        <v>1426.4457706037354</v>
      </c>
      <c r="S808" s="3" t="s">
        <v>31</v>
      </c>
      <c r="T808" s="3" t="s">
        <v>32</v>
      </c>
      <c r="U808" s="10">
        <v>0</v>
      </c>
      <c r="V808" s="3">
        <v>0</v>
      </c>
      <c r="W808" s="3">
        <f t="shared" si="129"/>
        <v>0</v>
      </c>
      <c r="AA808" s="3">
        <v>32</v>
      </c>
    </row>
    <row r="809" spans="1:27" x14ac:dyDescent="0.3">
      <c r="A809" s="3" t="str">
        <f t="shared" si="120"/>
        <v>South9410019900320</v>
      </c>
      <c r="B809" s="3" t="str">
        <f t="shared" si="121"/>
        <v>CMR9410019900320</v>
      </c>
      <c r="C809" s="10">
        <v>9410019900320</v>
      </c>
      <c r="D809" s="10" t="str">
        <f t="shared" si="122"/>
        <v>9410019900</v>
      </c>
      <c r="E809" s="3" t="s">
        <v>5</v>
      </c>
      <c r="F809" s="3" t="s">
        <v>65</v>
      </c>
      <c r="H809" s="3">
        <v>19.060000000000002</v>
      </c>
      <c r="I809" s="10">
        <f t="shared" si="123"/>
        <v>131.17410534248501</v>
      </c>
      <c r="J809" s="3">
        <v>4.3590920517969334</v>
      </c>
      <c r="K809" s="3">
        <v>0</v>
      </c>
      <c r="L809" s="3">
        <f t="shared" si="124"/>
        <v>0</v>
      </c>
      <c r="N809" s="11">
        <f t="shared" si="125"/>
        <v>14.700907948203069</v>
      </c>
      <c r="O809" s="3">
        <v>4.3590920517969334</v>
      </c>
      <c r="P809" s="11">
        <f t="shared" si="126"/>
        <v>101.17410534248501</v>
      </c>
      <c r="Q809" s="12">
        <f t="shared" si="127"/>
        <v>78.308387285345816</v>
      </c>
      <c r="R809" s="13">
        <f t="shared" si="128"/>
        <v>51.132960383204811</v>
      </c>
      <c r="S809" s="3" t="s">
        <v>30</v>
      </c>
      <c r="T809" s="3" t="s">
        <v>32</v>
      </c>
      <c r="U809" s="10">
        <v>9410019900999</v>
      </c>
      <c r="V809" s="3">
        <v>0.1</v>
      </c>
      <c r="W809" s="3">
        <f t="shared" si="129"/>
        <v>0</v>
      </c>
      <c r="AA809" s="3">
        <v>32</v>
      </c>
    </row>
    <row r="810" spans="1:27" x14ac:dyDescent="0.3">
      <c r="A810" s="3" t="str">
        <f t="shared" si="120"/>
        <v>South9410019900310</v>
      </c>
      <c r="B810" s="3" t="str">
        <f t="shared" si="121"/>
        <v>CMR9410019900310</v>
      </c>
      <c r="C810" s="10">
        <v>9410019900310</v>
      </c>
      <c r="D810" s="10" t="str">
        <f t="shared" si="122"/>
        <v>9410019900</v>
      </c>
      <c r="E810" s="3" t="s">
        <v>5</v>
      </c>
      <c r="F810" s="3" t="s">
        <v>65</v>
      </c>
      <c r="H810" s="3">
        <v>16.259999999999998</v>
      </c>
      <c r="I810" s="10">
        <f t="shared" si="123"/>
        <v>441.23826485810758</v>
      </c>
      <c r="J810" s="3">
        <v>1.105525152395533</v>
      </c>
      <c r="K810" s="3">
        <v>0</v>
      </c>
      <c r="L810" s="3">
        <f t="shared" si="124"/>
        <v>0</v>
      </c>
      <c r="N810" s="11">
        <f t="shared" si="125"/>
        <v>15.154474847604465</v>
      </c>
      <c r="O810" s="3">
        <v>1.105525152395533</v>
      </c>
      <c r="P810" s="11">
        <f t="shared" si="126"/>
        <v>411.23826485810758</v>
      </c>
      <c r="Q810" s="12">
        <f t="shared" si="127"/>
        <v>251.04187204033482</v>
      </c>
      <c r="R810" s="13">
        <f t="shared" si="128"/>
        <v>100.97016749365775</v>
      </c>
      <c r="S810" s="3" t="s">
        <v>31</v>
      </c>
      <c r="T810" s="3" t="s">
        <v>32</v>
      </c>
      <c r="U810" s="10">
        <v>9410019900999</v>
      </c>
      <c r="V810" s="3">
        <v>0.1</v>
      </c>
      <c r="W810" s="3">
        <f t="shared" si="129"/>
        <v>0</v>
      </c>
      <c r="AA810" s="3">
        <v>32</v>
      </c>
    </row>
    <row r="811" spans="1:27" x14ac:dyDescent="0.3">
      <c r="A811" s="3" t="str">
        <f t="shared" si="120"/>
        <v>South9160709902219</v>
      </c>
      <c r="B811" s="3" t="str">
        <f t="shared" si="121"/>
        <v>CMR9160709902219</v>
      </c>
      <c r="C811" s="10">
        <v>9160709902219</v>
      </c>
      <c r="D811" s="10" t="str">
        <f t="shared" si="122"/>
        <v>9160709902</v>
      </c>
      <c r="E811" s="3" t="s">
        <v>5</v>
      </c>
      <c r="F811" s="3" t="s">
        <v>65</v>
      </c>
      <c r="H811" s="3">
        <v>3.9584999999999999</v>
      </c>
      <c r="I811" s="10">
        <f t="shared" si="123"/>
        <v>174.32715105500824</v>
      </c>
      <c r="J811" s="3">
        <v>0.68121918634766954</v>
      </c>
      <c r="K811" s="3">
        <v>0</v>
      </c>
      <c r="L811" s="3">
        <f t="shared" si="124"/>
        <v>0</v>
      </c>
      <c r="N811" s="11">
        <f t="shared" si="125"/>
        <v>3.2772808136523306</v>
      </c>
      <c r="O811" s="3">
        <v>0.68121918634766954</v>
      </c>
      <c r="P811" s="11">
        <f t="shared" si="126"/>
        <v>144.32715105500827</v>
      </c>
      <c r="Q811" s="12">
        <f t="shared" si="127"/>
        <v>141.66101536580143</v>
      </c>
      <c r="R811" s="13">
        <f t="shared" si="128"/>
        <v>76.886003319418222</v>
      </c>
      <c r="S811" s="3" t="s">
        <v>31</v>
      </c>
      <c r="T811" s="3" t="s">
        <v>34</v>
      </c>
      <c r="U811" s="10">
        <v>0</v>
      </c>
      <c r="V811" s="3">
        <v>0</v>
      </c>
      <c r="W811" s="3">
        <f t="shared" si="129"/>
        <v>0</v>
      </c>
      <c r="AA811" s="3">
        <v>32</v>
      </c>
    </row>
    <row r="812" spans="1:27" x14ac:dyDescent="0.3">
      <c r="A812" s="3" t="str">
        <f t="shared" si="120"/>
        <v>South9410019900840</v>
      </c>
      <c r="B812" s="3" t="str">
        <f t="shared" si="121"/>
        <v>CMR9410019900840</v>
      </c>
      <c r="C812" s="10">
        <v>9410019900840</v>
      </c>
      <c r="D812" s="10" t="str">
        <f t="shared" si="122"/>
        <v>9410019900</v>
      </c>
      <c r="E812" s="3" t="s">
        <v>5</v>
      </c>
      <c r="F812" s="3" t="s">
        <v>65</v>
      </c>
      <c r="H812" s="3">
        <v>0.108</v>
      </c>
      <c r="I812" s="10">
        <f t="shared" si="123"/>
        <v>13.112230055698026</v>
      </c>
      <c r="J812" s="3">
        <v>0.2470975559639477</v>
      </c>
      <c r="K812" s="3">
        <v>0</v>
      </c>
      <c r="L812" s="3">
        <f t="shared" si="124"/>
        <v>0</v>
      </c>
      <c r="N812" s="11">
        <f t="shared" si="125"/>
        <v>-0.13909755596394768</v>
      </c>
      <c r="O812" s="3">
        <v>0.2470975559639477</v>
      </c>
      <c r="P812" s="11">
        <f t="shared" si="126"/>
        <v>-16.887769944301972</v>
      </c>
      <c r="Q812" s="12">
        <f t="shared" si="127"/>
        <v>32.196523758332773</v>
      </c>
      <c r="R812" s="13">
        <f t="shared" si="128"/>
        <v>23.050514541033518</v>
      </c>
      <c r="S812" s="3" t="s">
        <v>31</v>
      </c>
      <c r="T812" s="3" t="s">
        <v>32</v>
      </c>
      <c r="U812" s="10">
        <v>0</v>
      </c>
      <c r="V812" s="3">
        <v>0</v>
      </c>
      <c r="W812" s="3">
        <f t="shared" si="129"/>
        <v>0</v>
      </c>
      <c r="AA812" s="3">
        <v>32</v>
      </c>
    </row>
    <row r="813" spans="1:27" x14ac:dyDescent="0.3">
      <c r="A813" s="3" t="str">
        <f t="shared" si="120"/>
        <v>South9410019900210</v>
      </c>
      <c r="B813" s="3" t="str">
        <f t="shared" si="121"/>
        <v>CMR9410019900210</v>
      </c>
      <c r="C813" s="10">
        <v>9410019900210</v>
      </c>
      <c r="D813" s="10" t="str">
        <f t="shared" si="122"/>
        <v>9410019900</v>
      </c>
      <c r="E813" s="3" t="s">
        <v>5</v>
      </c>
      <c r="F813" s="3" t="s">
        <v>65</v>
      </c>
      <c r="H813" s="3">
        <v>2.157999999999999</v>
      </c>
      <c r="I813" s="10">
        <f t="shared" si="123"/>
        <v>278.75468299590068</v>
      </c>
      <c r="J813" s="3">
        <v>0.23224721932636383</v>
      </c>
      <c r="K813" s="3">
        <v>0</v>
      </c>
      <c r="L813" s="3">
        <f t="shared" si="124"/>
        <v>0</v>
      </c>
      <c r="N813" s="11">
        <f t="shared" si="125"/>
        <v>1.9257527806736352</v>
      </c>
      <c r="O813" s="3">
        <v>0.23224721932636383</v>
      </c>
      <c r="P813" s="11">
        <f t="shared" si="126"/>
        <v>248.75468299590071</v>
      </c>
      <c r="Q813" s="12">
        <f t="shared" si="127"/>
        <v>995.97915910267704</v>
      </c>
      <c r="R813" s="13">
        <f t="shared" si="128"/>
        <v>475.08999835834976</v>
      </c>
      <c r="S813" s="3" t="s">
        <v>31</v>
      </c>
      <c r="T813" s="3" t="s">
        <v>32</v>
      </c>
      <c r="U813" s="10">
        <v>0</v>
      </c>
      <c r="V813" s="3">
        <v>0</v>
      </c>
      <c r="W813" s="3">
        <f t="shared" si="129"/>
        <v>0</v>
      </c>
      <c r="AA813" s="3">
        <v>32</v>
      </c>
    </row>
    <row r="814" spans="1:27" x14ac:dyDescent="0.3">
      <c r="A814" s="3" t="str">
        <f t="shared" si="120"/>
        <v>South9160909902219</v>
      </c>
      <c r="B814" s="3" t="str">
        <f t="shared" si="121"/>
        <v>CMR9160909902219</v>
      </c>
      <c r="C814" s="10">
        <v>9160909902219</v>
      </c>
      <c r="D814" s="10" t="str">
        <f t="shared" si="122"/>
        <v>9160909902</v>
      </c>
      <c r="E814" s="3" t="s">
        <v>5</v>
      </c>
      <c r="F814" s="3" t="s">
        <v>65</v>
      </c>
      <c r="H814" s="3">
        <v>5.9669999999999996</v>
      </c>
      <c r="I814" s="10">
        <f t="shared" si="123"/>
        <v>848.74311779910363</v>
      </c>
      <c r="J814" s="3">
        <v>0.21091187220957405</v>
      </c>
      <c r="K814" s="3">
        <v>0</v>
      </c>
      <c r="L814" s="3">
        <f t="shared" si="124"/>
        <v>0</v>
      </c>
      <c r="N814" s="11">
        <f t="shared" si="125"/>
        <v>5.7560881277904254</v>
      </c>
      <c r="O814" s="3">
        <v>0.21091187220957405</v>
      </c>
      <c r="P814" s="11">
        <f t="shared" si="126"/>
        <v>818.74311779910352</v>
      </c>
      <c r="Q814" s="12">
        <f t="shared" si="127"/>
        <v>298.09106382075873</v>
      </c>
      <c r="R814" s="13">
        <f t="shared" si="128"/>
        <v>109.1236064775905</v>
      </c>
      <c r="S814" s="3" t="s">
        <v>31</v>
      </c>
      <c r="T814" s="3" t="s">
        <v>34</v>
      </c>
      <c r="U814" s="10">
        <v>0</v>
      </c>
      <c r="V814" s="3">
        <v>0</v>
      </c>
      <c r="W814" s="3">
        <f t="shared" si="129"/>
        <v>0</v>
      </c>
      <c r="AA814" s="3">
        <v>32</v>
      </c>
    </row>
    <row r="815" spans="1:27" x14ac:dyDescent="0.3">
      <c r="A815" s="3" t="str">
        <f t="shared" si="120"/>
        <v>South9410039902195</v>
      </c>
      <c r="B815" s="3" t="str">
        <f t="shared" si="121"/>
        <v>CMR9410039902195</v>
      </c>
      <c r="C815" s="10">
        <v>9410039902195</v>
      </c>
      <c r="D815" s="10" t="str">
        <f t="shared" si="122"/>
        <v>9410039902</v>
      </c>
      <c r="E815" s="3" t="s">
        <v>5</v>
      </c>
      <c r="F815" s="3" t="s">
        <v>65</v>
      </c>
      <c r="H815" s="3">
        <v>1.25305</v>
      </c>
      <c r="I815" s="10">
        <f t="shared" si="123"/>
        <v>957.31149326768423</v>
      </c>
      <c r="J815" s="3">
        <v>3.926778301980402E-2</v>
      </c>
      <c r="K815" s="3">
        <v>0</v>
      </c>
      <c r="L815" s="3">
        <f t="shared" si="124"/>
        <v>0</v>
      </c>
      <c r="N815" s="11">
        <f t="shared" si="125"/>
        <v>1.2137822169801959</v>
      </c>
      <c r="O815" s="3">
        <v>3.926778301980402E-2</v>
      </c>
      <c r="P815" s="11">
        <f t="shared" si="126"/>
        <v>927.31149326768411</v>
      </c>
      <c r="Q815" s="12">
        <f t="shared" si="127"/>
        <v>1232.8673224304553</v>
      </c>
      <c r="R815" s="13">
        <f t="shared" si="128"/>
        <v>1426.4457706037354</v>
      </c>
      <c r="S815" s="3" t="s">
        <v>31</v>
      </c>
      <c r="T815" s="3" t="s">
        <v>32</v>
      </c>
      <c r="U815" s="10">
        <v>0</v>
      </c>
      <c r="V815" s="3">
        <v>0</v>
      </c>
      <c r="W815" s="3">
        <f t="shared" si="129"/>
        <v>0</v>
      </c>
      <c r="AA815" s="3">
        <v>32</v>
      </c>
    </row>
    <row r="816" spans="1:27" x14ac:dyDescent="0.3">
      <c r="A816" s="3" t="str">
        <f t="shared" si="120"/>
        <v>South9410039902295</v>
      </c>
      <c r="B816" s="3" t="str">
        <f t="shared" si="121"/>
        <v>CMR9410039902295</v>
      </c>
      <c r="C816" s="10">
        <v>9410039902295</v>
      </c>
      <c r="D816" s="10" t="str">
        <f t="shared" si="122"/>
        <v>9410039902</v>
      </c>
      <c r="E816" s="3" t="s">
        <v>5</v>
      </c>
      <c r="F816" s="3" t="s">
        <v>65</v>
      </c>
      <c r="H816" s="3">
        <v>2.1659999999999999</v>
      </c>
      <c r="I816" s="10">
        <f t="shared" si="123"/>
        <v>3699.0150123504927</v>
      </c>
      <c r="J816" s="3">
        <v>1.7566838680849059E-2</v>
      </c>
      <c r="K816" s="3">
        <v>0</v>
      </c>
      <c r="L816" s="3">
        <f t="shared" si="124"/>
        <v>0</v>
      </c>
      <c r="N816" s="11">
        <f t="shared" si="125"/>
        <v>2.1484331613191507</v>
      </c>
      <c r="O816" s="3">
        <v>1.7566838680849059E-2</v>
      </c>
      <c r="P816" s="11">
        <f t="shared" si="126"/>
        <v>3669.0150123504927</v>
      </c>
      <c r="Q816" s="12">
        <f t="shared" si="127"/>
        <v>6118.8012705299861</v>
      </c>
      <c r="R816" s="13">
        <f t="shared" si="128"/>
        <v>14507.811824597666</v>
      </c>
      <c r="S816" s="3" t="s">
        <v>31</v>
      </c>
      <c r="T816" s="3" t="s">
        <v>32</v>
      </c>
      <c r="U816" s="10">
        <v>9410039913999</v>
      </c>
      <c r="V816" s="3">
        <v>0.1</v>
      </c>
      <c r="W816" s="3">
        <f t="shared" si="129"/>
        <v>0</v>
      </c>
      <c r="AA816" s="3">
        <v>32</v>
      </c>
    </row>
    <row r="817" spans="1:27" x14ac:dyDescent="0.3">
      <c r="A817" s="3" t="str">
        <f t="shared" si="120"/>
        <v>South9410039902319</v>
      </c>
      <c r="B817" s="3" t="str">
        <f t="shared" si="121"/>
        <v>CMR9410039902319</v>
      </c>
      <c r="C817" s="10">
        <v>9410039902319</v>
      </c>
      <c r="D817" s="10" t="str">
        <f t="shared" si="122"/>
        <v>9410039902</v>
      </c>
      <c r="E817" s="3" t="s">
        <v>5</v>
      </c>
      <c r="F817" s="3" t="s">
        <v>65</v>
      </c>
      <c r="H817" s="3">
        <v>2.6220000000000003</v>
      </c>
      <c r="I817" s="10">
        <f t="shared" si="123"/>
        <v>8457.975410338242</v>
      </c>
      <c r="J817" s="3">
        <v>9.3000979766213725E-3</v>
      </c>
      <c r="K817" s="3">
        <v>0</v>
      </c>
      <c r="L817" s="3">
        <f t="shared" si="124"/>
        <v>0</v>
      </c>
      <c r="N817" s="11">
        <f t="shared" si="125"/>
        <v>2.6126999020233788</v>
      </c>
      <c r="O817" s="3">
        <v>9.3000979766213725E-3</v>
      </c>
      <c r="P817" s="11">
        <f t="shared" si="126"/>
        <v>8427.975410338242</v>
      </c>
      <c r="Q817" s="12">
        <f t="shared" si="127"/>
        <v>3566.4203024608828</v>
      </c>
      <c r="R817" s="13">
        <f t="shared" si="128"/>
        <v>1588.2169228535811</v>
      </c>
      <c r="S817" s="3" t="s">
        <v>31</v>
      </c>
      <c r="T817" s="3" t="s">
        <v>32</v>
      </c>
      <c r="U817" s="10">
        <v>9410039913999</v>
      </c>
      <c r="V817" s="3">
        <v>0.1</v>
      </c>
      <c r="W817" s="3">
        <f t="shared" si="129"/>
        <v>0</v>
      </c>
      <c r="AA817" s="3">
        <v>32</v>
      </c>
    </row>
    <row r="818" spans="1:27" x14ac:dyDescent="0.3">
      <c r="A818" s="3" t="str">
        <f t="shared" si="120"/>
        <v>South9160909902097</v>
      </c>
      <c r="B818" s="3" t="str">
        <f t="shared" si="121"/>
        <v>CMR9160909902097</v>
      </c>
      <c r="C818" s="10">
        <v>9160909902097</v>
      </c>
      <c r="D818" s="10" t="str">
        <f t="shared" si="122"/>
        <v>9160909902</v>
      </c>
      <c r="E818" s="3" t="s">
        <v>5</v>
      </c>
      <c r="F818" s="3" t="s">
        <v>65</v>
      </c>
      <c r="H818" s="3">
        <v>0</v>
      </c>
      <c r="I818" s="10">
        <f t="shared" si="123"/>
        <v>0</v>
      </c>
      <c r="J818" s="3">
        <v>0</v>
      </c>
      <c r="K818" s="3">
        <v>0</v>
      </c>
      <c r="L818" s="3">
        <f t="shared" si="124"/>
        <v>0</v>
      </c>
      <c r="N818" s="11">
        <f t="shared" si="125"/>
        <v>0</v>
      </c>
      <c r="O818" s="3">
        <v>0</v>
      </c>
      <c r="P818" s="11">
        <f t="shared" si="126"/>
        <v>9999</v>
      </c>
      <c r="Q818" s="12">
        <f t="shared" si="127"/>
        <v>9999</v>
      </c>
      <c r="R818" s="13">
        <f t="shared" si="128"/>
        <v>9999</v>
      </c>
      <c r="S818" s="3" t="s">
        <v>31</v>
      </c>
      <c r="T818" s="3" t="s">
        <v>34</v>
      </c>
      <c r="U818" s="10" t="s">
        <v>72</v>
      </c>
      <c r="V818" s="3" t="s">
        <v>72</v>
      </c>
      <c r="W818" s="3">
        <f t="shared" si="129"/>
        <v>0</v>
      </c>
      <c r="AA818" s="3">
        <v>32</v>
      </c>
    </row>
    <row r="819" spans="1:27" x14ac:dyDescent="0.3">
      <c r="A819" s="3" t="str">
        <f t="shared" si="120"/>
        <v>South9160709902097</v>
      </c>
      <c r="B819" s="3" t="str">
        <f t="shared" si="121"/>
        <v>CMR9160709902097</v>
      </c>
      <c r="C819" s="10">
        <v>9160709902097</v>
      </c>
      <c r="D819" s="10" t="str">
        <f t="shared" si="122"/>
        <v>9160709902</v>
      </c>
      <c r="E819" s="3" t="s">
        <v>5</v>
      </c>
      <c r="F819" s="3" t="s">
        <v>65</v>
      </c>
      <c r="H819" s="3">
        <v>0</v>
      </c>
      <c r="I819" s="10">
        <f t="shared" si="123"/>
        <v>0</v>
      </c>
      <c r="J819" s="3">
        <v>0</v>
      </c>
      <c r="K819" s="3">
        <v>0</v>
      </c>
      <c r="L819" s="3">
        <f t="shared" si="124"/>
        <v>0</v>
      </c>
      <c r="N819" s="11">
        <f t="shared" si="125"/>
        <v>0</v>
      </c>
      <c r="O819" s="3">
        <v>0</v>
      </c>
      <c r="P819" s="11">
        <f t="shared" si="126"/>
        <v>9999</v>
      </c>
      <c r="Q819" s="12">
        <f t="shared" si="127"/>
        <v>9999</v>
      </c>
      <c r="R819" s="13">
        <f t="shared" si="128"/>
        <v>9999</v>
      </c>
      <c r="S819" s="3" t="s">
        <v>31</v>
      </c>
      <c r="T819" s="3" t="s">
        <v>34</v>
      </c>
      <c r="U819" s="10" t="s">
        <v>72</v>
      </c>
      <c r="V819" s="3" t="s">
        <v>72</v>
      </c>
      <c r="W819" s="3">
        <f t="shared" si="129"/>
        <v>0</v>
      </c>
      <c r="AA819" s="3">
        <v>32</v>
      </c>
    </row>
    <row r="820" spans="1:27" x14ac:dyDescent="0.3">
      <c r="A820" s="3" t="str">
        <f t="shared" si="120"/>
        <v>South9410039902838</v>
      </c>
      <c r="B820" s="3" t="str">
        <f t="shared" si="121"/>
        <v>CMR9410039902838</v>
      </c>
      <c r="C820" s="10">
        <v>9410039902838</v>
      </c>
      <c r="D820" s="10" t="str">
        <f t="shared" si="122"/>
        <v>9410039902</v>
      </c>
      <c r="E820" s="3" t="s">
        <v>5</v>
      </c>
      <c r="F820" s="3" t="s">
        <v>65</v>
      </c>
      <c r="H820" s="3">
        <v>2.3331999999999997</v>
      </c>
      <c r="I820" s="10">
        <f t="shared" si="123"/>
        <v>0</v>
      </c>
      <c r="J820" s="3">
        <v>0</v>
      </c>
      <c r="K820" s="3">
        <v>0</v>
      </c>
      <c r="L820" s="3">
        <f t="shared" si="124"/>
        <v>0</v>
      </c>
      <c r="N820" s="11">
        <f t="shared" si="125"/>
        <v>2.3331999999999997</v>
      </c>
      <c r="O820" s="3">
        <v>0</v>
      </c>
      <c r="P820" s="11">
        <f t="shared" si="126"/>
        <v>9999</v>
      </c>
      <c r="Q820" s="12">
        <f t="shared" si="127"/>
        <v>9999</v>
      </c>
      <c r="R820" s="13">
        <f t="shared" si="128"/>
        <v>19340.266627370947</v>
      </c>
      <c r="S820" s="3" t="s">
        <v>31</v>
      </c>
      <c r="T820" s="3" t="s">
        <v>32</v>
      </c>
      <c r="U820" s="10">
        <v>0</v>
      </c>
      <c r="V820" s="3">
        <v>0</v>
      </c>
      <c r="W820" s="3">
        <f t="shared" si="129"/>
        <v>0</v>
      </c>
      <c r="AA820" s="3">
        <v>32</v>
      </c>
    </row>
    <row r="821" spans="1:27" x14ac:dyDescent="0.3">
      <c r="A821" s="3" t="str">
        <f t="shared" si="120"/>
        <v>East9420059901320</v>
      </c>
      <c r="B821" s="3" t="str">
        <f t="shared" si="121"/>
        <v>KGP9420059901320</v>
      </c>
      <c r="C821" s="10">
        <v>9420059901320</v>
      </c>
      <c r="D821" s="10" t="str">
        <f t="shared" si="122"/>
        <v>9420059901</v>
      </c>
      <c r="E821" s="3" t="s">
        <v>6</v>
      </c>
      <c r="F821" s="3" t="s">
        <v>66</v>
      </c>
      <c r="H821" s="3">
        <v>27.198</v>
      </c>
      <c r="I821" s="10">
        <f t="shared" si="123"/>
        <v>24.401560573753205</v>
      </c>
      <c r="J821" s="3">
        <v>33.438025307186336</v>
      </c>
      <c r="K821" s="3">
        <v>48</v>
      </c>
      <c r="L821" s="3">
        <f t="shared" si="124"/>
        <v>0</v>
      </c>
      <c r="N821" s="11">
        <f t="shared" si="125"/>
        <v>-6.2400253071863361</v>
      </c>
      <c r="O821" s="3">
        <v>33.438025307186336</v>
      </c>
      <c r="P821" s="11">
        <f t="shared" si="126"/>
        <v>-5.5984394262467942</v>
      </c>
      <c r="Q821" s="12">
        <f t="shared" si="127"/>
        <v>-5.5984394262467951</v>
      </c>
      <c r="R821" s="13">
        <f t="shared" si="128"/>
        <v>-2.9292804868373241</v>
      </c>
      <c r="S821" s="3" t="s">
        <v>29</v>
      </c>
      <c r="T821" s="3" t="s">
        <v>28</v>
      </c>
      <c r="U821" s="10">
        <v>9420059900999</v>
      </c>
      <c r="V821" s="3">
        <v>0.1</v>
      </c>
      <c r="W821" s="3">
        <f t="shared" si="129"/>
        <v>4.8000000000000007</v>
      </c>
      <c r="AA821" s="3">
        <v>32</v>
      </c>
    </row>
    <row r="822" spans="1:27" x14ac:dyDescent="0.3">
      <c r="A822" s="3" t="str">
        <f t="shared" si="120"/>
        <v>East9420059901310</v>
      </c>
      <c r="B822" s="3" t="str">
        <f t="shared" si="121"/>
        <v>KGP9420059901310</v>
      </c>
      <c r="C822" s="10">
        <v>9420059901310</v>
      </c>
      <c r="D822" s="10" t="str">
        <f t="shared" si="122"/>
        <v>9420059901</v>
      </c>
      <c r="E822" s="3" t="s">
        <v>6</v>
      </c>
      <c r="F822" s="3" t="s">
        <v>66</v>
      </c>
      <c r="H822" s="3">
        <v>23.320000000000007</v>
      </c>
      <c r="I822" s="10">
        <f t="shared" si="123"/>
        <v>30.951023820251248</v>
      </c>
      <c r="J822" s="3">
        <v>22.603452605088044</v>
      </c>
      <c r="K822" s="3">
        <v>24</v>
      </c>
      <c r="L822" s="3">
        <f t="shared" si="124"/>
        <v>0</v>
      </c>
      <c r="N822" s="11">
        <f t="shared" si="125"/>
        <v>0.71654739491196295</v>
      </c>
      <c r="O822" s="3">
        <v>22.603452605088044</v>
      </c>
      <c r="P822" s="11">
        <f t="shared" si="126"/>
        <v>0.95102382025124932</v>
      </c>
      <c r="Q822" s="12">
        <f t="shared" si="127"/>
        <v>0.95102382025124943</v>
      </c>
      <c r="R822" s="13">
        <f t="shared" si="128"/>
        <v>11.425874448246407</v>
      </c>
      <c r="S822" s="3" t="s">
        <v>30</v>
      </c>
      <c r="T822" s="3" t="s">
        <v>28</v>
      </c>
      <c r="U822" s="10">
        <v>9420059900999</v>
      </c>
      <c r="V822" s="3">
        <v>0.1</v>
      </c>
      <c r="W822" s="3">
        <f t="shared" si="129"/>
        <v>2.4000000000000004</v>
      </c>
      <c r="AA822" s="3">
        <v>32</v>
      </c>
    </row>
    <row r="823" spans="1:27" x14ac:dyDescent="0.3">
      <c r="A823" s="3" t="str">
        <f t="shared" si="120"/>
        <v>East9420059901840</v>
      </c>
      <c r="B823" s="3" t="str">
        <f t="shared" si="121"/>
        <v>KGP9420059901840</v>
      </c>
      <c r="C823" s="10">
        <v>9420059901840</v>
      </c>
      <c r="D823" s="10" t="str">
        <f t="shared" si="122"/>
        <v>9420059901</v>
      </c>
      <c r="E823" s="3" t="s">
        <v>6</v>
      </c>
      <c r="F823" s="3" t="s">
        <v>66</v>
      </c>
      <c r="H823" s="3">
        <v>24.332000000000001</v>
      </c>
      <c r="I823" s="10">
        <f t="shared" si="123"/>
        <v>42.587145730367851</v>
      </c>
      <c r="J823" s="3">
        <v>17.140383265448179</v>
      </c>
      <c r="K823" s="3">
        <v>8</v>
      </c>
      <c r="L823" s="3">
        <f t="shared" si="124"/>
        <v>0</v>
      </c>
      <c r="N823" s="11">
        <f t="shared" si="125"/>
        <v>7.1916167345518218</v>
      </c>
      <c r="O823" s="3">
        <v>17.140383265448179</v>
      </c>
      <c r="P823" s="11">
        <f t="shared" si="126"/>
        <v>12.587145730367855</v>
      </c>
      <c r="Q823" s="12">
        <f t="shared" si="127"/>
        <v>12.587145730367855</v>
      </c>
      <c r="R823" s="13">
        <f t="shared" si="128"/>
        <v>10.165483682719454</v>
      </c>
      <c r="S823" s="3" t="s">
        <v>30</v>
      </c>
      <c r="T823" s="3" t="s">
        <v>28</v>
      </c>
      <c r="U823" s="10">
        <v>0</v>
      </c>
      <c r="V823" s="3">
        <v>0</v>
      </c>
      <c r="W823" s="3">
        <f t="shared" si="129"/>
        <v>0</v>
      </c>
      <c r="AA823" s="3">
        <v>32</v>
      </c>
    </row>
    <row r="824" spans="1:27" x14ac:dyDescent="0.3">
      <c r="A824" s="3" t="str">
        <f t="shared" si="120"/>
        <v>East9420059901210</v>
      </c>
      <c r="B824" s="3" t="str">
        <f t="shared" si="121"/>
        <v>KGP9420059901210</v>
      </c>
      <c r="C824" s="10">
        <v>9420059901210</v>
      </c>
      <c r="D824" s="10" t="str">
        <f t="shared" si="122"/>
        <v>9420059901</v>
      </c>
      <c r="E824" s="3" t="s">
        <v>6</v>
      </c>
      <c r="F824" s="3" t="s">
        <v>66</v>
      </c>
      <c r="H824" s="3">
        <v>15.820999999999998</v>
      </c>
      <c r="I824" s="10">
        <f t="shared" si="123"/>
        <v>52.620513615428145</v>
      </c>
      <c r="J824" s="3">
        <v>9.0198663484888559</v>
      </c>
      <c r="K824" s="3">
        <v>8</v>
      </c>
      <c r="L824" s="3">
        <f t="shared" si="124"/>
        <v>0</v>
      </c>
      <c r="N824" s="11">
        <f t="shared" si="125"/>
        <v>6.801133651511142</v>
      </c>
      <c r="O824" s="3">
        <v>9.0198663484888559</v>
      </c>
      <c r="P824" s="11">
        <f t="shared" si="126"/>
        <v>22.620513615428138</v>
      </c>
      <c r="Q824" s="12">
        <f t="shared" si="127"/>
        <v>22.620513615428141</v>
      </c>
      <c r="R824" s="13">
        <f t="shared" si="128"/>
        <v>19.510512160893086</v>
      </c>
      <c r="S824" s="3" t="s">
        <v>31</v>
      </c>
      <c r="T824" s="3" t="s">
        <v>28</v>
      </c>
      <c r="U824" s="10">
        <v>0</v>
      </c>
      <c r="V824" s="3">
        <v>0</v>
      </c>
      <c r="W824" s="3">
        <f t="shared" si="129"/>
        <v>0</v>
      </c>
      <c r="AA824" s="3">
        <v>32</v>
      </c>
    </row>
    <row r="825" spans="1:27" x14ac:dyDescent="0.3">
      <c r="A825" s="3" t="str">
        <f t="shared" si="120"/>
        <v>East9420029905836</v>
      </c>
      <c r="B825" s="3" t="str">
        <f t="shared" si="121"/>
        <v>KGP9420029905836</v>
      </c>
      <c r="C825" s="10">
        <v>9420029905836</v>
      </c>
      <c r="D825" s="10" t="str">
        <f t="shared" si="122"/>
        <v>9420029905</v>
      </c>
      <c r="E825" s="3" t="s">
        <v>6</v>
      </c>
      <c r="F825" s="3" t="s">
        <v>66</v>
      </c>
      <c r="H825" s="3">
        <v>4.6908000000000003</v>
      </c>
      <c r="I825" s="10">
        <f t="shared" si="123"/>
        <v>76.480455160269415</v>
      </c>
      <c r="J825" s="3">
        <v>1.8399995097453898</v>
      </c>
      <c r="K825" s="3">
        <v>0</v>
      </c>
      <c r="L825" s="3">
        <f t="shared" si="124"/>
        <v>0</v>
      </c>
      <c r="N825" s="11">
        <f t="shared" si="125"/>
        <v>2.8508004902546107</v>
      </c>
      <c r="O825" s="3">
        <v>1.8399995097453898</v>
      </c>
      <c r="P825" s="11">
        <f t="shared" si="126"/>
        <v>46.480455160269422</v>
      </c>
      <c r="Q825" s="12">
        <f t="shared" si="127"/>
        <v>46.480455160269422</v>
      </c>
      <c r="R825" s="13">
        <f t="shared" si="128"/>
        <v>132.10265768444361</v>
      </c>
      <c r="S825" s="3" t="s">
        <v>31</v>
      </c>
      <c r="T825" s="3" t="s">
        <v>28</v>
      </c>
      <c r="U825" s="10">
        <v>0</v>
      </c>
      <c r="V825" s="3">
        <v>0</v>
      </c>
      <c r="W825" s="3">
        <f t="shared" si="129"/>
        <v>0</v>
      </c>
      <c r="AA825" s="3">
        <v>32</v>
      </c>
    </row>
    <row r="826" spans="1:27" x14ac:dyDescent="0.3">
      <c r="A826" s="3" t="str">
        <f t="shared" si="120"/>
        <v>East9420029905190</v>
      </c>
      <c r="B826" s="3" t="str">
        <f t="shared" si="121"/>
        <v>KGP9420029905190</v>
      </c>
      <c r="C826" s="10">
        <v>9420029905190</v>
      </c>
      <c r="D826" s="10" t="str">
        <f t="shared" si="122"/>
        <v>9420029905</v>
      </c>
      <c r="E826" s="3" t="s">
        <v>6</v>
      </c>
      <c r="F826" s="3" t="s">
        <v>66</v>
      </c>
      <c r="H826" s="3">
        <v>2.6216999999999988</v>
      </c>
      <c r="I826" s="10">
        <f t="shared" si="123"/>
        <v>67.501991092877162</v>
      </c>
      <c r="J826" s="3">
        <v>1.1651656303261142</v>
      </c>
      <c r="K826" s="3">
        <v>0</v>
      </c>
      <c r="L826" s="3">
        <f t="shared" si="124"/>
        <v>0</v>
      </c>
      <c r="N826" s="11">
        <f t="shared" si="125"/>
        <v>1.4565343696738846</v>
      </c>
      <c r="O826" s="3">
        <v>1.1651656303261142</v>
      </c>
      <c r="P826" s="11">
        <f t="shared" si="126"/>
        <v>37.501991092877162</v>
      </c>
      <c r="Q826" s="12">
        <f t="shared" si="127"/>
        <v>37.501991092877162</v>
      </c>
      <c r="R826" s="13">
        <f t="shared" si="128"/>
        <v>90.385840401137301</v>
      </c>
      <c r="S826" s="3" t="s">
        <v>31</v>
      </c>
      <c r="T826" s="3" t="s">
        <v>28</v>
      </c>
      <c r="U826" s="10">
        <v>0</v>
      </c>
      <c r="V826" s="3">
        <v>0</v>
      </c>
      <c r="W826" s="3">
        <f t="shared" si="129"/>
        <v>0</v>
      </c>
      <c r="AA826" s="3">
        <v>32</v>
      </c>
    </row>
    <row r="827" spans="1:27" x14ac:dyDescent="0.3">
      <c r="A827" s="3" t="str">
        <f t="shared" si="120"/>
        <v>East9410029906190</v>
      </c>
      <c r="B827" s="3" t="str">
        <f t="shared" si="121"/>
        <v>KGP9410029906190</v>
      </c>
      <c r="C827" s="10">
        <v>9410029906190</v>
      </c>
      <c r="D827" s="10" t="str">
        <f t="shared" si="122"/>
        <v>9410029906</v>
      </c>
      <c r="E827" s="3" t="s">
        <v>6</v>
      </c>
      <c r="F827" s="3" t="s">
        <v>66</v>
      </c>
      <c r="H827" s="3">
        <v>12.111300000000004</v>
      </c>
      <c r="I827" s="10">
        <f t="shared" si="123"/>
        <v>574.88330588312942</v>
      </c>
      <c r="J827" s="3">
        <v>0.63202217960015861</v>
      </c>
      <c r="K827" s="3">
        <v>0</v>
      </c>
      <c r="L827" s="3">
        <f t="shared" si="124"/>
        <v>0</v>
      </c>
      <c r="N827" s="11">
        <f t="shared" si="125"/>
        <v>11.479277820399846</v>
      </c>
      <c r="O827" s="3">
        <v>0.63202217960015861</v>
      </c>
      <c r="P827" s="11">
        <f t="shared" si="126"/>
        <v>544.88330588312942</v>
      </c>
      <c r="Q827" s="12">
        <f t="shared" si="127"/>
        <v>544.88330588312931</v>
      </c>
      <c r="R827" s="13">
        <f t="shared" si="128"/>
        <v>1057.5705199201618</v>
      </c>
      <c r="S827" s="3" t="s">
        <v>31</v>
      </c>
      <c r="T827" s="3" t="s">
        <v>32</v>
      </c>
      <c r="U827" s="10">
        <v>0</v>
      </c>
      <c r="V827" s="3">
        <v>0</v>
      </c>
      <c r="W827" s="3">
        <f t="shared" si="129"/>
        <v>0</v>
      </c>
      <c r="AA827" s="3">
        <v>32</v>
      </c>
    </row>
    <row r="828" spans="1:27" x14ac:dyDescent="0.3">
      <c r="A828" s="3" t="str">
        <f t="shared" si="120"/>
        <v>East9420019905836</v>
      </c>
      <c r="B828" s="3" t="str">
        <f t="shared" si="121"/>
        <v>KGP9420019905836</v>
      </c>
      <c r="C828" s="10">
        <v>9420019905836</v>
      </c>
      <c r="D828" s="10" t="str">
        <f t="shared" si="122"/>
        <v>9420019905</v>
      </c>
      <c r="E828" s="3" t="s">
        <v>6</v>
      </c>
      <c r="F828" s="3" t="s">
        <v>66</v>
      </c>
      <c r="H828" s="3">
        <v>8.4060000000000024</v>
      </c>
      <c r="I828" s="10">
        <f t="shared" si="123"/>
        <v>455.54985413440261</v>
      </c>
      <c r="J828" s="3">
        <v>0.55357278179612468</v>
      </c>
      <c r="K828" s="3">
        <v>0</v>
      </c>
      <c r="L828" s="3">
        <f t="shared" si="124"/>
        <v>0</v>
      </c>
      <c r="N828" s="11">
        <f t="shared" si="125"/>
        <v>7.8524272182038777</v>
      </c>
      <c r="O828" s="3">
        <v>0.55357278179612468</v>
      </c>
      <c r="P828" s="11">
        <f t="shared" si="126"/>
        <v>425.54985413440261</v>
      </c>
      <c r="Q828" s="12">
        <f t="shared" si="127"/>
        <v>425.54985413440261</v>
      </c>
      <c r="R828" s="13">
        <f t="shared" si="128"/>
        <v>440.19193774316301</v>
      </c>
      <c r="S828" s="3" t="s">
        <v>31</v>
      </c>
      <c r="T828" s="3" t="s">
        <v>28</v>
      </c>
      <c r="U828" s="10">
        <v>0</v>
      </c>
      <c r="V828" s="3">
        <v>0</v>
      </c>
      <c r="W828" s="3">
        <f t="shared" si="129"/>
        <v>0</v>
      </c>
      <c r="AA828" s="3">
        <v>32</v>
      </c>
    </row>
    <row r="829" spans="1:27" x14ac:dyDescent="0.3">
      <c r="A829" s="3" t="str">
        <f t="shared" si="120"/>
        <v>East9420019905190</v>
      </c>
      <c r="B829" s="3" t="str">
        <f t="shared" si="121"/>
        <v>KGP9420019905190</v>
      </c>
      <c r="C829" s="10">
        <v>9420019905190</v>
      </c>
      <c r="D829" s="10" t="str">
        <f t="shared" si="122"/>
        <v>9420019905</v>
      </c>
      <c r="E829" s="3" t="s">
        <v>6</v>
      </c>
      <c r="F829" s="3" t="s">
        <v>66</v>
      </c>
      <c r="H829" s="3">
        <v>1.2996000000000003</v>
      </c>
      <c r="I829" s="10">
        <f t="shared" si="123"/>
        <v>84.40014128931854</v>
      </c>
      <c r="J829" s="3">
        <v>0.4619423546502312</v>
      </c>
      <c r="K829" s="3">
        <v>0</v>
      </c>
      <c r="L829" s="3">
        <f t="shared" si="124"/>
        <v>0</v>
      </c>
      <c r="N829" s="11">
        <f t="shared" si="125"/>
        <v>0.83765764534976905</v>
      </c>
      <c r="O829" s="3">
        <v>0.4619423546502312</v>
      </c>
      <c r="P829" s="11">
        <f t="shared" si="126"/>
        <v>54.40014128931854</v>
      </c>
      <c r="Q829" s="12">
        <f t="shared" si="127"/>
        <v>54.400141289318547</v>
      </c>
      <c r="R829" s="13">
        <f t="shared" si="128"/>
        <v>52.043218159316559</v>
      </c>
      <c r="S829" s="3" t="s">
        <v>31</v>
      </c>
      <c r="T829" s="3" t="s">
        <v>28</v>
      </c>
      <c r="U829" s="10">
        <v>0</v>
      </c>
      <c r="V829" s="3">
        <v>0</v>
      </c>
      <c r="W829" s="3">
        <f t="shared" si="129"/>
        <v>0</v>
      </c>
      <c r="AA829" s="3">
        <v>32</v>
      </c>
    </row>
    <row r="830" spans="1:27" x14ac:dyDescent="0.3">
      <c r="A830" s="3" t="str">
        <f t="shared" si="120"/>
        <v>East9420029906190</v>
      </c>
      <c r="B830" s="3" t="str">
        <f t="shared" si="121"/>
        <v>KGP9420029906190</v>
      </c>
      <c r="C830" s="10">
        <v>9420029906190</v>
      </c>
      <c r="D830" s="10" t="str">
        <f t="shared" si="122"/>
        <v>9420029906</v>
      </c>
      <c r="E830" s="3" t="s">
        <v>6</v>
      </c>
      <c r="F830" s="3" t="s">
        <v>66</v>
      </c>
      <c r="H830" s="3">
        <v>2.907</v>
      </c>
      <c r="I830" s="10">
        <f t="shared" si="123"/>
        <v>252.89079814018106</v>
      </c>
      <c r="J830" s="3">
        <v>0.34485240523325889</v>
      </c>
      <c r="K830" s="3">
        <v>0</v>
      </c>
      <c r="L830" s="3">
        <f t="shared" si="124"/>
        <v>0</v>
      </c>
      <c r="N830" s="11">
        <f t="shared" si="125"/>
        <v>2.5621475947667411</v>
      </c>
      <c r="O830" s="3">
        <v>0.34485240523325889</v>
      </c>
      <c r="P830" s="11">
        <f t="shared" si="126"/>
        <v>222.89079814018109</v>
      </c>
      <c r="Q830" s="12">
        <f t="shared" si="127"/>
        <v>222.89079814018109</v>
      </c>
      <c r="R830" s="13">
        <f t="shared" si="128"/>
        <v>132.02554309598722</v>
      </c>
      <c r="S830" s="3" t="s">
        <v>31</v>
      </c>
      <c r="T830" s="3" t="s">
        <v>28</v>
      </c>
      <c r="U830" s="10">
        <v>0</v>
      </c>
      <c r="V830" s="3">
        <v>0</v>
      </c>
      <c r="W830" s="3">
        <f t="shared" si="129"/>
        <v>0</v>
      </c>
      <c r="AA830" s="3">
        <v>32</v>
      </c>
    </row>
    <row r="831" spans="1:27" x14ac:dyDescent="0.3">
      <c r="A831" s="3" t="str">
        <f t="shared" si="120"/>
        <v>East9410049905836</v>
      </c>
      <c r="B831" s="3" t="str">
        <f t="shared" si="121"/>
        <v>KGP9410049905836</v>
      </c>
      <c r="C831" s="10">
        <v>9410049905836</v>
      </c>
      <c r="D831" s="10" t="str">
        <f t="shared" si="122"/>
        <v>9410049905</v>
      </c>
      <c r="E831" s="3" t="s">
        <v>6</v>
      </c>
      <c r="F831" s="3" t="s">
        <v>66</v>
      </c>
      <c r="H831" s="3">
        <v>3.9564000000000004</v>
      </c>
      <c r="I831" s="10">
        <f t="shared" si="123"/>
        <v>444.00444500025492</v>
      </c>
      <c r="J831" s="3">
        <v>0.26732164809731096</v>
      </c>
      <c r="K831" s="3">
        <v>0</v>
      </c>
      <c r="L831" s="3">
        <f t="shared" si="124"/>
        <v>0</v>
      </c>
      <c r="N831" s="11">
        <f t="shared" si="125"/>
        <v>3.6890783519026895</v>
      </c>
      <c r="O831" s="3">
        <v>0.26732164809731096</v>
      </c>
      <c r="P831" s="11">
        <f t="shared" si="126"/>
        <v>414.00444500025492</v>
      </c>
      <c r="Q831" s="12">
        <f t="shared" si="127"/>
        <v>414.00444500025498</v>
      </c>
      <c r="R831" s="13">
        <f t="shared" si="128"/>
        <v>729.57630860364111</v>
      </c>
      <c r="S831" s="3" t="s">
        <v>31</v>
      </c>
      <c r="T831" s="3" t="s">
        <v>32</v>
      </c>
      <c r="U831" s="10">
        <v>0</v>
      </c>
      <c r="V831" s="3">
        <v>0</v>
      </c>
      <c r="W831" s="3">
        <f t="shared" si="129"/>
        <v>0</v>
      </c>
      <c r="AA831" s="3">
        <v>32</v>
      </c>
    </row>
    <row r="832" spans="1:27" x14ac:dyDescent="0.3">
      <c r="A832" s="3" t="str">
        <f t="shared" si="120"/>
        <v>East9410029906836</v>
      </c>
      <c r="B832" s="3" t="str">
        <f t="shared" si="121"/>
        <v>KGP9410029906836</v>
      </c>
      <c r="C832" s="10">
        <v>9410029906836</v>
      </c>
      <c r="D832" s="10" t="str">
        <f t="shared" si="122"/>
        <v>9410029906</v>
      </c>
      <c r="E832" s="3" t="s">
        <v>6</v>
      </c>
      <c r="F832" s="3" t="s">
        <v>66</v>
      </c>
      <c r="H832" s="3">
        <v>14.972400000000002</v>
      </c>
      <c r="I832" s="10">
        <f t="shared" si="123"/>
        <v>2067.9789368613974</v>
      </c>
      <c r="J832" s="3">
        <v>0.21720337281660865</v>
      </c>
      <c r="K832" s="3">
        <v>0</v>
      </c>
      <c r="L832" s="3">
        <f t="shared" si="124"/>
        <v>0</v>
      </c>
      <c r="N832" s="11">
        <f t="shared" si="125"/>
        <v>14.755196627183393</v>
      </c>
      <c r="O832" s="3">
        <v>0.21720337281660865</v>
      </c>
      <c r="P832" s="11">
        <f t="shared" si="126"/>
        <v>2037.978936861397</v>
      </c>
      <c r="Q832" s="12">
        <f t="shared" si="127"/>
        <v>2037.9789368613974</v>
      </c>
      <c r="R832" s="13">
        <f t="shared" si="128"/>
        <v>5490.8157019902492</v>
      </c>
      <c r="S832" s="3" t="s">
        <v>31</v>
      </c>
      <c r="T832" s="3" t="s">
        <v>32</v>
      </c>
      <c r="U832" s="10">
        <v>0</v>
      </c>
      <c r="V832" s="3">
        <v>0</v>
      </c>
      <c r="W832" s="3">
        <f t="shared" si="129"/>
        <v>0</v>
      </c>
      <c r="AA832" s="3">
        <v>32</v>
      </c>
    </row>
    <row r="833" spans="1:27" x14ac:dyDescent="0.3">
      <c r="A833" s="3" t="str">
        <f t="shared" si="120"/>
        <v>East9420029906836</v>
      </c>
      <c r="B833" s="3" t="str">
        <f t="shared" si="121"/>
        <v>KGP9420029906836</v>
      </c>
      <c r="C833" s="10">
        <v>9420029906836</v>
      </c>
      <c r="D833" s="10" t="str">
        <f t="shared" si="122"/>
        <v>9420029906</v>
      </c>
      <c r="E833" s="3" t="s">
        <v>6</v>
      </c>
      <c r="F833" s="3" t="s">
        <v>66</v>
      </c>
      <c r="H833" s="3">
        <v>10.173599999999999</v>
      </c>
      <c r="I833" s="10">
        <f t="shared" si="123"/>
        <v>1543.040073805779</v>
      </c>
      <c r="J833" s="3">
        <v>0.19779654798415575</v>
      </c>
      <c r="K833" s="3">
        <v>0</v>
      </c>
      <c r="L833" s="3">
        <f t="shared" si="124"/>
        <v>0</v>
      </c>
      <c r="N833" s="11">
        <f t="shared" si="125"/>
        <v>9.9758034520158425</v>
      </c>
      <c r="O833" s="3">
        <v>0.19779654798415575</v>
      </c>
      <c r="P833" s="11">
        <f t="shared" si="126"/>
        <v>1513.0400738057788</v>
      </c>
      <c r="Q833" s="12">
        <f t="shared" si="127"/>
        <v>1513.0400738057788</v>
      </c>
      <c r="R833" s="13">
        <f t="shared" si="128"/>
        <v>1137.5067134430094</v>
      </c>
      <c r="S833" s="3" t="s">
        <v>31</v>
      </c>
      <c r="T833" s="3" t="s">
        <v>28</v>
      </c>
      <c r="U833" s="10">
        <v>0</v>
      </c>
      <c r="V833" s="3">
        <v>0</v>
      </c>
      <c r="W833" s="3">
        <f t="shared" si="129"/>
        <v>0</v>
      </c>
      <c r="AA833" s="3">
        <v>32</v>
      </c>
    </row>
    <row r="834" spans="1:27" x14ac:dyDescent="0.3">
      <c r="A834" s="3" t="str">
        <f t="shared" si="120"/>
        <v>East9410049905190</v>
      </c>
      <c r="B834" s="3" t="str">
        <f t="shared" si="121"/>
        <v>KGP9410049905190</v>
      </c>
      <c r="C834" s="10">
        <v>9410049905190</v>
      </c>
      <c r="D834" s="10" t="str">
        <f t="shared" si="122"/>
        <v>9410049905</v>
      </c>
      <c r="E834" s="3" t="s">
        <v>6</v>
      </c>
      <c r="F834" s="3" t="s">
        <v>66</v>
      </c>
      <c r="H834" s="3">
        <v>3.9941999999999998</v>
      </c>
      <c r="I834" s="10">
        <f t="shared" si="123"/>
        <v>621.76134253546013</v>
      </c>
      <c r="J834" s="3">
        <v>0.19272024779051958</v>
      </c>
      <c r="K834" s="3">
        <v>0</v>
      </c>
      <c r="L834" s="3">
        <f t="shared" si="124"/>
        <v>0</v>
      </c>
      <c r="N834" s="11">
        <f t="shared" si="125"/>
        <v>3.8014797522094801</v>
      </c>
      <c r="O834" s="3">
        <v>0.19272024779051958</v>
      </c>
      <c r="P834" s="11">
        <f t="shared" si="126"/>
        <v>591.76134253546013</v>
      </c>
      <c r="Q834" s="12">
        <f t="shared" si="127"/>
        <v>591.76134253546013</v>
      </c>
      <c r="R834" s="13">
        <f t="shared" si="128"/>
        <v>1371.8231806671633</v>
      </c>
      <c r="S834" s="3" t="s">
        <v>31</v>
      </c>
      <c r="T834" s="3" t="s">
        <v>32</v>
      </c>
      <c r="U834" s="10">
        <v>0</v>
      </c>
      <c r="V834" s="3">
        <v>0</v>
      </c>
      <c r="W834" s="3">
        <f t="shared" si="129"/>
        <v>0</v>
      </c>
      <c r="AA834" s="3">
        <v>32</v>
      </c>
    </row>
    <row r="835" spans="1:27" x14ac:dyDescent="0.3">
      <c r="A835" s="3" t="str">
        <f t="shared" si="120"/>
        <v>East9310039904297</v>
      </c>
      <c r="B835" s="3" t="str">
        <f t="shared" si="121"/>
        <v>KGP9310039904297</v>
      </c>
      <c r="C835" s="10">
        <v>9310039904297</v>
      </c>
      <c r="D835" s="10" t="str">
        <f t="shared" si="122"/>
        <v>9310039904</v>
      </c>
      <c r="E835" s="3" t="s">
        <v>6</v>
      </c>
      <c r="F835" s="3" t="s">
        <v>66</v>
      </c>
      <c r="H835" s="3">
        <v>7.878000000000001</v>
      </c>
      <c r="I835" s="10">
        <f t="shared" si="123"/>
        <v>1511.5071679993077</v>
      </c>
      <c r="J835" s="3">
        <v>0.15636048905598593</v>
      </c>
      <c r="K835" s="3">
        <v>0</v>
      </c>
      <c r="L835" s="3">
        <f t="shared" si="124"/>
        <v>0</v>
      </c>
      <c r="N835" s="11">
        <f t="shared" si="125"/>
        <v>7.7216395109440148</v>
      </c>
      <c r="O835" s="3">
        <v>0.15636048905598593</v>
      </c>
      <c r="P835" s="11">
        <f t="shared" si="126"/>
        <v>1481.5071679993077</v>
      </c>
      <c r="Q835" s="12">
        <f t="shared" si="127"/>
        <v>1481.5071679993075</v>
      </c>
      <c r="R835" s="13">
        <f t="shared" si="128"/>
        <v>2442.2311191614003</v>
      </c>
      <c r="S835" s="3" t="s">
        <v>31</v>
      </c>
      <c r="T835" s="3" t="s">
        <v>32</v>
      </c>
      <c r="U835" s="10">
        <v>9310039900999</v>
      </c>
      <c r="V835" s="3">
        <v>0.1</v>
      </c>
      <c r="W835" s="3">
        <f t="shared" si="129"/>
        <v>0</v>
      </c>
      <c r="AA835" s="3">
        <v>32</v>
      </c>
    </row>
    <row r="836" spans="1:27" x14ac:dyDescent="0.3">
      <c r="A836" s="3" t="str">
        <f t="shared" ref="A836:A899" si="130">_xlfn.CONCAT(F836,C836)</f>
        <v>East9410049906836</v>
      </c>
      <c r="B836" s="3" t="str">
        <f t="shared" ref="B836:B899" si="131">_xlfn.CONCAT(E836,C836)</f>
        <v>KGP9410049906836</v>
      </c>
      <c r="C836" s="10">
        <v>9410049906836</v>
      </c>
      <c r="D836" s="10" t="str">
        <f t="shared" ref="D836:D899" si="132">LEFT(C836,10)</f>
        <v>9410049906</v>
      </c>
      <c r="E836" s="3" t="s">
        <v>6</v>
      </c>
      <c r="F836" s="3" t="s">
        <v>66</v>
      </c>
      <c r="H836" s="3">
        <v>4.024799999999999</v>
      </c>
      <c r="I836" s="10">
        <f t="shared" ref="I836:I899" si="133">IFERROR(H836/J836*30,0)</f>
        <v>928.47501366020424</v>
      </c>
      <c r="J836" s="3">
        <v>0.13004550281219401</v>
      </c>
      <c r="K836" s="3">
        <v>0</v>
      </c>
      <c r="L836" s="3">
        <f t="shared" ref="L836:L899" si="134">M836*G836</f>
        <v>0</v>
      </c>
      <c r="N836" s="11">
        <f t="shared" ref="N836:N899" si="135">H836-J836+L836</f>
        <v>3.894754497187805</v>
      </c>
      <c r="O836" s="3">
        <v>0.13004550281219401</v>
      </c>
      <c r="P836" s="11">
        <f t="shared" ref="P836:P899" si="136">IF(O836=0,9999,N836/O836*30)</f>
        <v>898.47501366020424</v>
      </c>
      <c r="Q836" s="12">
        <f t="shared" ref="Q836:Q899" si="137">IF(SUMIF($A:$A,$A836,$O:$O)=0,9999,SUMIF($A:$A,$A836,$N:$N)*30/SUMIF($A:$A,$A836,$O:$O))</f>
        <v>898.47501366020424</v>
      </c>
      <c r="R836" s="13">
        <f t="shared" ref="R836:R899" si="138">IF(SUMIF($C:$C,$C836,$O:$O)=0,9999,SUMIF($C:$C,$C836,$N:$N)*30/SUMIF($C:$C,$C836,$O:$O))</f>
        <v>1129.2393805606578</v>
      </c>
      <c r="S836" s="3" t="s">
        <v>31</v>
      </c>
      <c r="T836" s="3" t="s">
        <v>32</v>
      </c>
      <c r="U836" s="10">
        <v>0</v>
      </c>
      <c r="V836" s="3">
        <v>0</v>
      </c>
      <c r="W836" s="3">
        <f t="shared" ref="W836:W899" si="139">IFERROR(K836*V836,0)</f>
        <v>0</v>
      </c>
      <c r="AA836" s="3">
        <v>32</v>
      </c>
    </row>
    <row r="837" spans="1:27" x14ac:dyDescent="0.3">
      <c r="A837" s="3" t="str">
        <f t="shared" si="130"/>
        <v>East9310039904219</v>
      </c>
      <c r="B837" s="3" t="str">
        <f t="shared" si="131"/>
        <v>KGP9310039904219</v>
      </c>
      <c r="C837" s="10">
        <v>9310039904219</v>
      </c>
      <c r="D837" s="10" t="str">
        <f t="shared" si="132"/>
        <v>9310039904</v>
      </c>
      <c r="E837" s="3" t="s">
        <v>6</v>
      </c>
      <c r="F837" s="3" t="s">
        <v>66</v>
      </c>
      <c r="H837" s="3">
        <v>2.5935000000000001</v>
      </c>
      <c r="I837" s="10">
        <f t="shared" si="133"/>
        <v>929.21475758387942</v>
      </c>
      <c r="J837" s="3">
        <v>8.3731989149964201E-2</v>
      </c>
      <c r="K837" s="3">
        <v>0</v>
      </c>
      <c r="L837" s="3">
        <f t="shared" si="134"/>
        <v>0</v>
      </c>
      <c r="N837" s="11">
        <f t="shared" si="135"/>
        <v>2.5097680108500358</v>
      </c>
      <c r="O837" s="3">
        <v>8.3731989149964201E-2</v>
      </c>
      <c r="P837" s="11">
        <f t="shared" si="136"/>
        <v>899.2147575838793</v>
      </c>
      <c r="Q837" s="12">
        <f t="shared" si="137"/>
        <v>899.2147575838793</v>
      </c>
      <c r="R837" s="13">
        <f t="shared" si="138"/>
        <v>1534.9932759307439</v>
      </c>
      <c r="S837" s="3" t="s">
        <v>31</v>
      </c>
      <c r="T837" s="3" t="s">
        <v>32</v>
      </c>
      <c r="U837" s="10">
        <v>9310039900999</v>
      </c>
      <c r="V837" s="3">
        <v>0.1</v>
      </c>
      <c r="W837" s="3">
        <f t="shared" si="139"/>
        <v>0</v>
      </c>
      <c r="AA837" s="3">
        <v>32</v>
      </c>
    </row>
    <row r="838" spans="1:27" x14ac:dyDescent="0.3">
      <c r="A838" s="3" t="str">
        <f t="shared" si="130"/>
        <v>East9410049906190</v>
      </c>
      <c r="B838" s="3" t="str">
        <f t="shared" si="131"/>
        <v>KGP9410049906190</v>
      </c>
      <c r="C838" s="10">
        <v>9410049906190</v>
      </c>
      <c r="D838" s="10" t="str">
        <f t="shared" si="132"/>
        <v>9410049906</v>
      </c>
      <c r="E838" s="3" t="s">
        <v>6</v>
      </c>
      <c r="F838" s="3" t="s">
        <v>66</v>
      </c>
      <c r="H838" s="3">
        <v>5.7194999999999991</v>
      </c>
      <c r="I838" s="10">
        <f t="shared" si="133"/>
        <v>2068.3532353820769</v>
      </c>
      <c r="J838" s="3">
        <v>8.2957300070799503E-2</v>
      </c>
      <c r="K838" s="3">
        <v>0</v>
      </c>
      <c r="L838" s="3">
        <f t="shared" si="134"/>
        <v>0</v>
      </c>
      <c r="N838" s="11">
        <f t="shared" si="135"/>
        <v>5.6365426999291994</v>
      </c>
      <c r="O838" s="3">
        <v>8.2957300070799503E-2</v>
      </c>
      <c r="P838" s="11">
        <f t="shared" si="136"/>
        <v>2038.3532353820769</v>
      </c>
      <c r="Q838" s="12">
        <f t="shared" si="137"/>
        <v>2038.3532353820772</v>
      </c>
      <c r="R838" s="13">
        <f t="shared" si="138"/>
        <v>3692.6769758058704</v>
      </c>
      <c r="S838" s="3" t="s">
        <v>31</v>
      </c>
      <c r="T838" s="3" t="s">
        <v>32</v>
      </c>
      <c r="U838" s="10">
        <v>0</v>
      </c>
      <c r="V838" s="3">
        <v>0</v>
      </c>
      <c r="W838" s="3">
        <f t="shared" si="139"/>
        <v>0</v>
      </c>
      <c r="AA838" s="3">
        <v>32</v>
      </c>
    </row>
    <row r="839" spans="1:27" x14ac:dyDescent="0.3">
      <c r="A839" s="3" t="str">
        <f t="shared" si="130"/>
        <v>East9310039904839</v>
      </c>
      <c r="B839" s="3" t="str">
        <f t="shared" si="131"/>
        <v>KGP9310039904839</v>
      </c>
      <c r="C839" s="10">
        <v>9310039904839</v>
      </c>
      <c r="D839" s="10" t="str">
        <f t="shared" si="132"/>
        <v>9310039904</v>
      </c>
      <c r="E839" s="3" t="s">
        <v>6</v>
      </c>
      <c r="F839" s="3" t="s">
        <v>66</v>
      </c>
      <c r="H839" s="3">
        <v>9.0090000000000003</v>
      </c>
      <c r="I839" s="10">
        <f t="shared" si="133"/>
        <v>5348.9691312603145</v>
      </c>
      <c r="J839" s="3">
        <v>5.0527492937002511E-2</v>
      </c>
      <c r="K839" s="3">
        <v>0</v>
      </c>
      <c r="L839" s="3">
        <f t="shared" si="134"/>
        <v>0</v>
      </c>
      <c r="N839" s="11">
        <f t="shared" si="135"/>
        <v>8.9584725070629982</v>
      </c>
      <c r="O839" s="3">
        <v>5.0527492937002511E-2</v>
      </c>
      <c r="P839" s="11">
        <f t="shared" si="136"/>
        <v>5318.9691312603145</v>
      </c>
      <c r="Q839" s="12">
        <f t="shared" si="137"/>
        <v>5318.9691312603154</v>
      </c>
      <c r="R839" s="13">
        <f t="shared" si="138"/>
        <v>5688.9618727009747</v>
      </c>
      <c r="S839" s="3" t="s">
        <v>31</v>
      </c>
      <c r="T839" s="3" t="s">
        <v>32</v>
      </c>
      <c r="U839" s="10">
        <v>0</v>
      </c>
      <c r="V839" s="3">
        <v>0</v>
      </c>
      <c r="W839" s="3">
        <f t="shared" si="139"/>
        <v>0</v>
      </c>
      <c r="AA839" s="3">
        <v>32</v>
      </c>
    </row>
    <row r="840" spans="1:27" x14ac:dyDescent="0.3">
      <c r="A840" s="3" t="str">
        <f t="shared" si="130"/>
        <v>East9410149905190</v>
      </c>
      <c r="B840" s="3" t="str">
        <f t="shared" si="131"/>
        <v>KGP9410149905190</v>
      </c>
      <c r="C840" s="10">
        <v>9410149905190</v>
      </c>
      <c r="D840" s="10" t="str">
        <f t="shared" si="132"/>
        <v>9410149905</v>
      </c>
      <c r="E840" s="3" t="s">
        <v>6</v>
      </c>
      <c r="F840" s="3" t="s">
        <v>66</v>
      </c>
      <c r="H840" s="3">
        <v>0.45899999999999996</v>
      </c>
      <c r="I840" s="10">
        <f t="shared" si="133"/>
        <v>501.33194847806385</v>
      </c>
      <c r="J840" s="3">
        <v>2.7466831191993172E-2</v>
      </c>
      <c r="K840" s="3">
        <v>0</v>
      </c>
      <c r="L840" s="3">
        <f t="shared" si="134"/>
        <v>0</v>
      </c>
      <c r="N840" s="11">
        <f t="shared" si="135"/>
        <v>0.4315331688080068</v>
      </c>
      <c r="O840" s="3">
        <v>2.7466831191993172E-2</v>
      </c>
      <c r="P840" s="11">
        <f t="shared" si="136"/>
        <v>471.33194847806385</v>
      </c>
      <c r="Q840" s="12">
        <f t="shared" si="137"/>
        <v>471.33194847806391</v>
      </c>
      <c r="R840" s="13">
        <f t="shared" si="138"/>
        <v>2234.6328584927655</v>
      </c>
      <c r="S840" s="3" t="s">
        <v>31</v>
      </c>
      <c r="T840" s="3" t="s">
        <v>32</v>
      </c>
      <c r="U840" s="10">
        <v>0</v>
      </c>
      <c r="V840" s="3">
        <v>0</v>
      </c>
      <c r="W840" s="3">
        <f t="shared" si="139"/>
        <v>0</v>
      </c>
      <c r="AA840" s="3">
        <v>32</v>
      </c>
    </row>
    <row r="841" spans="1:27" x14ac:dyDescent="0.3">
      <c r="A841" s="3" t="str">
        <f t="shared" si="130"/>
        <v>East9310039904097</v>
      </c>
      <c r="B841" s="3" t="str">
        <f t="shared" si="131"/>
        <v>KGP9310039904097</v>
      </c>
      <c r="C841" s="10">
        <v>9310039904097</v>
      </c>
      <c r="D841" s="10" t="str">
        <f t="shared" si="132"/>
        <v>9310039904</v>
      </c>
      <c r="E841" s="3" t="s">
        <v>6</v>
      </c>
      <c r="F841" s="3" t="s">
        <v>66</v>
      </c>
      <c r="H841" s="3">
        <v>3.6679499999999998</v>
      </c>
      <c r="I841" s="10">
        <f t="shared" si="133"/>
        <v>6952.68839422561</v>
      </c>
      <c r="J841" s="3">
        <v>1.5826755603111718E-2</v>
      </c>
      <c r="K841" s="3">
        <v>0</v>
      </c>
      <c r="L841" s="3">
        <f t="shared" si="134"/>
        <v>0</v>
      </c>
      <c r="N841" s="11">
        <f t="shared" si="135"/>
        <v>3.6521232443968881</v>
      </c>
      <c r="O841" s="3">
        <v>1.5826755603111718E-2</v>
      </c>
      <c r="P841" s="11">
        <f t="shared" si="136"/>
        <v>6922.68839422561</v>
      </c>
      <c r="Q841" s="12">
        <f t="shared" si="137"/>
        <v>6922.68839422561</v>
      </c>
      <c r="R841" s="13">
        <f t="shared" si="138"/>
        <v>1418.5220697053549</v>
      </c>
      <c r="S841" s="3" t="s">
        <v>31</v>
      </c>
      <c r="T841" s="3" t="s">
        <v>32</v>
      </c>
      <c r="U841" s="10">
        <v>0</v>
      </c>
      <c r="V841" s="3">
        <v>0</v>
      </c>
      <c r="W841" s="3">
        <f t="shared" si="139"/>
        <v>0</v>
      </c>
      <c r="AA841" s="3">
        <v>32</v>
      </c>
    </row>
    <row r="842" spans="1:27" x14ac:dyDescent="0.3">
      <c r="A842" s="3" t="str">
        <f t="shared" si="130"/>
        <v>East9410149905836</v>
      </c>
      <c r="B842" s="3" t="str">
        <f t="shared" si="131"/>
        <v>KGP9410149905836</v>
      </c>
      <c r="C842" s="10">
        <v>9410149905836</v>
      </c>
      <c r="D842" s="10" t="str">
        <f t="shared" si="132"/>
        <v>9410149905</v>
      </c>
      <c r="E842" s="3" t="s">
        <v>6</v>
      </c>
      <c r="F842" s="3" t="s">
        <v>66</v>
      </c>
      <c r="H842" s="3">
        <v>0</v>
      </c>
      <c r="I842" s="10">
        <f t="shared" si="133"/>
        <v>0</v>
      </c>
      <c r="J842" s="3">
        <v>0</v>
      </c>
      <c r="K842" s="3">
        <v>0</v>
      </c>
      <c r="L842" s="3">
        <f t="shared" si="134"/>
        <v>0</v>
      </c>
      <c r="N842" s="11">
        <f t="shared" si="135"/>
        <v>0</v>
      </c>
      <c r="O842" s="3">
        <v>0</v>
      </c>
      <c r="P842" s="11">
        <f t="shared" si="136"/>
        <v>9999</v>
      </c>
      <c r="Q842" s="12">
        <f t="shared" si="137"/>
        <v>9999</v>
      </c>
      <c r="R842" s="13">
        <f t="shared" si="138"/>
        <v>9999</v>
      </c>
      <c r="S842" s="3" t="s">
        <v>31</v>
      </c>
      <c r="T842" s="3" t="s">
        <v>32</v>
      </c>
      <c r="U842" s="10" t="s">
        <v>72</v>
      </c>
      <c r="V842" s="3" t="s">
        <v>72</v>
      </c>
      <c r="W842" s="3">
        <f t="shared" si="139"/>
        <v>0</v>
      </c>
      <c r="AA842" s="3">
        <v>32</v>
      </c>
    </row>
    <row r="843" spans="1:27" x14ac:dyDescent="0.3">
      <c r="A843" s="3" t="str">
        <f t="shared" si="130"/>
        <v>North9410029901320</v>
      </c>
      <c r="B843" s="3" t="str">
        <f t="shared" si="131"/>
        <v>Pan9410029901320</v>
      </c>
      <c r="C843" s="10">
        <v>9410029901320</v>
      </c>
      <c r="D843" s="10" t="str">
        <f t="shared" si="132"/>
        <v>9410029901</v>
      </c>
      <c r="E843" s="3" t="s">
        <v>2</v>
      </c>
      <c r="F843" s="3" t="s">
        <v>64</v>
      </c>
      <c r="H843" s="3">
        <v>41.599999999999994</v>
      </c>
      <c r="I843" s="10">
        <f t="shared" si="133"/>
        <v>63.939200281989137</v>
      </c>
      <c r="J843" s="3">
        <v>19.518542529402666</v>
      </c>
      <c r="K843" s="3">
        <v>16.5</v>
      </c>
      <c r="L843" s="3">
        <f t="shared" si="134"/>
        <v>0</v>
      </c>
      <c r="N843" s="11">
        <f t="shared" si="135"/>
        <v>22.081457470597329</v>
      </c>
      <c r="O843" s="3">
        <v>19.518542529402666</v>
      </c>
      <c r="P843" s="11">
        <f t="shared" si="136"/>
        <v>33.93920028198913</v>
      </c>
      <c r="Q843" s="12">
        <f t="shared" si="137"/>
        <v>33.93920028198913</v>
      </c>
      <c r="R843" s="13">
        <f t="shared" si="138"/>
        <v>21.860453380312943</v>
      </c>
      <c r="S843" s="3" t="s">
        <v>30</v>
      </c>
      <c r="T843" s="3" t="s">
        <v>32</v>
      </c>
      <c r="U843" s="10">
        <v>9410029900999</v>
      </c>
      <c r="V843" s="3">
        <v>0.1</v>
      </c>
      <c r="W843" s="3">
        <f t="shared" si="139"/>
        <v>1.6500000000000001</v>
      </c>
      <c r="AA843" s="3">
        <v>33</v>
      </c>
    </row>
    <row r="844" spans="1:27" x14ac:dyDescent="0.3">
      <c r="A844" s="3" t="str">
        <f t="shared" si="130"/>
        <v>North9101109900320</v>
      </c>
      <c r="B844" s="3" t="str">
        <f t="shared" si="131"/>
        <v>Pan9101109900320</v>
      </c>
      <c r="C844" s="10">
        <v>9101109900320</v>
      </c>
      <c r="D844" s="10" t="str">
        <f t="shared" si="132"/>
        <v>9101109900</v>
      </c>
      <c r="E844" s="3" t="s">
        <v>2</v>
      </c>
      <c r="F844" s="3" t="s">
        <v>64</v>
      </c>
      <c r="H844" s="3">
        <v>43.400000000000006</v>
      </c>
      <c r="I844" s="10">
        <f t="shared" si="133"/>
        <v>120.27096859760552</v>
      </c>
      <c r="J844" s="3">
        <v>10.825555120921523</v>
      </c>
      <c r="K844" s="3">
        <v>0</v>
      </c>
      <c r="L844" s="3">
        <f t="shared" si="134"/>
        <v>0</v>
      </c>
      <c r="N844" s="11">
        <f t="shared" si="135"/>
        <v>32.574444879078484</v>
      </c>
      <c r="O844" s="3">
        <v>10.825555120921523</v>
      </c>
      <c r="P844" s="11">
        <f t="shared" si="136"/>
        <v>90.270968597605531</v>
      </c>
      <c r="Q844" s="12">
        <f t="shared" si="137"/>
        <v>54.636827734253039</v>
      </c>
      <c r="R844" s="13">
        <f t="shared" si="138"/>
        <v>45.040599103158151</v>
      </c>
      <c r="S844" s="3" t="s">
        <v>29</v>
      </c>
      <c r="T844" s="3" t="s">
        <v>34</v>
      </c>
      <c r="U844" s="10">
        <v>0</v>
      </c>
      <c r="V844" s="3">
        <v>0</v>
      </c>
      <c r="W844" s="3">
        <f t="shared" si="139"/>
        <v>0</v>
      </c>
      <c r="AA844" s="3">
        <v>33</v>
      </c>
    </row>
    <row r="845" spans="1:27" x14ac:dyDescent="0.3">
      <c r="A845" s="3" t="str">
        <f t="shared" si="130"/>
        <v>North9410029901310</v>
      </c>
      <c r="B845" s="3" t="str">
        <f t="shared" si="131"/>
        <v>Pan9410029901310</v>
      </c>
      <c r="C845" s="10">
        <v>9410029901310</v>
      </c>
      <c r="D845" s="10" t="str">
        <f t="shared" si="132"/>
        <v>9410029901</v>
      </c>
      <c r="E845" s="3" t="s">
        <v>2</v>
      </c>
      <c r="F845" s="3" t="s">
        <v>64</v>
      </c>
      <c r="H845" s="3">
        <v>3.8099999999999992</v>
      </c>
      <c r="I845" s="10">
        <f t="shared" si="133"/>
        <v>15.817640254720144</v>
      </c>
      <c r="J845" s="3">
        <v>7.22610946761744</v>
      </c>
      <c r="K845" s="3">
        <v>16.5</v>
      </c>
      <c r="L845" s="3">
        <f t="shared" si="134"/>
        <v>0</v>
      </c>
      <c r="N845" s="11">
        <f t="shared" si="135"/>
        <v>-3.4161094676174408</v>
      </c>
      <c r="O845" s="3">
        <v>7.22610946761744</v>
      </c>
      <c r="P845" s="11">
        <f t="shared" si="136"/>
        <v>-14.182359745279856</v>
      </c>
      <c r="Q845" s="12">
        <f t="shared" si="137"/>
        <v>-14.182359745279856</v>
      </c>
      <c r="R845" s="13">
        <f t="shared" si="138"/>
        <v>12.577858451329639</v>
      </c>
      <c r="S845" s="3" t="s">
        <v>30</v>
      </c>
      <c r="T845" s="3" t="s">
        <v>32</v>
      </c>
      <c r="U845" s="10">
        <v>9410029900999</v>
      </c>
      <c r="V845" s="3">
        <v>0.1</v>
      </c>
      <c r="W845" s="3">
        <f t="shared" si="139"/>
        <v>1.6500000000000001</v>
      </c>
      <c r="AA845" s="3">
        <v>33</v>
      </c>
    </row>
    <row r="846" spans="1:27" x14ac:dyDescent="0.3">
      <c r="A846" s="3" t="str">
        <f t="shared" si="130"/>
        <v>North9410029901840</v>
      </c>
      <c r="B846" s="3" t="str">
        <f t="shared" si="131"/>
        <v>Pan9410029901840</v>
      </c>
      <c r="C846" s="10">
        <v>9410029901840</v>
      </c>
      <c r="D846" s="10" t="str">
        <f t="shared" si="132"/>
        <v>9410029901</v>
      </c>
      <c r="E846" s="3" t="s">
        <v>2</v>
      </c>
      <c r="F846" s="3" t="s">
        <v>64</v>
      </c>
      <c r="H846" s="3">
        <v>2.7240000000000006</v>
      </c>
      <c r="I846" s="10">
        <f t="shared" si="133"/>
        <v>18.554240858956479</v>
      </c>
      <c r="J846" s="3">
        <v>4.4043839153113211</v>
      </c>
      <c r="K846" s="3">
        <v>16.5</v>
      </c>
      <c r="L846" s="3">
        <f t="shared" si="134"/>
        <v>0</v>
      </c>
      <c r="N846" s="11">
        <f t="shared" si="135"/>
        <v>-1.6803839153113205</v>
      </c>
      <c r="O846" s="3">
        <v>4.4043839153113211</v>
      </c>
      <c r="P846" s="11">
        <f t="shared" si="136"/>
        <v>-11.445759141043522</v>
      </c>
      <c r="Q846" s="12">
        <f t="shared" si="137"/>
        <v>-11.445759141043522</v>
      </c>
      <c r="R846" s="13">
        <f t="shared" si="138"/>
        <v>36.570428032612334</v>
      </c>
      <c r="S846" s="3" t="s">
        <v>30</v>
      </c>
      <c r="T846" s="3" t="s">
        <v>32</v>
      </c>
      <c r="U846" s="10">
        <v>0</v>
      </c>
      <c r="V846" s="3">
        <v>0</v>
      </c>
      <c r="W846" s="3">
        <f t="shared" si="139"/>
        <v>0</v>
      </c>
      <c r="AA846" s="3">
        <v>33</v>
      </c>
    </row>
    <row r="847" spans="1:27" x14ac:dyDescent="0.3">
      <c r="A847" s="3" t="str">
        <f t="shared" si="130"/>
        <v>North9410029901210</v>
      </c>
      <c r="B847" s="3" t="str">
        <f t="shared" si="131"/>
        <v>Pan9410029901210</v>
      </c>
      <c r="C847" s="10">
        <v>9410029901210</v>
      </c>
      <c r="D847" s="10" t="str">
        <f t="shared" si="132"/>
        <v>9410029901</v>
      </c>
      <c r="E847" s="3" t="s">
        <v>2</v>
      </c>
      <c r="F847" s="3" t="s">
        <v>64</v>
      </c>
      <c r="H847" s="3">
        <v>2.6930000000000005</v>
      </c>
      <c r="I847" s="10">
        <f t="shared" si="133"/>
        <v>33.21829263394838</v>
      </c>
      <c r="J847" s="3">
        <v>2.4320936927816206</v>
      </c>
      <c r="K847" s="3">
        <v>16.5</v>
      </c>
      <c r="L847" s="3">
        <f t="shared" si="134"/>
        <v>0</v>
      </c>
      <c r="N847" s="11">
        <f t="shared" si="135"/>
        <v>0.26090630721837993</v>
      </c>
      <c r="O847" s="3">
        <v>2.4320936927816206</v>
      </c>
      <c r="P847" s="11">
        <f t="shared" si="136"/>
        <v>3.2182926339483773</v>
      </c>
      <c r="Q847" s="12">
        <f t="shared" si="137"/>
        <v>3.2182926339483777</v>
      </c>
      <c r="R847" s="13">
        <f t="shared" si="138"/>
        <v>8.498858437043161</v>
      </c>
      <c r="S847" s="3" t="s">
        <v>30</v>
      </c>
      <c r="T847" s="3" t="s">
        <v>32</v>
      </c>
      <c r="U847" s="10">
        <v>0</v>
      </c>
      <c r="V847" s="3">
        <v>0</v>
      </c>
      <c r="W847" s="3">
        <f t="shared" si="139"/>
        <v>0</v>
      </c>
      <c r="AA847" s="3">
        <v>33</v>
      </c>
    </row>
    <row r="848" spans="1:27" x14ac:dyDescent="0.3">
      <c r="A848" s="3" t="str">
        <f t="shared" si="130"/>
        <v>North9101109900210</v>
      </c>
      <c r="B848" s="3" t="str">
        <f t="shared" si="131"/>
        <v>Pan9101109900210</v>
      </c>
      <c r="C848" s="10">
        <v>9101109900210</v>
      </c>
      <c r="D848" s="10" t="str">
        <f t="shared" si="132"/>
        <v>9101109900</v>
      </c>
      <c r="E848" s="3" t="s">
        <v>2</v>
      </c>
      <c r="F848" s="3" t="s">
        <v>64</v>
      </c>
      <c r="H848" s="3">
        <v>0</v>
      </c>
      <c r="I848" s="10">
        <f t="shared" si="133"/>
        <v>0</v>
      </c>
      <c r="J848" s="3">
        <v>0</v>
      </c>
      <c r="K848" s="3">
        <v>0</v>
      </c>
      <c r="L848" s="3">
        <f t="shared" si="134"/>
        <v>0</v>
      </c>
      <c r="N848" s="11">
        <f t="shared" si="135"/>
        <v>0</v>
      </c>
      <c r="O848" s="3">
        <v>0</v>
      </c>
      <c r="P848" s="11">
        <f t="shared" si="136"/>
        <v>9999</v>
      </c>
      <c r="Q848" s="12">
        <f t="shared" si="137"/>
        <v>9999</v>
      </c>
      <c r="R848" s="13">
        <f t="shared" si="138"/>
        <v>9999</v>
      </c>
      <c r="S848" s="3" t="s">
        <v>31</v>
      </c>
      <c r="T848" s="3" t="s">
        <v>34</v>
      </c>
      <c r="U848" s="10" t="s">
        <v>72</v>
      </c>
      <c r="V848" s="3" t="s">
        <v>72</v>
      </c>
      <c r="W848" s="3">
        <f t="shared" si="139"/>
        <v>0</v>
      </c>
      <c r="AA848" s="3">
        <v>33</v>
      </c>
    </row>
    <row r="849" spans="1:27" x14ac:dyDescent="0.3">
      <c r="A849" s="3" t="str">
        <f t="shared" si="130"/>
        <v>South9310019902219</v>
      </c>
      <c r="B849" s="3" t="str">
        <f t="shared" si="131"/>
        <v>CMR9310019902219</v>
      </c>
      <c r="C849" s="10">
        <v>9310019902219</v>
      </c>
      <c r="D849" s="10" t="str">
        <f t="shared" si="132"/>
        <v>9310019902</v>
      </c>
      <c r="E849" s="3" t="s">
        <v>5</v>
      </c>
      <c r="F849" s="3" t="s">
        <v>65</v>
      </c>
      <c r="H849" s="3">
        <v>5.4015000000000004</v>
      </c>
      <c r="I849" s="10">
        <f t="shared" si="133"/>
        <v>47.511542804241053</v>
      </c>
      <c r="J849" s="3">
        <v>3.4106448756603056</v>
      </c>
      <c r="K849" s="3">
        <v>0</v>
      </c>
      <c r="L849" s="3">
        <f t="shared" si="134"/>
        <v>0</v>
      </c>
      <c r="N849" s="11">
        <f t="shared" si="135"/>
        <v>1.9908551243396948</v>
      </c>
      <c r="O849" s="3">
        <v>3.4106448756603056</v>
      </c>
      <c r="P849" s="11">
        <f t="shared" si="136"/>
        <v>17.511542804241053</v>
      </c>
      <c r="Q849" s="12">
        <f t="shared" si="137"/>
        <v>10.197359069175858</v>
      </c>
      <c r="R849" s="13">
        <f t="shared" si="138"/>
        <v>23.550066035894439</v>
      </c>
      <c r="S849" s="3" t="s">
        <v>30</v>
      </c>
      <c r="T849" s="3" t="s">
        <v>32</v>
      </c>
      <c r="U849" s="10">
        <v>9310019900999</v>
      </c>
      <c r="V849" s="3">
        <v>0.1</v>
      </c>
      <c r="W849" s="3">
        <f t="shared" si="139"/>
        <v>0</v>
      </c>
      <c r="AA849" s="3">
        <v>33</v>
      </c>
    </row>
    <row r="850" spans="1:27" x14ac:dyDescent="0.3">
      <c r="A850" s="3" t="str">
        <f t="shared" si="130"/>
        <v>South9310019902839</v>
      </c>
      <c r="B850" s="3" t="str">
        <f t="shared" si="131"/>
        <v>CMR9310019902839</v>
      </c>
      <c r="C850" s="10">
        <v>9310019902839</v>
      </c>
      <c r="D850" s="10" t="str">
        <f t="shared" si="132"/>
        <v>9310019902</v>
      </c>
      <c r="E850" s="3" t="s">
        <v>5</v>
      </c>
      <c r="F850" s="3" t="s">
        <v>65</v>
      </c>
      <c r="H850" s="3">
        <v>4.4343000000000004</v>
      </c>
      <c r="I850" s="10">
        <f t="shared" si="133"/>
        <v>41.399285070577548</v>
      </c>
      <c r="J850" s="3">
        <v>3.2133163597683394</v>
      </c>
      <c r="K850" s="3">
        <v>0</v>
      </c>
      <c r="L850" s="3">
        <f t="shared" si="134"/>
        <v>0</v>
      </c>
      <c r="N850" s="11">
        <f t="shared" si="135"/>
        <v>1.2209836402316609</v>
      </c>
      <c r="O850" s="3">
        <v>3.2133163597683394</v>
      </c>
      <c r="P850" s="11">
        <f t="shared" si="136"/>
        <v>11.399285070577548</v>
      </c>
      <c r="Q850" s="12">
        <f t="shared" si="137"/>
        <v>6.0860327361260502</v>
      </c>
      <c r="R850" s="13">
        <f t="shared" si="138"/>
        <v>34.250706408111796</v>
      </c>
      <c r="S850" s="3" t="s">
        <v>31</v>
      </c>
      <c r="T850" s="3" t="s">
        <v>32</v>
      </c>
      <c r="U850" s="10">
        <v>0</v>
      </c>
      <c r="V850" s="3">
        <v>0</v>
      </c>
      <c r="W850" s="3">
        <f t="shared" si="139"/>
        <v>0</v>
      </c>
      <c r="AA850" s="3">
        <v>33</v>
      </c>
    </row>
    <row r="851" spans="1:27" x14ac:dyDescent="0.3">
      <c r="A851" s="3" t="str">
        <f t="shared" si="130"/>
        <v>South9310019902297</v>
      </c>
      <c r="B851" s="3" t="str">
        <f t="shared" si="131"/>
        <v>CMR9310019902297</v>
      </c>
      <c r="C851" s="10">
        <v>9310019902297</v>
      </c>
      <c r="D851" s="10" t="str">
        <f t="shared" si="132"/>
        <v>9310019902</v>
      </c>
      <c r="E851" s="3" t="s">
        <v>5</v>
      </c>
      <c r="F851" s="3" t="s">
        <v>65</v>
      </c>
      <c r="H851" s="3">
        <v>2.5739999999999998</v>
      </c>
      <c r="I851" s="10">
        <f t="shared" si="133"/>
        <v>29.178108568367378</v>
      </c>
      <c r="J851" s="3">
        <v>2.6465046498495752</v>
      </c>
      <c r="K851" s="3">
        <v>0</v>
      </c>
      <c r="L851" s="3">
        <f t="shared" si="134"/>
        <v>0</v>
      </c>
      <c r="N851" s="11">
        <f t="shared" si="135"/>
        <v>-7.2504649849575387E-2</v>
      </c>
      <c r="O851" s="3">
        <v>2.6465046498495752</v>
      </c>
      <c r="P851" s="11">
        <f t="shared" si="136"/>
        <v>-0.82189143163262324</v>
      </c>
      <c r="Q851" s="12">
        <f t="shared" si="137"/>
        <v>6.7815200372676792</v>
      </c>
      <c r="R851" s="13">
        <f t="shared" si="138"/>
        <v>54.023302349984483</v>
      </c>
      <c r="S851" s="3" t="s">
        <v>31</v>
      </c>
      <c r="T851" s="3" t="s">
        <v>32</v>
      </c>
      <c r="U851" s="10">
        <v>9310019900999</v>
      </c>
      <c r="V851" s="3">
        <v>0.1</v>
      </c>
      <c r="W851" s="3">
        <f t="shared" si="139"/>
        <v>0</v>
      </c>
      <c r="AA851" s="3">
        <v>33</v>
      </c>
    </row>
    <row r="852" spans="1:27" x14ac:dyDescent="0.3">
      <c r="A852" s="3" t="str">
        <f t="shared" si="130"/>
        <v>South9310019902097</v>
      </c>
      <c r="B852" s="3" t="str">
        <f t="shared" si="131"/>
        <v>CMR9310019902097</v>
      </c>
      <c r="C852" s="10">
        <v>9310019902097</v>
      </c>
      <c r="D852" s="10" t="str">
        <f t="shared" si="132"/>
        <v>9310019902</v>
      </c>
      <c r="E852" s="3" t="s">
        <v>5</v>
      </c>
      <c r="F852" s="3" t="s">
        <v>65</v>
      </c>
      <c r="H852" s="3">
        <v>1.2031500000000004</v>
      </c>
      <c r="I852" s="10">
        <f t="shared" si="133"/>
        <v>19.891445014698707</v>
      </c>
      <c r="J852" s="3">
        <v>1.8145740529824814</v>
      </c>
      <c r="K852" s="3">
        <v>0</v>
      </c>
      <c r="L852" s="3">
        <f t="shared" si="134"/>
        <v>0</v>
      </c>
      <c r="N852" s="11">
        <f t="shared" si="135"/>
        <v>-0.61142405298248104</v>
      </c>
      <c r="O852" s="3">
        <v>1.8145740529824814</v>
      </c>
      <c r="P852" s="11">
        <f t="shared" si="136"/>
        <v>-10.108554985301291</v>
      </c>
      <c r="Q852" s="12">
        <f t="shared" si="137"/>
        <v>-15.709991105526244</v>
      </c>
      <c r="R852" s="13">
        <f t="shared" si="138"/>
        <v>-5.8812893016433128</v>
      </c>
      <c r="S852" s="3" t="s">
        <v>31</v>
      </c>
      <c r="T852" s="3" t="s">
        <v>32</v>
      </c>
      <c r="U852" s="10">
        <v>0</v>
      </c>
      <c r="V852" s="3">
        <v>0</v>
      </c>
      <c r="W852" s="3">
        <f t="shared" si="139"/>
        <v>0</v>
      </c>
      <c r="AA852" s="3">
        <v>33</v>
      </c>
    </row>
    <row r="853" spans="1:27" x14ac:dyDescent="0.3">
      <c r="A853" s="3" t="str">
        <f t="shared" si="130"/>
        <v>South9310099902297</v>
      </c>
      <c r="B853" s="3" t="str">
        <f t="shared" si="131"/>
        <v>CMR9310099902297</v>
      </c>
      <c r="C853" s="10">
        <v>9310099902297</v>
      </c>
      <c r="D853" s="10" t="str">
        <f t="shared" si="132"/>
        <v>9310099902</v>
      </c>
      <c r="E853" s="3" t="s">
        <v>5</v>
      </c>
      <c r="F853" s="3" t="s">
        <v>65</v>
      </c>
      <c r="H853" s="3">
        <v>0</v>
      </c>
      <c r="I853" s="10">
        <f t="shared" si="133"/>
        <v>0</v>
      </c>
      <c r="J853" s="3">
        <v>0.64175629000000001</v>
      </c>
      <c r="K853" s="3">
        <v>0</v>
      </c>
      <c r="L853" s="3">
        <f t="shared" si="134"/>
        <v>0</v>
      </c>
      <c r="N853" s="11">
        <f t="shared" si="135"/>
        <v>-0.64175629000000001</v>
      </c>
      <c r="O853" s="3">
        <v>0.64175629000000001</v>
      </c>
      <c r="P853" s="11">
        <f t="shared" si="136"/>
        <v>-30</v>
      </c>
      <c r="Q853" s="12">
        <f t="shared" si="137"/>
        <v>-30</v>
      </c>
      <c r="R853" s="13">
        <f t="shared" si="138"/>
        <v>-30</v>
      </c>
      <c r="S853" s="3">
        <v>0</v>
      </c>
      <c r="T853" s="3" t="s">
        <v>32</v>
      </c>
      <c r="U853" s="10">
        <v>0</v>
      </c>
      <c r="V853" s="3">
        <v>0</v>
      </c>
      <c r="W853" s="3">
        <f t="shared" si="139"/>
        <v>0</v>
      </c>
      <c r="AA853" s="3">
        <v>33</v>
      </c>
    </row>
    <row r="854" spans="1:27" x14ac:dyDescent="0.3">
      <c r="A854" s="3" t="str">
        <f t="shared" si="130"/>
        <v>South9310099902839</v>
      </c>
      <c r="B854" s="3" t="str">
        <f t="shared" si="131"/>
        <v>CMR9310099902839</v>
      </c>
      <c r="C854" s="10">
        <v>9310099902839</v>
      </c>
      <c r="D854" s="10" t="str">
        <f t="shared" si="132"/>
        <v>9310099902</v>
      </c>
      <c r="E854" s="3" t="s">
        <v>5</v>
      </c>
      <c r="F854" s="3" t="s">
        <v>65</v>
      </c>
      <c r="H854" s="3">
        <v>0</v>
      </c>
      <c r="I854" s="10">
        <f t="shared" si="133"/>
        <v>0</v>
      </c>
      <c r="J854" s="3">
        <v>0.50056990619999997</v>
      </c>
      <c r="K854" s="3">
        <v>0</v>
      </c>
      <c r="L854" s="3">
        <f t="shared" si="134"/>
        <v>0</v>
      </c>
      <c r="N854" s="11">
        <f t="shared" si="135"/>
        <v>-0.50056990619999997</v>
      </c>
      <c r="O854" s="3">
        <v>0.50056990619999997</v>
      </c>
      <c r="P854" s="11">
        <f t="shared" si="136"/>
        <v>-30</v>
      </c>
      <c r="Q854" s="12">
        <f t="shared" si="137"/>
        <v>-30</v>
      </c>
      <c r="R854" s="13">
        <f t="shared" si="138"/>
        <v>-30.000000000000004</v>
      </c>
      <c r="S854" s="3">
        <v>0</v>
      </c>
      <c r="T854" s="3" t="s">
        <v>32</v>
      </c>
      <c r="U854" s="10">
        <v>0</v>
      </c>
      <c r="V854" s="3">
        <v>0</v>
      </c>
      <c r="W854" s="3">
        <f t="shared" si="139"/>
        <v>0</v>
      </c>
      <c r="AA854" s="3">
        <v>33</v>
      </c>
    </row>
    <row r="855" spans="1:27" x14ac:dyDescent="0.3">
      <c r="A855" s="3" t="str">
        <f t="shared" si="130"/>
        <v>South9310029902839</v>
      </c>
      <c r="B855" s="3" t="str">
        <f t="shared" si="131"/>
        <v>CMR9310029902839</v>
      </c>
      <c r="C855" s="10">
        <v>9310029902839</v>
      </c>
      <c r="D855" s="10" t="str">
        <f t="shared" si="132"/>
        <v>9310029902</v>
      </c>
      <c r="E855" s="3" t="s">
        <v>5</v>
      </c>
      <c r="F855" s="3" t="s">
        <v>65</v>
      </c>
      <c r="H855" s="3">
        <v>1.6613999999999998</v>
      </c>
      <c r="I855" s="10">
        <f t="shared" si="133"/>
        <v>639.5975556647752</v>
      </c>
      <c r="J855" s="3">
        <v>7.7927127079458536E-2</v>
      </c>
      <c r="K855" s="3">
        <v>0</v>
      </c>
      <c r="L855" s="3">
        <f t="shared" si="134"/>
        <v>0</v>
      </c>
      <c r="N855" s="11">
        <f t="shared" si="135"/>
        <v>1.5834728729205412</v>
      </c>
      <c r="O855" s="3">
        <v>7.7927127079458536E-2</v>
      </c>
      <c r="P855" s="11">
        <f t="shared" si="136"/>
        <v>609.5975556647752</v>
      </c>
      <c r="Q855" s="12">
        <f t="shared" si="137"/>
        <v>815.28972732222644</v>
      </c>
      <c r="R855" s="13">
        <f t="shared" si="138"/>
        <v>778.76793913046367</v>
      </c>
      <c r="S855" s="3" t="s">
        <v>31</v>
      </c>
      <c r="T855" s="3" t="s">
        <v>32</v>
      </c>
      <c r="U855" s="10">
        <v>0</v>
      </c>
      <c r="V855" s="3">
        <v>0</v>
      </c>
      <c r="W855" s="3">
        <f t="shared" si="139"/>
        <v>0</v>
      </c>
      <c r="AA855" s="3">
        <v>33</v>
      </c>
    </row>
    <row r="856" spans="1:27" x14ac:dyDescent="0.3">
      <c r="A856" s="3" t="str">
        <f t="shared" si="130"/>
        <v>South9310029902219</v>
      </c>
      <c r="B856" s="3" t="str">
        <f t="shared" si="131"/>
        <v>CMR9310029902219</v>
      </c>
      <c r="C856" s="10">
        <v>9310029902219</v>
      </c>
      <c r="D856" s="10" t="str">
        <f t="shared" si="132"/>
        <v>9310029902</v>
      </c>
      <c r="E856" s="3" t="s">
        <v>5</v>
      </c>
      <c r="F856" s="3" t="s">
        <v>65</v>
      </c>
      <c r="H856" s="3">
        <v>1.0919999999999999</v>
      </c>
      <c r="I856" s="10">
        <f t="shared" si="133"/>
        <v>549.82980740671087</v>
      </c>
      <c r="J856" s="3">
        <v>5.9582073504733296E-2</v>
      </c>
      <c r="K856" s="3">
        <v>0</v>
      </c>
      <c r="L856" s="3">
        <f t="shared" si="134"/>
        <v>0</v>
      </c>
      <c r="N856" s="11">
        <f t="shared" si="135"/>
        <v>1.0324179264952666</v>
      </c>
      <c r="O856" s="3">
        <v>5.9582073504733296E-2</v>
      </c>
      <c r="P856" s="11">
        <f t="shared" si="136"/>
        <v>519.82980740671087</v>
      </c>
      <c r="Q856" s="12">
        <f t="shared" si="137"/>
        <v>1452.5768021145241</v>
      </c>
      <c r="R856" s="13">
        <f t="shared" si="138"/>
        <v>448.67095814884334</v>
      </c>
      <c r="S856" s="3" t="s">
        <v>31</v>
      </c>
      <c r="T856" s="3" t="s">
        <v>32</v>
      </c>
      <c r="U856" s="10">
        <v>9310029900999</v>
      </c>
      <c r="V856" s="3">
        <v>0.1</v>
      </c>
      <c r="W856" s="3">
        <f t="shared" si="139"/>
        <v>0</v>
      </c>
      <c r="AA856" s="3">
        <v>33</v>
      </c>
    </row>
    <row r="857" spans="1:27" x14ac:dyDescent="0.3">
      <c r="A857" s="3" t="str">
        <f t="shared" si="130"/>
        <v>South9310029902297</v>
      </c>
      <c r="B857" s="3" t="str">
        <f t="shared" si="131"/>
        <v>CMR9310029902297</v>
      </c>
      <c r="C857" s="10">
        <v>9310029902297</v>
      </c>
      <c r="D857" s="10" t="str">
        <f t="shared" si="132"/>
        <v>9310029902</v>
      </c>
      <c r="E857" s="3" t="s">
        <v>5</v>
      </c>
      <c r="F857" s="3" t="s">
        <v>65</v>
      </c>
      <c r="H857" s="3">
        <v>1.3065000000000002</v>
      </c>
      <c r="I857" s="10">
        <f t="shared" si="133"/>
        <v>754.44574583370104</v>
      </c>
      <c r="J857" s="3">
        <v>5.1952045877980968E-2</v>
      </c>
      <c r="K857" s="3">
        <v>0</v>
      </c>
      <c r="L857" s="3">
        <f t="shared" si="134"/>
        <v>0</v>
      </c>
      <c r="N857" s="11">
        <f t="shared" si="135"/>
        <v>1.2545479541220192</v>
      </c>
      <c r="O857" s="3">
        <v>5.1952045877980968E-2</v>
      </c>
      <c r="P857" s="11">
        <f t="shared" si="136"/>
        <v>724.44574583370104</v>
      </c>
      <c r="Q857" s="12">
        <f t="shared" si="137"/>
        <v>1546.4537972644496</v>
      </c>
      <c r="R857" s="13">
        <f t="shared" si="138"/>
        <v>963.61422022948886</v>
      </c>
      <c r="S857" s="3" t="s">
        <v>31</v>
      </c>
      <c r="T857" s="3" t="s">
        <v>32</v>
      </c>
      <c r="U857" s="10">
        <v>9310029900999</v>
      </c>
      <c r="V857" s="3">
        <v>0.1</v>
      </c>
      <c r="W857" s="3">
        <f t="shared" si="139"/>
        <v>0</v>
      </c>
      <c r="AA857" s="3">
        <v>33</v>
      </c>
    </row>
    <row r="858" spans="1:27" x14ac:dyDescent="0.3">
      <c r="A858" s="3" t="str">
        <f t="shared" si="130"/>
        <v>South9310029902097</v>
      </c>
      <c r="B858" s="3" t="str">
        <f t="shared" si="131"/>
        <v>CMR9310029902097</v>
      </c>
      <c r="C858" s="10">
        <v>9310029902097</v>
      </c>
      <c r="D858" s="10" t="str">
        <f t="shared" si="132"/>
        <v>9310029902</v>
      </c>
      <c r="E858" s="3" t="s">
        <v>5</v>
      </c>
      <c r="F858" s="3" t="s">
        <v>65</v>
      </c>
      <c r="H858" s="3">
        <v>0</v>
      </c>
      <c r="I858" s="10">
        <f t="shared" si="133"/>
        <v>0</v>
      </c>
      <c r="J858" s="3">
        <v>0</v>
      </c>
      <c r="K858" s="3">
        <v>0</v>
      </c>
      <c r="L858" s="3">
        <f t="shared" si="134"/>
        <v>0</v>
      </c>
      <c r="N858" s="11">
        <f t="shared" si="135"/>
        <v>0</v>
      </c>
      <c r="O858" s="3">
        <v>0</v>
      </c>
      <c r="P858" s="11">
        <f t="shared" si="136"/>
        <v>9999</v>
      </c>
      <c r="Q858" s="12">
        <f t="shared" si="137"/>
        <v>9999</v>
      </c>
      <c r="R858" s="13">
        <f t="shared" si="138"/>
        <v>9999</v>
      </c>
      <c r="S858" s="3" t="s">
        <v>31</v>
      </c>
      <c r="T858" s="3" t="s">
        <v>32</v>
      </c>
      <c r="U858" s="10">
        <v>0</v>
      </c>
      <c r="V858" s="3">
        <v>0</v>
      </c>
      <c r="W858" s="3">
        <f t="shared" si="139"/>
        <v>0</v>
      </c>
      <c r="AA858" s="3">
        <v>33</v>
      </c>
    </row>
    <row r="859" spans="1:27" x14ac:dyDescent="0.3">
      <c r="A859" s="3" t="str">
        <f t="shared" si="130"/>
        <v>West9160509900320</v>
      </c>
      <c r="B859" s="3" t="str">
        <f t="shared" si="131"/>
        <v>Mah9160509900320</v>
      </c>
      <c r="C859" s="14">
        <v>9160509900320</v>
      </c>
      <c r="D859" s="10" t="str">
        <f t="shared" si="132"/>
        <v>9160509900</v>
      </c>
      <c r="E859" s="3" t="s">
        <v>1</v>
      </c>
      <c r="F859" s="3" t="s">
        <v>63</v>
      </c>
      <c r="H859" s="3">
        <v>24.6</v>
      </c>
      <c r="I859" s="10">
        <f t="shared" si="133"/>
        <v>51.109540124251041</v>
      </c>
      <c r="J859" s="3">
        <v>14.439574259636615</v>
      </c>
      <c r="K859" s="3">
        <v>34</v>
      </c>
      <c r="L859" s="3">
        <f t="shared" si="134"/>
        <v>0</v>
      </c>
      <c r="M859" s="32"/>
      <c r="N859" s="11">
        <f t="shared" si="135"/>
        <v>10.160425740363387</v>
      </c>
      <c r="O859" s="3">
        <v>14.439574259636615</v>
      </c>
      <c r="P859" s="11">
        <f t="shared" si="136"/>
        <v>21.109540124251037</v>
      </c>
      <c r="Q859" s="12">
        <f t="shared" si="137"/>
        <v>21.109540124251037</v>
      </c>
      <c r="R859" s="13">
        <f t="shared" si="138"/>
        <v>28.106886654104677</v>
      </c>
      <c r="S859" s="3" t="s">
        <v>30</v>
      </c>
      <c r="T859" s="3" t="s">
        <v>34</v>
      </c>
      <c r="U859" s="10">
        <v>0</v>
      </c>
      <c r="V859" s="3">
        <v>0</v>
      </c>
      <c r="W859" s="3">
        <f t="shared" si="139"/>
        <v>0</v>
      </c>
      <c r="Y859" s="3">
        <v>0</v>
      </c>
      <c r="Z859" s="3">
        <v>306</v>
      </c>
      <c r="AA859" s="3">
        <v>34</v>
      </c>
    </row>
    <row r="860" spans="1:27" x14ac:dyDescent="0.3">
      <c r="A860" s="3" t="str">
        <f t="shared" si="130"/>
        <v>West9160509900210</v>
      </c>
      <c r="B860" s="3" t="str">
        <f t="shared" si="131"/>
        <v>Mah9160509900210</v>
      </c>
      <c r="C860" s="10">
        <v>9160509900210</v>
      </c>
      <c r="D860" s="10" t="str">
        <f t="shared" si="132"/>
        <v>9160509900</v>
      </c>
      <c r="E860" s="3" t="s">
        <v>1</v>
      </c>
      <c r="F860" s="3" t="s">
        <v>63</v>
      </c>
      <c r="H860" s="3">
        <v>0</v>
      </c>
      <c r="I860" s="10">
        <f t="shared" si="133"/>
        <v>0</v>
      </c>
      <c r="J860" s="3">
        <v>0</v>
      </c>
      <c r="K860" s="3">
        <v>0</v>
      </c>
      <c r="L860" s="3">
        <f t="shared" si="134"/>
        <v>0</v>
      </c>
      <c r="N860" s="11">
        <f t="shared" si="135"/>
        <v>0</v>
      </c>
      <c r="O860" s="3">
        <v>0</v>
      </c>
      <c r="P860" s="11">
        <f t="shared" si="136"/>
        <v>9999</v>
      </c>
      <c r="Q860" s="12">
        <f t="shared" si="137"/>
        <v>9999</v>
      </c>
      <c r="R860" s="13">
        <f t="shared" si="138"/>
        <v>9999</v>
      </c>
      <c r="S860" s="3" t="s">
        <v>31</v>
      </c>
      <c r="T860" s="3" t="s">
        <v>34</v>
      </c>
      <c r="U860" s="10" t="s">
        <v>72</v>
      </c>
      <c r="V860" s="3" t="s">
        <v>72</v>
      </c>
      <c r="W860" s="3">
        <f t="shared" si="139"/>
        <v>0</v>
      </c>
      <c r="AA860" s="3">
        <v>34</v>
      </c>
    </row>
    <row r="861" spans="1:27" x14ac:dyDescent="0.3">
      <c r="A861" s="3" t="str">
        <f t="shared" si="130"/>
        <v>North9420069900820</v>
      </c>
      <c r="B861" s="3" t="str">
        <f t="shared" si="131"/>
        <v>Pan9420069900820</v>
      </c>
      <c r="C861" s="10">
        <v>9420069900820</v>
      </c>
      <c r="D861" s="10" t="str">
        <f t="shared" si="132"/>
        <v>9420069900</v>
      </c>
      <c r="E861" s="3" t="s">
        <v>2</v>
      </c>
      <c r="F861" s="3" t="s">
        <v>64</v>
      </c>
      <c r="H861" s="3">
        <v>25.6</v>
      </c>
      <c r="I861" s="10">
        <f t="shared" si="133"/>
        <v>24.811754190424683</v>
      </c>
      <c r="J861" s="3">
        <v>30.953071439680208</v>
      </c>
      <c r="K861" s="3">
        <v>34</v>
      </c>
      <c r="L861" s="3">
        <f t="shared" si="134"/>
        <v>0</v>
      </c>
      <c r="N861" s="11">
        <f t="shared" si="135"/>
        <v>-5.3530714396802068</v>
      </c>
      <c r="O861" s="3">
        <v>30.953071439680208</v>
      </c>
      <c r="P861" s="11">
        <f t="shared" si="136"/>
        <v>-5.1882458095753154</v>
      </c>
      <c r="Q861" s="12">
        <f t="shared" si="137"/>
        <v>-5.7371177707792631</v>
      </c>
      <c r="R861" s="13">
        <f t="shared" si="138"/>
        <v>-4.2232707352649248</v>
      </c>
      <c r="S861" s="3" t="s">
        <v>29</v>
      </c>
      <c r="T861" s="3" t="s">
        <v>28</v>
      </c>
      <c r="U861" s="10">
        <v>0</v>
      </c>
      <c r="V861" s="3">
        <v>0</v>
      </c>
      <c r="W861" s="3">
        <f t="shared" si="139"/>
        <v>0</v>
      </c>
      <c r="AA861" s="3">
        <v>34</v>
      </c>
    </row>
    <row r="862" spans="1:27" x14ac:dyDescent="0.3">
      <c r="A862" s="3" t="str">
        <f t="shared" si="130"/>
        <v>North9420059900320</v>
      </c>
      <c r="B862" s="3" t="str">
        <f t="shared" si="131"/>
        <v>Pan9420059900320</v>
      </c>
      <c r="C862" s="10">
        <v>9420059900320</v>
      </c>
      <c r="D862" s="10" t="str">
        <f t="shared" si="132"/>
        <v>9420059900</v>
      </c>
      <c r="E862" s="3" t="s">
        <v>2</v>
      </c>
      <c r="F862" s="3" t="s">
        <v>64</v>
      </c>
      <c r="H862" s="3">
        <v>43.16</v>
      </c>
      <c r="I862" s="10">
        <f t="shared" si="133"/>
        <v>44.409648576814497</v>
      </c>
      <c r="J862" s="3">
        <v>29.155826301133857</v>
      </c>
      <c r="K862" s="3">
        <v>17</v>
      </c>
      <c r="L862" s="3">
        <f t="shared" si="134"/>
        <v>0</v>
      </c>
      <c r="N862" s="11">
        <f t="shared" si="135"/>
        <v>14.00417369886614</v>
      </c>
      <c r="O862" s="3">
        <v>29.155826301133857</v>
      </c>
      <c r="P862" s="11">
        <f t="shared" si="136"/>
        <v>14.409648576814499</v>
      </c>
      <c r="Q862" s="12">
        <f t="shared" si="137"/>
        <v>13.761644410947397</v>
      </c>
      <c r="R862" s="13">
        <f t="shared" si="138"/>
        <v>11.423436010590386</v>
      </c>
      <c r="S862" s="3" t="s">
        <v>30</v>
      </c>
      <c r="T862" s="3" t="s">
        <v>28</v>
      </c>
      <c r="U862" s="10">
        <v>9420059900999</v>
      </c>
      <c r="V862" s="3">
        <v>0.1</v>
      </c>
      <c r="W862" s="3">
        <f t="shared" si="139"/>
        <v>1.7000000000000002</v>
      </c>
      <c r="AA862" s="3">
        <v>34</v>
      </c>
    </row>
    <row r="863" spans="1:27" x14ac:dyDescent="0.3">
      <c r="A863" s="3" t="str">
        <f t="shared" si="130"/>
        <v>North9160709901320</v>
      </c>
      <c r="B863" s="3" t="str">
        <f t="shared" si="131"/>
        <v>Pan9160709901320</v>
      </c>
      <c r="C863" s="10">
        <v>9160709901320</v>
      </c>
      <c r="D863" s="10" t="str">
        <f t="shared" si="132"/>
        <v>9160709901</v>
      </c>
      <c r="E863" s="3" t="s">
        <v>2</v>
      </c>
      <c r="F863" s="3" t="s">
        <v>64</v>
      </c>
      <c r="H863" s="3">
        <v>43.04</v>
      </c>
      <c r="I863" s="10">
        <f t="shared" si="133"/>
        <v>114.35537448154595</v>
      </c>
      <c r="J863" s="3">
        <v>11.291117762098422</v>
      </c>
      <c r="K863" s="3">
        <v>0</v>
      </c>
      <c r="L863" s="3">
        <f t="shared" si="134"/>
        <v>0</v>
      </c>
      <c r="N863" s="11">
        <f t="shared" si="135"/>
        <v>31.748882237901576</v>
      </c>
      <c r="O863" s="3">
        <v>11.291117762098422</v>
      </c>
      <c r="P863" s="11">
        <f t="shared" si="136"/>
        <v>84.355374481545937</v>
      </c>
      <c r="Q863" s="12">
        <f t="shared" si="137"/>
        <v>71.002641930064797</v>
      </c>
      <c r="R863" s="13">
        <f t="shared" si="138"/>
        <v>51.151619002309836</v>
      </c>
      <c r="S863" s="3" t="s">
        <v>29</v>
      </c>
      <c r="T863" s="3" t="s">
        <v>34</v>
      </c>
      <c r="U863" s="10">
        <v>0</v>
      </c>
      <c r="V863" s="3">
        <v>0</v>
      </c>
      <c r="W863" s="3">
        <f t="shared" si="139"/>
        <v>0</v>
      </c>
      <c r="AA863" s="3">
        <v>34</v>
      </c>
    </row>
    <row r="864" spans="1:27" x14ac:dyDescent="0.3">
      <c r="A864" s="3" t="str">
        <f t="shared" si="130"/>
        <v>North9100309900320</v>
      </c>
      <c r="B864" s="3" t="str">
        <f t="shared" si="131"/>
        <v>Pan9100309900320</v>
      </c>
      <c r="C864" s="10">
        <v>9100309900320</v>
      </c>
      <c r="D864" s="10" t="str">
        <f t="shared" si="132"/>
        <v>9100309900</v>
      </c>
      <c r="E864" s="3" t="s">
        <v>2</v>
      </c>
      <c r="F864" s="3" t="s">
        <v>64</v>
      </c>
      <c r="H864" s="3">
        <v>47.480000000000004</v>
      </c>
      <c r="I864" s="10">
        <f t="shared" si="133"/>
        <v>128.46256511991987</v>
      </c>
      <c r="J864" s="3">
        <v>11.088055097376593</v>
      </c>
      <c r="K864" s="3">
        <v>0</v>
      </c>
      <c r="L864" s="3">
        <f t="shared" si="134"/>
        <v>0</v>
      </c>
      <c r="N864" s="11">
        <f t="shared" si="135"/>
        <v>36.391944902623408</v>
      </c>
      <c r="O864" s="3">
        <v>11.088055097376593</v>
      </c>
      <c r="P864" s="11">
        <f t="shared" si="136"/>
        <v>98.462565119919873</v>
      </c>
      <c r="Q864" s="12">
        <f t="shared" si="137"/>
        <v>67.117247170372039</v>
      </c>
      <c r="R864" s="13">
        <f t="shared" si="138"/>
        <v>25.384779387632882</v>
      </c>
      <c r="S864" s="3" t="s">
        <v>29</v>
      </c>
      <c r="T864" s="3" t="s">
        <v>34</v>
      </c>
      <c r="U864" s="10">
        <v>0</v>
      </c>
      <c r="V864" s="3">
        <v>0</v>
      </c>
      <c r="W864" s="3">
        <f t="shared" si="139"/>
        <v>0</v>
      </c>
      <c r="AA864" s="3">
        <v>34</v>
      </c>
    </row>
    <row r="865" spans="1:27" x14ac:dyDescent="0.3">
      <c r="A865" s="3" t="str">
        <f t="shared" si="130"/>
        <v>North9160509900320</v>
      </c>
      <c r="B865" s="3" t="str">
        <f t="shared" si="131"/>
        <v>Pan9160509900320</v>
      </c>
      <c r="C865" s="10">
        <v>9160509900320</v>
      </c>
      <c r="D865" s="10" t="str">
        <f t="shared" si="132"/>
        <v>9160509900</v>
      </c>
      <c r="E865" s="3" t="s">
        <v>2</v>
      </c>
      <c r="F865" s="3" t="s">
        <v>64</v>
      </c>
      <c r="H865" s="3">
        <v>13.459999999999999</v>
      </c>
      <c r="I865" s="10">
        <f t="shared" si="133"/>
        <v>43.275563825934974</v>
      </c>
      <c r="J865" s="3">
        <v>9.3309009588918013</v>
      </c>
      <c r="K865" s="3">
        <v>34</v>
      </c>
      <c r="L865" s="3">
        <f t="shared" si="134"/>
        <v>0</v>
      </c>
      <c r="N865" s="11">
        <f t="shared" si="135"/>
        <v>4.1290990411081978</v>
      </c>
      <c r="O865" s="3">
        <v>9.3309009588918013</v>
      </c>
      <c r="P865" s="11">
        <f t="shared" si="136"/>
        <v>13.27556382593497</v>
      </c>
      <c r="Q865" s="12">
        <f t="shared" si="137"/>
        <v>23.55474137720482</v>
      </c>
      <c r="R865" s="13">
        <f t="shared" si="138"/>
        <v>28.106886654104677</v>
      </c>
      <c r="S865" s="3" t="s">
        <v>30</v>
      </c>
      <c r="T865" s="3" t="s">
        <v>34</v>
      </c>
      <c r="U865" s="10">
        <v>0</v>
      </c>
      <c r="V865" s="3">
        <v>0</v>
      </c>
      <c r="W865" s="3">
        <f t="shared" si="139"/>
        <v>0</v>
      </c>
      <c r="AA865" s="3">
        <v>34</v>
      </c>
    </row>
    <row r="866" spans="1:27" x14ac:dyDescent="0.3">
      <c r="A866" s="3" t="str">
        <f t="shared" si="130"/>
        <v>North9420059900310</v>
      </c>
      <c r="B866" s="3" t="str">
        <f t="shared" si="131"/>
        <v>Pan9420059900310</v>
      </c>
      <c r="C866" s="10">
        <v>9420059900310</v>
      </c>
      <c r="D866" s="10" t="str">
        <f t="shared" si="132"/>
        <v>9420059900</v>
      </c>
      <c r="E866" s="3" t="s">
        <v>2</v>
      </c>
      <c r="F866" s="3" t="s">
        <v>64</v>
      </c>
      <c r="H866" s="3">
        <v>4.9200000000000008</v>
      </c>
      <c r="I866" s="10">
        <f t="shared" si="133"/>
        <v>21.59588062782646</v>
      </c>
      <c r="J866" s="3">
        <v>6.8346367783593083</v>
      </c>
      <c r="K866" s="3">
        <v>0</v>
      </c>
      <c r="L866" s="3">
        <f t="shared" si="134"/>
        <v>0</v>
      </c>
      <c r="N866" s="11">
        <f t="shared" si="135"/>
        <v>-1.9146367783593075</v>
      </c>
      <c r="O866" s="3">
        <v>6.8346367783593083</v>
      </c>
      <c r="P866" s="11">
        <f t="shared" si="136"/>
        <v>-8.4041193721735414</v>
      </c>
      <c r="Q866" s="12">
        <f t="shared" si="137"/>
        <v>0.57971888446900988</v>
      </c>
      <c r="R866" s="13">
        <f t="shared" si="138"/>
        <v>6.0010965144808175</v>
      </c>
      <c r="S866" s="3" t="s">
        <v>31</v>
      </c>
      <c r="T866" s="3" t="s">
        <v>28</v>
      </c>
      <c r="U866" s="10">
        <v>9420059900999</v>
      </c>
      <c r="V866" s="3">
        <v>0.1</v>
      </c>
      <c r="W866" s="3">
        <f t="shared" si="139"/>
        <v>0</v>
      </c>
      <c r="AA866" s="3">
        <v>34</v>
      </c>
    </row>
    <row r="867" spans="1:27" x14ac:dyDescent="0.3">
      <c r="A867" s="3" t="str">
        <f t="shared" si="130"/>
        <v>North9420069900810</v>
      </c>
      <c r="B867" s="3" t="str">
        <f t="shared" si="131"/>
        <v>Pan9420069900810</v>
      </c>
      <c r="C867" s="10">
        <v>9420069900810</v>
      </c>
      <c r="D867" s="10" t="str">
        <f t="shared" si="132"/>
        <v>9420069900</v>
      </c>
      <c r="E867" s="3" t="s">
        <v>2</v>
      </c>
      <c r="F867" s="3" t="s">
        <v>64</v>
      </c>
      <c r="H867" s="3">
        <v>1.29</v>
      </c>
      <c r="I867" s="10">
        <f t="shared" si="133"/>
        <v>10.055602596289816</v>
      </c>
      <c r="J867" s="3">
        <v>3.8486007804523839</v>
      </c>
      <c r="K867" s="3">
        <v>17</v>
      </c>
      <c r="L867" s="3">
        <f t="shared" si="134"/>
        <v>0</v>
      </c>
      <c r="N867" s="11">
        <f t="shared" si="135"/>
        <v>-2.5586007804523838</v>
      </c>
      <c r="O867" s="3">
        <v>3.8486007804523839</v>
      </c>
      <c r="P867" s="11">
        <f t="shared" si="136"/>
        <v>-19.944397403710184</v>
      </c>
      <c r="Q867" s="12">
        <f t="shared" si="137"/>
        <v>28.128457940827932</v>
      </c>
      <c r="R867" s="13">
        <f t="shared" si="138"/>
        <v>28.11286676931412</v>
      </c>
      <c r="S867" s="3" t="s">
        <v>30</v>
      </c>
      <c r="T867" s="3" t="s">
        <v>28</v>
      </c>
      <c r="U867" s="10">
        <v>0</v>
      </c>
      <c r="V867" s="3">
        <v>0</v>
      </c>
      <c r="W867" s="3">
        <f t="shared" si="139"/>
        <v>0</v>
      </c>
      <c r="AA867" s="3">
        <v>34</v>
      </c>
    </row>
    <row r="868" spans="1:27" x14ac:dyDescent="0.3">
      <c r="A868" s="3" t="str">
        <f t="shared" si="130"/>
        <v>North9420059900840</v>
      </c>
      <c r="B868" s="3" t="str">
        <f t="shared" si="131"/>
        <v>Pan9420059900840</v>
      </c>
      <c r="C868" s="10">
        <v>9420059900840</v>
      </c>
      <c r="D868" s="10" t="str">
        <f t="shared" si="132"/>
        <v>9420059900</v>
      </c>
      <c r="E868" s="3" t="s">
        <v>2</v>
      </c>
      <c r="F868" s="3" t="s">
        <v>64</v>
      </c>
      <c r="H868" s="3">
        <v>0.87200000000000011</v>
      </c>
      <c r="I868" s="10">
        <f t="shared" si="133"/>
        <v>10.621615167718048</v>
      </c>
      <c r="J868" s="3">
        <v>2.4629022598660226</v>
      </c>
      <c r="K868" s="3">
        <v>12</v>
      </c>
      <c r="L868" s="3">
        <f t="shared" si="134"/>
        <v>0</v>
      </c>
      <c r="N868" s="11">
        <f t="shared" si="135"/>
        <v>-1.5909022598660225</v>
      </c>
      <c r="O868" s="3">
        <v>2.4629022598660226</v>
      </c>
      <c r="P868" s="11">
        <f t="shared" si="136"/>
        <v>-19.378384832281952</v>
      </c>
      <c r="Q868" s="12">
        <f t="shared" si="137"/>
        <v>-17.059643528613169</v>
      </c>
      <c r="R868" s="13">
        <f t="shared" si="138"/>
        <v>-15.041796421296725</v>
      </c>
      <c r="S868" s="3" t="s">
        <v>31</v>
      </c>
      <c r="T868" s="3" t="s">
        <v>28</v>
      </c>
      <c r="U868" s="10">
        <v>0</v>
      </c>
      <c r="V868" s="3">
        <v>0</v>
      </c>
      <c r="W868" s="3">
        <f t="shared" si="139"/>
        <v>0</v>
      </c>
      <c r="AA868" s="3">
        <v>34</v>
      </c>
    </row>
    <row r="869" spans="1:27" x14ac:dyDescent="0.3">
      <c r="A869" s="3" t="str">
        <f t="shared" si="130"/>
        <v>North9420069900840</v>
      </c>
      <c r="B869" s="3" t="str">
        <f t="shared" si="131"/>
        <v>Pan9420069900840</v>
      </c>
      <c r="C869" s="10">
        <v>9420069900840</v>
      </c>
      <c r="D869" s="10" t="str">
        <f t="shared" si="132"/>
        <v>9420069900</v>
      </c>
      <c r="E869" s="3" t="s">
        <v>2</v>
      </c>
      <c r="F869" s="3" t="s">
        <v>64</v>
      </c>
      <c r="H869" s="3">
        <v>2.1840000000000002</v>
      </c>
      <c r="I869" s="10">
        <f t="shared" si="133"/>
        <v>67.087362890101744</v>
      </c>
      <c r="J869" s="3">
        <v>0.97663698761465279</v>
      </c>
      <c r="K869" s="3">
        <v>0</v>
      </c>
      <c r="L869" s="3">
        <f t="shared" si="134"/>
        <v>0</v>
      </c>
      <c r="N869" s="11">
        <f t="shared" si="135"/>
        <v>1.2073630123853474</v>
      </c>
      <c r="O869" s="3">
        <v>0.97663698761465279</v>
      </c>
      <c r="P869" s="11">
        <f t="shared" si="136"/>
        <v>37.087362890101737</v>
      </c>
      <c r="Q869" s="12">
        <f t="shared" si="137"/>
        <v>44.477686127433728</v>
      </c>
      <c r="R869" s="13">
        <f t="shared" si="138"/>
        <v>25.660583345540346</v>
      </c>
      <c r="S869" s="3" t="s">
        <v>30</v>
      </c>
      <c r="T869" s="3" t="s">
        <v>28</v>
      </c>
      <c r="U869" s="10">
        <v>0</v>
      </c>
      <c r="V869" s="3">
        <v>0</v>
      </c>
      <c r="W869" s="3">
        <f t="shared" si="139"/>
        <v>0</v>
      </c>
      <c r="AA869" s="3">
        <v>34</v>
      </c>
    </row>
    <row r="870" spans="1:27" x14ac:dyDescent="0.3">
      <c r="A870" s="3" t="str">
        <f t="shared" si="130"/>
        <v>North9420059900210</v>
      </c>
      <c r="B870" s="3" t="str">
        <f t="shared" si="131"/>
        <v>Pan9420059900210</v>
      </c>
      <c r="C870" s="10">
        <v>9420059900210</v>
      </c>
      <c r="D870" s="10" t="str">
        <f t="shared" si="132"/>
        <v>9420059900</v>
      </c>
      <c r="E870" s="3" t="s">
        <v>2</v>
      </c>
      <c r="F870" s="3" t="s">
        <v>64</v>
      </c>
      <c r="H870" s="3">
        <v>0.98500000000000021</v>
      </c>
      <c r="I870" s="10">
        <f t="shared" si="133"/>
        <v>30.963279496252863</v>
      </c>
      <c r="J870" s="3">
        <v>0.95435627235726461</v>
      </c>
      <c r="K870" s="3">
        <v>0</v>
      </c>
      <c r="L870" s="3">
        <f t="shared" si="134"/>
        <v>0</v>
      </c>
      <c r="N870" s="11">
        <f t="shared" si="135"/>
        <v>3.0643727642735596E-2</v>
      </c>
      <c r="O870" s="3">
        <v>0.95435627235726461</v>
      </c>
      <c r="P870" s="11">
        <f t="shared" si="136"/>
        <v>0.96327949625286502</v>
      </c>
      <c r="Q870" s="12">
        <f t="shared" si="137"/>
        <v>0.59206030339362015</v>
      </c>
      <c r="R870" s="13">
        <f t="shared" si="138"/>
        <v>2.7646503276073755</v>
      </c>
      <c r="S870" s="3" t="s">
        <v>31</v>
      </c>
      <c r="T870" s="3" t="s">
        <v>28</v>
      </c>
      <c r="U870" s="10">
        <v>0</v>
      </c>
      <c r="V870" s="3">
        <v>0</v>
      </c>
      <c r="W870" s="3">
        <f t="shared" si="139"/>
        <v>0</v>
      </c>
      <c r="AA870" s="3">
        <v>34</v>
      </c>
    </row>
    <row r="871" spans="1:27" x14ac:dyDescent="0.3">
      <c r="A871" s="3" t="str">
        <f t="shared" si="130"/>
        <v>North9420069900210</v>
      </c>
      <c r="B871" s="3" t="str">
        <f t="shared" si="131"/>
        <v>Pan9420069900210</v>
      </c>
      <c r="C871" s="10">
        <v>9420069900210</v>
      </c>
      <c r="D871" s="10" t="str">
        <f t="shared" si="132"/>
        <v>9420069900</v>
      </c>
      <c r="E871" s="3" t="s">
        <v>2</v>
      </c>
      <c r="F871" s="3" t="s">
        <v>64</v>
      </c>
      <c r="H871" s="3">
        <v>2.048</v>
      </c>
      <c r="I871" s="10">
        <f t="shared" si="133"/>
        <v>333.2353250749245</v>
      </c>
      <c r="J871" s="3">
        <v>0.18437421058582507</v>
      </c>
      <c r="K871" s="3">
        <v>0</v>
      </c>
      <c r="L871" s="3">
        <f t="shared" si="134"/>
        <v>0</v>
      </c>
      <c r="N871" s="11">
        <f t="shared" si="135"/>
        <v>1.863625789414175</v>
      </c>
      <c r="O871" s="3">
        <v>0.18437421058582507</v>
      </c>
      <c r="P871" s="11">
        <f t="shared" si="136"/>
        <v>303.2353250749245</v>
      </c>
      <c r="Q871" s="12">
        <f t="shared" si="137"/>
        <v>255.96538062369234</v>
      </c>
      <c r="R871" s="13">
        <f t="shared" si="138"/>
        <v>11.072420866839959</v>
      </c>
      <c r="S871" s="3" t="s">
        <v>31</v>
      </c>
      <c r="T871" s="3" t="s">
        <v>28</v>
      </c>
      <c r="U871" s="10">
        <v>0</v>
      </c>
      <c r="V871" s="3">
        <v>0</v>
      </c>
      <c r="W871" s="3">
        <f t="shared" si="139"/>
        <v>0</v>
      </c>
      <c r="AA871" s="3">
        <v>34</v>
      </c>
    </row>
    <row r="872" spans="1:27" x14ac:dyDescent="0.3">
      <c r="A872" s="3" t="str">
        <f t="shared" si="130"/>
        <v>North9160509900210</v>
      </c>
      <c r="B872" s="3" t="str">
        <f t="shared" si="131"/>
        <v>Pan9160509900210</v>
      </c>
      <c r="C872" s="10">
        <v>9160509900210</v>
      </c>
      <c r="D872" s="10" t="str">
        <f t="shared" si="132"/>
        <v>9160509900</v>
      </c>
      <c r="E872" s="3" t="s">
        <v>2</v>
      </c>
      <c r="F872" s="3" t="s">
        <v>64</v>
      </c>
      <c r="H872" s="3">
        <v>0</v>
      </c>
      <c r="I872" s="10">
        <f t="shared" si="133"/>
        <v>0</v>
      </c>
      <c r="J872" s="3">
        <v>0</v>
      </c>
      <c r="K872" s="3">
        <v>0</v>
      </c>
      <c r="L872" s="3">
        <f t="shared" si="134"/>
        <v>0</v>
      </c>
      <c r="N872" s="11">
        <f t="shared" si="135"/>
        <v>0</v>
      </c>
      <c r="O872" s="3">
        <v>0</v>
      </c>
      <c r="P872" s="11">
        <f t="shared" si="136"/>
        <v>9999</v>
      </c>
      <c r="Q872" s="12">
        <f t="shared" si="137"/>
        <v>9999</v>
      </c>
      <c r="R872" s="13">
        <f t="shared" si="138"/>
        <v>9999</v>
      </c>
      <c r="S872" s="3" t="s">
        <v>31</v>
      </c>
      <c r="T872" s="3" t="s">
        <v>34</v>
      </c>
      <c r="U872" s="10" t="s">
        <v>72</v>
      </c>
      <c r="V872" s="3" t="s">
        <v>72</v>
      </c>
      <c r="W872" s="3">
        <f t="shared" si="139"/>
        <v>0</v>
      </c>
      <c r="AA872" s="3">
        <v>34</v>
      </c>
    </row>
    <row r="873" spans="1:27" x14ac:dyDescent="0.3">
      <c r="A873" s="3" t="str">
        <f t="shared" si="130"/>
        <v>North9160709901210</v>
      </c>
      <c r="B873" s="3" t="str">
        <f t="shared" si="131"/>
        <v>Pan9160709901210</v>
      </c>
      <c r="C873" s="10">
        <v>9160709901210</v>
      </c>
      <c r="D873" s="10" t="str">
        <f t="shared" si="132"/>
        <v>9160709901</v>
      </c>
      <c r="E873" s="3" t="s">
        <v>2</v>
      </c>
      <c r="F873" s="3" t="s">
        <v>64</v>
      </c>
      <c r="H873" s="3">
        <v>0</v>
      </c>
      <c r="I873" s="10">
        <f t="shared" si="133"/>
        <v>0</v>
      </c>
      <c r="J873" s="3">
        <v>0</v>
      </c>
      <c r="K873" s="3">
        <v>0</v>
      </c>
      <c r="L873" s="3">
        <f t="shared" si="134"/>
        <v>0</v>
      </c>
      <c r="N873" s="11">
        <f t="shared" si="135"/>
        <v>0</v>
      </c>
      <c r="O873" s="3">
        <v>0</v>
      </c>
      <c r="P873" s="11">
        <f t="shared" si="136"/>
        <v>9999</v>
      </c>
      <c r="Q873" s="12">
        <f t="shared" si="137"/>
        <v>9999</v>
      </c>
      <c r="R873" s="13">
        <f t="shared" si="138"/>
        <v>9999</v>
      </c>
      <c r="S873" s="3" t="s">
        <v>31</v>
      </c>
      <c r="T873" s="3" t="s">
        <v>34</v>
      </c>
      <c r="U873" s="10">
        <v>0</v>
      </c>
      <c r="V873" s="3">
        <v>0</v>
      </c>
      <c r="W873" s="3">
        <f t="shared" si="139"/>
        <v>0</v>
      </c>
      <c r="AA873" s="3">
        <v>34</v>
      </c>
    </row>
    <row r="874" spans="1:27" x14ac:dyDescent="0.3">
      <c r="A874" s="3" t="str">
        <f t="shared" si="130"/>
        <v>North9100309900210</v>
      </c>
      <c r="B874" s="3" t="str">
        <f t="shared" si="131"/>
        <v>Pan9100309900210</v>
      </c>
      <c r="C874" s="10">
        <v>9100309900210</v>
      </c>
      <c r="D874" s="10" t="str">
        <f t="shared" si="132"/>
        <v>9100309900</v>
      </c>
      <c r="E874" s="3" t="s">
        <v>2</v>
      </c>
      <c r="F874" s="3" t="s">
        <v>64</v>
      </c>
      <c r="H874" s="3">
        <v>0</v>
      </c>
      <c r="I874" s="10">
        <f t="shared" si="133"/>
        <v>0</v>
      </c>
      <c r="J874" s="3">
        <v>0</v>
      </c>
      <c r="K874" s="3">
        <v>0</v>
      </c>
      <c r="L874" s="3">
        <f t="shared" si="134"/>
        <v>0</v>
      </c>
      <c r="N874" s="11">
        <f t="shared" si="135"/>
        <v>0</v>
      </c>
      <c r="O874" s="3">
        <v>0</v>
      </c>
      <c r="P874" s="11">
        <f t="shared" si="136"/>
        <v>9999</v>
      </c>
      <c r="Q874" s="12">
        <f t="shared" si="137"/>
        <v>9999</v>
      </c>
      <c r="R874" s="13">
        <f t="shared" si="138"/>
        <v>9999</v>
      </c>
      <c r="S874" s="3" t="s">
        <v>31</v>
      </c>
      <c r="T874" s="3" t="s">
        <v>34</v>
      </c>
      <c r="U874" s="10" t="s">
        <v>72</v>
      </c>
      <c r="V874" s="3" t="s">
        <v>72</v>
      </c>
      <c r="W874" s="3">
        <f t="shared" si="139"/>
        <v>0</v>
      </c>
      <c r="AA874" s="3">
        <v>34</v>
      </c>
    </row>
    <row r="875" spans="1:27" x14ac:dyDescent="0.3">
      <c r="A875" s="3" t="str">
        <f t="shared" si="130"/>
        <v>South9410019901320</v>
      </c>
      <c r="B875" s="3" t="str">
        <f t="shared" si="131"/>
        <v>CMR9410019901320</v>
      </c>
      <c r="C875" s="10">
        <v>9410019901320</v>
      </c>
      <c r="D875" s="10" t="str">
        <f t="shared" si="132"/>
        <v>9410019901</v>
      </c>
      <c r="E875" s="3" t="s">
        <v>5</v>
      </c>
      <c r="F875" s="3" t="s">
        <v>65</v>
      </c>
      <c r="H875" s="3">
        <v>59.455999999999996</v>
      </c>
      <c r="I875" s="10">
        <f t="shared" si="133"/>
        <v>101.38722228515948</v>
      </c>
      <c r="J875" s="3">
        <v>17.592749458933401</v>
      </c>
      <c r="K875" s="3">
        <v>0</v>
      </c>
      <c r="L875" s="3">
        <f t="shared" si="134"/>
        <v>0</v>
      </c>
      <c r="N875" s="11">
        <f t="shared" si="135"/>
        <v>41.863250541066591</v>
      </c>
      <c r="O875" s="3">
        <v>17.592749458933401</v>
      </c>
      <c r="P875" s="11">
        <f t="shared" si="136"/>
        <v>71.387222285159467</v>
      </c>
      <c r="Q875" s="12">
        <f t="shared" si="137"/>
        <v>47.783829000558605</v>
      </c>
      <c r="R875" s="13">
        <f t="shared" si="138"/>
        <v>43.13809711858017</v>
      </c>
      <c r="S875" s="3" t="s">
        <v>29</v>
      </c>
      <c r="T875" s="3" t="s">
        <v>32</v>
      </c>
      <c r="U875" s="10">
        <v>9410019900999</v>
      </c>
      <c r="V875" s="3">
        <v>0.1</v>
      </c>
      <c r="W875" s="3">
        <f t="shared" si="139"/>
        <v>0</v>
      </c>
      <c r="AA875" s="3">
        <v>34</v>
      </c>
    </row>
    <row r="876" spans="1:27" x14ac:dyDescent="0.3">
      <c r="A876" s="3" t="str">
        <f t="shared" si="130"/>
        <v>South9160509901320</v>
      </c>
      <c r="B876" s="3" t="str">
        <f t="shared" si="131"/>
        <v>CMR9160509901320</v>
      </c>
      <c r="C876" s="10">
        <v>9160509901320</v>
      </c>
      <c r="D876" s="10" t="str">
        <f t="shared" si="132"/>
        <v>9160509901</v>
      </c>
      <c r="E876" s="3" t="s">
        <v>5</v>
      </c>
      <c r="F876" s="3" t="s">
        <v>65</v>
      </c>
      <c r="H876" s="3">
        <v>16.439999999999994</v>
      </c>
      <c r="I876" s="10">
        <f t="shared" si="133"/>
        <v>31.073406870372789</v>
      </c>
      <c r="J876" s="3">
        <v>15.872092881783287</v>
      </c>
      <c r="K876" s="3">
        <v>34</v>
      </c>
      <c r="L876" s="3">
        <f t="shared" si="134"/>
        <v>0</v>
      </c>
      <c r="N876" s="11">
        <f t="shared" si="135"/>
        <v>0.56790711821670747</v>
      </c>
      <c r="O876" s="3">
        <v>15.872092881783287</v>
      </c>
      <c r="P876" s="11">
        <f t="shared" si="136"/>
        <v>1.0734068703727893</v>
      </c>
      <c r="Q876" s="12">
        <f t="shared" si="137"/>
        <v>36.496605072927892</v>
      </c>
      <c r="R876" s="13">
        <f t="shared" si="138"/>
        <v>20.628605749315501</v>
      </c>
      <c r="S876" s="3" t="s">
        <v>29</v>
      </c>
      <c r="T876" s="3" t="s">
        <v>34</v>
      </c>
      <c r="U876" s="10">
        <v>0</v>
      </c>
      <c r="V876" s="3">
        <v>0</v>
      </c>
      <c r="W876" s="3">
        <f t="shared" si="139"/>
        <v>0</v>
      </c>
      <c r="AA876" s="3">
        <v>34</v>
      </c>
    </row>
    <row r="877" spans="1:27" x14ac:dyDescent="0.3">
      <c r="A877" s="3" t="str">
        <f t="shared" si="130"/>
        <v>South9410019901310</v>
      </c>
      <c r="B877" s="3" t="str">
        <f t="shared" si="131"/>
        <v>CMR9410019901310</v>
      </c>
      <c r="C877" s="10">
        <v>9410019901310</v>
      </c>
      <c r="D877" s="10" t="str">
        <f t="shared" si="132"/>
        <v>9410019901</v>
      </c>
      <c r="E877" s="3" t="s">
        <v>5</v>
      </c>
      <c r="F877" s="3" t="s">
        <v>65</v>
      </c>
      <c r="H877" s="3">
        <v>9.24</v>
      </c>
      <c r="I877" s="10">
        <f t="shared" si="133"/>
        <v>33.016922194228805</v>
      </c>
      <c r="J877" s="3">
        <v>8.39569474008856</v>
      </c>
      <c r="K877" s="3">
        <v>0</v>
      </c>
      <c r="L877" s="3">
        <f t="shared" si="134"/>
        <v>0</v>
      </c>
      <c r="N877" s="11">
        <f t="shared" si="135"/>
        <v>0.84430525991144023</v>
      </c>
      <c r="O877" s="3">
        <v>8.39569474008856</v>
      </c>
      <c r="P877" s="11">
        <f t="shared" si="136"/>
        <v>3.0169221942288043</v>
      </c>
      <c r="Q877" s="12">
        <f t="shared" si="137"/>
        <v>19.789186155359399</v>
      </c>
      <c r="R877" s="13">
        <f t="shared" si="138"/>
        <v>32.120956447684101</v>
      </c>
      <c r="S877" s="3" t="s">
        <v>30</v>
      </c>
      <c r="T877" s="3" t="s">
        <v>32</v>
      </c>
      <c r="U877" s="10">
        <v>9410019900999</v>
      </c>
      <c r="V877" s="3">
        <v>0.1</v>
      </c>
      <c r="W877" s="3">
        <f t="shared" si="139"/>
        <v>0</v>
      </c>
      <c r="AA877" s="3">
        <v>34</v>
      </c>
    </row>
    <row r="878" spans="1:27" x14ac:dyDescent="0.3">
      <c r="A878" s="3" t="str">
        <f t="shared" si="130"/>
        <v>South9410019901840</v>
      </c>
      <c r="B878" s="3" t="str">
        <f t="shared" si="131"/>
        <v>CMR9410019901840</v>
      </c>
      <c r="C878" s="10">
        <v>9410019901840</v>
      </c>
      <c r="D878" s="10" t="str">
        <f t="shared" si="132"/>
        <v>9410019901</v>
      </c>
      <c r="E878" s="3" t="s">
        <v>5</v>
      </c>
      <c r="F878" s="3" t="s">
        <v>65</v>
      </c>
      <c r="H878" s="3">
        <v>4.6120000000000001</v>
      </c>
      <c r="I878" s="10">
        <f t="shared" si="133"/>
        <v>19.397641013893651</v>
      </c>
      <c r="J878" s="3">
        <v>7.1328260947245603</v>
      </c>
      <c r="K878" s="3">
        <v>0</v>
      </c>
      <c r="L878" s="3">
        <f t="shared" si="134"/>
        <v>0</v>
      </c>
      <c r="N878" s="11">
        <f t="shared" si="135"/>
        <v>-2.5208260947245602</v>
      </c>
      <c r="O878" s="3">
        <v>7.1328260947245603</v>
      </c>
      <c r="P878" s="11">
        <f t="shared" si="136"/>
        <v>-10.602358986106349</v>
      </c>
      <c r="Q878" s="12">
        <f t="shared" si="137"/>
        <v>8.6973864016508617</v>
      </c>
      <c r="R878" s="13">
        <f t="shared" si="138"/>
        <v>37.852173480378191</v>
      </c>
      <c r="S878" s="3" t="s">
        <v>30</v>
      </c>
      <c r="T878" s="3" t="s">
        <v>32</v>
      </c>
      <c r="U878" s="10">
        <v>0</v>
      </c>
      <c r="V878" s="3">
        <v>0</v>
      </c>
      <c r="W878" s="3">
        <f t="shared" si="139"/>
        <v>0</v>
      </c>
      <c r="AA878" s="3">
        <v>34</v>
      </c>
    </row>
    <row r="879" spans="1:27" x14ac:dyDescent="0.3">
      <c r="A879" s="3" t="str">
        <f t="shared" si="130"/>
        <v>South9410019901210</v>
      </c>
      <c r="B879" s="3" t="str">
        <f t="shared" si="131"/>
        <v>CMR9410019901210</v>
      </c>
      <c r="C879" s="10">
        <v>9410019901210</v>
      </c>
      <c r="D879" s="10" t="str">
        <f t="shared" si="132"/>
        <v>9410019901</v>
      </c>
      <c r="E879" s="3" t="s">
        <v>5</v>
      </c>
      <c r="F879" s="3" t="s">
        <v>65</v>
      </c>
      <c r="H879" s="3">
        <v>7.854000000000001</v>
      </c>
      <c r="I879" s="10">
        <f t="shared" si="133"/>
        <v>72.783818709454565</v>
      </c>
      <c r="J879" s="3">
        <v>3.2372580084121525</v>
      </c>
      <c r="K879" s="3">
        <v>0</v>
      </c>
      <c r="L879" s="3">
        <f t="shared" si="134"/>
        <v>0</v>
      </c>
      <c r="N879" s="11">
        <f t="shared" si="135"/>
        <v>4.6167419915878485</v>
      </c>
      <c r="O879" s="3">
        <v>3.2372580084121525</v>
      </c>
      <c r="P879" s="11">
        <f t="shared" si="136"/>
        <v>42.783818709454565</v>
      </c>
      <c r="Q879" s="12">
        <f t="shared" si="137"/>
        <v>11.478821645013801</v>
      </c>
      <c r="R879" s="13">
        <f t="shared" si="138"/>
        <v>39.024678852944916</v>
      </c>
      <c r="S879" s="3" t="s">
        <v>30</v>
      </c>
      <c r="T879" s="3" t="s">
        <v>32</v>
      </c>
      <c r="U879" s="10">
        <v>0</v>
      </c>
      <c r="V879" s="3">
        <v>0</v>
      </c>
      <c r="W879" s="3">
        <f t="shared" si="139"/>
        <v>0</v>
      </c>
      <c r="AA879" s="3">
        <v>34</v>
      </c>
    </row>
    <row r="880" spans="1:27" x14ac:dyDescent="0.3">
      <c r="A880" s="3" t="str">
        <f t="shared" si="130"/>
        <v>South9160509901210</v>
      </c>
      <c r="B880" s="3" t="str">
        <f t="shared" si="131"/>
        <v>CMR9160509901210</v>
      </c>
      <c r="C880" s="10">
        <v>9160509901210</v>
      </c>
      <c r="D880" s="10" t="str">
        <f t="shared" si="132"/>
        <v>9160509901</v>
      </c>
      <c r="E880" s="3" t="s">
        <v>5</v>
      </c>
      <c r="F880" s="3" t="s">
        <v>65</v>
      </c>
      <c r="H880" s="3">
        <v>6.0000000000000001E-3</v>
      </c>
      <c r="I880" s="10">
        <f t="shared" si="133"/>
        <v>0</v>
      </c>
      <c r="J880" s="3">
        <v>0</v>
      </c>
      <c r="K880" s="3">
        <v>0</v>
      </c>
      <c r="L880" s="3">
        <f t="shared" si="134"/>
        <v>0</v>
      </c>
      <c r="N880" s="11">
        <f t="shared" si="135"/>
        <v>6.0000000000000001E-3</v>
      </c>
      <c r="O880" s="3">
        <v>0</v>
      </c>
      <c r="P880" s="11">
        <f t="shared" si="136"/>
        <v>9999</v>
      </c>
      <c r="Q880" s="12">
        <f t="shared" si="137"/>
        <v>9999</v>
      </c>
      <c r="R880" s="13">
        <f t="shared" si="138"/>
        <v>9999</v>
      </c>
      <c r="S880" s="3" t="s">
        <v>31</v>
      </c>
      <c r="T880" s="3" t="s">
        <v>34</v>
      </c>
      <c r="U880" s="10" t="s">
        <v>72</v>
      </c>
      <c r="V880" s="3" t="s">
        <v>72</v>
      </c>
      <c r="W880" s="3">
        <f t="shared" si="139"/>
        <v>0</v>
      </c>
      <c r="AA880" s="3">
        <v>34</v>
      </c>
    </row>
    <row r="881" spans="1:27" x14ac:dyDescent="0.3">
      <c r="A881" s="3" t="str">
        <f t="shared" si="130"/>
        <v>East9310019901320</v>
      </c>
      <c r="B881" s="3" t="str">
        <f t="shared" si="131"/>
        <v>KGP9310019901320</v>
      </c>
      <c r="C881" s="10">
        <v>9310019901320</v>
      </c>
      <c r="D881" s="10" t="str">
        <f t="shared" si="132"/>
        <v>9310019901</v>
      </c>
      <c r="E881" s="3" t="s">
        <v>6</v>
      </c>
      <c r="F881" s="3" t="s">
        <v>66</v>
      </c>
      <c r="H881" s="3">
        <v>68.099999999999994</v>
      </c>
      <c r="I881" s="10">
        <f t="shared" si="133"/>
        <v>69.797802849669992</v>
      </c>
      <c r="J881" s="3">
        <v>29.27026233762972</v>
      </c>
      <c r="K881" s="3">
        <v>0</v>
      </c>
      <c r="L881" s="3">
        <f t="shared" si="134"/>
        <v>0</v>
      </c>
      <c r="N881" s="11">
        <f t="shared" si="135"/>
        <v>38.829737662370277</v>
      </c>
      <c r="O881" s="3">
        <v>29.27026233762972</v>
      </c>
      <c r="P881" s="11">
        <f t="shared" si="136"/>
        <v>39.797802849669992</v>
      </c>
      <c r="Q881" s="12">
        <f t="shared" si="137"/>
        <v>39.797802849669992</v>
      </c>
      <c r="R881" s="13">
        <f t="shared" si="138"/>
        <v>15.311331395407025</v>
      </c>
      <c r="S881" s="3" t="s">
        <v>29</v>
      </c>
      <c r="T881" s="3" t="s">
        <v>32</v>
      </c>
      <c r="U881" s="10">
        <v>9310019900999</v>
      </c>
      <c r="V881" s="3">
        <v>0.1</v>
      </c>
      <c r="W881" s="3">
        <f t="shared" si="139"/>
        <v>0</v>
      </c>
      <c r="AA881" s="3">
        <v>34</v>
      </c>
    </row>
    <row r="882" spans="1:27" x14ac:dyDescent="0.3">
      <c r="A882" s="3" t="str">
        <f t="shared" si="130"/>
        <v>East9410029901320</v>
      </c>
      <c r="B882" s="3" t="str">
        <f t="shared" si="131"/>
        <v>KGP9410029901320</v>
      </c>
      <c r="C882" s="10">
        <v>9410029901320</v>
      </c>
      <c r="D882" s="10" t="str">
        <f t="shared" si="132"/>
        <v>9410029901</v>
      </c>
      <c r="E882" s="3" t="s">
        <v>6</v>
      </c>
      <c r="F882" s="3" t="s">
        <v>66</v>
      </c>
      <c r="H882" s="3">
        <v>21.879999999999995</v>
      </c>
      <c r="I882" s="10">
        <f t="shared" si="133"/>
        <v>35.16412603597793</v>
      </c>
      <c r="J882" s="3">
        <v>18.666751430944387</v>
      </c>
      <c r="K882" s="3">
        <v>17</v>
      </c>
      <c r="L882" s="3">
        <f t="shared" si="134"/>
        <v>0</v>
      </c>
      <c r="N882" s="11">
        <f t="shared" si="135"/>
        <v>3.2132485690556081</v>
      </c>
      <c r="O882" s="3">
        <v>18.666751430944387</v>
      </c>
      <c r="P882" s="11">
        <f t="shared" si="136"/>
        <v>5.1641260359779322</v>
      </c>
      <c r="Q882" s="12">
        <f t="shared" si="137"/>
        <v>5.1641260359779331</v>
      </c>
      <c r="R882" s="13">
        <f t="shared" si="138"/>
        <v>21.860453380312943</v>
      </c>
      <c r="S882" s="3" t="s">
        <v>30</v>
      </c>
      <c r="T882" s="3" t="s">
        <v>32</v>
      </c>
      <c r="U882" s="10">
        <v>9410029900999</v>
      </c>
      <c r="V882" s="3">
        <v>0.1</v>
      </c>
      <c r="W882" s="3">
        <f t="shared" si="139"/>
        <v>1.7000000000000002</v>
      </c>
      <c r="AA882" s="3">
        <v>34</v>
      </c>
    </row>
    <row r="883" spans="1:27" x14ac:dyDescent="0.3">
      <c r="A883" s="3" t="str">
        <f t="shared" si="130"/>
        <v>East9410029901310</v>
      </c>
      <c r="B883" s="3" t="str">
        <f t="shared" si="131"/>
        <v>KGP9410029901310</v>
      </c>
      <c r="C883" s="10">
        <v>9410029901310</v>
      </c>
      <c r="D883" s="10" t="str">
        <f t="shared" si="132"/>
        <v>9410029901</v>
      </c>
      <c r="E883" s="3" t="s">
        <v>6</v>
      </c>
      <c r="F883" s="3" t="s">
        <v>66</v>
      </c>
      <c r="H883" s="3">
        <v>9.99</v>
      </c>
      <c r="I883" s="10">
        <f t="shared" si="133"/>
        <v>21.653125700073897</v>
      </c>
      <c r="J883" s="3">
        <v>13.84095784374342</v>
      </c>
      <c r="K883" s="3">
        <v>17</v>
      </c>
      <c r="L883" s="3">
        <f t="shared" si="134"/>
        <v>0</v>
      </c>
      <c r="N883" s="11">
        <f t="shared" si="135"/>
        <v>-3.8509578437434193</v>
      </c>
      <c r="O883" s="3">
        <v>13.84095784374342</v>
      </c>
      <c r="P883" s="11">
        <f t="shared" si="136"/>
        <v>-8.346874299926105</v>
      </c>
      <c r="Q883" s="12">
        <f t="shared" si="137"/>
        <v>-8.346874299926105</v>
      </c>
      <c r="R883" s="13">
        <f t="shared" si="138"/>
        <v>12.577858451329639</v>
      </c>
      <c r="S883" s="3" t="s">
        <v>30</v>
      </c>
      <c r="T883" s="3" t="s">
        <v>32</v>
      </c>
      <c r="U883" s="10">
        <v>9410029900999</v>
      </c>
      <c r="V883" s="3">
        <v>0.1</v>
      </c>
      <c r="W883" s="3">
        <f t="shared" si="139"/>
        <v>1.7000000000000002</v>
      </c>
      <c r="AA883" s="3">
        <v>34</v>
      </c>
    </row>
    <row r="884" spans="1:27" x14ac:dyDescent="0.3">
      <c r="A884" s="3" t="str">
        <f t="shared" si="130"/>
        <v>East9410029901840</v>
      </c>
      <c r="B884" s="3" t="str">
        <f t="shared" si="131"/>
        <v>KGP9410029901840</v>
      </c>
      <c r="C884" s="10">
        <v>9410029901840</v>
      </c>
      <c r="D884" s="10" t="str">
        <f t="shared" si="132"/>
        <v>9410029901</v>
      </c>
      <c r="E884" s="3" t="s">
        <v>6</v>
      </c>
      <c r="F884" s="3" t="s">
        <v>66</v>
      </c>
      <c r="H884" s="3">
        <v>24.06</v>
      </c>
      <c r="I884" s="10">
        <f t="shared" si="133"/>
        <v>55.590139368833441</v>
      </c>
      <c r="J884" s="3">
        <v>12.984317150402333</v>
      </c>
      <c r="K884" s="3">
        <v>17</v>
      </c>
      <c r="L884" s="3">
        <f t="shared" si="134"/>
        <v>0</v>
      </c>
      <c r="N884" s="11">
        <f t="shared" si="135"/>
        <v>11.075682849597666</v>
      </c>
      <c r="O884" s="3">
        <v>12.984317150402333</v>
      </c>
      <c r="P884" s="11">
        <f t="shared" si="136"/>
        <v>25.590139368833441</v>
      </c>
      <c r="Q884" s="12">
        <f t="shared" si="137"/>
        <v>25.590139368833441</v>
      </c>
      <c r="R884" s="13">
        <f t="shared" si="138"/>
        <v>36.570428032612334</v>
      </c>
      <c r="S884" s="3" t="s">
        <v>30</v>
      </c>
      <c r="T884" s="3" t="s">
        <v>32</v>
      </c>
      <c r="U884" s="10">
        <v>0</v>
      </c>
      <c r="V884" s="3">
        <v>0</v>
      </c>
      <c r="W884" s="3">
        <f t="shared" si="139"/>
        <v>0</v>
      </c>
      <c r="AA884" s="3">
        <v>34</v>
      </c>
    </row>
    <row r="885" spans="1:27" x14ac:dyDescent="0.3">
      <c r="A885" s="3" t="str">
        <f t="shared" si="130"/>
        <v>East9310099901320</v>
      </c>
      <c r="B885" s="3" t="str">
        <f t="shared" si="131"/>
        <v>KGP9310099901320</v>
      </c>
      <c r="C885" s="10">
        <v>9310099901320</v>
      </c>
      <c r="D885" s="10" t="str">
        <f t="shared" si="132"/>
        <v>9310099901</v>
      </c>
      <c r="E885" s="3" t="s">
        <v>6</v>
      </c>
      <c r="F885" s="3" t="s">
        <v>66</v>
      </c>
      <c r="H885" s="3">
        <v>0</v>
      </c>
      <c r="I885" s="10">
        <f t="shared" si="133"/>
        <v>0</v>
      </c>
      <c r="J885" s="3">
        <v>11.872491365</v>
      </c>
      <c r="K885" s="3">
        <v>0</v>
      </c>
      <c r="L885" s="3">
        <f t="shared" si="134"/>
        <v>0</v>
      </c>
      <c r="N885" s="11">
        <f t="shared" si="135"/>
        <v>-11.872491365</v>
      </c>
      <c r="O885" s="3">
        <v>11.872491365</v>
      </c>
      <c r="P885" s="11">
        <f t="shared" si="136"/>
        <v>-30</v>
      </c>
      <c r="Q885" s="12">
        <f t="shared" si="137"/>
        <v>-30</v>
      </c>
      <c r="R885" s="13">
        <f t="shared" si="138"/>
        <v>-30</v>
      </c>
      <c r="S885" s="3">
        <v>0</v>
      </c>
      <c r="T885" s="3" t="s">
        <v>32</v>
      </c>
      <c r="U885" s="10">
        <v>9310099900999</v>
      </c>
      <c r="V885" s="3">
        <v>0.1</v>
      </c>
      <c r="W885" s="3">
        <f t="shared" si="139"/>
        <v>0</v>
      </c>
      <c r="AA885" s="3">
        <v>34</v>
      </c>
    </row>
    <row r="886" spans="1:27" x14ac:dyDescent="0.3">
      <c r="A886" s="3" t="str">
        <f t="shared" si="130"/>
        <v>East9410029901210</v>
      </c>
      <c r="B886" s="3" t="str">
        <f t="shared" si="131"/>
        <v>KGP9410029901210</v>
      </c>
      <c r="C886" s="10">
        <v>9410029901210</v>
      </c>
      <c r="D886" s="10" t="str">
        <f t="shared" si="132"/>
        <v>9410029901</v>
      </c>
      <c r="E886" s="3" t="s">
        <v>6</v>
      </c>
      <c r="F886" s="3" t="s">
        <v>66</v>
      </c>
      <c r="H886" s="3">
        <v>9.8670000000000009</v>
      </c>
      <c r="I886" s="10">
        <f t="shared" si="133"/>
        <v>32.800594154630119</v>
      </c>
      <c r="J886" s="3">
        <v>9.0245316473395452</v>
      </c>
      <c r="K886" s="3">
        <v>17</v>
      </c>
      <c r="L886" s="3">
        <f t="shared" si="134"/>
        <v>0</v>
      </c>
      <c r="N886" s="11">
        <f t="shared" si="135"/>
        <v>0.84246835266045572</v>
      </c>
      <c r="O886" s="3">
        <v>9.0245316473395452</v>
      </c>
      <c r="P886" s="11">
        <f t="shared" si="136"/>
        <v>2.8005941546301214</v>
      </c>
      <c r="Q886" s="12">
        <f t="shared" si="137"/>
        <v>2.8005941546301214</v>
      </c>
      <c r="R886" s="13">
        <f t="shared" si="138"/>
        <v>8.498858437043161</v>
      </c>
      <c r="S886" s="3" t="s">
        <v>30</v>
      </c>
      <c r="T886" s="3" t="s">
        <v>32</v>
      </c>
      <c r="U886" s="10">
        <v>0</v>
      </c>
      <c r="V886" s="3">
        <v>0</v>
      </c>
      <c r="W886" s="3">
        <f t="shared" si="139"/>
        <v>0</v>
      </c>
      <c r="AA886" s="3">
        <v>34</v>
      </c>
    </row>
    <row r="887" spans="1:27" x14ac:dyDescent="0.3">
      <c r="A887" s="3" t="str">
        <f t="shared" si="130"/>
        <v>East9310019901310</v>
      </c>
      <c r="B887" s="3" t="str">
        <f t="shared" si="131"/>
        <v>KGP9310019901310</v>
      </c>
      <c r="C887" s="10">
        <v>9310019901310</v>
      </c>
      <c r="D887" s="10" t="str">
        <f t="shared" si="132"/>
        <v>9310019901</v>
      </c>
      <c r="E887" s="3" t="s">
        <v>6</v>
      </c>
      <c r="F887" s="3" t="s">
        <v>66</v>
      </c>
      <c r="H887" s="3">
        <v>15.870000000000001</v>
      </c>
      <c r="I887" s="10">
        <f t="shared" si="133"/>
        <v>63.490300637163443</v>
      </c>
      <c r="J887" s="3">
        <v>7.4987832034507553</v>
      </c>
      <c r="K887" s="3">
        <v>0</v>
      </c>
      <c r="L887" s="3">
        <f t="shared" si="134"/>
        <v>0</v>
      </c>
      <c r="N887" s="11">
        <f t="shared" si="135"/>
        <v>8.3712167965492448</v>
      </c>
      <c r="O887" s="3">
        <v>7.4987832034507553</v>
      </c>
      <c r="P887" s="11">
        <f t="shared" si="136"/>
        <v>33.490300637163436</v>
      </c>
      <c r="Q887" s="12">
        <f t="shared" si="137"/>
        <v>33.490300637163443</v>
      </c>
      <c r="R887" s="13">
        <f t="shared" si="138"/>
        <v>34.329351227139078</v>
      </c>
      <c r="S887" s="3" t="s">
        <v>30</v>
      </c>
      <c r="T887" s="3" t="s">
        <v>32</v>
      </c>
      <c r="U887" s="10">
        <v>9310019900999</v>
      </c>
      <c r="V887" s="3">
        <v>0.1</v>
      </c>
      <c r="W887" s="3">
        <f t="shared" si="139"/>
        <v>0</v>
      </c>
      <c r="AA887" s="3">
        <v>34</v>
      </c>
    </row>
    <row r="888" spans="1:27" x14ac:dyDescent="0.3">
      <c r="A888" s="3" t="str">
        <f t="shared" si="130"/>
        <v>East9100309900320</v>
      </c>
      <c r="B888" s="3" t="str">
        <f t="shared" si="131"/>
        <v>KGP9100309900320</v>
      </c>
      <c r="C888" s="10">
        <v>9100309900320</v>
      </c>
      <c r="D888" s="10" t="str">
        <f t="shared" si="132"/>
        <v>9100309900</v>
      </c>
      <c r="E888" s="3" t="s">
        <v>6</v>
      </c>
      <c r="F888" s="3" t="s">
        <v>66</v>
      </c>
      <c r="H888" s="3">
        <v>7.96</v>
      </c>
      <c r="I888" s="10">
        <f t="shared" si="133"/>
        <v>43.389486780105436</v>
      </c>
      <c r="J888" s="3">
        <v>5.503637349070754</v>
      </c>
      <c r="K888" s="3">
        <v>0</v>
      </c>
      <c r="L888" s="3">
        <f t="shared" si="134"/>
        <v>0</v>
      </c>
      <c r="N888" s="11">
        <f t="shared" si="135"/>
        <v>2.456362650929246</v>
      </c>
      <c r="O888" s="3">
        <v>5.503637349070754</v>
      </c>
      <c r="P888" s="11">
        <f t="shared" si="136"/>
        <v>13.389486780105436</v>
      </c>
      <c r="Q888" s="12">
        <f t="shared" si="137"/>
        <v>13.389486780105436</v>
      </c>
      <c r="R888" s="13">
        <f t="shared" si="138"/>
        <v>25.384779387632882</v>
      </c>
      <c r="S888" s="3" t="s">
        <v>29</v>
      </c>
      <c r="T888" s="3" t="s">
        <v>34</v>
      </c>
      <c r="U888" s="10">
        <v>0</v>
      </c>
      <c r="V888" s="3">
        <v>0</v>
      </c>
      <c r="W888" s="3">
        <f t="shared" si="139"/>
        <v>0</v>
      </c>
      <c r="AA888" s="3">
        <v>34</v>
      </c>
    </row>
    <row r="889" spans="1:27" x14ac:dyDescent="0.3">
      <c r="A889" s="3" t="str">
        <f t="shared" si="130"/>
        <v>East9310019901840</v>
      </c>
      <c r="B889" s="3" t="str">
        <f t="shared" si="131"/>
        <v>KGP9310019901840</v>
      </c>
      <c r="C889" s="10">
        <v>9310019901840</v>
      </c>
      <c r="D889" s="10" t="str">
        <f t="shared" si="132"/>
        <v>9310019901</v>
      </c>
      <c r="E889" s="3" t="s">
        <v>6</v>
      </c>
      <c r="F889" s="3" t="s">
        <v>66</v>
      </c>
      <c r="H889" s="3">
        <v>15.112000000000002</v>
      </c>
      <c r="I889" s="10">
        <f t="shared" si="133"/>
        <v>132.47742220430453</v>
      </c>
      <c r="J889" s="3">
        <v>3.4221680378173094</v>
      </c>
      <c r="K889" s="3">
        <v>0</v>
      </c>
      <c r="L889" s="3">
        <f t="shared" si="134"/>
        <v>0</v>
      </c>
      <c r="N889" s="11">
        <f t="shared" si="135"/>
        <v>11.689831962182692</v>
      </c>
      <c r="O889" s="3">
        <v>3.4221680378173094</v>
      </c>
      <c r="P889" s="11">
        <f t="shared" si="136"/>
        <v>102.47742220430452</v>
      </c>
      <c r="Q889" s="12">
        <f t="shared" si="137"/>
        <v>102.47742220430452</v>
      </c>
      <c r="R889" s="13">
        <f t="shared" si="138"/>
        <v>45.841224370308467</v>
      </c>
      <c r="S889" s="3" t="s">
        <v>30</v>
      </c>
      <c r="T889" s="3" t="s">
        <v>32</v>
      </c>
      <c r="U889" s="10">
        <v>0</v>
      </c>
      <c r="V889" s="3">
        <v>0</v>
      </c>
      <c r="W889" s="3">
        <f t="shared" si="139"/>
        <v>0</v>
      </c>
      <c r="AA889" s="3">
        <v>34</v>
      </c>
    </row>
    <row r="890" spans="1:27" x14ac:dyDescent="0.3">
      <c r="A890" s="3" t="str">
        <f t="shared" si="130"/>
        <v>East9310099901310</v>
      </c>
      <c r="B890" s="3" t="str">
        <f t="shared" si="131"/>
        <v>KGP9310099901310</v>
      </c>
      <c r="C890" s="10">
        <v>9310099901310</v>
      </c>
      <c r="D890" s="10" t="str">
        <f t="shared" si="132"/>
        <v>9310099901</v>
      </c>
      <c r="E890" s="3" t="s">
        <v>6</v>
      </c>
      <c r="F890" s="3" t="s">
        <v>66</v>
      </c>
      <c r="H890" s="3">
        <v>0</v>
      </c>
      <c r="I890" s="10">
        <f t="shared" si="133"/>
        <v>0</v>
      </c>
      <c r="J890" s="3">
        <v>3.2276566349999998</v>
      </c>
      <c r="K890" s="3">
        <v>0</v>
      </c>
      <c r="L890" s="3">
        <f t="shared" si="134"/>
        <v>0</v>
      </c>
      <c r="N890" s="11">
        <f t="shared" si="135"/>
        <v>-3.2276566349999998</v>
      </c>
      <c r="O890" s="3">
        <v>3.2276566349999998</v>
      </c>
      <c r="P890" s="11">
        <f t="shared" si="136"/>
        <v>-30</v>
      </c>
      <c r="Q890" s="12">
        <f t="shared" si="137"/>
        <v>-30</v>
      </c>
      <c r="R890" s="13">
        <f t="shared" si="138"/>
        <v>-30.000000000000004</v>
      </c>
      <c r="S890" s="3">
        <v>0</v>
      </c>
      <c r="T890" s="3" t="s">
        <v>32</v>
      </c>
      <c r="U890" s="10">
        <v>9310099900999</v>
      </c>
      <c r="V890" s="3">
        <v>0.1</v>
      </c>
      <c r="W890" s="3">
        <f t="shared" si="139"/>
        <v>0</v>
      </c>
      <c r="AA890" s="3">
        <v>34</v>
      </c>
    </row>
    <row r="891" spans="1:27" x14ac:dyDescent="0.3">
      <c r="A891" s="3" t="str">
        <f t="shared" si="130"/>
        <v>East9310099901840</v>
      </c>
      <c r="B891" s="3" t="str">
        <f t="shared" si="131"/>
        <v>KGP9310099901840</v>
      </c>
      <c r="C891" s="10">
        <v>9310099901840</v>
      </c>
      <c r="D891" s="10" t="str">
        <f t="shared" si="132"/>
        <v>9310099901</v>
      </c>
      <c r="E891" s="3" t="s">
        <v>6</v>
      </c>
      <c r="F891" s="3" t="s">
        <v>66</v>
      </c>
      <c r="H891" s="3">
        <v>0</v>
      </c>
      <c r="I891" s="10">
        <f t="shared" si="133"/>
        <v>0</v>
      </c>
      <c r="J891" s="3">
        <v>1.7969176120000001</v>
      </c>
      <c r="K891" s="3">
        <v>0</v>
      </c>
      <c r="L891" s="3">
        <f t="shared" si="134"/>
        <v>0</v>
      </c>
      <c r="N891" s="11">
        <f t="shared" si="135"/>
        <v>-1.7969176120000001</v>
      </c>
      <c r="O891" s="3">
        <v>1.7969176120000001</v>
      </c>
      <c r="P891" s="11">
        <f t="shared" si="136"/>
        <v>-30</v>
      </c>
      <c r="Q891" s="12">
        <f t="shared" si="137"/>
        <v>-30</v>
      </c>
      <c r="R891" s="13">
        <f t="shared" si="138"/>
        <v>-29.999999999999996</v>
      </c>
      <c r="S891" s="3">
        <v>0</v>
      </c>
      <c r="T891" s="3" t="s">
        <v>32</v>
      </c>
      <c r="U891" s="10">
        <v>0</v>
      </c>
      <c r="V891" s="3">
        <v>0</v>
      </c>
      <c r="W891" s="3">
        <f t="shared" si="139"/>
        <v>0</v>
      </c>
      <c r="AA891" s="3">
        <v>34</v>
      </c>
    </row>
    <row r="892" spans="1:27" x14ac:dyDescent="0.3">
      <c r="A892" s="3" t="str">
        <f t="shared" si="130"/>
        <v>East9310019901210</v>
      </c>
      <c r="B892" s="3" t="str">
        <f t="shared" si="131"/>
        <v>KGP9310019901210</v>
      </c>
      <c r="C892" s="10">
        <v>9310019901210</v>
      </c>
      <c r="D892" s="10" t="str">
        <f t="shared" si="132"/>
        <v>9310019901</v>
      </c>
      <c r="E892" s="3" t="s">
        <v>6</v>
      </c>
      <c r="F892" s="3" t="s">
        <v>66</v>
      </c>
      <c r="H892" s="3">
        <v>7.7309999999999999</v>
      </c>
      <c r="I892" s="10">
        <f t="shared" si="133"/>
        <v>141.49372329726901</v>
      </c>
      <c r="J892" s="3">
        <v>1.6391539822069017</v>
      </c>
      <c r="K892" s="3">
        <v>0</v>
      </c>
      <c r="L892" s="3">
        <f t="shared" si="134"/>
        <v>0</v>
      </c>
      <c r="N892" s="11">
        <f t="shared" si="135"/>
        <v>6.091846017793098</v>
      </c>
      <c r="O892" s="3">
        <v>1.6391539822069017</v>
      </c>
      <c r="P892" s="11">
        <f t="shared" si="136"/>
        <v>111.49372329726904</v>
      </c>
      <c r="Q892" s="12">
        <f t="shared" si="137"/>
        <v>111.49372329726903</v>
      </c>
      <c r="R892" s="13">
        <f t="shared" si="138"/>
        <v>38.257893326302671</v>
      </c>
      <c r="S892" s="3" t="s">
        <v>31</v>
      </c>
      <c r="T892" s="3" t="s">
        <v>32</v>
      </c>
      <c r="U892" s="10">
        <v>0</v>
      </c>
      <c r="V892" s="3">
        <v>0</v>
      </c>
      <c r="W892" s="3">
        <f t="shared" si="139"/>
        <v>0</v>
      </c>
      <c r="AA892" s="3">
        <v>34</v>
      </c>
    </row>
    <row r="893" spans="1:27" x14ac:dyDescent="0.3">
      <c r="A893" s="3" t="str">
        <f t="shared" si="130"/>
        <v>East9310099901210</v>
      </c>
      <c r="B893" s="3" t="str">
        <f t="shared" si="131"/>
        <v>KGP9310099901210</v>
      </c>
      <c r="C893" s="10">
        <v>9310099901210</v>
      </c>
      <c r="D893" s="10" t="str">
        <f t="shared" si="132"/>
        <v>9310099901</v>
      </c>
      <c r="E893" s="3" t="s">
        <v>6</v>
      </c>
      <c r="F893" s="3" t="s">
        <v>66</v>
      </c>
      <c r="H893" s="3">
        <v>0</v>
      </c>
      <c r="I893" s="10">
        <f t="shared" si="133"/>
        <v>0</v>
      </c>
      <c r="J893" s="3">
        <v>0.86637099150000019</v>
      </c>
      <c r="K893" s="3">
        <v>0</v>
      </c>
      <c r="L893" s="3">
        <f t="shared" si="134"/>
        <v>0</v>
      </c>
      <c r="N893" s="11">
        <f t="shared" si="135"/>
        <v>-0.86637099150000019</v>
      </c>
      <c r="O893" s="3">
        <v>0.86637099150000019</v>
      </c>
      <c r="P893" s="11">
        <f t="shared" si="136"/>
        <v>-30</v>
      </c>
      <c r="Q893" s="12">
        <f t="shared" si="137"/>
        <v>-30</v>
      </c>
      <c r="R893" s="13">
        <f t="shared" si="138"/>
        <v>-30</v>
      </c>
      <c r="S893" s="3">
        <v>0</v>
      </c>
      <c r="T893" s="3" t="s">
        <v>32</v>
      </c>
      <c r="U893" s="10">
        <v>0</v>
      </c>
      <c r="V893" s="3">
        <v>0</v>
      </c>
      <c r="W893" s="3">
        <f t="shared" si="139"/>
        <v>0</v>
      </c>
      <c r="AA893" s="3">
        <v>34</v>
      </c>
    </row>
    <row r="894" spans="1:27" x14ac:dyDescent="0.3">
      <c r="A894" s="3" t="str">
        <f t="shared" si="130"/>
        <v>East9100309900210</v>
      </c>
      <c r="B894" s="3" t="str">
        <f t="shared" si="131"/>
        <v>KGP9100309900210</v>
      </c>
      <c r="C894" s="10">
        <v>9100309900210</v>
      </c>
      <c r="D894" s="10" t="str">
        <f t="shared" si="132"/>
        <v>9100309900</v>
      </c>
      <c r="E894" s="3" t="s">
        <v>6</v>
      </c>
      <c r="F894" s="3" t="s">
        <v>66</v>
      </c>
      <c r="H894" s="3">
        <v>0</v>
      </c>
      <c r="I894" s="10">
        <f t="shared" si="133"/>
        <v>0</v>
      </c>
      <c r="J894" s="3">
        <v>0</v>
      </c>
      <c r="K894" s="3">
        <v>0</v>
      </c>
      <c r="L894" s="3">
        <f t="shared" si="134"/>
        <v>0</v>
      </c>
      <c r="N894" s="11">
        <f t="shared" si="135"/>
        <v>0</v>
      </c>
      <c r="O894" s="3">
        <v>0</v>
      </c>
      <c r="P894" s="11">
        <f t="shared" si="136"/>
        <v>9999</v>
      </c>
      <c r="Q894" s="12">
        <f t="shared" si="137"/>
        <v>9999</v>
      </c>
      <c r="R894" s="13">
        <f t="shared" si="138"/>
        <v>9999</v>
      </c>
      <c r="S894" s="3" t="s">
        <v>31</v>
      </c>
      <c r="T894" s="3" t="s">
        <v>34</v>
      </c>
      <c r="U894" s="10" t="s">
        <v>72</v>
      </c>
      <c r="V894" s="3" t="s">
        <v>72</v>
      </c>
      <c r="W894" s="3">
        <f t="shared" si="139"/>
        <v>0</v>
      </c>
      <c r="AA894" s="3">
        <v>34</v>
      </c>
    </row>
    <row r="895" spans="1:27" x14ac:dyDescent="0.3">
      <c r="A895" s="3" t="str">
        <f t="shared" si="130"/>
        <v>West9410149902195</v>
      </c>
      <c r="B895" s="3" t="str">
        <f t="shared" si="131"/>
        <v>Mah9410149902195</v>
      </c>
      <c r="C895" s="10">
        <v>9410149902195</v>
      </c>
      <c r="D895" s="10" t="str">
        <f t="shared" si="132"/>
        <v>9410149902</v>
      </c>
      <c r="E895" s="3" t="s">
        <v>1</v>
      </c>
      <c r="F895" s="3" t="s">
        <v>63</v>
      </c>
      <c r="H895" s="3">
        <v>3.9623502500000001</v>
      </c>
      <c r="I895" s="10">
        <f t="shared" si="133"/>
        <v>110.91845081121431</v>
      </c>
      <c r="J895" s="3">
        <v>1.0716928214433887</v>
      </c>
      <c r="K895" s="3">
        <v>0</v>
      </c>
      <c r="L895" s="3">
        <f t="shared" si="134"/>
        <v>0</v>
      </c>
      <c r="M895" s="32"/>
      <c r="N895" s="11">
        <f t="shared" si="135"/>
        <v>2.8906574285566116</v>
      </c>
      <c r="O895" s="3">
        <v>1.0716928214433887</v>
      </c>
      <c r="P895" s="11">
        <f t="shared" si="136"/>
        <v>80.918450811214313</v>
      </c>
      <c r="Q895" s="12">
        <f t="shared" si="137"/>
        <v>80.918450811214328</v>
      </c>
      <c r="R895" s="13">
        <f t="shared" si="138"/>
        <v>80.918450811214328</v>
      </c>
      <c r="S895" s="3" t="s">
        <v>31</v>
      </c>
      <c r="T895" s="3" t="s">
        <v>32</v>
      </c>
      <c r="U895" s="10">
        <v>0</v>
      </c>
      <c r="V895" s="3">
        <v>0</v>
      </c>
      <c r="W895" s="3">
        <f t="shared" si="139"/>
        <v>0</v>
      </c>
      <c r="Y895" s="3">
        <v>0</v>
      </c>
      <c r="Z895" s="3">
        <v>0</v>
      </c>
      <c r="AA895" s="3">
        <v>34.200000000000003</v>
      </c>
    </row>
    <row r="896" spans="1:27" x14ac:dyDescent="0.3">
      <c r="A896" s="3" t="str">
        <f t="shared" si="130"/>
        <v>West9410149902838</v>
      </c>
      <c r="B896" s="3" t="str">
        <f t="shared" si="131"/>
        <v>Mah9410149902838</v>
      </c>
      <c r="C896" s="10">
        <v>9410149902838</v>
      </c>
      <c r="D896" s="10" t="str">
        <f t="shared" si="132"/>
        <v>9410149902</v>
      </c>
      <c r="E896" s="3" t="s">
        <v>1</v>
      </c>
      <c r="F896" s="3" t="s">
        <v>63</v>
      </c>
      <c r="H896" s="3">
        <v>5.4302000000000019</v>
      </c>
      <c r="I896" s="10">
        <f t="shared" si="133"/>
        <v>266.0224855580006</v>
      </c>
      <c r="J896" s="3">
        <v>0.61237680588651533</v>
      </c>
      <c r="K896" s="3">
        <v>0</v>
      </c>
      <c r="L896" s="3">
        <f t="shared" si="134"/>
        <v>0</v>
      </c>
      <c r="N896" s="11">
        <f t="shared" si="135"/>
        <v>4.8178231941134868</v>
      </c>
      <c r="O896" s="3">
        <v>0.61237680588651533</v>
      </c>
      <c r="P896" s="11">
        <f t="shared" si="136"/>
        <v>236.0224855580006</v>
      </c>
      <c r="Q896" s="12">
        <f t="shared" si="137"/>
        <v>236.0224855580006</v>
      </c>
      <c r="R896" s="13">
        <f t="shared" si="138"/>
        <v>236.0224855580006</v>
      </c>
      <c r="S896" s="3" t="s">
        <v>31</v>
      </c>
      <c r="T896" s="3" t="s">
        <v>32</v>
      </c>
      <c r="U896" s="10">
        <v>0</v>
      </c>
      <c r="V896" s="3">
        <v>0</v>
      </c>
      <c r="W896" s="3">
        <f t="shared" si="139"/>
        <v>0</v>
      </c>
      <c r="AA896" s="3">
        <v>34.200000000000003</v>
      </c>
    </row>
    <row r="897" spans="1:27" x14ac:dyDescent="0.3">
      <c r="A897" s="3" t="str">
        <f t="shared" si="130"/>
        <v>West9410149902319</v>
      </c>
      <c r="B897" s="3" t="str">
        <f t="shared" si="131"/>
        <v>Mah9410149902319</v>
      </c>
      <c r="C897" s="10">
        <v>9410149902319</v>
      </c>
      <c r="D897" s="10" t="str">
        <f t="shared" si="132"/>
        <v>9410149902</v>
      </c>
      <c r="E897" s="3" t="s">
        <v>1</v>
      </c>
      <c r="F897" s="3" t="s">
        <v>63</v>
      </c>
      <c r="H897" s="3">
        <v>13.129</v>
      </c>
      <c r="I897" s="10">
        <f t="shared" si="133"/>
        <v>937.08595676027983</v>
      </c>
      <c r="J897" s="3">
        <v>0.42031362988481713</v>
      </c>
      <c r="K897" s="3">
        <v>0</v>
      </c>
      <c r="L897" s="3">
        <f t="shared" si="134"/>
        <v>0</v>
      </c>
      <c r="N897" s="11">
        <f t="shared" si="135"/>
        <v>12.708686370115183</v>
      </c>
      <c r="O897" s="3">
        <v>0.42031362988481713</v>
      </c>
      <c r="P897" s="11">
        <f t="shared" si="136"/>
        <v>907.08595676027983</v>
      </c>
      <c r="Q897" s="12">
        <f t="shared" si="137"/>
        <v>907.08595676027983</v>
      </c>
      <c r="R897" s="13">
        <f t="shared" si="138"/>
        <v>907.08595676027983</v>
      </c>
      <c r="S897" s="3" t="s">
        <v>31</v>
      </c>
      <c r="T897" s="3" t="s">
        <v>32</v>
      </c>
      <c r="U897" s="10">
        <v>9410149900999</v>
      </c>
      <c r="V897" s="3">
        <v>0.1</v>
      </c>
      <c r="W897" s="3">
        <f t="shared" si="139"/>
        <v>0</v>
      </c>
      <c r="AA897" s="3">
        <v>34.200000000000003</v>
      </c>
    </row>
    <row r="898" spans="1:27" x14ac:dyDescent="0.3">
      <c r="A898" s="3" t="str">
        <f t="shared" si="130"/>
        <v>West9410149902295</v>
      </c>
      <c r="B898" s="3" t="str">
        <f t="shared" si="131"/>
        <v>Mah9410149902295</v>
      </c>
      <c r="C898" s="10">
        <v>9410149902295</v>
      </c>
      <c r="D898" s="10" t="str">
        <f t="shared" si="132"/>
        <v>9410149902</v>
      </c>
      <c r="E898" s="3" t="s">
        <v>1</v>
      </c>
      <c r="F898" s="3" t="s">
        <v>63</v>
      </c>
      <c r="H898" s="3">
        <v>12.577999999999999</v>
      </c>
      <c r="I898" s="10">
        <f t="shared" si="133"/>
        <v>1613.4078883442053</v>
      </c>
      <c r="J898" s="3">
        <v>0.23387762185001668</v>
      </c>
      <c r="K898" s="3">
        <v>0</v>
      </c>
      <c r="L898" s="3">
        <f t="shared" si="134"/>
        <v>0</v>
      </c>
      <c r="N898" s="11">
        <f t="shared" si="135"/>
        <v>12.344122378149983</v>
      </c>
      <c r="O898" s="3">
        <v>0.23387762185001668</v>
      </c>
      <c r="P898" s="11">
        <f t="shared" si="136"/>
        <v>1583.4078883442053</v>
      </c>
      <c r="Q898" s="12">
        <f t="shared" si="137"/>
        <v>1583.4078883442053</v>
      </c>
      <c r="R898" s="13">
        <f t="shared" si="138"/>
        <v>1583.4078883442053</v>
      </c>
      <c r="S898" s="3" t="s">
        <v>31</v>
      </c>
      <c r="T898" s="3" t="s">
        <v>32</v>
      </c>
      <c r="U898" s="10">
        <v>9410149900999</v>
      </c>
      <c r="V898" s="3">
        <v>0.1</v>
      </c>
      <c r="W898" s="3">
        <f t="shared" si="139"/>
        <v>0</v>
      </c>
      <c r="AA898" s="3">
        <v>34.200000000000003</v>
      </c>
    </row>
    <row r="899" spans="1:27" x14ac:dyDescent="0.3">
      <c r="A899" s="3" t="str">
        <f t="shared" si="130"/>
        <v>West9101109900320</v>
      </c>
      <c r="B899" s="3" t="str">
        <f t="shared" si="131"/>
        <v>Mah9101109900320</v>
      </c>
      <c r="C899" s="14">
        <v>9101109900320</v>
      </c>
      <c r="D899" s="10" t="str">
        <f t="shared" si="132"/>
        <v>9101109900</v>
      </c>
      <c r="E899" s="3" t="s">
        <v>1</v>
      </c>
      <c r="F899" s="3" t="s">
        <v>63</v>
      </c>
      <c r="H899" s="3">
        <v>54.359000000000002</v>
      </c>
      <c r="I899" s="10">
        <f t="shared" si="133"/>
        <v>69.612586501772455</v>
      </c>
      <c r="J899" s="3">
        <v>23.426367011351861</v>
      </c>
      <c r="K899" s="3">
        <v>0</v>
      </c>
      <c r="L899" s="3">
        <f t="shared" si="134"/>
        <v>0</v>
      </c>
      <c r="M899" s="32"/>
      <c r="N899" s="11">
        <f t="shared" si="135"/>
        <v>30.932632988648141</v>
      </c>
      <c r="O899" s="3">
        <v>23.426367011351861</v>
      </c>
      <c r="P899" s="11">
        <f t="shared" si="136"/>
        <v>39.612586501772455</v>
      </c>
      <c r="Q899" s="12">
        <f t="shared" si="137"/>
        <v>39.612586501772455</v>
      </c>
      <c r="R899" s="13">
        <f t="shared" si="138"/>
        <v>45.040599103158151</v>
      </c>
      <c r="S899" s="3" t="s">
        <v>29</v>
      </c>
      <c r="T899" s="3" t="s">
        <v>34</v>
      </c>
      <c r="U899" s="10">
        <v>0</v>
      </c>
      <c r="V899" s="3">
        <v>0</v>
      </c>
      <c r="W899" s="3">
        <f t="shared" si="139"/>
        <v>0</v>
      </c>
      <c r="Y899" s="3">
        <v>0</v>
      </c>
      <c r="Z899" s="3">
        <v>120</v>
      </c>
      <c r="AA899" s="3">
        <v>35</v>
      </c>
    </row>
    <row r="900" spans="1:27" x14ac:dyDescent="0.3">
      <c r="A900" s="3" t="str">
        <f t="shared" ref="A900:A963" si="140">_xlfn.CONCAT(F900,C900)</f>
        <v>West9160909901320</v>
      </c>
      <c r="B900" s="3" t="str">
        <f t="shared" ref="B900:B963" si="141">_xlfn.CONCAT(E900,C900)</f>
        <v>Mah9160909901320</v>
      </c>
      <c r="C900" s="14">
        <v>9160909901320</v>
      </c>
      <c r="D900" s="10" t="str">
        <f t="shared" ref="D900:D963" si="142">LEFT(C900,10)</f>
        <v>9160909901</v>
      </c>
      <c r="E900" s="3" t="s">
        <v>1</v>
      </c>
      <c r="F900" s="3" t="s">
        <v>63</v>
      </c>
      <c r="H900" s="3">
        <v>59.139999999999993</v>
      </c>
      <c r="I900" s="10">
        <f t="shared" ref="I900:I963" si="143">IFERROR(H900/J900*30,0)</f>
        <v>124.43171969524022</v>
      </c>
      <c r="J900" s="3">
        <v>14.258422244307107</v>
      </c>
      <c r="K900" s="3">
        <v>0</v>
      </c>
      <c r="L900" s="3">
        <f t="shared" ref="L900:L963" si="144">M900*G900</f>
        <v>0</v>
      </c>
      <c r="M900" s="32"/>
      <c r="N900" s="11">
        <f t="shared" ref="N900:N963" si="145">H900-J900+L900</f>
        <v>44.881577755692888</v>
      </c>
      <c r="O900" s="3">
        <v>14.258422244307107</v>
      </c>
      <c r="P900" s="11">
        <f t="shared" ref="P900:P963" si="146">IF(O900=0,9999,N900/O900*30)</f>
        <v>94.431719695240218</v>
      </c>
      <c r="Q900" s="12">
        <f t="shared" ref="Q900:Q963" si="147">IF(SUMIF($A:$A,$A900,$O:$O)=0,9999,SUMIF($A:$A,$A900,$N:$N)*30/SUMIF($A:$A,$A900,$O:$O))</f>
        <v>94.431719695240218</v>
      </c>
      <c r="R900" s="13">
        <f t="shared" ref="R900:R963" si="148">IF(SUMIF($C:$C,$C900,$O:$O)=0,9999,SUMIF($C:$C,$C900,$N:$N)*30/SUMIF($C:$C,$C900,$O:$O))</f>
        <v>79.654804762418195</v>
      </c>
      <c r="S900" s="3" t="s">
        <v>30</v>
      </c>
      <c r="T900" s="3" t="s">
        <v>34</v>
      </c>
      <c r="U900" s="10">
        <v>0</v>
      </c>
      <c r="V900" s="3">
        <v>0</v>
      </c>
      <c r="W900" s="3">
        <f t="shared" ref="W900:W963" si="149">IFERROR(K900*V900,0)</f>
        <v>0</v>
      </c>
      <c r="Y900" s="3">
        <v>0</v>
      </c>
      <c r="Z900" s="3">
        <v>360</v>
      </c>
      <c r="AA900" s="3">
        <v>35</v>
      </c>
    </row>
    <row r="901" spans="1:27" x14ac:dyDescent="0.3">
      <c r="A901" s="3" t="str">
        <f t="shared" si="140"/>
        <v>West9310039901320</v>
      </c>
      <c r="B901" s="3" t="str">
        <f t="shared" si="141"/>
        <v>Mah9310039901320</v>
      </c>
      <c r="C901" s="14">
        <v>9310039901320</v>
      </c>
      <c r="D901" s="10" t="str">
        <f t="shared" si="142"/>
        <v>9310039901</v>
      </c>
      <c r="E901" s="3" t="s">
        <v>1</v>
      </c>
      <c r="F901" s="3" t="s">
        <v>63</v>
      </c>
      <c r="H901" s="3">
        <v>27.258999999999997</v>
      </c>
      <c r="I901" s="10">
        <f t="shared" si="143"/>
        <v>67.103632502179053</v>
      </c>
      <c r="J901" s="3">
        <v>12.18667260633684</v>
      </c>
      <c r="K901" s="3">
        <v>17.5</v>
      </c>
      <c r="L901" s="3">
        <f t="shared" si="144"/>
        <v>0</v>
      </c>
      <c r="M901" s="32"/>
      <c r="N901" s="11">
        <f t="shared" si="145"/>
        <v>15.072327393663157</v>
      </c>
      <c r="O901" s="3">
        <v>12.18667260633684</v>
      </c>
      <c r="P901" s="11">
        <f t="shared" si="146"/>
        <v>37.103632502179053</v>
      </c>
      <c r="Q901" s="12">
        <f t="shared" si="147"/>
        <v>37.103632502179053</v>
      </c>
      <c r="R901" s="13">
        <f t="shared" si="148"/>
        <v>31.066758628273089</v>
      </c>
      <c r="S901" s="3" t="s">
        <v>29</v>
      </c>
      <c r="T901" s="3" t="s">
        <v>32</v>
      </c>
      <c r="U901" s="10">
        <v>9310039900999</v>
      </c>
      <c r="V901" s="3">
        <v>0.1</v>
      </c>
      <c r="W901" s="3">
        <f t="shared" si="149"/>
        <v>1.75</v>
      </c>
      <c r="Y901" s="3">
        <v>0</v>
      </c>
      <c r="Z901" s="3">
        <v>1566</v>
      </c>
      <c r="AA901" s="3">
        <v>35</v>
      </c>
    </row>
    <row r="902" spans="1:27" x14ac:dyDescent="0.3">
      <c r="A902" s="3" t="str">
        <f t="shared" si="140"/>
        <v>West9410029901320</v>
      </c>
      <c r="B902" s="3" t="str">
        <f t="shared" si="141"/>
        <v>Mah9410029901320</v>
      </c>
      <c r="C902" s="14">
        <v>9410029901320</v>
      </c>
      <c r="D902" s="10" t="str">
        <f t="shared" si="142"/>
        <v>9410029901</v>
      </c>
      <c r="E902" s="3" t="s">
        <v>1</v>
      </c>
      <c r="F902" s="3" t="s">
        <v>63</v>
      </c>
      <c r="H902" s="3">
        <v>23.919999999999998</v>
      </c>
      <c r="I902" s="10">
        <f t="shared" si="143"/>
        <v>88.706230931065903</v>
      </c>
      <c r="J902" s="3">
        <v>8.0896233834763063</v>
      </c>
      <c r="K902" s="3">
        <v>0</v>
      </c>
      <c r="L902" s="3">
        <f t="shared" si="144"/>
        <v>0</v>
      </c>
      <c r="M902" s="32"/>
      <c r="N902" s="11">
        <f t="shared" si="145"/>
        <v>15.830376616523692</v>
      </c>
      <c r="O902" s="3">
        <v>8.0896233834763063</v>
      </c>
      <c r="P902" s="11">
        <f t="shared" si="146"/>
        <v>58.706230931065903</v>
      </c>
      <c r="Q902" s="12">
        <f t="shared" si="147"/>
        <v>58.706230931065903</v>
      </c>
      <c r="R902" s="13">
        <f t="shared" si="148"/>
        <v>21.860453380312943</v>
      </c>
      <c r="S902" s="3" t="s">
        <v>30</v>
      </c>
      <c r="T902" s="3" t="s">
        <v>32</v>
      </c>
      <c r="U902" s="10">
        <v>9410029900999</v>
      </c>
      <c r="V902" s="3">
        <v>0.1</v>
      </c>
      <c r="W902" s="3">
        <f t="shared" si="149"/>
        <v>0</v>
      </c>
      <c r="Y902" s="3">
        <v>0</v>
      </c>
      <c r="Z902" s="3">
        <v>144</v>
      </c>
      <c r="AA902" s="3">
        <v>35</v>
      </c>
    </row>
    <row r="903" spans="1:27" x14ac:dyDescent="0.3">
      <c r="A903" s="3" t="str">
        <f t="shared" si="140"/>
        <v>West9410029901310</v>
      </c>
      <c r="B903" s="3" t="str">
        <f t="shared" si="141"/>
        <v>Mah9410029901310</v>
      </c>
      <c r="C903" s="10">
        <v>9410029901310</v>
      </c>
      <c r="D903" s="10" t="str">
        <f t="shared" si="142"/>
        <v>9410029901</v>
      </c>
      <c r="E903" s="3" t="s">
        <v>1</v>
      </c>
      <c r="F903" s="3" t="s">
        <v>63</v>
      </c>
      <c r="H903" s="3">
        <v>3.4999999999999996</v>
      </c>
      <c r="I903" s="10">
        <f t="shared" si="143"/>
        <v>35.346460912201245</v>
      </c>
      <c r="J903" s="3">
        <v>2.9705944326594533</v>
      </c>
      <c r="K903" s="3">
        <v>0</v>
      </c>
      <c r="L903" s="3">
        <f t="shared" si="144"/>
        <v>0</v>
      </c>
      <c r="M903" s="32"/>
      <c r="N903" s="11">
        <f t="shared" si="145"/>
        <v>0.52940556734054622</v>
      </c>
      <c r="O903" s="3">
        <v>2.9705944326594533</v>
      </c>
      <c r="P903" s="11">
        <f t="shared" si="146"/>
        <v>5.3464609122012403</v>
      </c>
      <c r="Q903" s="12">
        <f t="shared" si="147"/>
        <v>5.3464609122012403</v>
      </c>
      <c r="R903" s="13">
        <f t="shared" si="148"/>
        <v>12.577858451329639</v>
      </c>
      <c r="S903" s="3" t="s">
        <v>30</v>
      </c>
      <c r="T903" s="3" t="s">
        <v>32</v>
      </c>
      <c r="U903" s="10">
        <v>9410029900999</v>
      </c>
      <c r="V903" s="3">
        <v>0.1</v>
      </c>
      <c r="W903" s="3">
        <f t="shared" si="149"/>
        <v>0</v>
      </c>
      <c r="Y903" s="3">
        <v>0</v>
      </c>
      <c r="Z903" s="3">
        <v>149.5</v>
      </c>
      <c r="AA903" s="3">
        <v>35</v>
      </c>
    </row>
    <row r="904" spans="1:27" x14ac:dyDescent="0.3">
      <c r="A904" s="3" t="str">
        <f t="shared" si="140"/>
        <v>West9410029901840</v>
      </c>
      <c r="B904" s="3" t="str">
        <f t="shared" si="141"/>
        <v>Mah9410029901840</v>
      </c>
      <c r="C904" s="10">
        <v>9410029901840</v>
      </c>
      <c r="D904" s="10" t="str">
        <f t="shared" si="142"/>
        <v>9410029901</v>
      </c>
      <c r="E904" s="3" t="s">
        <v>1</v>
      </c>
      <c r="F904" s="3" t="s">
        <v>63</v>
      </c>
      <c r="H904" s="3">
        <v>16.492000000000001</v>
      </c>
      <c r="I904" s="10">
        <f t="shared" si="143"/>
        <v>205.63385614462712</v>
      </c>
      <c r="J904" s="3">
        <v>2.4060240335717076</v>
      </c>
      <c r="K904" s="3">
        <v>0</v>
      </c>
      <c r="L904" s="3">
        <f t="shared" si="144"/>
        <v>0</v>
      </c>
      <c r="M904" s="32"/>
      <c r="N904" s="11">
        <f t="shared" si="145"/>
        <v>14.085975966428293</v>
      </c>
      <c r="O904" s="3">
        <v>2.4060240335717076</v>
      </c>
      <c r="P904" s="11">
        <f t="shared" si="146"/>
        <v>175.63385614462712</v>
      </c>
      <c r="Q904" s="12">
        <f t="shared" si="147"/>
        <v>175.63385614462712</v>
      </c>
      <c r="R904" s="13">
        <f t="shared" si="148"/>
        <v>36.570428032612334</v>
      </c>
      <c r="S904" s="3" t="s">
        <v>30</v>
      </c>
      <c r="T904" s="3" t="s">
        <v>32</v>
      </c>
      <c r="U904" s="10">
        <v>0</v>
      </c>
      <c r="V904" s="3">
        <v>0</v>
      </c>
      <c r="W904" s="3">
        <f t="shared" si="149"/>
        <v>0</v>
      </c>
      <c r="Y904" s="3">
        <v>0</v>
      </c>
      <c r="Z904" s="3">
        <v>0</v>
      </c>
      <c r="AA904" s="3">
        <v>35</v>
      </c>
    </row>
    <row r="905" spans="1:27" x14ac:dyDescent="0.3">
      <c r="A905" s="3" t="str">
        <f t="shared" si="140"/>
        <v>West9410029901210</v>
      </c>
      <c r="B905" s="3" t="str">
        <f t="shared" si="141"/>
        <v>Mah9410029901210</v>
      </c>
      <c r="C905" s="10">
        <v>9410029901210</v>
      </c>
      <c r="D905" s="10" t="str">
        <f t="shared" si="142"/>
        <v>9410029901</v>
      </c>
      <c r="E905" s="3" t="s">
        <v>1</v>
      </c>
      <c r="F905" s="3" t="s">
        <v>63</v>
      </c>
      <c r="H905" s="3">
        <v>1.6029999999999998</v>
      </c>
      <c r="I905" s="10">
        <f t="shared" si="143"/>
        <v>34.699498065090303</v>
      </c>
      <c r="J905" s="3">
        <v>1.3858990095416193</v>
      </c>
      <c r="K905" s="3">
        <v>0</v>
      </c>
      <c r="L905" s="3">
        <f t="shared" si="144"/>
        <v>0</v>
      </c>
      <c r="M905" s="32"/>
      <c r="N905" s="11">
        <f t="shared" si="145"/>
        <v>0.21710099045838049</v>
      </c>
      <c r="O905" s="3">
        <v>1.3858990095416193</v>
      </c>
      <c r="P905" s="11">
        <f t="shared" si="146"/>
        <v>4.6994980650903084</v>
      </c>
      <c r="Q905" s="12">
        <f t="shared" si="147"/>
        <v>4.6994980650903084</v>
      </c>
      <c r="R905" s="13">
        <f t="shared" si="148"/>
        <v>8.498858437043161</v>
      </c>
      <c r="S905" s="3" t="s">
        <v>30</v>
      </c>
      <c r="T905" s="3" t="s">
        <v>32</v>
      </c>
      <c r="U905" s="10">
        <v>0</v>
      </c>
      <c r="V905" s="3">
        <v>0</v>
      </c>
      <c r="W905" s="3">
        <f t="shared" si="149"/>
        <v>0</v>
      </c>
      <c r="Y905" s="3">
        <v>0</v>
      </c>
      <c r="Z905" s="3">
        <v>216</v>
      </c>
      <c r="AA905" s="3">
        <v>35</v>
      </c>
    </row>
    <row r="906" spans="1:27" x14ac:dyDescent="0.3">
      <c r="A906" s="3" t="str">
        <f t="shared" si="140"/>
        <v>West9310029900320</v>
      </c>
      <c r="B906" s="3" t="str">
        <f t="shared" si="141"/>
        <v>Mah9310029900320</v>
      </c>
      <c r="C906" s="10">
        <v>9310029900320</v>
      </c>
      <c r="D906" s="10" t="str">
        <f t="shared" si="142"/>
        <v>9310029900</v>
      </c>
      <c r="E906" s="3" t="s">
        <v>1</v>
      </c>
      <c r="F906" s="3" t="s">
        <v>63</v>
      </c>
      <c r="H906" s="3">
        <v>1.7000000000000002</v>
      </c>
      <c r="I906" s="10">
        <f t="shared" si="143"/>
        <v>43.17746010820003</v>
      </c>
      <c r="J906" s="3">
        <v>1.1811718399414226</v>
      </c>
      <c r="K906" s="3">
        <v>0</v>
      </c>
      <c r="L906" s="3">
        <f t="shared" si="144"/>
        <v>0</v>
      </c>
      <c r="M906" s="32"/>
      <c r="N906" s="11">
        <f t="shared" si="145"/>
        <v>0.51882816005857757</v>
      </c>
      <c r="O906" s="3">
        <v>1.1811718399414226</v>
      </c>
      <c r="P906" s="11">
        <f t="shared" si="146"/>
        <v>13.177460108200028</v>
      </c>
      <c r="Q906" s="12">
        <f t="shared" si="147"/>
        <v>13.17746010820003</v>
      </c>
      <c r="R906" s="13">
        <f t="shared" si="148"/>
        <v>63.892856759683227</v>
      </c>
      <c r="S906" s="3" t="s">
        <v>31</v>
      </c>
      <c r="T906" s="3" t="s">
        <v>32</v>
      </c>
      <c r="U906" s="10">
        <v>9310029900999</v>
      </c>
      <c r="V906" s="3">
        <v>0.1</v>
      </c>
      <c r="W906" s="3">
        <f t="shared" si="149"/>
        <v>0</v>
      </c>
      <c r="Y906" s="3">
        <v>0</v>
      </c>
      <c r="Z906" s="3">
        <v>507</v>
      </c>
      <c r="AA906" s="3">
        <v>35</v>
      </c>
    </row>
    <row r="907" spans="1:27" x14ac:dyDescent="0.3">
      <c r="A907" s="3" t="str">
        <f t="shared" si="140"/>
        <v>West9310039901310</v>
      </c>
      <c r="B907" s="3" t="str">
        <f t="shared" si="141"/>
        <v>Mah9310039901310</v>
      </c>
      <c r="C907" s="10">
        <v>9310039901310</v>
      </c>
      <c r="D907" s="10" t="str">
        <f t="shared" si="142"/>
        <v>9310039901</v>
      </c>
      <c r="E907" s="3" t="s">
        <v>1</v>
      </c>
      <c r="F907" s="3" t="s">
        <v>63</v>
      </c>
      <c r="H907" s="3">
        <v>2.1700000000000004</v>
      </c>
      <c r="I907" s="10">
        <f t="shared" si="143"/>
        <v>56.732725732322109</v>
      </c>
      <c r="J907" s="3">
        <v>1.1474858498277802</v>
      </c>
      <c r="K907" s="3">
        <v>17.5</v>
      </c>
      <c r="L907" s="3">
        <f t="shared" si="144"/>
        <v>0</v>
      </c>
      <c r="M907" s="32"/>
      <c r="N907" s="11">
        <f t="shared" si="145"/>
        <v>1.0225141501722201</v>
      </c>
      <c r="O907" s="3">
        <v>1.1474858498277802</v>
      </c>
      <c r="P907" s="11">
        <f t="shared" si="146"/>
        <v>26.732725732322109</v>
      </c>
      <c r="Q907" s="12">
        <f t="shared" si="147"/>
        <v>26.732725732322109</v>
      </c>
      <c r="R907" s="13">
        <f t="shared" si="148"/>
        <v>26.606476274762038</v>
      </c>
      <c r="S907" s="3" t="s">
        <v>30</v>
      </c>
      <c r="T907" s="3" t="s">
        <v>32</v>
      </c>
      <c r="U907" s="10">
        <v>9310039900999</v>
      </c>
      <c r="V907" s="3">
        <v>0.1</v>
      </c>
      <c r="W907" s="3">
        <f t="shared" si="149"/>
        <v>1.75</v>
      </c>
      <c r="Y907" s="3">
        <v>0</v>
      </c>
      <c r="Z907" s="3">
        <v>210</v>
      </c>
      <c r="AA907" s="3">
        <v>35</v>
      </c>
    </row>
    <row r="908" spans="1:27" x14ac:dyDescent="0.3">
      <c r="A908" s="3" t="str">
        <f t="shared" si="140"/>
        <v>West9310039901840</v>
      </c>
      <c r="B908" s="3" t="str">
        <f t="shared" si="141"/>
        <v>Mah9310039901840</v>
      </c>
      <c r="C908" s="10">
        <v>9310039901840</v>
      </c>
      <c r="D908" s="10" t="str">
        <f t="shared" si="142"/>
        <v>9310039901</v>
      </c>
      <c r="E908" s="3" t="s">
        <v>1</v>
      </c>
      <c r="F908" s="3" t="s">
        <v>63</v>
      </c>
      <c r="H908" s="3">
        <v>1.732</v>
      </c>
      <c r="I908" s="10">
        <f t="shared" si="143"/>
        <v>111.40954571313438</v>
      </c>
      <c r="J908" s="3">
        <v>0.46638732495858559</v>
      </c>
      <c r="K908" s="3">
        <v>0</v>
      </c>
      <c r="L908" s="3">
        <f t="shared" si="144"/>
        <v>0</v>
      </c>
      <c r="N908" s="11">
        <f t="shared" si="145"/>
        <v>1.2656126750414143</v>
      </c>
      <c r="O908" s="3">
        <v>0.46638732495858559</v>
      </c>
      <c r="P908" s="11">
        <f t="shared" si="146"/>
        <v>81.409545713134364</v>
      </c>
      <c r="Q908" s="12">
        <f t="shared" si="147"/>
        <v>81.409545713134378</v>
      </c>
      <c r="R908" s="13">
        <f t="shared" si="148"/>
        <v>42.929882151854791</v>
      </c>
      <c r="S908" s="3" t="s">
        <v>31</v>
      </c>
      <c r="T908" s="3" t="s">
        <v>32</v>
      </c>
      <c r="U908" s="10">
        <v>0</v>
      </c>
      <c r="V908" s="3">
        <v>0</v>
      </c>
      <c r="W908" s="3">
        <f t="shared" si="149"/>
        <v>0</v>
      </c>
      <c r="AA908" s="3">
        <v>35</v>
      </c>
    </row>
    <row r="909" spans="1:27" x14ac:dyDescent="0.3">
      <c r="A909" s="3" t="str">
        <f t="shared" si="140"/>
        <v>West9410029900320</v>
      </c>
      <c r="B909" s="3" t="str">
        <f t="shared" si="141"/>
        <v>Mah9410029900320</v>
      </c>
      <c r="C909" s="10">
        <v>9410029900320</v>
      </c>
      <c r="D909" s="10" t="str">
        <f t="shared" si="142"/>
        <v>9410029900</v>
      </c>
      <c r="E909" s="3" t="s">
        <v>1</v>
      </c>
      <c r="F909" s="3" t="s">
        <v>63</v>
      </c>
      <c r="H909" s="3">
        <v>3.8800000000000008</v>
      </c>
      <c r="I909" s="10">
        <f t="shared" si="143"/>
        <v>264.83471350921957</v>
      </c>
      <c r="J909" s="3">
        <v>0.4395194212179736</v>
      </c>
      <c r="K909" s="3">
        <v>0</v>
      </c>
      <c r="L909" s="3">
        <f t="shared" si="144"/>
        <v>0</v>
      </c>
      <c r="N909" s="11">
        <f t="shared" si="145"/>
        <v>3.4404805787820272</v>
      </c>
      <c r="O909" s="3">
        <v>0.4395194212179736</v>
      </c>
      <c r="P909" s="11">
        <f t="shared" si="146"/>
        <v>234.83471350921954</v>
      </c>
      <c r="Q909" s="12">
        <f t="shared" si="147"/>
        <v>234.83471350921951</v>
      </c>
      <c r="R909" s="13">
        <f t="shared" si="148"/>
        <v>18.008421131063521</v>
      </c>
      <c r="S909" s="3" t="s">
        <v>30</v>
      </c>
      <c r="T909" s="3" t="s">
        <v>32</v>
      </c>
      <c r="U909" s="10">
        <v>9410029900999</v>
      </c>
      <c r="V909" s="3">
        <v>0.1</v>
      </c>
      <c r="W909" s="3">
        <f t="shared" si="149"/>
        <v>0</v>
      </c>
      <c r="AA909" s="3">
        <v>35</v>
      </c>
    </row>
    <row r="910" spans="1:27" x14ac:dyDescent="0.3">
      <c r="A910" s="3" t="str">
        <f t="shared" si="140"/>
        <v>West9410029900840</v>
      </c>
      <c r="B910" s="3" t="str">
        <f t="shared" si="141"/>
        <v>Mah9410029900840</v>
      </c>
      <c r="C910" s="10">
        <v>9410029900840</v>
      </c>
      <c r="D910" s="10" t="str">
        <f t="shared" si="142"/>
        <v>9410029900</v>
      </c>
      <c r="E910" s="3" t="s">
        <v>1</v>
      </c>
      <c r="F910" s="3" t="s">
        <v>63</v>
      </c>
      <c r="H910" s="3">
        <v>0.72800000000000009</v>
      </c>
      <c r="I910" s="10">
        <f t="shared" si="143"/>
        <v>70.41581058809868</v>
      </c>
      <c r="J910" s="3">
        <v>0.31015761684196658</v>
      </c>
      <c r="K910" s="3">
        <v>0</v>
      </c>
      <c r="L910" s="3">
        <f t="shared" si="144"/>
        <v>0</v>
      </c>
      <c r="N910" s="11">
        <f t="shared" si="145"/>
        <v>0.41784238315803351</v>
      </c>
      <c r="O910" s="3">
        <v>0.31015761684196658</v>
      </c>
      <c r="P910" s="11">
        <f t="shared" si="146"/>
        <v>40.415810588098672</v>
      </c>
      <c r="Q910" s="12">
        <f t="shared" si="147"/>
        <v>40.41581058809868</v>
      </c>
      <c r="R910" s="13">
        <f t="shared" si="148"/>
        <v>5.1087063375705419</v>
      </c>
      <c r="S910" s="3" t="s">
        <v>31</v>
      </c>
      <c r="T910" s="3" t="s">
        <v>32</v>
      </c>
      <c r="U910" s="10">
        <v>0</v>
      </c>
      <c r="V910" s="3">
        <v>0</v>
      </c>
      <c r="W910" s="3">
        <f t="shared" si="149"/>
        <v>0</v>
      </c>
      <c r="AA910" s="3">
        <v>35</v>
      </c>
    </row>
    <row r="911" spans="1:27" x14ac:dyDescent="0.3">
      <c r="A911" s="3" t="str">
        <f t="shared" si="140"/>
        <v>West9310039901210</v>
      </c>
      <c r="B911" s="3" t="str">
        <f t="shared" si="141"/>
        <v>Mah9310039901210</v>
      </c>
      <c r="C911" s="10">
        <v>9310039901210</v>
      </c>
      <c r="D911" s="10" t="str">
        <f t="shared" si="142"/>
        <v>9310039901</v>
      </c>
      <c r="E911" s="3" t="s">
        <v>1</v>
      </c>
      <c r="F911" s="3" t="s">
        <v>63</v>
      </c>
      <c r="H911" s="3">
        <v>1.0480000000000003</v>
      </c>
      <c r="I911" s="10">
        <f t="shared" si="143"/>
        <v>102.81289238863243</v>
      </c>
      <c r="J911" s="3">
        <v>0.30579822500428155</v>
      </c>
      <c r="K911" s="3">
        <v>0</v>
      </c>
      <c r="L911" s="3">
        <f t="shared" si="144"/>
        <v>0</v>
      </c>
      <c r="N911" s="11">
        <f t="shared" si="145"/>
        <v>0.74220177499571871</v>
      </c>
      <c r="O911" s="3">
        <v>0.30579822500428155</v>
      </c>
      <c r="P911" s="11">
        <f t="shared" si="146"/>
        <v>72.812892388632434</v>
      </c>
      <c r="Q911" s="12">
        <f t="shared" si="147"/>
        <v>72.812892388632434</v>
      </c>
      <c r="R911" s="13">
        <f t="shared" si="148"/>
        <v>97.336469979643681</v>
      </c>
      <c r="S911" s="3" t="s">
        <v>31</v>
      </c>
      <c r="T911" s="3" t="s">
        <v>32</v>
      </c>
      <c r="U911" s="10">
        <v>0</v>
      </c>
      <c r="V911" s="3">
        <v>0</v>
      </c>
      <c r="W911" s="3">
        <f t="shared" si="149"/>
        <v>0</v>
      </c>
      <c r="AA911" s="3">
        <v>35</v>
      </c>
    </row>
    <row r="912" spans="1:27" x14ac:dyDescent="0.3">
      <c r="A912" s="3" t="str">
        <f t="shared" si="140"/>
        <v>West9410029900310</v>
      </c>
      <c r="B912" s="3" t="str">
        <f t="shared" si="141"/>
        <v>Mah9410029900310</v>
      </c>
      <c r="C912" s="10">
        <v>9410029900310</v>
      </c>
      <c r="D912" s="10" t="str">
        <f t="shared" si="142"/>
        <v>9410029900</v>
      </c>
      <c r="E912" s="3" t="s">
        <v>1</v>
      </c>
      <c r="F912" s="3" t="s">
        <v>63</v>
      </c>
      <c r="H912" s="3">
        <v>0.75000000000000011</v>
      </c>
      <c r="I912" s="10">
        <f t="shared" si="143"/>
        <v>81.112796128911455</v>
      </c>
      <c r="J912" s="3">
        <v>0.2773914976897241</v>
      </c>
      <c r="K912" s="3">
        <v>0</v>
      </c>
      <c r="L912" s="3">
        <f t="shared" si="144"/>
        <v>0</v>
      </c>
      <c r="N912" s="11">
        <f t="shared" si="145"/>
        <v>0.47260850231027601</v>
      </c>
      <c r="O912" s="3">
        <v>0.2773914976897241</v>
      </c>
      <c r="P912" s="11">
        <f t="shared" si="146"/>
        <v>51.112796128911455</v>
      </c>
      <c r="Q912" s="12">
        <f t="shared" si="147"/>
        <v>51.112796128911455</v>
      </c>
      <c r="R912" s="13">
        <f t="shared" si="148"/>
        <v>-6.4410101637640524</v>
      </c>
      <c r="S912" s="3" t="s">
        <v>31</v>
      </c>
      <c r="T912" s="3" t="s">
        <v>32</v>
      </c>
      <c r="U912" s="10">
        <v>9410029900999</v>
      </c>
      <c r="V912" s="3">
        <v>0.1</v>
      </c>
      <c r="W912" s="3">
        <f t="shared" si="149"/>
        <v>0</v>
      </c>
      <c r="AA912" s="3">
        <v>35</v>
      </c>
    </row>
    <row r="913" spans="1:27" x14ac:dyDescent="0.3">
      <c r="A913" s="3" t="str">
        <f t="shared" si="140"/>
        <v>West9410029900210</v>
      </c>
      <c r="B913" s="3" t="str">
        <f t="shared" si="141"/>
        <v>Mah9410029900210</v>
      </c>
      <c r="C913" s="10">
        <v>9410029900210</v>
      </c>
      <c r="D913" s="10" t="str">
        <f t="shared" si="142"/>
        <v>9410029900</v>
      </c>
      <c r="E913" s="3" t="s">
        <v>1</v>
      </c>
      <c r="F913" s="3" t="s">
        <v>63</v>
      </c>
      <c r="H913" s="3">
        <v>0.55300000000000005</v>
      </c>
      <c r="I913" s="10">
        <f t="shared" si="143"/>
        <v>124.30660096439057</v>
      </c>
      <c r="J913" s="3">
        <v>0.1334603301135428</v>
      </c>
      <c r="K913" s="3">
        <v>0</v>
      </c>
      <c r="L913" s="3">
        <f t="shared" si="144"/>
        <v>0</v>
      </c>
      <c r="N913" s="11">
        <f t="shared" si="145"/>
        <v>0.41953966988645724</v>
      </c>
      <c r="O913" s="3">
        <v>0.1334603301135428</v>
      </c>
      <c r="P913" s="11">
        <f t="shared" si="146"/>
        <v>94.306600964390555</v>
      </c>
      <c r="Q913" s="12">
        <f t="shared" si="147"/>
        <v>94.306600964390555</v>
      </c>
      <c r="R913" s="13">
        <f t="shared" si="148"/>
        <v>80.018962520459795</v>
      </c>
      <c r="S913" s="3" t="s">
        <v>31</v>
      </c>
      <c r="T913" s="3" t="s">
        <v>32</v>
      </c>
      <c r="U913" s="10">
        <v>0</v>
      </c>
      <c r="V913" s="3">
        <v>0</v>
      </c>
      <c r="W913" s="3">
        <f t="shared" si="149"/>
        <v>0</v>
      </c>
      <c r="AA913" s="3">
        <v>35</v>
      </c>
    </row>
    <row r="914" spans="1:27" x14ac:dyDescent="0.3">
      <c r="A914" s="3" t="str">
        <f t="shared" si="140"/>
        <v>West9310029900310</v>
      </c>
      <c r="B914" s="3" t="str">
        <f t="shared" si="141"/>
        <v>Mah9310029900310</v>
      </c>
      <c r="C914" s="10">
        <v>9310029900310</v>
      </c>
      <c r="D914" s="10" t="str">
        <f t="shared" si="142"/>
        <v>9310029900</v>
      </c>
      <c r="E914" s="3" t="s">
        <v>1</v>
      </c>
      <c r="F914" s="3" t="s">
        <v>63</v>
      </c>
      <c r="H914" s="3">
        <v>2.7699999999999996</v>
      </c>
      <c r="I914" s="10">
        <f t="shared" si="143"/>
        <v>3359.8292511383461</v>
      </c>
      <c r="J914" s="3">
        <v>2.4733399761861355E-2</v>
      </c>
      <c r="K914" s="3">
        <v>0</v>
      </c>
      <c r="L914" s="3">
        <f t="shared" si="144"/>
        <v>0</v>
      </c>
      <c r="N914" s="11">
        <f t="shared" si="145"/>
        <v>2.7452666002381383</v>
      </c>
      <c r="O914" s="3">
        <v>2.4733399761861355E-2</v>
      </c>
      <c r="P914" s="11">
        <f t="shared" si="146"/>
        <v>3329.8292511383461</v>
      </c>
      <c r="Q914" s="12">
        <f t="shared" si="147"/>
        <v>3329.8292511383461</v>
      </c>
      <c r="R914" s="13">
        <f t="shared" si="148"/>
        <v>309.77333263500134</v>
      </c>
      <c r="S914" s="3" t="s">
        <v>31</v>
      </c>
      <c r="T914" s="3" t="s">
        <v>32</v>
      </c>
      <c r="U914" s="10">
        <v>9310029900999</v>
      </c>
      <c r="V914" s="3">
        <v>0.1</v>
      </c>
      <c r="W914" s="3">
        <f t="shared" si="149"/>
        <v>0</v>
      </c>
      <c r="AA914" s="3">
        <v>35</v>
      </c>
    </row>
    <row r="915" spans="1:27" x14ac:dyDescent="0.3">
      <c r="A915" s="3" t="str">
        <f t="shared" si="140"/>
        <v>West9101109900210</v>
      </c>
      <c r="B915" s="3" t="str">
        <f t="shared" si="141"/>
        <v>Mah9101109900210</v>
      </c>
      <c r="C915" s="10">
        <v>9101109900210</v>
      </c>
      <c r="D915" s="10" t="str">
        <f t="shared" si="142"/>
        <v>9101109900</v>
      </c>
      <c r="E915" s="3" t="s">
        <v>1</v>
      </c>
      <c r="F915" s="3" t="s">
        <v>63</v>
      </c>
      <c r="H915" s="3">
        <v>0</v>
      </c>
      <c r="I915" s="10">
        <f t="shared" si="143"/>
        <v>0</v>
      </c>
      <c r="J915" s="3">
        <v>0</v>
      </c>
      <c r="K915" s="3">
        <v>0</v>
      </c>
      <c r="L915" s="3">
        <f t="shared" si="144"/>
        <v>0</v>
      </c>
      <c r="N915" s="11">
        <f t="shared" si="145"/>
        <v>0</v>
      </c>
      <c r="O915" s="3">
        <v>0</v>
      </c>
      <c r="P915" s="11">
        <f t="shared" si="146"/>
        <v>9999</v>
      </c>
      <c r="Q915" s="12">
        <f t="shared" si="147"/>
        <v>9999</v>
      </c>
      <c r="R915" s="13">
        <f t="shared" si="148"/>
        <v>9999</v>
      </c>
      <c r="S915" s="3" t="s">
        <v>31</v>
      </c>
      <c r="T915" s="3" t="s">
        <v>34</v>
      </c>
      <c r="U915" s="10" t="s">
        <v>72</v>
      </c>
      <c r="V915" s="3" t="s">
        <v>72</v>
      </c>
      <c r="W915" s="3">
        <f t="shared" si="149"/>
        <v>0</v>
      </c>
      <c r="AA915" s="3">
        <v>35</v>
      </c>
    </row>
    <row r="916" spans="1:27" x14ac:dyDescent="0.3">
      <c r="A916" s="3" t="str">
        <f t="shared" si="140"/>
        <v>West9310029900210</v>
      </c>
      <c r="B916" s="3" t="str">
        <f t="shared" si="141"/>
        <v>Mah9310029900210</v>
      </c>
      <c r="C916" s="10">
        <v>9310029900210</v>
      </c>
      <c r="D916" s="10" t="str">
        <f t="shared" si="142"/>
        <v>9310029900</v>
      </c>
      <c r="E916" s="3" t="s">
        <v>1</v>
      </c>
      <c r="F916" s="3" t="s">
        <v>63</v>
      </c>
      <c r="H916" s="3">
        <v>1.7830000000000001</v>
      </c>
      <c r="I916" s="10">
        <f t="shared" si="143"/>
        <v>0</v>
      </c>
      <c r="J916" s="3">
        <v>0</v>
      </c>
      <c r="K916" s="3">
        <v>0</v>
      </c>
      <c r="L916" s="3">
        <f t="shared" si="144"/>
        <v>0</v>
      </c>
      <c r="N916" s="11">
        <f t="shared" si="145"/>
        <v>1.7830000000000001</v>
      </c>
      <c r="O916" s="3">
        <v>0</v>
      </c>
      <c r="P916" s="11">
        <f t="shared" si="146"/>
        <v>9999</v>
      </c>
      <c r="Q916" s="12">
        <f t="shared" si="147"/>
        <v>9999</v>
      </c>
      <c r="R916" s="13">
        <f t="shared" si="148"/>
        <v>2174.2698828132511</v>
      </c>
      <c r="S916" s="3" t="s">
        <v>31</v>
      </c>
      <c r="T916" s="3" t="s">
        <v>32</v>
      </c>
      <c r="U916" s="10">
        <v>0</v>
      </c>
      <c r="V916" s="3">
        <v>0</v>
      </c>
      <c r="W916" s="3">
        <f t="shared" si="149"/>
        <v>0</v>
      </c>
      <c r="AA916" s="3">
        <v>35</v>
      </c>
    </row>
    <row r="917" spans="1:27" x14ac:dyDescent="0.3">
      <c r="A917" s="3" t="str">
        <f t="shared" si="140"/>
        <v>West9160909901210</v>
      </c>
      <c r="B917" s="3" t="str">
        <f t="shared" si="141"/>
        <v>Mah9160909901210</v>
      </c>
      <c r="C917" s="10">
        <v>9160909901210</v>
      </c>
      <c r="D917" s="10" t="str">
        <f t="shared" si="142"/>
        <v>9160909901</v>
      </c>
      <c r="E917" s="3" t="s">
        <v>1</v>
      </c>
      <c r="F917" s="3" t="s">
        <v>63</v>
      </c>
      <c r="H917" s="3">
        <v>0</v>
      </c>
      <c r="I917" s="10">
        <f t="shared" si="143"/>
        <v>0</v>
      </c>
      <c r="J917" s="3">
        <v>0</v>
      </c>
      <c r="K917" s="3">
        <v>0</v>
      </c>
      <c r="L917" s="3">
        <f t="shared" si="144"/>
        <v>0</v>
      </c>
      <c r="N917" s="11">
        <f t="shared" si="145"/>
        <v>0</v>
      </c>
      <c r="O917" s="3">
        <v>0</v>
      </c>
      <c r="P917" s="11">
        <f t="shared" si="146"/>
        <v>9999</v>
      </c>
      <c r="Q917" s="12">
        <f t="shared" si="147"/>
        <v>9999</v>
      </c>
      <c r="R917" s="13">
        <f t="shared" si="148"/>
        <v>9999</v>
      </c>
      <c r="S917" s="3" t="s">
        <v>31</v>
      </c>
      <c r="T917" s="3" t="s">
        <v>34</v>
      </c>
      <c r="U917" s="10" t="s">
        <v>72</v>
      </c>
      <c r="V917" s="3" t="s">
        <v>72</v>
      </c>
      <c r="W917" s="3">
        <f t="shared" si="149"/>
        <v>0</v>
      </c>
      <c r="AA917" s="3">
        <v>35</v>
      </c>
    </row>
    <row r="918" spans="1:27" x14ac:dyDescent="0.3">
      <c r="A918" s="3" t="str">
        <f t="shared" si="140"/>
        <v>West9310029900840</v>
      </c>
      <c r="B918" s="3" t="str">
        <f t="shared" si="141"/>
        <v>Mah9310029900840</v>
      </c>
      <c r="C918" s="10">
        <v>9310029900840</v>
      </c>
      <c r="D918" s="10" t="str">
        <f t="shared" si="142"/>
        <v>9310029900</v>
      </c>
      <c r="E918" s="3" t="s">
        <v>1</v>
      </c>
      <c r="F918" s="3" t="s">
        <v>63</v>
      </c>
      <c r="H918" s="3">
        <v>1.1120000000000001</v>
      </c>
      <c r="I918" s="10">
        <f t="shared" si="143"/>
        <v>0</v>
      </c>
      <c r="J918" s="3">
        <v>0</v>
      </c>
      <c r="K918" s="3">
        <v>0</v>
      </c>
      <c r="L918" s="3">
        <f t="shared" si="144"/>
        <v>0</v>
      </c>
      <c r="N918" s="11">
        <f t="shared" si="145"/>
        <v>1.1120000000000001</v>
      </c>
      <c r="O918" s="3">
        <v>0</v>
      </c>
      <c r="P918" s="11">
        <f t="shared" si="146"/>
        <v>9999</v>
      </c>
      <c r="Q918" s="12">
        <f t="shared" si="147"/>
        <v>9999</v>
      </c>
      <c r="R918" s="13">
        <f t="shared" si="148"/>
        <v>1357.0266447416436</v>
      </c>
      <c r="S918" s="3" t="s">
        <v>31</v>
      </c>
      <c r="T918" s="3" t="s">
        <v>32</v>
      </c>
      <c r="U918" s="10">
        <v>0</v>
      </c>
      <c r="V918" s="3">
        <v>0</v>
      </c>
      <c r="W918" s="3">
        <f t="shared" si="149"/>
        <v>0</v>
      </c>
      <c r="AA918" s="3">
        <v>35</v>
      </c>
    </row>
    <row r="919" spans="1:27" x14ac:dyDescent="0.3">
      <c r="A919" s="3" t="str">
        <f t="shared" si="140"/>
        <v>North9100309901320</v>
      </c>
      <c r="B919" s="3" t="str">
        <f t="shared" si="141"/>
        <v>Pan9100309901320</v>
      </c>
      <c r="C919" s="10">
        <v>9100309901320</v>
      </c>
      <c r="D919" s="10" t="str">
        <f t="shared" si="142"/>
        <v>9100309901</v>
      </c>
      <c r="E919" s="3" t="s">
        <v>2</v>
      </c>
      <c r="F919" s="3" t="s">
        <v>64</v>
      </c>
      <c r="H919" s="3">
        <v>80.94</v>
      </c>
      <c r="I919" s="10">
        <f t="shared" si="143"/>
        <v>85.653261104310985</v>
      </c>
      <c r="J919" s="3">
        <v>28.349183308302397</v>
      </c>
      <c r="K919" s="3">
        <v>35</v>
      </c>
      <c r="L919" s="3">
        <f t="shared" si="144"/>
        <v>0</v>
      </c>
      <c r="N919" s="11">
        <f t="shared" si="145"/>
        <v>52.590816691697597</v>
      </c>
      <c r="O919" s="3">
        <v>28.349183308302397</v>
      </c>
      <c r="P919" s="11">
        <f t="shared" si="146"/>
        <v>55.653261104310985</v>
      </c>
      <c r="Q919" s="12">
        <f t="shared" si="147"/>
        <v>44.720463344474609</v>
      </c>
      <c r="R919" s="13">
        <f t="shared" si="148"/>
        <v>38.292230513753402</v>
      </c>
      <c r="S919" s="3" t="s">
        <v>29</v>
      </c>
      <c r="T919" s="3" t="s">
        <v>34</v>
      </c>
      <c r="U919" s="10">
        <v>0</v>
      </c>
      <c r="V919" s="3">
        <v>0</v>
      </c>
      <c r="W919" s="3">
        <f t="shared" si="149"/>
        <v>0</v>
      </c>
      <c r="AA919" s="3">
        <v>35</v>
      </c>
    </row>
    <row r="920" spans="1:27" x14ac:dyDescent="0.3">
      <c r="A920" s="3" t="str">
        <f t="shared" si="140"/>
        <v>North9161109900320</v>
      </c>
      <c r="B920" s="3" t="str">
        <f t="shared" si="141"/>
        <v>Pan9161109900320</v>
      </c>
      <c r="C920" s="10">
        <v>9161109900320</v>
      </c>
      <c r="D920" s="10" t="str">
        <f t="shared" si="142"/>
        <v>9161109900</v>
      </c>
      <c r="E920" s="3" t="s">
        <v>2</v>
      </c>
      <c r="F920" s="3" t="s">
        <v>64</v>
      </c>
      <c r="H920" s="3">
        <v>47.72</v>
      </c>
      <c r="I920" s="10">
        <f t="shared" si="143"/>
        <v>86.049864129017351</v>
      </c>
      <c r="J920" s="3">
        <v>16.636865316295626</v>
      </c>
      <c r="K920" s="3">
        <v>35</v>
      </c>
      <c r="L920" s="3">
        <f t="shared" si="144"/>
        <v>0</v>
      </c>
      <c r="N920" s="11">
        <f t="shared" si="145"/>
        <v>31.083134683704372</v>
      </c>
      <c r="O920" s="3">
        <v>16.636865316295626</v>
      </c>
      <c r="P920" s="11">
        <f t="shared" si="146"/>
        <v>56.049864129017351</v>
      </c>
      <c r="Q920" s="12">
        <f t="shared" si="147"/>
        <v>37.448349995047664</v>
      </c>
      <c r="R920" s="13">
        <f t="shared" si="148"/>
        <v>29.817154882232217</v>
      </c>
      <c r="S920" s="3" t="s">
        <v>29</v>
      </c>
      <c r="T920" s="3" t="s">
        <v>34</v>
      </c>
      <c r="U920" s="10">
        <v>0</v>
      </c>
      <c r="V920" s="3">
        <v>0</v>
      </c>
      <c r="W920" s="3">
        <f t="shared" si="149"/>
        <v>0</v>
      </c>
      <c r="AA920" s="3">
        <v>35</v>
      </c>
    </row>
    <row r="921" spans="1:27" x14ac:dyDescent="0.3">
      <c r="A921" s="3" t="str">
        <f t="shared" si="140"/>
        <v>North9100509901320</v>
      </c>
      <c r="B921" s="3" t="str">
        <f t="shared" si="141"/>
        <v>Pan9100509901320</v>
      </c>
      <c r="C921" s="10">
        <v>9100509901320</v>
      </c>
      <c r="D921" s="10" t="str">
        <f t="shared" si="142"/>
        <v>9100509901</v>
      </c>
      <c r="E921" s="3" t="s">
        <v>2</v>
      </c>
      <c r="F921" s="3" t="s">
        <v>64</v>
      </c>
      <c r="H921" s="3">
        <v>26.26</v>
      </c>
      <c r="I921" s="10">
        <f t="shared" si="143"/>
        <v>73.369421276126502</v>
      </c>
      <c r="J921" s="3">
        <v>10.737443287648507</v>
      </c>
      <c r="K921" s="3">
        <v>0</v>
      </c>
      <c r="L921" s="3">
        <f t="shared" si="144"/>
        <v>0</v>
      </c>
      <c r="N921" s="11">
        <f t="shared" si="145"/>
        <v>15.522556712351495</v>
      </c>
      <c r="O921" s="3">
        <v>10.737443287648507</v>
      </c>
      <c r="P921" s="11">
        <f t="shared" si="146"/>
        <v>43.369421276126502</v>
      </c>
      <c r="Q921" s="12">
        <f t="shared" si="147"/>
        <v>31.145638828543198</v>
      </c>
      <c r="R921" s="13">
        <f t="shared" si="148"/>
        <v>43.827287758389929</v>
      </c>
      <c r="S921" s="3" t="s">
        <v>30</v>
      </c>
      <c r="T921" s="3" t="s">
        <v>34</v>
      </c>
      <c r="U921" s="10">
        <v>0</v>
      </c>
      <c r="V921" s="3">
        <v>0</v>
      </c>
      <c r="W921" s="3">
        <f t="shared" si="149"/>
        <v>0</v>
      </c>
      <c r="AA921" s="3">
        <v>35</v>
      </c>
    </row>
    <row r="922" spans="1:27" x14ac:dyDescent="0.3">
      <c r="A922" s="3" t="str">
        <f t="shared" si="140"/>
        <v>North9310039901320</v>
      </c>
      <c r="B922" s="3" t="str">
        <f t="shared" si="141"/>
        <v>Pan9310039901320</v>
      </c>
      <c r="C922" s="10">
        <v>9310039901320</v>
      </c>
      <c r="D922" s="10" t="str">
        <f t="shared" si="142"/>
        <v>9310039901</v>
      </c>
      <c r="E922" s="3" t="s">
        <v>2</v>
      </c>
      <c r="F922" s="3" t="s">
        <v>64</v>
      </c>
      <c r="H922" s="3">
        <v>16.119999999999997</v>
      </c>
      <c r="I922" s="10">
        <f t="shared" si="143"/>
        <v>69.69074916326241</v>
      </c>
      <c r="J922" s="3">
        <v>6.9392280296353945</v>
      </c>
      <c r="K922" s="3">
        <v>0</v>
      </c>
      <c r="L922" s="3">
        <f t="shared" si="144"/>
        <v>0</v>
      </c>
      <c r="N922" s="11">
        <f t="shared" si="145"/>
        <v>9.1807719703646029</v>
      </c>
      <c r="O922" s="3">
        <v>6.9392280296353945</v>
      </c>
      <c r="P922" s="11">
        <f t="shared" si="146"/>
        <v>39.69074916326241</v>
      </c>
      <c r="Q922" s="12">
        <f t="shared" si="147"/>
        <v>128.19639677362008</v>
      </c>
      <c r="R922" s="13">
        <f t="shared" si="148"/>
        <v>31.066758628273089</v>
      </c>
      <c r="S922" s="3" t="s">
        <v>29</v>
      </c>
      <c r="T922" s="3" t="s">
        <v>32</v>
      </c>
      <c r="U922" s="10">
        <v>9310039900999</v>
      </c>
      <c r="V922" s="3">
        <v>0.1</v>
      </c>
      <c r="W922" s="3">
        <f t="shared" si="149"/>
        <v>0</v>
      </c>
      <c r="AA922" s="3">
        <v>35</v>
      </c>
    </row>
    <row r="923" spans="1:27" x14ac:dyDescent="0.3">
      <c r="A923" s="3" t="str">
        <f t="shared" si="140"/>
        <v>North9310029901320</v>
      </c>
      <c r="B923" s="3" t="str">
        <f t="shared" si="141"/>
        <v>Pan9310029901320</v>
      </c>
      <c r="C923" s="10">
        <v>9310029901320</v>
      </c>
      <c r="D923" s="10" t="str">
        <f t="shared" si="142"/>
        <v>9310029901</v>
      </c>
      <c r="E923" s="3" t="s">
        <v>2</v>
      </c>
      <c r="F923" s="3" t="s">
        <v>64</v>
      </c>
      <c r="H923" s="3">
        <v>9.7599999999999962</v>
      </c>
      <c r="I923" s="10">
        <f t="shared" si="143"/>
        <v>78.403252912520685</v>
      </c>
      <c r="J923" s="3">
        <v>3.734538926933233</v>
      </c>
      <c r="K923" s="3">
        <v>0</v>
      </c>
      <c r="L923" s="3">
        <f t="shared" si="144"/>
        <v>0</v>
      </c>
      <c r="N923" s="11">
        <f t="shared" si="145"/>
        <v>6.0254610730667633</v>
      </c>
      <c r="O923" s="3">
        <v>3.734538926933233</v>
      </c>
      <c r="P923" s="11">
        <f t="shared" si="146"/>
        <v>48.403252912520692</v>
      </c>
      <c r="Q923" s="12">
        <f t="shared" si="147"/>
        <v>45.605738671680065</v>
      </c>
      <c r="R923" s="13">
        <f t="shared" si="148"/>
        <v>68.274718392050673</v>
      </c>
      <c r="S923" s="3" t="s">
        <v>31</v>
      </c>
      <c r="T923" s="3" t="s">
        <v>32</v>
      </c>
      <c r="U923" s="10">
        <v>9310029900999</v>
      </c>
      <c r="V923" s="3">
        <v>0.1</v>
      </c>
      <c r="W923" s="3">
        <f t="shared" si="149"/>
        <v>0</v>
      </c>
      <c r="AA923" s="3">
        <v>35</v>
      </c>
    </row>
    <row r="924" spans="1:27" x14ac:dyDescent="0.3">
      <c r="A924" s="3" t="str">
        <f t="shared" si="140"/>
        <v>North9160909901320</v>
      </c>
      <c r="B924" s="3" t="str">
        <f t="shared" si="141"/>
        <v>Pan9160909901320</v>
      </c>
      <c r="C924" s="10">
        <v>9160909901320</v>
      </c>
      <c r="D924" s="10" t="str">
        <f t="shared" si="142"/>
        <v>9160909901</v>
      </c>
      <c r="E924" s="3" t="s">
        <v>2</v>
      </c>
      <c r="F924" s="3" t="s">
        <v>64</v>
      </c>
      <c r="H924" s="3">
        <v>10.920000000000002</v>
      </c>
      <c r="I924" s="10">
        <f t="shared" si="143"/>
        <v>88.135494896405959</v>
      </c>
      <c r="J924" s="3">
        <v>3.7170041466841428</v>
      </c>
      <c r="K924" s="3">
        <v>0</v>
      </c>
      <c r="L924" s="3">
        <f t="shared" si="144"/>
        <v>0</v>
      </c>
      <c r="N924" s="11">
        <f t="shared" si="145"/>
        <v>7.2029958533158585</v>
      </c>
      <c r="O924" s="3">
        <v>3.7170041466841428</v>
      </c>
      <c r="P924" s="11">
        <f t="shared" si="146"/>
        <v>58.135494896405952</v>
      </c>
      <c r="Q924" s="12">
        <f t="shared" si="147"/>
        <v>63.624713239891626</v>
      </c>
      <c r="R924" s="13">
        <f t="shared" si="148"/>
        <v>79.654804762418195</v>
      </c>
      <c r="S924" s="3" t="s">
        <v>30</v>
      </c>
      <c r="T924" s="3" t="s">
        <v>34</v>
      </c>
      <c r="U924" s="10">
        <v>0</v>
      </c>
      <c r="V924" s="3">
        <v>0</v>
      </c>
      <c r="W924" s="3">
        <f t="shared" si="149"/>
        <v>0</v>
      </c>
      <c r="AA924" s="3">
        <v>35</v>
      </c>
    </row>
    <row r="925" spans="1:27" x14ac:dyDescent="0.3">
      <c r="A925" s="3" t="str">
        <f t="shared" si="140"/>
        <v>North9310039901310</v>
      </c>
      <c r="B925" s="3" t="str">
        <f t="shared" si="141"/>
        <v>Pan9310039901310</v>
      </c>
      <c r="C925" s="10">
        <v>9310039901310</v>
      </c>
      <c r="D925" s="10" t="str">
        <f t="shared" si="142"/>
        <v>9310039901</v>
      </c>
      <c r="E925" s="3" t="s">
        <v>2</v>
      </c>
      <c r="F925" s="3" t="s">
        <v>64</v>
      </c>
      <c r="H925" s="3">
        <v>2.3199999999999998</v>
      </c>
      <c r="I925" s="10">
        <f t="shared" si="143"/>
        <v>55.690613233565735</v>
      </c>
      <c r="J925" s="3">
        <v>1.2497617813633775</v>
      </c>
      <c r="K925" s="3">
        <v>0</v>
      </c>
      <c r="L925" s="3">
        <f t="shared" si="144"/>
        <v>0</v>
      </c>
      <c r="N925" s="11">
        <f t="shared" si="145"/>
        <v>1.0702382186366224</v>
      </c>
      <c r="O925" s="3">
        <v>1.2497617813633775</v>
      </c>
      <c r="P925" s="11">
        <f t="shared" si="146"/>
        <v>25.690613233565735</v>
      </c>
      <c r="Q925" s="12">
        <f t="shared" si="147"/>
        <v>42.445546366611588</v>
      </c>
      <c r="R925" s="13">
        <f t="shared" si="148"/>
        <v>26.606476274762038</v>
      </c>
      <c r="S925" s="3" t="s">
        <v>30</v>
      </c>
      <c r="T925" s="3" t="s">
        <v>32</v>
      </c>
      <c r="U925" s="10">
        <v>9310039900999</v>
      </c>
      <c r="V925" s="3">
        <v>0.1</v>
      </c>
      <c r="W925" s="3">
        <f t="shared" si="149"/>
        <v>0</v>
      </c>
      <c r="AA925" s="3">
        <v>35</v>
      </c>
    </row>
    <row r="926" spans="1:27" x14ac:dyDescent="0.3">
      <c r="A926" s="3" t="str">
        <f t="shared" si="140"/>
        <v>North9310029901310</v>
      </c>
      <c r="B926" s="3" t="str">
        <f t="shared" si="141"/>
        <v>Pan9310029901310</v>
      </c>
      <c r="C926" s="10">
        <v>9310029901310</v>
      </c>
      <c r="D926" s="10" t="str">
        <f t="shared" si="142"/>
        <v>9310029901</v>
      </c>
      <c r="E926" s="3" t="s">
        <v>2</v>
      </c>
      <c r="F926" s="3" t="s">
        <v>64</v>
      </c>
      <c r="H926" s="3">
        <v>2.8699999999999997</v>
      </c>
      <c r="I926" s="10">
        <f t="shared" si="143"/>
        <v>119.10983773804017</v>
      </c>
      <c r="J926" s="3">
        <v>0.72286220546585622</v>
      </c>
      <c r="K926" s="3">
        <v>0</v>
      </c>
      <c r="L926" s="3">
        <f t="shared" si="144"/>
        <v>0</v>
      </c>
      <c r="N926" s="11">
        <f t="shared" si="145"/>
        <v>2.1471377945341432</v>
      </c>
      <c r="O926" s="3">
        <v>0.72286220546585622</v>
      </c>
      <c r="P926" s="11">
        <f t="shared" si="146"/>
        <v>89.10983773804017</v>
      </c>
      <c r="Q926" s="12">
        <f t="shared" si="147"/>
        <v>101.28002928852297</v>
      </c>
      <c r="R926" s="13">
        <f t="shared" si="148"/>
        <v>236.16131981271428</v>
      </c>
      <c r="S926" s="3" t="s">
        <v>31</v>
      </c>
      <c r="T926" s="3" t="s">
        <v>32</v>
      </c>
      <c r="U926" s="10">
        <v>9310029900999</v>
      </c>
      <c r="V926" s="3">
        <v>0.1</v>
      </c>
      <c r="W926" s="3">
        <f t="shared" si="149"/>
        <v>0</v>
      </c>
      <c r="AA926" s="3">
        <v>35</v>
      </c>
    </row>
    <row r="927" spans="1:27" x14ac:dyDescent="0.3">
      <c r="A927" s="3" t="str">
        <f t="shared" si="140"/>
        <v>North9310039901840</v>
      </c>
      <c r="B927" s="3" t="str">
        <f t="shared" si="141"/>
        <v>Pan9310039901840</v>
      </c>
      <c r="C927" s="10">
        <v>9310039901840</v>
      </c>
      <c r="D927" s="10" t="str">
        <f t="shared" si="142"/>
        <v>9310039901</v>
      </c>
      <c r="E927" s="3" t="s">
        <v>2</v>
      </c>
      <c r="F927" s="3" t="s">
        <v>64</v>
      </c>
      <c r="H927" s="3">
        <v>1.6720000000000006</v>
      </c>
      <c r="I927" s="10">
        <f t="shared" si="143"/>
        <v>84.25498337645179</v>
      </c>
      <c r="J927" s="3">
        <v>0.59533570585237461</v>
      </c>
      <c r="K927" s="3">
        <v>0</v>
      </c>
      <c r="L927" s="3">
        <f t="shared" si="144"/>
        <v>0</v>
      </c>
      <c r="N927" s="11">
        <f t="shared" si="145"/>
        <v>1.0766642941476259</v>
      </c>
      <c r="O927" s="3">
        <v>0.59533570585237461</v>
      </c>
      <c r="P927" s="11">
        <f t="shared" si="146"/>
        <v>54.25498337645179</v>
      </c>
      <c r="Q927" s="12">
        <f t="shared" si="147"/>
        <v>111.23494091891811</v>
      </c>
      <c r="R927" s="13">
        <f t="shared" si="148"/>
        <v>42.929882151854791</v>
      </c>
      <c r="S927" s="3" t="s">
        <v>31</v>
      </c>
      <c r="T927" s="3" t="s">
        <v>32</v>
      </c>
      <c r="U927" s="10">
        <v>0</v>
      </c>
      <c r="V927" s="3">
        <v>0</v>
      </c>
      <c r="W927" s="3">
        <f t="shared" si="149"/>
        <v>0</v>
      </c>
      <c r="AA927" s="3">
        <v>35</v>
      </c>
    </row>
    <row r="928" spans="1:27" x14ac:dyDescent="0.3">
      <c r="A928" s="3" t="str">
        <f t="shared" si="140"/>
        <v>North9410019902195</v>
      </c>
      <c r="B928" s="3" t="str">
        <f t="shared" si="141"/>
        <v>Pan9410019902195</v>
      </c>
      <c r="C928" s="10">
        <v>9410019902195</v>
      </c>
      <c r="D928" s="10" t="str">
        <f t="shared" si="142"/>
        <v>9410019902</v>
      </c>
      <c r="E928" s="3" t="s">
        <v>2</v>
      </c>
      <c r="F928" s="3" t="s">
        <v>64</v>
      </c>
      <c r="H928" s="3">
        <v>2.0681500000000002</v>
      </c>
      <c r="I928" s="10">
        <f t="shared" si="143"/>
        <v>122.49312696740679</v>
      </c>
      <c r="J928" s="3">
        <v>0.50651413296444725</v>
      </c>
      <c r="K928" s="3">
        <v>0</v>
      </c>
      <c r="L928" s="3">
        <f t="shared" si="144"/>
        <v>0</v>
      </c>
      <c r="N928" s="11">
        <f t="shared" si="145"/>
        <v>1.561635867035553</v>
      </c>
      <c r="O928" s="3">
        <v>0.50651413296444725</v>
      </c>
      <c r="P928" s="11">
        <f t="shared" si="146"/>
        <v>92.493126967406795</v>
      </c>
      <c r="Q928" s="12">
        <f t="shared" si="147"/>
        <v>92.493126967406809</v>
      </c>
      <c r="R928" s="13">
        <f t="shared" si="148"/>
        <v>42.341008548262515</v>
      </c>
      <c r="S928" s="3" t="s">
        <v>31</v>
      </c>
      <c r="T928" s="3" t="s">
        <v>32</v>
      </c>
      <c r="U928" s="10">
        <v>0</v>
      </c>
      <c r="V928" s="3">
        <v>0</v>
      </c>
      <c r="W928" s="3">
        <f t="shared" si="149"/>
        <v>0</v>
      </c>
      <c r="AA928" s="3">
        <v>35</v>
      </c>
    </row>
    <row r="929" spans="1:27" x14ac:dyDescent="0.3">
      <c r="A929" s="3" t="str">
        <f t="shared" si="140"/>
        <v>North9410019902838</v>
      </c>
      <c r="B929" s="3" t="str">
        <f t="shared" si="141"/>
        <v>Pan9410019902838</v>
      </c>
      <c r="C929" s="10">
        <v>9410019902838</v>
      </c>
      <c r="D929" s="10" t="str">
        <f t="shared" si="142"/>
        <v>9410019902</v>
      </c>
      <c r="E929" s="3" t="s">
        <v>2</v>
      </c>
      <c r="F929" s="3" t="s">
        <v>64</v>
      </c>
      <c r="H929" s="3">
        <v>2.0862000000000003</v>
      </c>
      <c r="I929" s="10">
        <f t="shared" si="143"/>
        <v>129.51571265140248</v>
      </c>
      <c r="J929" s="3">
        <v>0.48323094332541039</v>
      </c>
      <c r="K929" s="3">
        <v>0</v>
      </c>
      <c r="L929" s="3">
        <f t="shared" si="144"/>
        <v>0</v>
      </c>
      <c r="N929" s="11">
        <f t="shared" si="145"/>
        <v>1.6029690566745898</v>
      </c>
      <c r="O929" s="3">
        <v>0.48323094332541039</v>
      </c>
      <c r="P929" s="11">
        <f t="shared" si="146"/>
        <v>99.515712651402481</v>
      </c>
      <c r="Q929" s="12">
        <f t="shared" si="147"/>
        <v>99.515712651402481</v>
      </c>
      <c r="R929" s="13">
        <f t="shared" si="148"/>
        <v>24.377359140430364</v>
      </c>
      <c r="S929" s="3" t="s">
        <v>31</v>
      </c>
      <c r="T929" s="3" t="s">
        <v>32</v>
      </c>
      <c r="U929" s="10">
        <v>0</v>
      </c>
      <c r="V929" s="3">
        <v>0</v>
      </c>
      <c r="W929" s="3">
        <f t="shared" si="149"/>
        <v>0</v>
      </c>
      <c r="AA929" s="3">
        <v>35</v>
      </c>
    </row>
    <row r="930" spans="1:27" x14ac:dyDescent="0.3">
      <c r="A930" s="3" t="str">
        <f t="shared" si="140"/>
        <v>North9310039902839</v>
      </c>
      <c r="B930" s="3" t="str">
        <f t="shared" si="141"/>
        <v>Pan9310039902839</v>
      </c>
      <c r="C930" s="10">
        <v>9310039902839</v>
      </c>
      <c r="D930" s="10" t="str">
        <f t="shared" si="142"/>
        <v>9310039902</v>
      </c>
      <c r="E930" s="3" t="s">
        <v>2</v>
      </c>
      <c r="F930" s="3" t="s">
        <v>64</v>
      </c>
      <c r="H930" s="3">
        <v>1.2987</v>
      </c>
      <c r="I930" s="10">
        <f t="shared" si="143"/>
        <v>171.38725183816774</v>
      </c>
      <c r="J930" s="3">
        <v>0.22732729291201242</v>
      </c>
      <c r="K930" s="3">
        <v>0</v>
      </c>
      <c r="L930" s="3">
        <f t="shared" si="144"/>
        <v>0</v>
      </c>
      <c r="N930" s="11">
        <f t="shared" si="145"/>
        <v>1.0713727070879875</v>
      </c>
      <c r="O930" s="3">
        <v>0.22732729291201242</v>
      </c>
      <c r="P930" s="11">
        <f t="shared" si="146"/>
        <v>141.38725183816774</v>
      </c>
      <c r="Q930" s="12">
        <f t="shared" si="147"/>
        <v>174.85313144632337</v>
      </c>
      <c r="R930" s="13">
        <f t="shared" si="148"/>
        <v>147.06389746158985</v>
      </c>
      <c r="S930" s="3" t="s">
        <v>31</v>
      </c>
      <c r="T930" s="3" t="s">
        <v>32</v>
      </c>
      <c r="U930" s="10">
        <v>0</v>
      </c>
      <c r="V930" s="3">
        <v>0</v>
      </c>
      <c r="W930" s="3">
        <f t="shared" si="149"/>
        <v>0</v>
      </c>
      <c r="AA930" s="3">
        <v>35</v>
      </c>
    </row>
    <row r="931" spans="1:27" x14ac:dyDescent="0.3">
      <c r="A931" s="3" t="str">
        <f t="shared" si="140"/>
        <v>North9310039901210</v>
      </c>
      <c r="B931" s="3" t="str">
        <f t="shared" si="141"/>
        <v>Pan9310039901210</v>
      </c>
      <c r="C931" s="10">
        <v>9310039901210</v>
      </c>
      <c r="D931" s="10" t="str">
        <f t="shared" si="142"/>
        <v>9310039901</v>
      </c>
      <c r="E931" s="3" t="s">
        <v>2</v>
      </c>
      <c r="F931" s="3" t="s">
        <v>64</v>
      </c>
      <c r="H931" s="3">
        <v>0.98200000000000021</v>
      </c>
      <c r="I931" s="10">
        <f t="shared" si="143"/>
        <v>143.20855738254306</v>
      </c>
      <c r="J931" s="3">
        <v>0.20571396387511645</v>
      </c>
      <c r="K931" s="3">
        <v>0</v>
      </c>
      <c r="L931" s="3">
        <f t="shared" si="144"/>
        <v>0</v>
      </c>
      <c r="N931" s="11">
        <f t="shared" si="145"/>
        <v>0.77628603612488378</v>
      </c>
      <c r="O931" s="3">
        <v>0.20571396387511645</v>
      </c>
      <c r="P931" s="11">
        <f t="shared" si="146"/>
        <v>113.20855738254306</v>
      </c>
      <c r="Q931" s="12">
        <f t="shared" si="147"/>
        <v>137.21337909645587</v>
      </c>
      <c r="R931" s="13">
        <f t="shared" si="148"/>
        <v>97.336469979643681</v>
      </c>
      <c r="S931" s="3" t="s">
        <v>31</v>
      </c>
      <c r="T931" s="3" t="s">
        <v>32</v>
      </c>
      <c r="U931" s="10">
        <v>0</v>
      </c>
      <c r="V931" s="3">
        <v>0</v>
      </c>
      <c r="W931" s="3">
        <f t="shared" si="149"/>
        <v>0</v>
      </c>
      <c r="AA931" s="3">
        <v>35</v>
      </c>
    </row>
    <row r="932" spans="1:27" x14ac:dyDescent="0.3">
      <c r="A932" s="3" t="str">
        <f t="shared" si="140"/>
        <v>North9310039902219</v>
      </c>
      <c r="B932" s="3" t="str">
        <f t="shared" si="141"/>
        <v>Pan9310039902219</v>
      </c>
      <c r="C932" s="10">
        <v>9310039902219</v>
      </c>
      <c r="D932" s="10" t="str">
        <f t="shared" si="142"/>
        <v>9310039902</v>
      </c>
      <c r="E932" s="3" t="s">
        <v>2</v>
      </c>
      <c r="F932" s="3" t="s">
        <v>64</v>
      </c>
      <c r="H932" s="3">
        <v>2.4960000000000004</v>
      </c>
      <c r="I932" s="10">
        <f t="shared" si="143"/>
        <v>367.5872892362251</v>
      </c>
      <c r="J932" s="3">
        <v>0.2037067172686686</v>
      </c>
      <c r="K932" s="3">
        <v>0</v>
      </c>
      <c r="L932" s="3">
        <f t="shared" si="144"/>
        <v>0</v>
      </c>
      <c r="N932" s="11">
        <f t="shared" si="145"/>
        <v>2.292293282731332</v>
      </c>
      <c r="O932" s="3">
        <v>0.2037067172686686</v>
      </c>
      <c r="P932" s="11">
        <f t="shared" si="146"/>
        <v>337.5872892362251</v>
      </c>
      <c r="Q932" s="12">
        <f t="shared" si="147"/>
        <v>432.35588724243939</v>
      </c>
      <c r="R932" s="13">
        <f t="shared" si="148"/>
        <v>50.261699549000284</v>
      </c>
      <c r="S932" s="3" t="s">
        <v>30</v>
      </c>
      <c r="T932" s="3" t="s">
        <v>32</v>
      </c>
      <c r="U932" s="10">
        <v>9310039900999</v>
      </c>
      <c r="V932" s="3">
        <v>0.1</v>
      </c>
      <c r="W932" s="3">
        <f t="shared" si="149"/>
        <v>0</v>
      </c>
      <c r="AA932" s="3">
        <v>35</v>
      </c>
    </row>
    <row r="933" spans="1:27" x14ac:dyDescent="0.3">
      <c r="A933" s="3" t="str">
        <f t="shared" si="140"/>
        <v>North9410019902319</v>
      </c>
      <c r="B933" s="3" t="str">
        <f t="shared" si="141"/>
        <v>Pan9410019902319</v>
      </c>
      <c r="C933" s="10">
        <v>9410019902319</v>
      </c>
      <c r="D933" s="10" t="str">
        <f t="shared" si="142"/>
        <v>9410019902</v>
      </c>
      <c r="E933" s="3" t="s">
        <v>2</v>
      </c>
      <c r="F933" s="3" t="s">
        <v>64</v>
      </c>
      <c r="H933" s="3">
        <v>25.821000000000005</v>
      </c>
      <c r="I933" s="10">
        <f t="shared" si="143"/>
        <v>4965.8390367058719</v>
      </c>
      <c r="J933" s="3">
        <v>0.15599176579711635</v>
      </c>
      <c r="K933" s="3">
        <v>0</v>
      </c>
      <c r="L933" s="3">
        <f t="shared" si="144"/>
        <v>0</v>
      </c>
      <c r="N933" s="11">
        <f t="shared" si="145"/>
        <v>25.66500823420289</v>
      </c>
      <c r="O933" s="3">
        <v>0.15599176579711635</v>
      </c>
      <c r="P933" s="11">
        <f t="shared" si="146"/>
        <v>4935.8390367058719</v>
      </c>
      <c r="Q933" s="12">
        <f t="shared" si="147"/>
        <v>4935.8390367058719</v>
      </c>
      <c r="R933" s="13">
        <f t="shared" si="148"/>
        <v>817.45792202059476</v>
      </c>
      <c r="S933" s="3" t="s">
        <v>31</v>
      </c>
      <c r="T933" s="3" t="s">
        <v>32</v>
      </c>
      <c r="U933" s="10">
        <v>9410019900999</v>
      </c>
      <c r="V933" s="3">
        <v>0.1</v>
      </c>
      <c r="W933" s="3">
        <f t="shared" si="149"/>
        <v>0</v>
      </c>
      <c r="AA933" s="3">
        <v>35</v>
      </c>
    </row>
    <row r="934" spans="1:27" x14ac:dyDescent="0.3">
      <c r="A934" s="3" t="str">
        <f t="shared" si="140"/>
        <v>North9310029901840</v>
      </c>
      <c r="B934" s="3" t="str">
        <f t="shared" si="141"/>
        <v>Pan9310029901840</v>
      </c>
      <c r="C934" s="10">
        <v>9310029901840</v>
      </c>
      <c r="D934" s="10" t="str">
        <f t="shared" si="142"/>
        <v>9310029901</v>
      </c>
      <c r="E934" s="3" t="s">
        <v>2</v>
      </c>
      <c r="F934" s="3" t="s">
        <v>64</v>
      </c>
      <c r="H934" s="3">
        <v>0.67200000000000004</v>
      </c>
      <c r="I934" s="10">
        <f t="shared" si="143"/>
        <v>196.29338995051455</v>
      </c>
      <c r="J934" s="3">
        <v>0.10270340741011363</v>
      </c>
      <c r="K934" s="3">
        <v>0</v>
      </c>
      <c r="L934" s="3">
        <f t="shared" si="144"/>
        <v>0</v>
      </c>
      <c r="N934" s="11">
        <f t="shared" si="145"/>
        <v>0.56929659258988641</v>
      </c>
      <c r="O934" s="3">
        <v>0.10270340741011363</v>
      </c>
      <c r="P934" s="11">
        <f t="shared" si="146"/>
        <v>166.29338995051455</v>
      </c>
      <c r="Q934" s="12">
        <f t="shared" si="147"/>
        <v>275.31899805251112</v>
      </c>
      <c r="R934" s="13">
        <f t="shared" si="148"/>
        <v>419.68149637672144</v>
      </c>
      <c r="S934" s="3" t="s">
        <v>31</v>
      </c>
      <c r="T934" s="3" t="s">
        <v>32</v>
      </c>
      <c r="U934" s="10">
        <v>0</v>
      </c>
      <c r="V934" s="3">
        <v>0</v>
      </c>
      <c r="W934" s="3">
        <f t="shared" si="149"/>
        <v>0</v>
      </c>
      <c r="AA934" s="3">
        <v>35</v>
      </c>
    </row>
    <row r="935" spans="1:27" x14ac:dyDescent="0.3">
      <c r="A935" s="3" t="str">
        <f t="shared" si="140"/>
        <v>North9410019902295</v>
      </c>
      <c r="B935" s="3" t="str">
        <f t="shared" si="141"/>
        <v>Pan9410019902295</v>
      </c>
      <c r="C935" s="10">
        <v>9410019902295</v>
      </c>
      <c r="D935" s="10" t="str">
        <f t="shared" si="142"/>
        <v>9410019902</v>
      </c>
      <c r="E935" s="3" t="s">
        <v>2</v>
      </c>
      <c r="F935" s="3" t="s">
        <v>64</v>
      </c>
      <c r="H935" s="3">
        <v>3.9615000000000009</v>
      </c>
      <c r="I935" s="10">
        <f t="shared" si="143"/>
        <v>1197.3586316800977</v>
      </c>
      <c r="J935" s="3">
        <v>9.9255976326190834E-2</v>
      </c>
      <c r="K935" s="3">
        <v>0</v>
      </c>
      <c r="L935" s="3">
        <f t="shared" si="144"/>
        <v>0</v>
      </c>
      <c r="N935" s="11">
        <f t="shared" si="145"/>
        <v>3.86224402367381</v>
      </c>
      <c r="O935" s="3">
        <v>9.9255976326190834E-2</v>
      </c>
      <c r="P935" s="11">
        <f t="shared" si="146"/>
        <v>1167.3586316800977</v>
      </c>
      <c r="Q935" s="12">
        <f t="shared" si="147"/>
        <v>1167.3586316800977</v>
      </c>
      <c r="R935" s="13">
        <f t="shared" si="148"/>
        <v>173.07710804149639</v>
      </c>
      <c r="S935" s="3" t="s">
        <v>31</v>
      </c>
      <c r="T935" s="3" t="s">
        <v>32</v>
      </c>
      <c r="U935" s="10">
        <v>9410019900999</v>
      </c>
      <c r="V935" s="3">
        <v>0.1</v>
      </c>
      <c r="W935" s="3">
        <f t="shared" si="149"/>
        <v>0</v>
      </c>
      <c r="AA935" s="3">
        <v>35</v>
      </c>
    </row>
    <row r="936" spans="1:27" x14ac:dyDescent="0.3">
      <c r="A936" s="3" t="str">
        <f t="shared" si="140"/>
        <v>North9310039902097</v>
      </c>
      <c r="B936" s="3" t="str">
        <f t="shared" si="141"/>
        <v>Pan9310039902097</v>
      </c>
      <c r="C936" s="10">
        <v>9310039902097</v>
      </c>
      <c r="D936" s="10" t="str">
        <f t="shared" si="142"/>
        <v>9310039902</v>
      </c>
      <c r="E936" s="3" t="s">
        <v>2</v>
      </c>
      <c r="F936" s="3" t="s">
        <v>64</v>
      </c>
      <c r="H936" s="3">
        <v>0.94282500000000002</v>
      </c>
      <c r="I936" s="10">
        <f t="shared" si="143"/>
        <v>396.2831202375354</v>
      </c>
      <c r="J936" s="3">
        <v>7.1375106724318432E-2</v>
      </c>
      <c r="K936" s="3">
        <v>0</v>
      </c>
      <c r="L936" s="3">
        <f t="shared" si="144"/>
        <v>0</v>
      </c>
      <c r="N936" s="11">
        <f t="shared" si="145"/>
        <v>0.87144989327568156</v>
      </c>
      <c r="O936" s="3">
        <v>7.1375106724318432E-2</v>
      </c>
      <c r="P936" s="11">
        <f t="shared" si="146"/>
        <v>366.28312023753534</v>
      </c>
      <c r="Q936" s="12">
        <f t="shared" si="147"/>
        <v>320.66812805953765</v>
      </c>
      <c r="R936" s="13">
        <f t="shared" si="148"/>
        <v>263.59855286489056</v>
      </c>
      <c r="S936" s="3" t="s">
        <v>31</v>
      </c>
      <c r="T936" s="3" t="s">
        <v>32</v>
      </c>
      <c r="U936" s="10">
        <v>0</v>
      </c>
      <c r="V936" s="3">
        <v>0</v>
      </c>
      <c r="W936" s="3">
        <f t="shared" si="149"/>
        <v>0</v>
      </c>
      <c r="AA936" s="3">
        <v>35</v>
      </c>
    </row>
    <row r="937" spans="1:27" x14ac:dyDescent="0.3">
      <c r="A937" s="3" t="str">
        <f t="shared" si="140"/>
        <v>North9310039902297</v>
      </c>
      <c r="B937" s="3" t="str">
        <f t="shared" si="141"/>
        <v>Pan9310039902297</v>
      </c>
      <c r="C937" s="10">
        <v>9310039902297</v>
      </c>
      <c r="D937" s="10" t="str">
        <f t="shared" si="142"/>
        <v>9310039902</v>
      </c>
      <c r="E937" s="3" t="s">
        <v>2</v>
      </c>
      <c r="F937" s="3" t="s">
        <v>64</v>
      </c>
      <c r="H937" s="3">
        <v>1.5599999999999998</v>
      </c>
      <c r="I937" s="10">
        <f t="shared" si="143"/>
        <v>678.41057772557474</v>
      </c>
      <c r="J937" s="3">
        <v>6.8984773434548605E-2</v>
      </c>
      <c r="K937" s="3">
        <v>0</v>
      </c>
      <c r="L937" s="3">
        <f t="shared" si="144"/>
        <v>0</v>
      </c>
      <c r="N937" s="11">
        <f t="shared" si="145"/>
        <v>1.4910152265654513</v>
      </c>
      <c r="O937" s="3">
        <v>6.8984773434548605E-2</v>
      </c>
      <c r="P937" s="11">
        <f t="shared" si="146"/>
        <v>648.41057772557474</v>
      </c>
      <c r="Q937" s="12">
        <f t="shared" si="147"/>
        <v>736.0232243678596</v>
      </c>
      <c r="R937" s="13">
        <f t="shared" si="148"/>
        <v>108.69545438572041</v>
      </c>
      <c r="S937" s="3" t="s">
        <v>31</v>
      </c>
      <c r="T937" s="3" t="s">
        <v>32</v>
      </c>
      <c r="U937" s="10">
        <v>9310039900999</v>
      </c>
      <c r="V937" s="3">
        <v>0.1</v>
      </c>
      <c r="W937" s="3">
        <f t="shared" si="149"/>
        <v>0</v>
      </c>
      <c r="AA937" s="3">
        <v>35</v>
      </c>
    </row>
    <row r="938" spans="1:27" x14ac:dyDescent="0.3">
      <c r="A938" s="3" t="str">
        <f t="shared" si="140"/>
        <v>North9310029901210</v>
      </c>
      <c r="B938" s="3" t="str">
        <f t="shared" si="141"/>
        <v>Pan9310029901210</v>
      </c>
      <c r="C938" s="10">
        <v>9310029901210</v>
      </c>
      <c r="D938" s="10" t="str">
        <f t="shared" si="142"/>
        <v>9310029901</v>
      </c>
      <c r="E938" s="3" t="s">
        <v>2</v>
      </c>
      <c r="F938" s="3" t="s">
        <v>64</v>
      </c>
      <c r="H938" s="3">
        <v>0.79200000000000015</v>
      </c>
      <c r="I938" s="10">
        <f t="shared" si="143"/>
        <v>1065.7372848181676</v>
      </c>
      <c r="J938" s="3">
        <v>2.2294425031825597E-2</v>
      </c>
      <c r="K938" s="3">
        <v>0</v>
      </c>
      <c r="L938" s="3">
        <f t="shared" si="144"/>
        <v>0</v>
      </c>
      <c r="N938" s="11">
        <f t="shared" si="145"/>
        <v>0.7697055749681746</v>
      </c>
      <c r="O938" s="3">
        <v>2.2294425031825597E-2</v>
      </c>
      <c r="P938" s="11">
        <f t="shared" si="146"/>
        <v>1035.7372848181676</v>
      </c>
      <c r="Q938" s="12">
        <f t="shared" si="147"/>
        <v>1645.3067166649228</v>
      </c>
      <c r="R938" s="13">
        <f t="shared" si="148"/>
        <v>839.82980335981051</v>
      </c>
      <c r="S938" s="3" t="s">
        <v>31</v>
      </c>
      <c r="T938" s="3" t="s">
        <v>32</v>
      </c>
      <c r="U938" s="10">
        <v>0</v>
      </c>
      <c r="V938" s="3">
        <v>0</v>
      </c>
      <c r="W938" s="3">
        <f t="shared" si="149"/>
        <v>0</v>
      </c>
      <c r="AA938" s="3">
        <v>35</v>
      </c>
    </row>
    <row r="939" spans="1:27" x14ac:dyDescent="0.3">
      <c r="A939" s="3" t="str">
        <f t="shared" si="140"/>
        <v>North9161109900210</v>
      </c>
      <c r="B939" s="3" t="str">
        <f t="shared" si="141"/>
        <v>Pan9161109900210</v>
      </c>
      <c r="C939" s="10">
        <v>9161109900210</v>
      </c>
      <c r="D939" s="10" t="str">
        <f t="shared" si="142"/>
        <v>9161109900</v>
      </c>
      <c r="E939" s="3" t="s">
        <v>2</v>
      </c>
      <c r="F939" s="3" t="s">
        <v>64</v>
      </c>
      <c r="H939" s="3">
        <v>0.43100000000000005</v>
      </c>
      <c r="I939" s="10">
        <f t="shared" si="143"/>
        <v>0</v>
      </c>
      <c r="J939" s="3">
        <v>0</v>
      </c>
      <c r="K939" s="3">
        <v>0</v>
      </c>
      <c r="L939" s="3">
        <f t="shared" si="144"/>
        <v>0</v>
      </c>
      <c r="N939" s="11">
        <f t="shared" si="145"/>
        <v>0.43100000000000005</v>
      </c>
      <c r="O939" s="3">
        <v>0</v>
      </c>
      <c r="P939" s="11">
        <f t="shared" si="146"/>
        <v>9999</v>
      </c>
      <c r="Q939" s="12">
        <f t="shared" si="147"/>
        <v>9999</v>
      </c>
      <c r="R939" s="13">
        <f t="shared" si="148"/>
        <v>9999</v>
      </c>
      <c r="S939" s="3" t="s">
        <v>31</v>
      </c>
      <c r="T939" s="3" t="s">
        <v>34</v>
      </c>
      <c r="U939" s="10" t="s">
        <v>72</v>
      </c>
      <c r="V939" s="3" t="s">
        <v>72</v>
      </c>
      <c r="W939" s="3">
        <f t="shared" si="149"/>
        <v>0</v>
      </c>
      <c r="AA939" s="3">
        <v>35</v>
      </c>
    </row>
    <row r="940" spans="1:27" x14ac:dyDescent="0.3">
      <c r="A940" s="3" t="str">
        <f t="shared" si="140"/>
        <v>North9160909901210</v>
      </c>
      <c r="B940" s="3" t="str">
        <f t="shared" si="141"/>
        <v>Pan9160909901210</v>
      </c>
      <c r="C940" s="10">
        <v>9160909901210</v>
      </c>
      <c r="D940" s="10" t="str">
        <f t="shared" si="142"/>
        <v>9160909901</v>
      </c>
      <c r="E940" s="3" t="s">
        <v>2</v>
      </c>
      <c r="F940" s="3" t="s">
        <v>64</v>
      </c>
      <c r="H940" s="3">
        <v>0</v>
      </c>
      <c r="I940" s="10">
        <f t="shared" si="143"/>
        <v>0</v>
      </c>
      <c r="J940" s="3">
        <v>0</v>
      </c>
      <c r="K940" s="3">
        <v>0</v>
      </c>
      <c r="L940" s="3">
        <f t="shared" si="144"/>
        <v>0</v>
      </c>
      <c r="N940" s="11">
        <f t="shared" si="145"/>
        <v>0</v>
      </c>
      <c r="O940" s="3">
        <v>0</v>
      </c>
      <c r="P940" s="11">
        <f t="shared" si="146"/>
        <v>9999</v>
      </c>
      <c r="Q940" s="12">
        <f t="shared" si="147"/>
        <v>9999</v>
      </c>
      <c r="R940" s="13">
        <f t="shared" si="148"/>
        <v>9999</v>
      </c>
      <c r="S940" s="3" t="s">
        <v>31</v>
      </c>
      <c r="T940" s="3" t="s">
        <v>34</v>
      </c>
      <c r="U940" s="10" t="s">
        <v>72</v>
      </c>
      <c r="V940" s="3" t="s">
        <v>72</v>
      </c>
      <c r="W940" s="3">
        <f t="shared" si="149"/>
        <v>0</v>
      </c>
      <c r="AA940" s="3">
        <v>35</v>
      </c>
    </row>
    <row r="941" spans="1:27" x14ac:dyDescent="0.3">
      <c r="A941" s="3" t="str">
        <f t="shared" si="140"/>
        <v>North9100509901210</v>
      </c>
      <c r="B941" s="3" t="str">
        <f t="shared" si="141"/>
        <v>Pan9100509901210</v>
      </c>
      <c r="C941" s="10">
        <v>9100509901210</v>
      </c>
      <c r="D941" s="10" t="str">
        <f t="shared" si="142"/>
        <v>9100509901</v>
      </c>
      <c r="E941" s="3" t="s">
        <v>2</v>
      </c>
      <c r="F941" s="3" t="s">
        <v>64</v>
      </c>
      <c r="H941" s="3">
        <v>0</v>
      </c>
      <c r="I941" s="10">
        <f t="shared" si="143"/>
        <v>0</v>
      </c>
      <c r="J941" s="3">
        <v>0</v>
      </c>
      <c r="K941" s="3">
        <v>0</v>
      </c>
      <c r="L941" s="3">
        <f t="shared" si="144"/>
        <v>0</v>
      </c>
      <c r="N941" s="11">
        <f t="shared" si="145"/>
        <v>0</v>
      </c>
      <c r="O941" s="3">
        <v>0</v>
      </c>
      <c r="P941" s="11">
        <f t="shared" si="146"/>
        <v>9999</v>
      </c>
      <c r="Q941" s="12">
        <f t="shared" si="147"/>
        <v>9999</v>
      </c>
      <c r="R941" s="13">
        <f t="shared" si="148"/>
        <v>9999</v>
      </c>
      <c r="S941" s="3" t="s">
        <v>31</v>
      </c>
      <c r="T941" s="3" t="s">
        <v>34</v>
      </c>
      <c r="U941" s="10" t="s">
        <v>72</v>
      </c>
      <c r="V941" s="3" t="s">
        <v>72</v>
      </c>
      <c r="W941" s="3">
        <f t="shared" si="149"/>
        <v>0</v>
      </c>
      <c r="AA941" s="3">
        <v>35</v>
      </c>
    </row>
    <row r="942" spans="1:27" x14ac:dyDescent="0.3">
      <c r="A942" s="3" t="str">
        <f t="shared" si="140"/>
        <v>North9100309901210</v>
      </c>
      <c r="B942" s="3" t="str">
        <f t="shared" si="141"/>
        <v>Pan9100309901210</v>
      </c>
      <c r="C942" s="10">
        <v>9100309901210</v>
      </c>
      <c r="D942" s="10" t="str">
        <f t="shared" si="142"/>
        <v>9100309901</v>
      </c>
      <c r="E942" s="3" t="s">
        <v>2</v>
      </c>
      <c r="F942" s="3" t="s">
        <v>64</v>
      </c>
      <c r="H942" s="3">
        <v>0</v>
      </c>
      <c r="I942" s="10">
        <f t="shared" si="143"/>
        <v>0</v>
      </c>
      <c r="J942" s="3">
        <v>0</v>
      </c>
      <c r="K942" s="3">
        <v>0</v>
      </c>
      <c r="L942" s="3">
        <f t="shared" si="144"/>
        <v>0</v>
      </c>
      <c r="N942" s="11">
        <f t="shared" si="145"/>
        <v>0</v>
      </c>
      <c r="O942" s="3">
        <v>0</v>
      </c>
      <c r="P942" s="11">
        <f t="shared" si="146"/>
        <v>9999</v>
      </c>
      <c r="Q942" s="12">
        <f t="shared" si="147"/>
        <v>9999</v>
      </c>
      <c r="R942" s="13">
        <f t="shared" si="148"/>
        <v>9999</v>
      </c>
      <c r="S942" s="3" t="s">
        <v>31</v>
      </c>
      <c r="T942" s="3" t="s">
        <v>34</v>
      </c>
      <c r="U942" s="10" t="s">
        <v>72</v>
      </c>
      <c r="V942" s="3" t="s">
        <v>72</v>
      </c>
      <c r="W942" s="3">
        <f t="shared" si="149"/>
        <v>0</v>
      </c>
      <c r="AA942" s="3">
        <v>35</v>
      </c>
    </row>
    <row r="943" spans="1:27" x14ac:dyDescent="0.3">
      <c r="A943" s="3" t="str">
        <f t="shared" si="140"/>
        <v>South9432009900320</v>
      </c>
      <c r="B943" s="3" t="str">
        <f t="shared" si="141"/>
        <v>CMR9432009900320</v>
      </c>
      <c r="C943" s="10">
        <v>9432009900320</v>
      </c>
      <c r="D943" s="10" t="str">
        <f t="shared" si="142"/>
        <v>9432009900</v>
      </c>
      <c r="E943" s="3" t="s">
        <v>5</v>
      </c>
      <c r="F943" s="3" t="s">
        <v>65</v>
      </c>
      <c r="H943" s="3">
        <v>41.64</v>
      </c>
      <c r="I943" s="10">
        <f t="shared" si="143"/>
        <v>21.92981122897956</v>
      </c>
      <c r="J943" s="3">
        <v>56.963554631479049</v>
      </c>
      <c r="K943" s="3">
        <v>61.25</v>
      </c>
      <c r="L943" s="3">
        <f t="shared" si="144"/>
        <v>0</v>
      </c>
      <c r="N943" s="11">
        <f t="shared" si="145"/>
        <v>-15.323554631479048</v>
      </c>
      <c r="O943" s="3">
        <v>56.963554631479049</v>
      </c>
      <c r="P943" s="11">
        <f t="shared" si="146"/>
        <v>-8.0701887710204367</v>
      </c>
      <c r="Q943" s="12">
        <f t="shared" si="147"/>
        <v>-4.60959365525457</v>
      </c>
      <c r="R943" s="13">
        <f t="shared" si="148"/>
        <v>0.17373377487676703</v>
      </c>
      <c r="S943" s="3" t="s">
        <v>29</v>
      </c>
      <c r="T943" s="3" t="s">
        <v>35</v>
      </c>
      <c r="U943" s="10">
        <v>9432009900999</v>
      </c>
      <c r="V943" s="3">
        <v>0.1</v>
      </c>
      <c r="W943" s="3">
        <f t="shared" si="149"/>
        <v>6.125</v>
      </c>
      <c r="AA943" s="3">
        <v>35</v>
      </c>
    </row>
    <row r="944" spans="1:27" x14ac:dyDescent="0.3">
      <c r="A944" s="3" t="str">
        <f t="shared" si="140"/>
        <v>South9420069900820</v>
      </c>
      <c r="B944" s="3" t="str">
        <f t="shared" si="141"/>
        <v>CMR9420069900820</v>
      </c>
      <c r="C944" s="10">
        <v>9420069900820</v>
      </c>
      <c r="D944" s="10" t="str">
        <f t="shared" si="142"/>
        <v>9420069900</v>
      </c>
      <c r="E944" s="3" t="s">
        <v>5</v>
      </c>
      <c r="F944" s="3" t="s">
        <v>65</v>
      </c>
      <c r="H944" s="3">
        <v>26.839999999999996</v>
      </c>
      <c r="I944" s="10">
        <f t="shared" si="143"/>
        <v>19.774892424493164</v>
      </c>
      <c r="J944" s="3">
        <v>40.718299888331117</v>
      </c>
      <c r="K944" s="3">
        <v>52.5</v>
      </c>
      <c r="L944" s="3">
        <f t="shared" si="144"/>
        <v>0</v>
      </c>
      <c r="N944" s="11">
        <f t="shared" si="145"/>
        <v>-13.878299888331121</v>
      </c>
      <c r="O944" s="3">
        <v>40.718299888331117</v>
      </c>
      <c r="P944" s="11">
        <f t="shared" si="146"/>
        <v>-10.225107575506836</v>
      </c>
      <c r="Q944" s="12">
        <f t="shared" si="147"/>
        <v>-6.5947037699418765</v>
      </c>
      <c r="R944" s="13">
        <f t="shared" si="148"/>
        <v>-4.2232707352649248</v>
      </c>
      <c r="S944" s="3" t="s">
        <v>29</v>
      </c>
      <c r="T944" s="3" t="s">
        <v>28</v>
      </c>
      <c r="U944" s="10">
        <v>0</v>
      </c>
      <c r="V944" s="3">
        <v>0</v>
      </c>
      <c r="W944" s="3">
        <f t="shared" si="149"/>
        <v>0</v>
      </c>
      <c r="AA944" s="3">
        <v>35</v>
      </c>
    </row>
    <row r="945" spans="1:27" x14ac:dyDescent="0.3">
      <c r="A945" s="3" t="str">
        <f t="shared" si="140"/>
        <v>South9432009900310</v>
      </c>
      <c r="B945" s="3" t="str">
        <f t="shared" si="141"/>
        <v>CMR9432009900310</v>
      </c>
      <c r="C945" s="10">
        <v>9432009900310</v>
      </c>
      <c r="D945" s="10" t="str">
        <f t="shared" si="142"/>
        <v>9432009900</v>
      </c>
      <c r="E945" s="3" t="s">
        <v>5</v>
      </c>
      <c r="F945" s="3" t="s">
        <v>65</v>
      </c>
      <c r="H945" s="3">
        <v>24.61</v>
      </c>
      <c r="I945" s="10">
        <f t="shared" si="143"/>
        <v>32.51066547126598</v>
      </c>
      <c r="J945" s="3">
        <v>22.709470547520301</v>
      </c>
      <c r="K945" s="3">
        <v>17.5</v>
      </c>
      <c r="L945" s="3">
        <f t="shared" si="144"/>
        <v>0</v>
      </c>
      <c r="N945" s="11">
        <f t="shared" si="145"/>
        <v>1.9005294524796987</v>
      </c>
      <c r="O945" s="3">
        <v>22.709470547520301</v>
      </c>
      <c r="P945" s="11">
        <f t="shared" si="146"/>
        <v>2.5106654712659804</v>
      </c>
      <c r="Q945" s="12">
        <f t="shared" si="147"/>
        <v>9.6475398645274328</v>
      </c>
      <c r="R945" s="13">
        <f t="shared" si="148"/>
        <v>13.907087089372547</v>
      </c>
      <c r="S945" s="3" t="s">
        <v>30</v>
      </c>
      <c r="T945" s="3" t="s">
        <v>35</v>
      </c>
      <c r="U945" s="10">
        <v>9432009900999</v>
      </c>
      <c r="V945" s="3">
        <v>0.1</v>
      </c>
      <c r="W945" s="3">
        <f t="shared" si="149"/>
        <v>1.75</v>
      </c>
      <c r="AA945" s="3">
        <v>35</v>
      </c>
    </row>
    <row r="946" spans="1:27" x14ac:dyDescent="0.3">
      <c r="A946" s="3" t="str">
        <f t="shared" si="140"/>
        <v>South9420059900320</v>
      </c>
      <c r="B946" s="3" t="str">
        <f t="shared" si="141"/>
        <v>CMR9420059900320</v>
      </c>
      <c r="C946" s="10">
        <v>9420059900320</v>
      </c>
      <c r="D946" s="10" t="str">
        <f t="shared" si="142"/>
        <v>9420059900</v>
      </c>
      <c r="E946" s="3" t="s">
        <v>5</v>
      </c>
      <c r="F946" s="3" t="s">
        <v>65</v>
      </c>
      <c r="H946" s="3">
        <v>21.479999999999997</v>
      </c>
      <c r="I946" s="10">
        <f t="shared" si="143"/>
        <v>33.81502534179824</v>
      </c>
      <c r="J946" s="3">
        <v>19.056617390833857</v>
      </c>
      <c r="K946" s="3">
        <v>8.75</v>
      </c>
      <c r="L946" s="3">
        <f t="shared" si="144"/>
        <v>0</v>
      </c>
      <c r="N946" s="11">
        <f t="shared" si="145"/>
        <v>2.4233826091661399</v>
      </c>
      <c r="O946" s="3">
        <v>19.056617390833857</v>
      </c>
      <c r="P946" s="11">
        <f t="shared" si="146"/>
        <v>3.8150253417982385</v>
      </c>
      <c r="Q946" s="12">
        <f t="shared" si="147"/>
        <v>5.2861840963118363</v>
      </c>
      <c r="R946" s="13">
        <f t="shared" si="148"/>
        <v>11.423436010590386</v>
      </c>
      <c r="S946" s="3" t="s">
        <v>30</v>
      </c>
      <c r="T946" s="3" t="s">
        <v>28</v>
      </c>
      <c r="U946" s="10">
        <v>9420059900999</v>
      </c>
      <c r="V946" s="3">
        <v>0.1</v>
      </c>
      <c r="W946" s="3">
        <f t="shared" si="149"/>
        <v>0.875</v>
      </c>
      <c r="AA946" s="3">
        <v>35</v>
      </c>
    </row>
    <row r="947" spans="1:27" x14ac:dyDescent="0.3">
      <c r="A947" s="3" t="str">
        <f t="shared" si="140"/>
        <v>South9360019900320</v>
      </c>
      <c r="B947" s="3" t="str">
        <f t="shared" si="141"/>
        <v>CMR9360019900320</v>
      </c>
      <c r="C947" s="10">
        <v>9360019900320</v>
      </c>
      <c r="D947" s="10" t="str">
        <f t="shared" si="142"/>
        <v>9360019900</v>
      </c>
      <c r="E947" s="3" t="s">
        <v>5</v>
      </c>
      <c r="F947" s="3" t="s">
        <v>65</v>
      </c>
      <c r="H947" s="3">
        <v>33.239999999999995</v>
      </c>
      <c r="I947" s="10">
        <f t="shared" si="143"/>
        <v>86.20062829721212</v>
      </c>
      <c r="J947" s="3">
        <v>11.568361155811333</v>
      </c>
      <c r="K947" s="3">
        <v>0</v>
      </c>
      <c r="L947" s="3">
        <f t="shared" si="144"/>
        <v>0</v>
      </c>
      <c r="N947" s="11">
        <f t="shared" si="145"/>
        <v>21.671638844188664</v>
      </c>
      <c r="O947" s="3">
        <v>11.568361155811333</v>
      </c>
      <c r="P947" s="11">
        <f t="shared" si="146"/>
        <v>56.20062829721212</v>
      </c>
      <c r="Q947" s="12">
        <f t="shared" si="147"/>
        <v>34.374535101994987</v>
      </c>
      <c r="R947" s="13">
        <f t="shared" si="148"/>
        <v>8.1280544165909951</v>
      </c>
      <c r="S947" s="3" t="s">
        <v>29</v>
      </c>
      <c r="T947" s="3" t="s">
        <v>33</v>
      </c>
      <c r="U947" s="10">
        <v>9360019900999</v>
      </c>
      <c r="V947" s="3">
        <v>0.1</v>
      </c>
      <c r="W947" s="3">
        <f t="shared" si="149"/>
        <v>0</v>
      </c>
      <c r="AA947" s="3">
        <v>35</v>
      </c>
    </row>
    <row r="948" spans="1:27" x14ac:dyDescent="0.3">
      <c r="A948" s="3" t="str">
        <f t="shared" si="140"/>
        <v>South9432009900840</v>
      </c>
      <c r="B948" s="3" t="str">
        <f t="shared" si="141"/>
        <v>CMR9432009900840</v>
      </c>
      <c r="C948" s="10">
        <v>9432009900840</v>
      </c>
      <c r="D948" s="10" t="str">
        <f t="shared" si="142"/>
        <v>9432009900</v>
      </c>
      <c r="E948" s="3" t="s">
        <v>5</v>
      </c>
      <c r="F948" s="3" t="s">
        <v>65</v>
      </c>
      <c r="H948" s="3">
        <v>5.3000000000000016</v>
      </c>
      <c r="I948" s="10">
        <f t="shared" si="143"/>
        <v>17.931194133324347</v>
      </c>
      <c r="J948" s="3">
        <v>8.8672287421452562</v>
      </c>
      <c r="K948" s="3">
        <v>17.5</v>
      </c>
      <c r="L948" s="3">
        <f t="shared" si="144"/>
        <v>0</v>
      </c>
      <c r="N948" s="11">
        <f t="shared" si="145"/>
        <v>-3.5672287421452546</v>
      </c>
      <c r="O948" s="3">
        <v>8.8672287421452562</v>
      </c>
      <c r="P948" s="11">
        <f t="shared" si="146"/>
        <v>-12.068805866675653</v>
      </c>
      <c r="Q948" s="12">
        <f t="shared" si="147"/>
        <v>-3.0540852092689437</v>
      </c>
      <c r="R948" s="13">
        <f t="shared" si="148"/>
        <v>16.28600824867836</v>
      </c>
      <c r="S948" s="3" t="s">
        <v>30</v>
      </c>
      <c r="T948" s="3" t="s">
        <v>35</v>
      </c>
      <c r="U948" s="10">
        <v>0</v>
      </c>
      <c r="V948" s="3">
        <v>0</v>
      </c>
      <c r="W948" s="3">
        <f t="shared" si="149"/>
        <v>0</v>
      </c>
      <c r="AA948" s="3">
        <v>35</v>
      </c>
    </row>
    <row r="949" spans="1:27" x14ac:dyDescent="0.3">
      <c r="A949" s="3" t="str">
        <f t="shared" si="140"/>
        <v>South9161089900320</v>
      </c>
      <c r="B949" s="3" t="str">
        <f t="shared" si="141"/>
        <v>CMR9161089900320</v>
      </c>
      <c r="C949" s="10">
        <v>9161089900320</v>
      </c>
      <c r="D949" s="10" t="str">
        <f t="shared" si="142"/>
        <v>9161089900</v>
      </c>
      <c r="E949" s="3" t="s">
        <v>5</v>
      </c>
      <c r="F949" s="3" t="s">
        <v>65</v>
      </c>
      <c r="H949" s="3">
        <v>10.159999999999998</v>
      </c>
      <c r="I949" s="10">
        <f t="shared" si="143"/>
        <v>34.41026796893761</v>
      </c>
      <c r="J949" s="3">
        <v>8.8578211676568461</v>
      </c>
      <c r="K949" s="3">
        <v>35</v>
      </c>
      <c r="L949" s="3">
        <f t="shared" si="144"/>
        <v>0</v>
      </c>
      <c r="N949" s="11">
        <f t="shared" si="145"/>
        <v>1.3021788323431522</v>
      </c>
      <c r="O949" s="3">
        <v>8.8578211676568461</v>
      </c>
      <c r="P949" s="11">
        <f t="shared" si="146"/>
        <v>4.4102679689376139</v>
      </c>
      <c r="Q949" s="12">
        <f t="shared" si="147"/>
        <v>28.777084849165171</v>
      </c>
      <c r="R949" s="13">
        <f t="shared" si="148"/>
        <v>27.706955085899509</v>
      </c>
      <c r="S949" s="3" t="s">
        <v>29</v>
      </c>
      <c r="T949" s="3" t="s">
        <v>34</v>
      </c>
      <c r="U949" s="10">
        <v>0</v>
      </c>
      <c r="V949" s="3">
        <v>0</v>
      </c>
      <c r="W949" s="3">
        <f t="shared" si="149"/>
        <v>0</v>
      </c>
      <c r="AA949" s="3">
        <v>35</v>
      </c>
    </row>
    <row r="950" spans="1:27" x14ac:dyDescent="0.3">
      <c r="A950" s="3" t="str">
        <f t="shared" si="140"/>
        <v>South9420069900810</v>
      </c>
      <c r="B950" s="3" t="str">
        <f t="shared" si="141"/>
        <v>CMR9420069900810</v>
      </c>
      <c r="C950" s="10">
        <v>9420069900810</v>
      </c>
      <c r="D950" s="10" t="str">
        <f t="shared" si="142"/>
        <v>9420069900</v>
      </c>
      <c r="E950" s="3" t="s">
        <v>5</v>
      </c>
      <c r="F950" s="3" t="s">
        <v>65</v>
      </c>
      <c r="H950" s="3">
        <v>6.7</v>
      </c>
      <c r="I950" s="10">
        <f t="shared" si="143"/>
        <v>23.713843526326151</v>
      </c>
      <c r="J950" s="3">
        <v>8.4760616631739989</v>
      </c>
      <c r="K950" s="3">
        <v>0</v>
      </c>
      <c r="L950" s="3">
        <f t="shared" si="144"/>
        <v>0</v>
      </c>
      <c r="N950" s="11">
        <f t="shared" si="145"/>
        <v>-1.7760616631739987</v>
      </c>
      <c r="O950" s="3">
        <v>8.4760616631739989</v>
      </c>
      <c r="P950" s="11">
        <f t="shared" si="146"/>
        <v>-6.2861564736738487</v>
      </c>
      <c r="Q950" s="12">
        <f t="shared" si="147"/>
        <v>30.87798196575347</v>
      </c>
      <c r="R950" s="13">
        <f t="shared" si="148"/>
        <v>28.11286676931412</v>
      </c>
      <c r="S950" s="3" t="s">
        <v>30</v>
      </c>
      <c r="T950" s="3" t="s">
        <v>28</v>
      </c>
      <c r="U950" s="10">
        <v>0</v>
      </c>
      <c r="V950" s="3">
        <v>0</v>
      </c>
      <c r="W950" s="3">
        <f t="shared" si="149"/>
        <v>0</v>
      </c>
      <c r="AA950" s="3">
        <v>35</v>
      </c>
    </row>
    <row r="951" spans="1:27" x14ac:dyDescent="0.3">
      <c r="A951" s="3" t="str">
        <f t="shared" si="140"/>
        <v>South9410029901320</v>
      </c>
      <c r="B951" s="3" t="str">
        <f t="shared" si="141"/>
        <v>CMR9410029901320</v>
      </c>
      <c r="C951" s="10">
        <v>9410029901320</v>
      </c>
      <c r="D951" s="10" t="str">
        <f t="shared" si="142"/>
        <v>9410029901</v>
      </c>
      <c r="E951" s="3" t="s">
        <v>5</v>
      </c>
      <c r="F951" s="3" t="s">
        <v>65</v>
      </c>
      <c r="H951" s="3">
        <v>3.9400000000000004</v>
      </c>
      <c r="I951" s="10">
        <f t="shared" si="143"/>
        <v>23.017777646792883</v>
      </c>
      <c r="J951" s="3">
        <v>5.1351612572584333</v>
      </c>
      <c r="K951" s="3">
        <v>35</v>
      </c>
      <c r="L951" s="3">
        <f t="shared" si="144"/>
        <v>0</v>
      </c>
      <c r="N951" s="11">
        <f t="shared" si="145"/>
        <v>-1.1951612572584329</v>
      </c>
      <c r="O951" s="3">
        <v>5.1351612572584333</v>
      </c>
      <c r="P951" s="11">
        <f t="shared" si="146"/>
        <v>-6.9822223532071153</v>
      </c>
      <c r="Q951" s="12">
        <f t="shared" si="147"/>
        <v>4.9012839133193244</v>
      </c>
      <c r="R951" s="13">
        <f t="shared" si="148"/>
        <v>21.860453380312943</v>
      </c>
      <c r="S951" s="3" t="s">
        <v>30</v>
      </c>
      <c r="T951" s="3" t="s">
        <v>32</v>
      </c>
      <c r="U951" s="10">
        <v>9410029900999</v>
      </c>
      <c r="V951" s="3">
        <v>0.1</v>
      </c>
      <c r="W951" s="3">
        <f t="shared" si="149"/>
        <v>3.5</v>
      </c>
      <c r="AA951" s="3">
        <v>35</v>
      </c>
    </row>
    <row r="952" spans="1:27" x14ac:dyDescent="0.3">
      <c r="A952" s="3" t="str">
        <f t="shared" si="140"/>
        <v>South9160509900320</v>
      </c>
      <c r="B952" s="3" t="str">
        <f t="shared" si="141"/>
        <v>CMR9160509900320</v>
      </c>
      <c r="C952" s="10">
        <v>9160509900320</v>
      </c>
      <c r="D952" s="10" t="str">
        <f t="shared" si="142"/>
        <v>9160509900</v>
      </c>
      <c r="E952" s="3" t="s">
        <v>5</v>
      </c>
      <c r="F952" s="3" t="s">
        <v>65</v>
      </c>
      <c r="H952" s="3">
        <v>7.3999999999999986</v>
      </c>
      <c r="I952" s="10">
        <f t="shared" si="143"/>
        <v>46.023179967425769</v>
      </c>
      <c r="J952" s="3">
        <v>4.8236562566325674</v>
      </c>
      <c r="K952" s="3">
        <v>0</v>
      </c>
      <c r="L952" s="3">
        <f t="shared" si="144"/>
        <v>0</v>
      </c>
      <c r="N952" s="11">
        <f t="shared" si="145"/>
        <v>2.5763437433674312</v>
      </c>
      <c r="O952" s="3">
        <v>4.8236562566325674</v>
      </c>
      <c r="P952" s="11">
        <f t="shared" si="146"/>
        <v>16.023179967425772</v>
      </c>
      <c r="Q952" s="12">
        <f t="shared" si="147"/>
        <v>25.676490927616605</v>
      </c>
      <c r="R952" s="13">
        <f t="shared" si="148"/>
        <v>28.106886654104677</v>
      </c>
      <c r="S952" s="3" t="s">
        <v>30</v>
      </c>
      <c r="T952" s="3" t="s">
        <v>34</v>
      </c>
      <c r="U952" s="10">
        <v>0</v>
      </c>
      <c r="V952" s="3">
        <v>0</v>
      </c>
      <c r="W952" s="3">
        <f t="shared" si="149"/>
        <v>0</v>
      </c>
      <c r="AA952" s="3">
        <v>35</v>
      </c>
    </row>
    <row r="953" spans="1:27" x14ac:dyDescent="0.3">
      <c r="A953" s="3" t="str">
        <f t="shared" si="140"/>
        <v>South9420059900310</v>
      </c>
      <c r="B953" s="3" t="str">
        <f t="shared" si="141"/>
        <v>CMR9420059900310</v>
      </c>
      <c r="C953" s="10">
        <v>9420059900310</v>
      </c>
      <c r="D953" s="10" t="str">
        <f t="shared" si="142"/>
        <v>9420059900</v>
      </c>
      <c r="E953" s="3" t="s">
        <v>5</v>
      </c>
      <c r="F953" s="3" t="s">
        <v>65</v>
      </c>
      <c r="H953" s="3">
        <v>7.41</v>
      </c>
      <c r="I953" s="10">
        <f t="shared" si="143"/>
        <v>47.289872443606747</v>
      </c>
      <c r="J953" s="3">
        <v>4.7007950859899896</v>
      </c>
      <c r="K953" s="3">
        <v>0</v>
      </c>
      <c r="L953" s="3">
        <f t="shared" si="144"/>
        <v>0</v>
      </c>
      <c r="N953" s="11">
        <f t="shared" si="145"/>
        <v>2.7092049140100105</v>
      </c>
      <c r="O953" s="3">
        <v>4.7007950859899896</v>
      </c>
      <c r="P953" s="11">
        <f t="shared" si="146"/>
        <v>17.289872443606743</v>
      </c>
      <c r="Q953" s="12">
        <f t="shared" si="147"/>
        <v>19.031058447648658</v>
      </c>
      <c r="R953" s="13">
        <f t="shared" si="148"/>
        <v>6.0010965144808175</v>
      </c>
      <c r="S953" s="3" t="s">
        <v>31</v>
      </c>
      <c r="T953" s="3" t="s">
        <v>28</v>
      </c>
      <c r="U953" s="10">
        <v>9420059900999</v>
      </c>
      <c r="V953" s="3">
        <v>0.1</v>
      </c>
      <c r="W953" s="3">
        <f t="shared" si="149"/>
        <v>0</v>
      </c>
      <c r="AA953" s="3">
        <v>35</v>
      </c>
    </row>
    <row r="954" spans="1:27" x14ac:dyDescent="0.3">
      <c r="A954" s="3" t="str">
        <f t="shared" si="140"/>
        <v>South9420069900840</v>
      </c>
      <c r="B954" s="3" t="str">
        <f t="shared" si="141"/>
        <v>CMR9420069900840</v>
      </c>
      <c r="C954" s="10">
        <v>9420069900840</v>
      </c>
      <c r="D954" s="10" t="str">
        <f t="shared" si="142"/>
        <v>9420069900</v>
      </c>
      <c r="E954" s="3" t="s">
        <v>5</v>
      </c>
      <c r="F954" s="3" t="s">
        <v>65</v>
      </c>
      <c r="H954" s="3">
        <v>3.2120000000000006</v>
      </c>
      <c r="I954" s="10">
        <f t="shared" si="143"/>
        <v>35.851558102341727</v>
      </c>
      <c r="J954" s="3">
        <v>2.6877492946033503</v>
      </c>
      <c r="K954" s="3">
        <v>8.75</v>
      </c>
      <c r="L954" s="3">
        <f t="shared" si="144"/>
        <v>0</v>
      </c>
      <c r="N954" s="11">
        <f t="shared" si="145"/>
        <v>0.52425070539665031</v>
      </c>
      <c r="O954" s="3">
        <v>2.6877492946033503</v>
      </c>
      <c r="P954" s="11">
        <f t="shared" si="146"/>
        <v>5.8515581023417322</v>
      </c>
      <c r="Q954" s="12">
        <f t="shared" si="147"/>
        <v>7.5561151991717761</v>
      </c>
      <c r="R954" s="13">
        <f t="shared" si="148"/>
        <v>25.660583345540346</v>
      </c>
      <c r="S954" s="3" t="s">
        <v>30</v>
      </c>
      <c r="T954" s="3" t="s">
        <v>28</v>
      </c>
      <c r="U954" s="10">
        <v>0</v>
      </c>
      <c r="V954" s="3">
        <v>0</v>
      </c>
      <c r="W954" s="3">
        <f t="shared" si="149"/>
        <v>0</v>
      </c>
      <c r="AA954" s="3">
        <v>35</v>
      </c>
    </row>
    <row r="955" spans="1:27" x14ac:dyDescent="0.3">
      <c r="A955" s="3" t="str">
        <f t="shared" si="140"/>
        <v>South9432009900210</v>
      </c>
      <c r="B955" s="3" t="str">
        <f t="shared" si="141"/>
        <v>CMR9432009900210</v>
      </c>
      <c r="C955" s="10">
        <v>9432009900210</v>
      </c>
      <c r="D955" s="10" t="str">
        <f t="shared" si="142"/>
        <v>9432009900</v>
      </c>
      <c r="E955" s="3" t="s">
        <v>5</v>
      </c>
      <c r="F955" s="3" t="s">
        <v>65</v>
      </c>
      <c r="H955" s="3">
        <v>2.8140000000000001</v>
      </c>
      <c r="I955" s="10">
        <f t="shared" si="143"/>
        <v>33.369862036272167</v>
      </c>
      <c r="J955" s="3">
        <v>2.5298276603073058</v>
      </c>
      <c r="K955" s="3">
        <v>11.5</v>
      </c>
      <c r="L955" s="3">
        <f t="shared" si="144"/>
        <v>0</v>
      </c>
      <c r="N955" s="11">
        <f t="shared" si="145"/>
        <v>0.28417233969269429</v>
      </c>
      <c r="O955" s="3">
        <v>2.5298276603073058</v>
      </c>
      <c r="P955" s="11">
        <f t="shared" si="146"/>
        <v>3.3698620362721665</v>
      </c>
      <c r="Q955" s="12">
        <f t="shared" si="147"/>
        <v>0.55172086610308757</v>
      </c>
      <c r="R955" s="13">
        <f t="shared" si="148"/>
        <v>7.3143711344841078</v>
      </c>
      <c r="S955" s="3" t="s">
        <v>31</v>
      </c>
      <c r="T955" s="3" t="s">
        <v>35</v>
      </c>
      <c r="U955" s="10">
        <v>0</v>
      </c>
      <c r="V955" s="3">
        <v>0</v>
      </c>
      <c r="W955" s="3">
        <f t="shared" si="149"/>
        <v>0</v>
      </c>
      <c r="AA955" s="3">
        <v>35</v>
      </c>
    </row>
    <row r="956" spans="1:27" x14ac:dyDescent="0.3">
      <c r="A956" s="3" t="str">
        <f t="shared" si="140"/>
        <v>South9410029901310</v>
      </c>
      <c r="B956" s="3" t="str">
        <f t="shared" si="141"/>
        <v>CMR9410029901310</v>
      </c>
      <c r="C956" s="10">
        <v>9410029901310</v>
      </c>
      <c r="D956" s="10" t="str">
        <f t="shared" si="142"/>
        <v>9410029901</v>
      </c>
      <c r="E956" s="3" t="s">
        <v>5</v>
      </c>
      <c r="F956" s="3" t="s">
        <v>65</v>
      </c>
      <c r="H956" s="3">
        <v>1.85</v>
      </c>
      <c r="I956" s="10">
        <f t="shared" si="143"/>
        <v>28.408297467396967</v>
      </c>
      <c r="J956" s="3">
        <v>1.9536545639067271</v>
      </c>
      <c r="K956" s="3">
        <v>0</v>
      </c>
      <c r="L956" s="3">
        <f t="shared" si="144"/>
        <v>0</v>
      </c>
      <c r="N956" s="11">
        <f t="shared" si="145"/>
        <v>-0.103654563906727</v>
      </c>
      <c r="O956" s="3">
        <v>1.9536545639067271</v>
      </c>
      <c r="P956" s="11">
        <f t="shared" si="146"/>
        <v>-1.5917025326030323</v>
      </c>
      <c r="Q956" s="12">
        <f t="shared" si="147"/>
        <v>101.03288947762503</v>
      </c>
      <c r="R956" s="13">
        <f t="shared" si="148"/>
        <v>12.577858451329639</v>
      </c>
      <c r="S956" s="3" t="s">
        <v>30</v>
      </c>
      <c r="T956" s="3" t="s">
        <v>32</v>
      </c>
      <c r="U956" s="10">
        <v>9410029900999</v>
      </c>
      <c r="V956" s="3">
        <v>0.1</v>
      </c>
      <c r="W956" s="3">
        <f t="shared" si="149"/>
        <v>0</v>
      </c>
      <c r="AA956" s="3">
        <v>35</v>
      </c>
    </row>
    <row r="957" spans="1:27" x14ac:dyDescent="0.3">
      <c r="A957" s="3" t="str">
        <f t="shared" si="140"/>
        <v>South9420059900840</v>
      </c>
      <c r="B957" s="3" t="str">
        <f t="shared" si="141"/>
        <v>CMR9420059900840</v>
      </c>
      <c r="C957" s="10">
        <v>9420059900840</v>
      </c>
      <c r="D957" s="10" t="str">
        <f t="shared" si="142"/>
        <v>9420059900</v>
      </c>
      <c r="E957" s="3" t="s">
        <v>5</v>
      </c>
      <c r="F957" s="3" t="s">
        <v>65</v>
      </c>
      <c r="H957" s="3">
        <v>0.58000000000000018</v>
      </c>
      <c r="I957" s="10">
        <f t="shared" si="143"/>
        <v>10.392706055763401</v>
      </c>
      <c r="J957" s="3">
        <v>1.6742511437000207</v>
      </c>
      <c r="K957" s="3">
        <v>0</v>
      </c>
      <c r="L957" s="3">
        <f t="shared" si="144"/>
        <v>0</v>
      </c>
      <c r="N957" s="11">
        <f t="shared" si="145"/>
        <v>-1.0942511437000206</v>
      </c>
      <c r="O957" s="3">
        <v>1.6742511437000207</v>
      </c>
      <c r="P957" s="11">
        <f t="shared" si="146"/>
        <v>-19.607293944236599</v>
      </c>
      <c r="Q957" s="12">
        <f t="shared" si="147"/>
        <v>-16.447790475709525</v>
      </c>
      <c r="R957" s="13">
        <f t="shared" si="148"/>
        <v>-15.041796421296725</v>
      </c>
      <c r="S957" s="3" t="s">
        <v>31</v>
      </c>
      <c r="T957" s="3" t="s">
        <v>28</v>
      </c>
      <c r="U957" s="10">
        <v>0</v>
      </c>
      <c r="V957" s="3">
        <v>0</v>
      </c>
      <c r="W957" s="3">
        <f t="shared" si="149"/>
        <v>0</v>
      </c>
      <c r="AA957" s="3">
        <v>35</v>
      </c>
    </row>
    <row r="958" spans="1:27" x14ac:dyDescent="0.3">
      <c r="A958" s="3" t="str">
        <f t="shared" si="140"/>
        <v>South9410029901840</v>
      </c>
      <c r="B958" s="3" t="str">
        <f t="shared" si="141"/>
        <v>CMR9410029901840</v>
      </c>
      <c r="C958" s="10">
        <v>9410029901840</v>
      </c>
      <c r="D958" s="10" t="str">
        <f t="shared" si="142"/>
        <v>9410029901</v>
      </c>
      <c r="E958" s="3" t="s">
        <v>5</v>
      </c>
      <c r="F958" s="3" t="s">
        <v>65</v>
      </c>
      <c r="H958" s="3">
        <v>1.0880000000000001</v>
      </c>
      <c r="I958" s="10">
        <f t="shared" si="143"/>
        <v>21.516068669804991</v>
      </c>
      <c r="J958" s="3">
        <v>1.5170057551362068</v>
      </c>
      <c r="K958" s="3">
        <v>0</v>
      </c>
      <c r="L958" s="3">
        <f t="shared" si="144"/>
        <v>0</v>
      </c>
      <c r="N958" s="11">
        <f t="shared" si="145"/>
        <v>-0.42900575513620676</v>
      </c>
      <c r="O958" s="3">
        <v>1.5170057551362068</v>
      </c>
      <c r="P958" s="11">
        <f t="shared" si="146"/>
        <v>-8.4839313301950092</v>
      </c>
      <c r="Q958" s="12">
        <f t="shared" si="147"/>
        <v>40.933335352874089</v>
      </c>
      <c r="R958" s="13">
        <f t="shared" si="148"/>
        <v>36.570428032612334</v>
      </c>
      <c r="S958" s="3" t="s">
        <v>30</v>
      </c>
      <c r="T958" s="3" t="s">
        <v>32</v>
      </c>
      <c r="U958" s="10">
        <v>0</v>
      </c>
      <c r="V958" s="3">
        <v>0</v>
      </c>
      <c r="W958" s="3">
        <f t="shared" si="149"/>
        <v>0</v>
      </c>
      <c r="AA958" s="3">
        <v>35</v>
      </c>
    </row>
    <row r="959" spans="1:27" x14ac:dyDescent="0.3">
      <c r="A959" s="3" t="str">
        <f t="shared" si="140"/>
        <v>South9360019900310</v>
      </c>
      <c r="B959" s="3" t="str">
        <f t="shared" si="141"/>
        <v>CMR9360019900310</v>
      </c>
      <c r="C959" s="10">
        <v>9360019900310</v>
      </c>
      <c r="D959" s="10" t="str">
        <f t="shared" si="142"/>
        <v>9360019900</v>
      </c>
      <c r="E959" s="3" t="s">
        <v>5</v>
      </c>
      <c r="F959" s="3" t="s">
        <v>65</v>
      </c>
      <c r="H959" s="3">
        <v>17.760000000000002</v>
      </c>
      <c r="I959" s="10">
        <f t="shared" si="143"/>
        <v>430.06566113042396</v>
      </c>
      <c r="J959" s="3">
        <v>1.2388805900000008</v>
      </c>
      <c r="K959" s="3">
        <v>0</v>
      </c>
      <c r="L959" s="3">
        <f t="shared" si="144"/>
        <v>0</v>
      </c>
      <c r="N959" s="11">
        <f t="shared" si="145"/>
        <v>16.521119410000001</v>
      </c>
      <c r="O959" s="3">
        <v>1.2388805900000008</v>
      </c>
      <c r="P959" s="11">
        <f t="shared" si="146"/>
        <v>400.06566113042396</v>
      </c>
      <c r="Q959" s="12">
        <f t="shared" si="147"/>
        <v>150.13511556128603</v>
      </c>
      <c r="R959" s="13">
        <f t="shared" si="148"/>
        <v>13.739643012449649</v>
      </c>
      <c r="S959" s="3" t="s">
        <v>31</v>
      </c>
      <c r="T959" s="3" t="s">
        <v>33</v>
      </c>
      <c r="U959" s="10">
        <v>9360019900999</v>
      </c>
      <c r="V959" s="3">
        <v>0.1</v>
      </c>
      <c r="W959" s="3">
        <f t="shared" si="149"/>
        <v>0</v>
      </c>
      <c r="AA959" s="3">
        <v>35</v>
      </c>
    </row>
    <row r="960" spans="1:27" x14ac:dyDescent="0.3">
      <c r="A960" s="3" t="str">
        <f t="shared" si="140"/>
        <v>South9360019900840</v>
      </c>
      <c r="B960" s="3" t="str">
        <f t="shared" si="141"/>
        <v>CMR9360019900840</v>
      </c>
      <c r="C960" s="10">
        <v>9360019900840</v>
      </c>
      <c r="D960" s="10" t="str">
        <f t="shared" si="142"/>
        <v>9360019900</v>
      </c>
      <c r="E960" s="3" t="s">
        <v>5</v>
      </c>
      <c r="F960" s="3" t="s">
        <v>65</v>
      </c>
      <c r="H960" s="3">
        <v>1.0800000000000003</v>
      </c>
      <c r="I960" s="10">
        <f t="shared" si="143"/>
        <v>40.556248919547379</v>
      </c>
      <c r="J960" s="3">
        <v>0.79889045124150515</v>
      </c>
      <c r="K960" s="3">
        <v>0</v>
      </c>
      <c r="L960" s="3">
        <f t="shared" si="144"/>
        <v>0</v>
      </c>
      <c r="N960" s="11">
        <f t="shared" si="145"/>
        <v>0.28110954875849514</v>
      </c>
      <c r="O960" s="3">
        <v>0.79889045124150515</v>
      </c>
      <c r="P960" s="11">
        <f t="shared" si="146"/>
        <v>10.556248919547375</v>
      </c>
      <c r="Q960" s="12">
        <f t="shared" si="147"/>
        <v>19.855225753491382</v>
      </c>
      <c r="R960" s="13">
        <f t="shared" si="148"/>
        <v>38.068005268363464</v>
      </c>
      <c r="S960" s="3" t="s">
        <v>31</v>
      </c>
      <c r="T960" s="3" t="s">
        <v>33</v>
      </c>
      <c r="U960" s="10">
        <v>0</v>
      </c>
      <c r="V960" s="3">
        <v>0</v>
      </c>
      <c r="W960" s="3">
        <f t="shared" si="149"/>
        <v>0</v>
      </c>
      <c r="AA960" s="3">
        <v>35</v>
      </c>
    </row>
    <row r="961" spans="1:27" x14ac:dyDescent="0.3">
      <c r="A961" s="3" t="str">
        <f t="shared" si="140"/>
        <v>South9410029901210</v>
      </c>
      <c r="B961" s="3" t="str">
        <f t="shared" si="141"/>
        <v>CMR9410029901210</v>
      </c>
      <c r="C961" s="10">
        <v>9410029901210</v>
      </c>
      <c r="D961" s="10" t="str">
        <f t="shared" si="142"/>
        <v>9410029901</v>
      </c>
      <c r="E961" s="3" t="s">
        <v>5</v>
      </c>
      <c r="F961" s="3" t="s">
        <v>65</v>
      </c>
      <c r="H961" s="3">
        <v>3.6399999999999997</v>
      </c>
      <c r="I961" s="10">
        <f t="shared" si="143"/>
        <v>154.49513398584975</v>
      </c>
      <c r="J961" s="3">
        <v>0.70681837791733715</v>
      </c>
      <c r="K961" s="3">
        <v>0</v>
      </c>
      <c r="L961" s="3">
        <f t="shared" si="144"/>
        <v>0</v>
      </c>
      <c r="N961" s="11">
        <f t="shared" si="145"/>
        <v>2.9331816220826625</v>
      </c>
      <c r="O961" s="3">
        <v>0.70681837791733715</v>
      </c>
      <c r="P961" s="11">
        <f t="shared" si="146"/>
        <v>124.49513398584975</v>
      </c>
      <c r="Q961" s="12">
        <f t="shared" si="147"/>
        <v>40.616483737151647</v>
      </c>
      <c r="R961" s="13">
        <f t="shared" si="148"/>
        <v>8.498858437043161</v>
      </c>
      <c r="S961" s="3" t="s">
        <v>30</v>
      </c>
      <c r="T961" s="3" t="s">
        <v>32</v>
      </c>
      <c r="U961" s="10">
        <v>0</v>
      </c>
      <c r="V961" s="3">
        <v>0</v>
      </c>
      <c r="W961" s="3">
        <f t="shared" si="149"/>
        <v>0</v>
      </c>
      <c r="AA961" s="3">
        <v>35</v>
      </c>
    </row>
    <row r="962" spans="1:27" x14ac:dyDescent="0.3">
      <c r="A962" s="3" t="str">
        <f t="shared" si="140"/>
        <v>South9420059900210</v>
      </c>
      <c r="B962" s="3" t="str">
        <f t="shared" si="141"/>
        <v>CMR9420059900210</v>
      </c>
      <c r="C962" s="10">
        <v>9420059900210</v>
      </c>
      <c r="D962" s="10" t="str">
        <f t="shared" si="142"/>
        <v>9420059900</v>
      </c>
      <c r="E962" s="3" t="s">
        <v>5</v>
      </c>
      <c r="F962" s="3" t="s">
        <v>65</v>
      </c>
      <c r="H962" s="3">
        <v>0.8650000000000001</v>
      </c>
      <c r="I962" s="10">
        <f t="shared" si="143"/>
        <v>36.785231422463227</v>
      </c>
      <c r="J962" s="3">
        <v>0.70544615315790582</v>
      </c>
      <c r="K962" s="3">
        <v>0</v>
      </c>
      <c r="L962" s="3">
        <f t="shared" si="144"/>
        <v>0</v>
      </c>
      <c r="N962" s="11">
        <f t="shared" si="145"/>
        <v>0.15955384684209428</v>
      </c>
      <c r="O962" s="3">
        <v>0.70544615315790582</v>
      </c>
      <c r="P962" s="11">
        <f t="shared" si="146"/>
        <v>6.7852314224632266</v>
      </c>
      <c r="Q962" s="12">
        <f t="shared" si="147"/>
        <v>24.739408446595522</v>
      </c>
      <c r="R962" s="13">
        <f t="shared" si="148"/>
        <v>2.7646503276073755</v>
      </c>
      <c r="S962" s="3" t="s">
        <v>31</v>
      </c>
      <c r="T962" s="3" t="s">
        <v>28</v>
      </c>
      <c r="U962" s="10">
        <v>0</v>
      </c>
      <c r="V962" s="3">
        <v>0</v>
      </c>
      <c r="W962" s="3">
        <f t="shared" si="149"/>
        <v>0</v>
      </c>
      <c r="AA962" s="3">
        <v>35</v>
      </c>
    </row>
    <row r="963" spans="1:27" x14ac:dyDescent="0.3">
      <c r="A963" s="3" t="str">
        <f t="shared" si="140"/>
        <v>South9420069900210</v>
      </c>
      <c r="B963" s="3" t="str">
        <f t="shared" si="141"/>
        <v>CMR9420069900210</v>
      </c>
      <c r="C963" s="10">
        <v>9420069900210</v>
      </c>
      <c r="D963" s="10" t="str">
        <f t="shared" si="142"/>
        <v>9420069900</v>
      </c>
      <c r="E963" s="3" t="s">
        <v>5</v>
      </c>
      <c r="F963" s="3" t="s">
        <v>65</v>
      </c>
      <c r="H963" s="3">
        <v>0.9890000000000001</v>
      </c>
      <c r="I963" s="10">
        <f t="shared" si="143"/>
        <v>45.00411877842167</v>
      </c>
      <c r="J963" s="3">
        <v>0.65927299112511484</v>
      </c>
      <c r="K963" s="3">
        <v>0</v>
      </c>
      <c r="L963" s="3">
        <f t="shared" si="144"/>
        <v>0</v>
      </c>
      <c r="N963" s="11">
        <f t="shared" si="145"/>
        <v>0.32972700887488526</v>
      </c>
      <c r="O963" s="3">
        <v>0.65927299112511484</v>
      </c>
      <c r="P963" s="11">
        <f t="shared" si="146"/>
        <v>15.004118778421669</v>
      </c>
      <c r="Q963" s="12">
        <f t="shared" si="147"/>
        <v>21.617597224561251</v>
      </c>
      <c r="R963" s="13">
        <f t="shared" si="148"/>
        <v>11.072420866839959</v>
      </c>
      <c r="S963" s="3" t="s">
        <v>31</v>
      </c>
      <c r="T963" s="3" t="s">
        <v>28</v>
      </c>
      <c r="U963" s="10">
        <v>0</v>
      </c>
      <c r="V963" s="3">
        <v>0</v>
      </c>
      <c r="W963" s="3">
        <f t="shared" si="149"/>
        <v>0</v>
      </c>
      <c r="AA963" s="3">
        <v>35</v>
      </c>
    </row>
    <row r="964" spans="1:27" x14ac:dyDescent="0.3">
      <c r="A964" s="3" t="str">
        <f t="shared" ref="A964:A1027" si="150">_xlfn.CONCAT(F964,C964)</f>
        <v>South9360019900210</v>
      </c>
      <c r="B964" s="3" t="str">
        <f t="shared" ref="B964:B1027" si="151">_xlfn.CONCAT(E964,C964)</f>
        <v>CMR9360019900210</v>
      </c>
      <c r="C964" s="10">
        <v>9360019900210</v>
      </c>
      <c r="D964" s="10" t="str">
        <f t="shared" ref="D964:D1027" si="152">LEFT(C964,10)</f>
        <v>9360019900</v>
      </c>
      <c r="E964" s="3" t="s">
        <v>5</v>
      </c>
      <c r="F964" s="3" t="s">
        <v>65</v>
      </c>
      <c r="H964" s="3">
        <v>0.54000000000000015</v>
      </c>
      <c r="I964" s="10">
        <f t="shared" ref="I964:I1027" si="153">IFERROR(H964/J964*30,0)</f>
        <v>41.60615449696563</v>
      </c>
      <c r="J964" s="3">
        <v>0.38936547238898234</v>
      </c>
      <c r="K964" s="3">
        <v>0</v>
      </c>
      <c r="L964" s="3">
        <f t="shared" ref="L964:L1027" si="154">M964*G964</f>
        <v>0</v>
      </c>
      <c r="N964" s="11">
        <f t="shared" ref="N964:N1027" si="155">H964-J964+L964</f>
        <v>0.15063452761101781</v>
      </c>
      <c r="O964" s="3">
        <v>0.38936547238898234</v>
      </c>
      <c r="P964" s="11">
        <f t="shared" ref="P964:P1027" si="156">IF(O964=0,9999,N964/O964*30)</f>
        <v>11.60615449696563</v>
      </c>
      <c r="Q964" s="12">
        <f t="shared" ref="Q964:Q1027" si="157">IF(SUMIF($A:$A,$A964,$O:$O)=0,9999,SUMIF($A:$A,$A964,$N:$N)*30/SUMIF($A:$A,$A964,$O:$O))</f>
        <v>18.45703984159007</v>
      </c>
      <c r="R964" s="13">
        <f t="shared" ref="R964:R1027" si="158">IF(SUMIF($C:$C,$C964,$O:$O)=0,9999,SUMIF($C:$C,$C964,$N:$N)*30/SUMIF($C:$C,$C964,$O:$O))</f>
        <v>101.59272695247127</v>
      </c>
      <c r="S964" s="3" t="s">
        <v>31</v>
      </c>
      <c r="T964" s="3" t="s">
        <v>33</v>
      </c>
      <c r="U964" s="10">
        <v>0</v>
      </c>
      <c r="V964" s="3">
        <v>0</v>
      </c>
      <c r="W964" s="3">
        <f t="shared" ref="W964:W1027" si="159">IFERROR(K964*V964,0)</f>
        <v>0</v>
      </c>
      <c r="AA964" s="3">
        <v>35</v>
      </c>
    </row>
    <row r="965" spans="1:27" x14ac:dyDescent="0.3">
      <c r="A965" s="3" t="str">
        <f t="shared" si="150"/>
        <v>South9160509900210</v>
      </c>
      <c r="B965" s="3" t="str">
        <f t="shared" si="151"/>
        <v>CMR9160509900210</v>
      </c>
      <c r="C965" s="10">
        <v>9160509900210</v>
      </c>
      <c r="D965" s="10" t="str">
        <f t="shared" si="152"/>
        <v>9160509900</v>
      </c>
      <c r="E965" s="3" t="s">
        <v>5</v>
      </c>
      <c r="F965" s="3" t="s">
        <v>65</v>
      </c>
      <c r="H965" s="3">
        <v>0</v>
      </c>
      <c r="I965" s="10">
        <f t="shared" si="153"/>
        <v>0</v>
      </c>
      <c r="J965" s="3">
        <v>0</v>
      </c>
      <c r="K965" s="3">
        <v>0</v>
      </c>
      <c r="L965" s="3">
        <f t="shared" si="154"/>
        <v>0</v>
      </c>
      <c r="N965" s="11">
        <f t="shared" si="155"/>
        <v>0</v>
      </c>
      <c r="O965" s="3">
        <v>0</v>
      </c>
      <c r="P965" s="11">
        <f t="shared" si="156"/>
        <v>9999</v>
      </c>
      <c r="Q965" s="12">
        <f t="shared" si="157"/>
        <v>9999</v>
      </c>
      <c r="R965" s="13">
        <f t="shared" si="158"/>
        <v>9999</v>
      </c>
      <c r="S965" s="3" t="s">
        <v>31</v>
      </c>
      <c r="T965" s="3" t="s">
        <v>34</v>
      </c>
      <c r="U965" s="10" t="s">
        <v>72</v>
      </c>
      <c r="V965" s="3" t="s">
        <v>72</v>
      </c>
      <c r="W965" s="3">
        <f t="shared" si="159"/>
        <v>0</v>
      </c>
      <c r="AA965" s="3">
        <v>35</v>
      </c>
    </row>
    <row r="966" spans="1:27" x14ac:dyDescent="0.3">
      <c r="A966" s="3" t="str">
        <f t="shared" si="150"/>
        <v>South9161089900210</v>
      </c>
      <c r="B966" s="3" t="str">
        <f t="shared" si="151"/>
        <v>CMR9161089900210</v>
      </c>
      <c r="C966" s="10">
        <v>9161089900210</v>
      </c>
      <c r="D966" s="10" t="str">
        <f t="shared" si="152"/>
        <v>9161089900</v>
      </c>
      <c r="E966" s="3" t="s">
        <v>5</v>
      </c>
      <c r="F966" s="3" t="s">
        <v>65</v>
      </c>
      <c r="H966" s="3">
        <v>0</v>
      </c>
      <c r="I966" s="10">
        <f t="shared" si="153"/>
        <v>0</v>
      </c>
      <c r="J966" s="3">
        <v>0</v>
      </c>
      <c r="K966" s="3">
        <v>0</v>
      </c>
      <c r="L966" s="3">
        <f t="shared" si="154"/>
        <v>0</v>
      </c>
      <c r="N966" s="11">
        <f t="shared" si="155"/>
        <v>0</v>
      </c>
      <c r="O966" s="3">
        <v>0</v>
      </c>
      <c r="P966" s="11">
        <f t="shared" si="156"/>
        <v>9999</v>
      </c>
      <c r="Q966" s="12">
        <f t="shared" si="157"/>
        <v>9999</v>
      </c>
      <c r="R966" s="13">
        <f t="shared" si="158"/>
        <v>9999</v>
      </c>
      <c r="S966" s="3" t="s">
        <v>31</v>
      </c>
      <c r="T966" s="3" t="s">
        <v>34</v>
      </c>
      <c r="U966" s="10" t="s">
        <v>72</v>
      </c>
      <c r="V966" s="3" t="s">
        <v>72</v>
      </c>
      <c r="W966" s="3">
        <f t="shared" si="159"/>
        <v>0</v>
      </c>
      <c r="AA966" s="3">
        <v>35</v>
      </c>
    </row>
    <row r="967" spans="1:27" x14ac:dyDescent="0.3">
      <c r="A967" s="3" t="str">
        <f t="shared" si="150"/>
        <v>East9310039901320</v>
      </c>
      <c r="B967" s="3" t="str">
        <f t="shared" si="151"/>
        <v>KGP9310039901320</v>
      </c>
      <c r="C967" s="10">
        <v>9310039901320</v>
      </c>
      <c r="D967" s="10" t="str">
        <f t="shared" si="152"/>
        <v>9310039901</v>
      </c>
      <c r="E967" s="3" t="s">
        <v>6</v>
      </c>
      <c r="F967" s="3" t="s">
        <v>66</v>
      </c>
      <c r="H967" s="3">
        <v>48.56</v>
      </c>
      <c r="I967" s="10">
        <f t="shared" si="153"/>
        <v>56.515908226190376</v>
      </c>
      <c r="J967" s="3">
        <v>25.776813037658936</v>
      </c>
      <c r="K967" s="3">
        <v>0</v>
      </c>
      <c r="L967" s="3">
        <f t="shared" si="154"/>
        <v>0</v>
      </c>
      <c r="N967" s="11">
        <f t="shared" si="155"/>
        <v>22.783186962341066</v>
      </c>
      <c r="O967" s="3">
        <v>25.776813037658936</v>
      </c>
      <c r="P967" s="11">
        <f t="shared" si="156"/>
        <v>26.51590822619038</v>
      </c>
      <c r="Q967" s="12">
        <f t="shared" si="157"/>
        <v>26.51590822619038</v>
      </c>
      <c r="R967" s="13">
        <f t="shared" si="158"/>
        <v>31.066758628273089</v>
      </c>
      <c r="S967" s="3" t="s">
        <v>29</v>
      </c>
      <c r="T967" s="3" t="s">
        <v>32</v>
      </c>
      <c r="U967" s="10">
        <v>9310039900999</v>
      </c>
      <c r="V967" s="3">
        <v>0.1</v>
      </c>
      <c r="W967" s="3">
        <f t="shared" si="159"/>
        <v>0</v>
      </c>
      <c r="AA967" s="3">
        <v>35</v>
      </c>
    </row>
    <row r="968" spans="1:27" x14ac:dyDescent="0.3">
      <c r="A968" s="3" t="str">
        <f t="shared" si="150"/>
        <v>East9310039902219</v>
      </c>
      <c r="B968" s="3" t="str">
        <f t="shared" si="151"/>
        <v>KGP9310039902219</v>
      </c>
      <c r="C968" s="10">
        <v>9310039902219</v>
      </c>
      <c r="D968" s="10" t="str">
        <f t="shared" si="152"/>
        <v>9310039902</v>
      </c>
      <c r="E968" s="3" t="s">
        <v>6</v>
      </c>
      <c r="F968" s="3" t="s">
        <v>66</v>
      </c>
      <c r="H968" s="3">
        <v>23.575499999999998</v>
      </c>
      <c r="I968" s="10">
        <f t="shared" si="153"/>
        <v>52.314323826038425</v>
      </c>
      <c r="J968" s="3">
        <v>13.519528654367749</v>
      </c>
      <c r="K968" s="3">
        <v>18</v>
      </c>
      <c r="L968" s="3">
        <f t="shared" si="154"/>
        <v>0</v>
      </c>
      <c r="N968" s="11">
        <f t="shared" si="155"/>
        <v>10.055971345632249</v>
      </c>
      <c r="O968" s="3">
        <v>13.519528654367749</v>
      </c>
      <c r="P968" s="11">
        <f t="shared" si="156"/>
        <v>22.314323826038429</v>
      </c>
      <c r="Q968" s="12">
        <f t="shared" si="157"/>
        <v>22.314323826038425</v>
      </c>
      <c r="R968" s="13">
        <f t="shared" si="158"/>
        <v>50.261699549000284</v>
      </c>
      <c r="S968" s="3" t="s">
        <v>30</v>
      </c>
      <c r="T968" s="3" t="s">
        <v>32</v>
      </c>
      <c r="U968" s="10">
        <v>9310039900999</v>
      </c>
      <c r="V968" s="3">
        <v>0.1</v>
      </c>
      <c r="W968" s="3">
        <f t="shared" si="159"/>
        <v>1.8</v>
      </c>
      <c r="AA968" s="3">
        <v>35</v>
      </c>
    </row>
    <row r="969" spans="1:27" x14ac:dyDescent="0.3">
      <c r="A969" s="3" t="str">
        <f t="shared" si="150"/>
        <v>East9310039901310</v>
      </c>
      <c r="B969" s="3" t="str">
        <f t="shared" si="151"/>
        <v>KGP9310039901310</v>
      </c>
      <c r="C969" s="10">
        <v>9310039901310</v>
      </c>
      <c r="D969" s="10" t="str">
        <f t="shared" si="152"/>
        <v>9310039901</v>
      </c>
      <c r="E969" s="3" t="s">
        <v>6</v>
      </c>
      <c r="F969" s="3" t="s">
        <v>66</v>
      </c>
      <c r="H969" s="3">
        <v>7.6999999999999993</v>
      </c>
      <c r="I969" s="10">
        <f t="shared" si="153"/>
        <v>53.668108364563757</v>
      </c>
      <c r="J969" s="3">
        <v>4.3042321974688003</v>
      </c>
      <c r="K969" s="3">
        <v>0</v>
      </c>
      <c r="L969" s="3">
        <f t="shared" si="154"/>
        <v>0</v>
      </c>
      <c r="N969" s="11">
        <f t="shared" si="155"/>
        <v>3.395767802531199</v>
      </c>
      <c r="O969" s="3">
        <v>4.3042321974688003</v>
      </c>
      <c r="P969" s="11">
        <f t="shared" si="156"/>
        <v>23.668108364563761</v>
      </c>
      <c r="Q969" s="12">
        <f t="shared" si="157"/>
        <v>23.668108364563764</v>
      </c>
      <c r="R969" s="13">
        <f t="shared" si="158"/>
        <v>26.606476274762038</v>
      </c>
      <c r="S969" s="3" t="s">
        <v>30</v>
      </c>
      <c r="T969" s="3" t="s">
        <v>32</v>
      </c>
      <c r="U969" s="10">
        <v>9310039900999</v>
      </c>
      <c r="V969" s="3">
        <v>0.1</v>
      </c>
      <c r="W969" s="3">
        <f t="shared" si="159"/>
        <v>0</v>
      </c>
      <c r="AA969" s="3">
        <v>35</v>
      </c>
    </row>
    <row r="970" spans="1:27" x14ac:dyDescent="0.3">
      <c r="A970" s="3" t="str">
        <f t="shared" si="150"/>
        <v>East9310039902297</v>
      </c>
      <c r="B970" s="3" t="str">
        <f t="shared" si="151"/>
        <v>KGP9310039902297</v>
      </c>
      <c r="C970" s="10">
        <v>9310039902297</v>
      </c>
      <c r="D970" s="10" t="str">
        <f t="shared" si="152"/>
        <v>9310039902</v>
      </c>
      <c r="E970" s="3" t="s">
        <v>6</v>
      </c>
      <c r="F970" s="3" t="s">
        <v>66</v>
      </c>
      <c r="H970" s="3">
        <v>15.687749999999999</v>
      </c>
      <c r="I970" s="10">
        <f t="shared" si="153"/>
        <v>146.09983228911352</v>
      </c>
      <c r="J970" s="3">
        <v>3.2213075992358182</v>
      </c>
      <c r="K970" s="3">
        <v>0</v>
      </c>
      <c r="L970" s="3">
        <f t="shared" si="154"/>
        <v>0</v>
      </c>
      <c r="N970" s="11">
        <f t="shared" si="155"/>
        <v>12.466442400764182</v>
      </c>
      <c r="O970" s="3">
        <v>3.2213075992358182</v>
      </c>
      <c r="P970" s="11">
        <f t="shared" si="156"/>
        <v>116.09983228911354</v>
      </c>
      <c r="Q970" s="12">
        <f t="shared" si="157"/>
        <v>116.09983228911354</v>
      </c>
      <c r="R970" s="13">
        <f t="shared" si="158"/>
        <v>108.69545438572041</v>
      </c>
      <c r="S970" s="3" t="s">
        <v>31</v>
      </c>
      <c r="T970" s="3" t="s">
        <v>32</v>
      </c>
      <c r="U970" s="10">
        <v>9310039900999</v>
      </c>
      <c r="V970" s="3">
        <v>0.1</v>
      </c>
      <c r="W970" s="3">
        <f t="shared" si="159"/>
        <v>0</v>
      </c>
      <c r="AA970" s="3">
        <v>35</v>
      </c>
    </row>
    <row r="971" spans="1:27" x14ac:dyDescent="0.3">
      <c r="A971" s="3" t="str">
        <f t="shared" si="150"/>
        <v>East9310039901840</v>
      </c>
      <c r="B971" s="3" t="str">
        <f t="shared" si="151"/>
        <v>KGP9310039901840</v>
      </c>
      <c r="C971" s="10">
        <v>9310039901840</v>
      </c>
      <c r="D971" s="10" t="str">
        <f t="shared" si="152"/>
        <v>9310039901</v>
      </c>
      <c r="E971" s="3" t="s">
        <v>6</v>
      </c>
      <c r="F971" s="3" t="s">
        <v>66</v>
      </c>
      <c r="H971" s="3">
        <v>3.4960000000000018</v>
      </c>
      <c r="I971" s="10">
        <f t="shared" si="153"/>
        <v>53.2485679102654</v>
      </c>
      <c r="J971" s="3">
        <v>1.9696304354465279</v>
      </c>
      <c r="K971" s="3">
        <v>0</v>
      </c>
      <c r="L971" s="3">
        <f t="shared" si="154"/>
        <v>0</v>
      </c>
      <c r="N971" s="11">
        <f t="shared" si="155"/>
        <v>1.5263695645534738</v>
      </c>
      <c r="O971" s="3">
        <v>1.9696304354465279</v>
      </c>
      <c r="P971" s="11">
        <f t="shared" si="156"/>
        <v>23.2485679102654</v>
      </c>
      <c r="Q971" s="12">
        <f t="shared" si="157"/>
        <v>23.2485679102654</v>
      </c>
      <c r="R971" s="13">
        <f t="shared" si="158"/>
        <v>42.929882151854791</v>
      </c>
      <c r="S971" s="3" t="s">
        <v>31</v>
      </c>
      <c r="T971" s="3" t="s">
        <v>32</v>
      </c>
      <c r="U971" s="10">
        <v>0</v>
      </c>
      <c r="V971" s="3">
        <v>0</v>
      </c>
      <c r="W971" s="3">
        <f t="shared" si="159"/>
        <v>0</v>
      </c>
      <c r="AA971" s="3">
        <v>35</v>
      </c>
    </row>
    <row r="972" spans="1:27" x14ac:dyDescent="0.3">
      <c r="A972" s="3" t="str">
        <f t="shared" si="150"/>
        <v>East9310039902839</v>
      </c>
      <c r="B972" s="3" t="str">
        <f t="shared" si="151"/>
        <v>KGP9310039902839</v>
      </c>
      <c r="C972" s="10">
        <v>9310039902839</v>
      </c>
      <c r="D972" s="10" t="str">
        <f t="shared" si="152"/>
        <v>9310039902</v>
      </c>
      <c r="E972" s="3" t="s">
        <v>6</v>
      </c>
      <c r="F972" s="3" t="s">
        <v>66</v>
      </c>
      <c r="H972" s="3">
        <v>18.911100000000001</v>
      </c>
      <c r="I972" s="10">
        <f t="shared" si="153"/>
        <v>318.61643600956899</v>
      </c>
      <c r="J972" s="3">
        <v>1.7806143559491743</v>
      </c>
      <c r="K972" s="3">
        <v>0</v>
      </c>
      <c r="L972" s="3">
        <f t="shared" si="154"/>
        <v>0</v>
      </c>
      <c r="N972" s="11">
        <f t="shared" si="155"/>
        <v>17.130485644050825</v>
      </c>
      <c r="O972" s="3">
        <v>1.7806143559491743</v>
      </c>
      <c r="P972" s="11">
        <f t="shared" si="156"/>
        <v>288.61643600956899</v>
      </c>
      <c r="Q972" s="12">
        <f t="shared" si="157"/>
        <v>288.61643600956899</v>
      </c>
      <c r="R972" s="13">
        <f t="shared" si="158"/>
        <v>147.06389746158985</v>
      </c>
      <c r="S972" s="3" t="s">
        <v>31</v>
      </c>
      <c r="T972" s="3" t="s">
        <v>32</v>
      </c>
      <c r="U972" s="10">
        <v>0</v>
      </c>
      <c r="V972" s="3">
        <v>0</v>
      </c>
      <c r="W972" s="3">
        <f t="shared" si="159"/>
        <v>0</v>
      </c>
      <c r="AA972" s="3">
        <v>35</v>
      </c>
    </row>
    <row r="973" spans="1:27" x14ac:dyDescent="0.3">
      <c r="A973" s="3" t="str">
        <f t="shared" si="150"/>
        <v>East9310039901210</v>
      </c>
      <c r="B973" s="3" t="str">
        <f t="shared" si="151"/>
        <v>KGP9310039901210</v>
      </c>
      <c r="C973" s="10">
        <v>9310039901210</v>
      </c>
      <c r="D973" s="10" t="str">
        <f t="shared" si="152"/>
        <v>9310039901</v>
      </c>
      <c r="E973" s="3" t="s">
        <v>6</v>
      </c>
      <c r="F973" s="3" t="s">
        <v>66</v>
      </c>
      <c r="H973" s="3">
        <v>6.2790000000000008</v>
      </c>
      <c r="I973" s="10">
        <f t="shared" si="153"/>
        <v>199.02052128569696</v>
      </c>
      <c r="J973" s="3">
        <v>0.94648531107800704</v>
      </c>
      <c r="K973" s="3">
        <v>0</v>
      </c>
      <c r="L973" s="3">
        <f t="shared" si="154"/>
        <v>0</v>
      </c>
      <c r="N973" s="11">
        <f t="shared" si="155"/>
        <v>5.3325146889219939</v>
      </c>
      <c r="O973" s="3">
        <v>0.94648531107800704</v>
      </c>
      <c r="P973" s="11">
        <f t="shared" si="156"/>
        <v>169.02052128569699</v>
      </c>
      <c r="Q973" s="12">
        <f t="shared" si="157"/>
        <v>169.02052128569699</v>
      </c>
      <c r="R973" s="13">
        <f t="shared" si="158"/>
        <v>97.336469979643681</v>
      </c>
      <c r="S973" s="3" t="s">
        <v>31</v>
      </c>
      <c r="T973" s="3" t="s">
        <v>32</v>
      </c>
      <c r="U973" s="10">
        <v>0</v>
      </c>
      <c r="V973" s="3">
        <v>0</v>
      </c>
      <c r="W973" s="3">
        <f t="shared" si="159"/>
        <v>0</v>
      </c>
      <c r="AA973" s="3">
        <v>35</v>
      </c>
    </row>
    <row r="974" spans="1:27" x14ac:dyDescent="0.3">
      <c r="A974" s="3" t="str">
        <f t="shared" si="150"/>
        <v>East9310029901320</v>
      </c>
      <c r="B974" s="3" t="str">
        <f t="shared" si="151"/>
        <v>KGP9310029901320</v>
      </c>
      <c r="C974" s="10">
        <v>9310029901320</v>
      </c>
      <c r="D974" s="10" t="str">
        <f t="shared" si="152"/>
        <v>9310029901</v>
      </c>
      <c r="E974" s="3" t="s">
        <v>6</v>
      </c>
      <c r="F974" s="3" t="s">
        <v>66</v>
      </c>
      <c r="H974" s="3">
        <v>5.8599999999999994</v>
      </c>
      <c r="I974" s="10">
        <f t="shared" si="153"/>
        <v>205.60635891475991</v>
      </c>
      <c r="J974" s="3">
        <v>0.85503192084094537</v>
      </c>
      <c r="K974" s="3">
        <v>0</v>
      </c>
      <c r="L974" s="3">
        <f t="shared" si="154"/>
        <v>0</v>
      </c>
      <c r="N974" s="11">
        <f t="shared" si="155"/>
        <v>5.0049680791590543</v>
      </c>
      <c r="O974" s="3">
        <v>0.85503192084094537</v>
      </c>
      <c r="P974" s="11">
        <f t="shared" si="156"/>
        <v>175.60635891475991</v>
      </c>
      <c r="Q974" s="12">
        <f t="shared" si="157"/>
        <v>175.60635891475991</v>
      </c>
      <c r="R974" s="13">
        <f t="shared" si="158"/>
        <v>68.274718392050673</v>
      </c>
      <c r="S974" s="3" t="s">
        <v>31</v>
      </c>
      <c r="T974" s="3" t="s">
        <v>32</v>
      </c>
      <c r="U974" s="10">
        <v>9310029900999</v>
      </c>
      <c r="V974" s="3">
        <v>0.1</v>
      </c>
      <c r="W974" s="3">
        <f t="shared" si="159"/>
        <v>0</v>
      </c>
      <c r="AA974" s="3">
        <v>35</v>
      </c>
    </row>
    <row r="975" spans="1:27" x14ac:dyDescent="0.3">
      <c r="A975" s="3" t="str">
        <f t="shared" si="150"/>
        <v>East9310039902097</v>
      </c>
      <c r="B975" s="3" t="str">
        <f t="shared" si="151"/>
        <v>KGP9310039902097</v>
      </c>
      <c r="C975" s="10">
        <v>9310039902097</v>
      </c>
      <c r="D975" s="10" t="str">
        <f t="shared" si="152"/>
        <v>9310039902</v>
      </c>
      <c r="E975" s="3" t="s">
        <v>6</v>
      </c>
      <c r="F975" s="3" t="s">
        <v>66</v>
      </c>
      <c r="H975" s="3">
        <v>16.248374999999999</v>
      </c>
      <c r="I975" s="10">
        <f t="shared" si="153"/>
        <v>617.04662339714559</v>
      </c>
      <c r="J975" s="3">
        <v>0.78997474666718182</v>
      </c>
      <c r="K975" s="3">
        <v>0</v>
      </c>
      <c r="L975" s="3">
        <f t="shared" si="154"/>
        <v>0</v>
      </c>
      <c r="N975" s="11">
        <f t="shared" si="155"/>
        <v>15.458400253332817</v>
      </c>
      <c r="O975" s="3">
        <v>0.78997474666718182</v>
      </c>
      <c r="P975" s="11">
        <f t="shared" si="156"/>
        <v>587.04662339714559</v>
      </c>
      <c r="Q975" s="12">
        <f t="shared" si="157"/>
        <v>587.04662339714548</v>
      </c>
      <c r="R975" s="13">
        <f t="shared" si="158"/>
        <v>263.59855286489056</v>
      </c>
      <c r="S975" s="3" t="s">
        <v>31</v>
      </c>
      <c r="T975" s="3" t="s">
        <v>32</v>
      </c>
      <c r="U975" s="10">
        <v>0</v>
      </c>
      <c r="V975" s="3">
        <v>0</v>
      </c>
      <c r="W975" s="3">
        <f t="shared" si="159"/>
        <v>0</v>
      </c>
      <c r="AA975" s="3">
        <v>35</v>
      </c>
    </row>
    <row r="976" spans="1:27" x14ac:dyDescent="0.3">
      <c r="A976" s="3" t="str">
        <f t="shared" si="150"/>
        <v>East9310029901310</v>
      </c>
      <c r="B976" s="3" t="str">
        <f t="shared" si="151"/>
        <v>KGP9310029901310</v>
      </c>
      <c r="C976" s="10">
        <v>9310029901310</v>
      </c>
      <c r="D976" s="10" t="str">
        <f t="shared" si="152"/>
        <v>9310029901</v>
      </c>
      <c r="E976" s="3" t="s">
        <v>6</v>
      </c>
      <c r="F976" s="3" t="s">
        <v>66</v>
      </c>
      <c r="H976" s="3">
        <v>2.5099999999999989</v>
      </c>
      <c r="I976" s="10">
        <f t="shared" si="153"/>
        <v>183.81764760973874</v>
      </c>
      <c r="J976" s="3">
        <v>0.4096451074157394</v>
      </c>
      <c r="K976" s="3">
        <v>0</v>
      </c>
      <c r="L976" s="3">
        <f t="shared" si="154"/>
        <v>0</v>
      </c>
      <c r="N976" s="11">
        <f t="shared" si="155"/>
        <v>2.1003548925842597</v>
      </c>
      <c r="O976" s="3">
        <v>0.4096451074157394</v>
      </c>
      <c r="P976" s="11">
        <f t="shared" si="156"/>
        <v>153.81764760973877</v>
      </c>
      <c r="Q976" s="12">
        <f t="shared" si="157"/>
        <v>153.81764760973877</v>
      </c>
      <c r="R976" s="13">
        <f t="shared" si="158"/>
        <v>236.16131981271428</v>
      </c>
      <c r="S976" s="3" t="s">
        <v>31</v>
      </c>
      <c r="T976" s="3" t="s">
        <v>32</v>
      </c>
      <c r="U976" s="10">
        <v>9310029900999</v>
      </c>
      <c r="V976" s="3">
        <v>0.1</v>
      </c>
      <c r="W976" s="3">
        <f t="shared" si="159"/>
        <v>0</v>
      </c>
      <c r="AA976" s="3">
        <v>35</v>
      </c>
    </row>
    <row r="977" spans="1:27" x14ac:dyDescent="0.3">
      <c r="A977" s="3" t="str">
        <f t="shared" si="150"/>
        <v>East9310029901210</v>
      </c>
      <c r="B977" s="3" t="str">
        <f t="shared" si="151"/>
        <v>KGP9310029901210</v>
      </c>
      <c r="C977" s="10">
        <v>9310029901210</v>
      </c>
      <c r="D977" s="10" t="str">
        <f t="shared" si="152"/>
        <v>9310029901</v>
      </c>
      <c r="E977" s="3" t="s">
        <v>6</v>
      </c>
      <c r="F977" s="3" t="s">
        <v>66</v>
      </c>
      <c r="H977" s="3">
        <v>3.403999999999999</v>
      </c>
      <c r="I977" s="10">
        <f t="shared" si="153"/>
        <v>1796.8409319520445</v>
      </c>
      <c r="J977" s="3">
        <v>5.6833077532945156E-2</v>
      </c>
      <c r="K977" s="3">
        <v>0</v>
      </c>
      <c r="L977" s="3">
        <f t="shared" si="154"/>
        <v>0</v>
      </c>
      <c r="N977" s="11">
        <f t="shared" si="155"/>
        <v>3.3471669224670539</v>
      </c>
      <c r="O977" s="3">
        <v>5.6833077532945156E-2</v>
      </c>
      <c r="P977" s="11">
        <f t="shared" si="156"/>
        <v>1766.8409319520445</v>
      </c>
      <c r="Q977" s="12">
        <f t="shared" si="157"/>
        <v>1766.8409319520445</v>
      </c>
      <c r="R977" s="13">
        <f t="shared" si="158"/>
        <v>839.82980335981051</v>
      </c>
      <c r="S977" s="3" t="s">
        <v>31</v>
      </c>
      <c r="T977" s="3" t="s">
        <v>32</v>
      </c>
      <c r="U977" s="10">
        <v>0</v>
      </c>
      <c r="V977" s="3">
        <v>0</v>
      </c>
      <c r="W977" s="3">
        <f t="shared" si="159"/>
        <v>0</v>
      </c>
      <c r="AA977" s="3">
        <v>35</v>
      </c>
    </row>
    <row r="978" spans="1:27" x14ac:dyDescent="0.3">
      <c r="A978" s="3" t="str">
        <f t="shared" si="150"/>
        <v>East9310029901840</v>
      </c>
      <c r="B978" s="3" t="str">
        <f t="shared" si="151"/>
        <v>KGP9310029901840</v>
      </c>
      <c r="C978" s="10">
        <v>9310029901840</v>
      </c>
      <c r="D978" s="10" t="str">
        <f t="shared" si="152"/>
        <v>9310029901</v>
      </c>
      <c r="E978" s="3" t="s">
        <v>6</v>
      </c>
      <c r="F978" s="3" t="s">
        <v>66</v>
      </c>
      <c r="H978" s="3">
        <v>1.5040000000000004</v>
      </c>
      <c r="I978" s="10">
        <f t="shared" si="153"/>
        <v>1772.6008137180304</v>
      </c>
      <c r="J978" s="3">
        <v>2.5454123483877236E-2</v>
      </c>
      <c r="K978" s="3">
        <v>0</v>
      </c>
      <c r="L978" s="3">
        <f t="shared" si="154"/>
        <v>0</v>
      </c>
      <c r="N978" s="11">
        <f t="shared" si="155"/>
        <v>1.4785458765161232</v>
      </c>
      <c r="O978" s="3">
        <v>2.5454123483877236E-2</v>
      </c>
      <c r="P978" s="11">
        <f t="shared" si="156"/>
        <v>1742.6008137180304</v>
      </c>
      <c r="Q978" s="12">
        <f t="shared" si="157"/>
        <v>1742.6008137180304</v>
      </c>
      <c r="R978" s="13">
        <f t="shared" si="158"/>
        <v>419.68149637672144</v>
      </c>
      <c r="S978" s="3" t="s">
        <v>31</v>
      </c>
      <c r="T978" s="3" t="s">
        <v>32</v>
      </c>
      <c r="U978" s="10">
        <v>0</v>
      </c>
      <c r="V978" s="3">
        <v>0</v>
      </c>
      <c r="W978" s="3">
        <f t="shared" si="159"/>
        <v>0</v>
      </c>
      <c r="AA978" s="3">
        <v>35</v>
      </c>
    </row>
    <row r="979" spans="1:27" x14ac:dyDescent="0.3">
      <c r="A979" s="3" t="str">
        <f t="shared" si="150"/>
        <v>West9100309900320</v>
      </c>
      <c r="B979" s="3" t="str">
        <f t="shared" si="151"/>
        <v>Mah9100309900320</v>
      </c>
      <c r="C979" s="14">
        <v>9100309900320</v>
      </c>
      <c r="D979" s="10" t="str">
        <f t="shared" si="152"/>
        <v>9100309900</v>
      </c>
      <c r="E979" s="3" t="s">
        <v>1</v>
      </c>
      <c r="F979" s="3" t="s">
        <v>63</v>
      </c>
      <c r="H979" s="3">
        <v>52.500000000000007</v>
      </c>
      <c r="I979" s="10">
        <f t="shared" si="153"/>
        <v>46.816846888172186</v>
      </c>
      <c r="J979" s="3">
        <v>33.641735928138907</v>
      </c>
      <c r="K979" s="3">
        <v>72</v>
      </c>
      <c r="L979" s="3">
        <f t="shared" si="154"/>
        <v>0</v>
      </c>
      <c r="M979" s="32"/>
      <c r="N979" s="11">
        <f t="shared" si="155"/>
        <v>18.8582640718611</v>
      </c>
      <c r="O979" s="3">
        <v>33.641735928138907</v>
      </c>
      <c r="P979" s="11">
        <f t="shared" si="156"/>
        <v>16.816846888172179</v>
      </c>
      <c r="Q979" s="12">
        <f t="shared" si="157"/>
        <v>16.816846888172183</v>
      </c>
      <c r="R979" s="13">
        <f t="shared" si="158"/>
        <v>25.384779387632882</v>
      </c>
      <c r="S979" s="3" t="s">
        <v>29</v>
      </c>
      <c r="T979" s="3" t="s">
        <v>34</v>
      </c>
      <c r="U979" s="10">
        <v>0</v>
      </c>
      <c r="V979" s="3">
        <v>0</v>
      </c>
      <c r="W979" s="3">
        <f t="shared" si="159"/>
        <v>0</v>
      </c>
      <c r="Y979" s="3">
        <v>0</v>
      </c>
      <c r="Z979" s="3">
        <v>138</v>
      </c>
      <c r="AA979" s="3">
        <v>36</v>
      </c>
    </row>
    <row r="980" spans="1:27" x14ac:dyDescent="0.3">
      <c r="A980" s="3" t="str">
        <f t="shared" si="150"/>
        <v>West9310019901320</v>
      </c>
      <c r="B980" s="3" t="str">
        <f t="shared" si="151"/>
        <v>Mah9310019901320</v>
      </c>
      <c r="C980" s="14">
        <v>9310019901320</v>
      </c>
      <c r="D980" s="10" t="str">
        <f t="shared" si="152"/>
        <v>9310019901</v>
      </c>
      <c r="E980" s="3" t="s">
        <v>1</v>
      </c>
      <c r="F980" s="3" t="s">
        <v>63</v>
      </c>
      <c r="H980" s="3">
        <v>53.88</v>
      </c>
      <c r="I980" s="10">
        <f t="shared" si="153"/>
        <v>55.712878901753115</v>
      </c>
      <c r="J980" s="3">
        <v>29.013040285540455</v>
      </c>
      <c r="K980" s="3">
        <v>54</v>
      </c>
      <c r="L980" s="3">
        <f t="shared" si="154"/>
        <v>0</v>
      </c>
      <c r="M980" s="32"/>
      <c r="N980" s="11">
        <f t="shared" si="155"/>
        <v>24.866959714459547</v>
      </c>
      <c r="O980" s="3">
        <v>29.013040285540455</v>
      </c>
      <c r="P980" s="11">
        <f t="shared" si="156"/>
        <v>25.712878901753115</v>
      </c>
      <c r="Q980" s="12">
        <f t="shared" si="157"/>
        <v>25.712878901753118</v>
      </c>
      <c r="R980" s="13">
        <f t="shared" si="158"/>
        <v>15.311331395407025</v>
      </c>
      <c r="S980" s="3" t="s">
        <v>29</v>
      </c>
      <c r="T980" s="3" t="s">
        <v>32</v>
      </c>
      <c r="U980" s="10">
        <v>9310019900999</v>
      </c>
      <c r="V980" s="3">
        <v>0.1</v>
      </c>
      <c r="W980" s="3">
        <f t="shared" si="159"/>
        <v>5.4</v>
      </c>
      <c r="Y980" s="3">
        <v>0</v>
      </c>
      <c r="Z980" s="3">
        <v>140</v>
      </c>
      <c r="AA980" s="3">
        <v>36</v>
      </c>
    </row>
    <row r="981" spans="1:27" x14ac:dyDescent="0.3">
      <c r="A981" s="3" t="str">
        <f t="shared" si="150"/>
        <v>West9161109900320</v>
      </c>
      <c r="B981" s="3" t="str">
        <f t="shared" si="151"/>
        <v>Mah9161109900320</v>
      </c>
      <c r="C981" s="14">
        <v>9161109900320</v>
      </c>
      <c r="D981" s="10" t="str">
        <f t="shared" si="152"/>
        <v>9161109900</v>
      </c>
      <c r="E981" s="3" t="s">
        <v>1</v>
      </c>
      <c r="F981" s="3" t="s">
        <v>63</v>
      </c>
      <c r="H981" s="3">
        <v>53.500000000000007</v>
      </c>
      <c r="I981" s="10">
        <f t="shared" si="153"/>
        <v>74.737194800058234</v>
      </c>
      <c r="J981" s="3">
        <v>21.475250767623802</v>
      </c>
      <c r="K981" s="3">
        <v>0</v>
      </c>
      <c r="L981" s="3">
        <f t="shared" si="154"/>
        <v>0</v>
      </c>
      <c r="M981" s="32"/>
      <c r="N981" s="11">
        <f t="shared" si="155"/>
        <v>32.024749232376209</v>
      </c>
      <c r="O981" s="3">
        <v>21.475250767623802</v>
      </c>
      <c r="P981" s="11">
        <f t="shared" si="156"/>
        <v>44.737194800058241</v>
      </c>
      <c r="Q981" s="12">
        <f t="shared" si="157"/>
        <v>44.737194800058241</v>
      </c>
      <c r="R981" s="13">
        <f t="shared" si="158"/>
        <v>29.817154882232217</v>
      </c>
      <c r="S981" s="3" t="s">
        <v>29</v>
      </c>
      <c r="T981" s="3" t="s">
        <v>34</v>
      </c>
      <c r="U981" s="10">
        <v>0</v>
      </c>
      <c r="V981" s="3">
        <v>0</v>
      </c>
      <c r="W981" s="3">
        <f t="shared" si="159"/>
        <v>0</v>
      </c>
      <c r="Y981" s="3">
        <v>0</v>
      </c>
      <c r="Z981" s="3">
        <v>138</v>
      </c>
      <c r="AA981" s="3">
        <v>36</v>
      </c>
    </row>
    <row r="982" spans="1:27" x14ac:dyDescent="0.3">
      <c r="A982" s="3" t="str">
        <f t="shared" si="150"/>
        <v>West9310099901320</v>
      </c>
      <c r="B982" s="3" t="str">
        <f t="shared" si="151"/>
        <v>Mah9310099901320</v>
      </c>
      <c r="C982" s="14">
        <v>9310099901320</v>
      </c>
      <c r="D982" s="10" t="str">
        <f t="shared" si="152"/>
        <v>9310099901</v>
      </c>
      <c r="E982" s="3" t="s">
        <v>1</v>
      </c>
      <c r="F982" s="3" t="s">
        <v>63</v>
      </c>
      <c r="H982" s="3">
        <v>0</v>
      </c>
      <c r="I982" s="10">
        <f t="shared" si="153"/>
        <v>0</v>
      </c>
      <c r="J982" s="3">
        <v>14.345140600000004</v>
      </c>
      <c r="K982" s="3">
        <v>0</v>
      </c>
      <c r="L982" s="3">
        <f t="shared" si="154"/>
        <v>0</v>
      </c>
      <c r="M982" s="32"/>
      <c r="N982" s="11">
        <f t="shared" si="155"/>
        <v>-14.345140600000004</v>
      </c>
      <c r="O982" s="3">
        <v>14.345140600000004</v>
      </c>
      <c r="P982" s="11">
        <f t="shared" si="156"/>
        <v>-30</v>
      </c>
      <c r="Q982" s="12">
        <f t="shared" si="157"/>
        <v>-30</v>
      </c>
      <c r="R982" s="13">
        <f t="shared" si="158"/>
        <v>-30</v>
      </c>
      <c r="S982" s="3">
        <v>0</v>
      </c>
      <c r="T982" s="3" t="s">
        <v>32</v>
      </c>
      <c r="U982" s="10">
        <v>9310099900999</v>
      </c>
      <c r="V982" s="3">
        <v>0.1</v>
      </c>
      <c r="W982" s="3">
        <f t="shared" si="159"/>
        <v>0</v>
      </c>
      <c r="Y982" s="3">
        <v>0</v>
      </c>
      <c r="Z982" s="3">
        <v>306</v>
      </c>
      <c r="AA982" s="3">
        <v>36</v>
      </c>
    </row>
    <row r="983" spans="1:27" x14ac:dyDescent="0.3">
      <c r="A983" s="3" t="str">
        <f t="shared" si="150"/>
        <v>West9360019900320</v>
      </c>
      <c r="B983" s="3" t="str">
        <f t="shared" si="151"/>
        <v>Mah9360019900320</v>
      </c>
      <c r="C983" s="14">
        <v>9360019900320</v>
      </c>
      <c r="D983" s="10" t="str">
        <f t="shared" si="152"/>
        <v>9360019900</v>
      </c>
      <c r="E983" s="3" t="s">
        <v>1</v>
      </c>
      <c r="F983" s="3" t="s">
        <v>63</v>
      </c>
      <c r="H983" s="3">
        <v>29.700000000000003</v>
      </c>
      <c r="I983" s="10">
        <f t="shared" si="153"/>
        <v>106.73700581363958</v>
      </c>
      <c r="J983" s="3">
        <v>8.3476203328737366</v>
      </c>
      <c r="K983" s="3">
        <v>0</v>
      </c>
      <c r="L983" s="3">
        <f t="shared" si="154"/>
        <v>0</v>
      </c>
      <c r="M983" s="32"/>
      <c r="N983" s="11">
        <f t="shared" si="155"/>
        <v>21.352379667126264</v>
      </c>
      <c r="O983" s="3">
        <v>8.3476203328737366</v>
      </c>
      <c r="P983" s="11">
        <f t="shared" si="156"/>
        <v>76.737005813639584</v>
      </c>
      <c r="Q983" s="12">
        <f t="shared" si="157"/>
        <v>76.737005813639584</v>
      </c>
      <c r="R983" s="13">
        <f t="shared" si="158"/>
        <v>8.1280544165909951</v>
      </c>
      <c r="S983" s="3" t="s">
        <v>29</v>
      </c>
      <c r="T983" s="3" t="s">
        <v>33</v>
      </c>
      <c r="U983" s="10">
        <v>9360019900999</v>
      </c>
      <c r="V983" s="3">
        <v>0.1</v>
      </c>
      <c r="W983" s="3">
        <f t="shared" si="159"/>
        <v>0</v>
      </c>
      <c r="Y983" s="3">
        <v>0</v>
      </c>
      <c r="Z983" s="3">
        <v>180</v>
      </c>
      <c r="AA983" s="3">
        <v>36</v>
      </c>
    </row>
    <row r="984" spans="1:27" ht="15.6" x14ac:dyDescent="0.3">
      <c r="A984" s="3" t="str">
        <f t="shared" si="150"/>
        <v>West9310019901310</v>
      </c>
      <c r="B984" s="3" t="str">
        <f t="shared" si="151"/>
        <v>Mah9310019901310</v>
      </c>
      <c r="C984" s="10">
        <v>9310019901310</v>
      </c>
      <c r="D984" s="10" t="str">
        <f t="shared" si="152"/>
        <v>9310019901</v>
      </c>
      <c r="E984" s="3" t="s">
        <v>1</v>
      </c>
      <c r="F984" s="3" t="s">
        <v>63</v>
      </c>
      <c r="H984" s="3">
        <v>7.8100000000000023</v>
      </c>
      <c r="I984" s="10">
        <f t="shared" si="153"/>
        <v>61.987226438290186</v>
      </c>
      <c r="J984" s="3">
        <v>3.7798109943385114</v>
      </c>
      <c r="K984" s="3">
        <v>0</v>
      </c>
      <c r="L984" s="3">
        <f t="shared" si="154"/>
        <v>0</v>
      </c>
      <c r="M984" s="32"/>
      <c r="N984" s="11">
        <f t="shared" si="155"/>
        <v>4.0301890056614909</v>
      </c>
      <c r="O984" s="3">
        <v>3.7798109943385114</v>
      </c>
      <c r="P984" s="11">
        <f t="shared" si="156"/>
        <v>31.987226438290179</v>
      </c>
      <c r="Q984" s="12">
        <f t="shared" si="157"/>
        <v>31.987226438290179</v>
      </c>
      <c r="R984" s="13">
        <f t="shared" si="158"/>
        <v>34.329351227139078</v>
      </c>
      <c r="S984" s="3" t="s">
        <v>30</v>
      </c>
      <c r="T984" s="3" t="s">
        <v>32</v>
      </c>
      <c r="U984" s="10">
        <v>9310019900999</v>
      </c>
      <c r="V984" s="3">
        <v>0.1</v>
      </c>
      <c r="W984" s="3">
        <f t="shared" si="159"/>
        <v>0</v>
      </c>
      <c r="Y984" s="3">
        <v>9.5</v>
      </c>
      <c r="Z984" s="3">
        <v>34.5</v>
      </c>
      <c r="AA984">
        <v>36</v>
      </c>
    </row>
    <row r="985" spans="1:27" x14ac:dyDescent="0.3">
      <c r="A985" s="3" t="str">
        <f t="shared" si="150"/>
        <v>West9310099901310</v>
      </c>
      <c r="B985" s="3" t="str">
        <f t="shared" si="151"/>
        <v>Mah9310099901310</v>
      </c>
      <c r="C985" s="10">
        <v>9310099901310</v>
      </c>
      <c r="D985" s="10" t="str">
        <f t="shared" si="152"/>
        <v>9310099901</v>
      </c>
      <c r="E985" s="3" t="s">
        <v>1</v>
      </c>
      <c r="F985" s="3" t="s">
        <v>63</v>
      </c>
      <c r="H985" s="3">
        <v>0</v>
      </c>
      <c r="I985" s="10">
        <f t="shared" si="153"/>
        <v>0</v>
      </c>
      <c r="J985" s="3">
        <v>2.0479575725000005</v>
      </c>
      <c r="K985" s="3">
        <v>0</v>
      </c>
      <c r="L985" s="3">
        <f t="shared" si="154"/>
        <v>0</v>
      </c>
      <c r="M985" s="32"/>
      <c r="N985" s="11">
        <f t="shared" si="155"/>
        <v>-2.0479575725000005</v>
      </c>
      <c r="O985" s="3">
        <v>2.0479575725000005</v>
      </c>
      <c r="P985" s="11">
        <f t="shared" si="156"/>
        <v>-30</v>
      </c>
      <c r="Q985" s="12">
        <f t="shared" si="157"/>
        <v>-30</v>
      </c>
      <c r="R985" s="13">
        <f t="shared" si="158"/>
        <v>-30.000000000000004</v>
      </c>
      <c r="S985" s="3">
        <v>0</v>
      </c>
      <c r="T985" s="3" t="s">
        <v>32</v>
      </c>
      <c r="U985" s="10">
        <v>9310099900999</v>
      </c>
      <c r="V985" s="3">
        <v>0.1</v>
      </c>
      <c r="W985" s="3">
        <f t="shared" si="159"/>
        <v>0</v>
      </c>
      <c r="Y985" s="3">
        <v>0</v>
      </c>
      <c r="Z985" s="3">
        <v>144</v>
      </c>
      <c r="AA985" s="3">
        <v>36</v>
      </c>
    </row>
    <row r="986" spans="1:27" x14ac:dyDescent="0.3">
      <c r="A986" s="3" t="str">
        <f t="shared" si="150"/>
        <v>West9310019901840</v>
      </c>
      <c r="B986" s="3" t="str">
        <f t="shared" si="151"/>
        <v>Mah9310019901840</v>
      </c>
      <c r="C986" s="10">
        <v>9310019901840</v>
      </c>
      <c r="D986" s="10" t="str">
        <f t="shared" si="152"/>
        <v>9310019901</v>
      </c>
      <c r="E986" s="3" t="s">
        <v>1</v>
      </c>
      <c r="F986" s="3" t="s">
        <v>63</v>
      </c>
      <c r="H986" s="3">
        <v>10.736000000000001</v>
      </c>
      <c r="I986" s="10">
        <f t="shared" si="153"/>
        <v>176.19723584628835</v>
      </c>
      <c r="J986" s="3">
        <v>1.827951491140176</v>
      </c>
      <c r="K986" s="3">
        <v>0</v>
      </c>
      <c r="L986" s="3">
        <f t="shared" si="154"/>
        <v>0</v>
      </c>
      <c r="M986" s="32"/>
      <c r="N986" s="11">
        <f t="shared" si="155"/>
        <v>8.9080485088598245</v>
      </c>
      <c r="O986" s="3">
        <v>1.827951491140176</v>
      </c>
      <c r="P986" s="11">
        <f t="shared" si="156"/>
        <v>146.19723584628835</v>
      </c>
      <c r="Q986" s="12">
        <f t="shared" si="157"/>
        <v>146.19723584628832</v>
      </c>
      <c r="R986" s="13">
        <f t="shared" si="158"/>
        <v>45.841224370308467</v>
      </c>
      <c r="S986" s="3" t="s">
        <v>30</v>
      </c>
      <c r="T986" s="3" t="s">
        <v>32</v>
      </c>
      <c r="U986" s="10">
        <v>0</v>
      </c>
      <c r="V986" s="3">
        <v>0</v>
      </c>
      <c r="W986" s="3">
        <f t="shared" si="159"/>
        <v>0</v>
      </c>
      <c r="Y986" s="3">
        <v>0</v>
      </c>
      <c r="Z986" s="3">
        <v>0</v>
      </c>
      <c r="AA986" s="3">
        <v>36</v>
      </c>
    </row>
    <row r="987" spans="1:27" x14ac:dyDescent="0.3">
      <c r="A987" s="3" t="str">
        <f t="shared" si="150"/>
        <v>West9360019900310</v>
      </c>
      <c r="B987" s="3" t="str">
        <f t="shared" si="151"/>
        <v>Mah9360019900310</v>
      </c>
      <c r="C987" s="10">
        <v>9360019900310</v>
      </c>
      <c r="D987" s="10" t="str">
        <f t="shared" si="152"/>
        <v>9360019900</v>
      </c>
      <c r="E987" s="3" t="s">
        <v>1</v>
      </c>
      <c r="F987" s="3" t="s">
        <v>63</v>
      </c>
      <c r="H987" s="3">
        <v>1.1000000000000001</v>
      </c>
      <c r="I987" s="10">
        <f t="shared" si="153"/>
        <v>19.489083155769514</v>
      </c>
      <c r="J987" s="3">
        <v>1.6932556414399995</v>
      </c>
      <c r="K987" s="3">
        <v>0</v>
      </c>
      <c r="L987" s="3">
        <f t="shared" si="154"/>
        <v>0</v>
      </c>
      <c r="M987" s="32"/>
      <c r="N987" s="11">
        <f t="shared" si="155"/>
        <v>-0.59325564143999943</v>
      </c>
      <c r="O987" s="3">
        <v>1.6932556414399995</v>
      </c>
      <c r="P987" s="11">
        <f t="shared" si="156"/>
        <v>-10.510916844230483</v>
      </c>
      <c r="Q987" s="12">
        <f t="shared" si="157"/>
        <v>-10.510916844230485</v>
      </c>
      <c r="R987" s="13">
        <f t="shared" si="158"/>
        <v>13.739643012449649</v>
      </c>
      <c r="S987" s="3" t="s">
        <v>31</v>
      </c>
      <c r="T987" s="3" t="s">
        <v>33</v>
      </c>
      <c r="U987" s="10">
        <v>9360019900999</v>
      </c>
      <c r="V987" s="3">
        <v>0.1</v>
      </c>
      <c r="W987" s="3">
        <f t="shared" si="159"/>
        <v>0</v>
      </c>
      <c r="Y987" s="3">
        <v>0</v>
      </c>
      <c r="Z987" s="3">
        <v>378</v>
      </c>
      <c r="AA987" s="3">
        <v>36</v>
      </c>
    </row>
    <row r="988" spans="1:27" x14ac:dyDescent="0.3">
      <c r="A988" s="3" t="str">
        <f t="shared" si="150"/>
        <v>West9310099901840</v>
      </c>
      <c r="B988" s="3" t="str">
        <f t="shared" si="151"/>
        <v>Mah9310099901840</v>
      </c>
      <c r="C988" s="10">
        <v>9310099901840</v>
      </c>
      <c r="D988" s="10" t="str">
        <f t="shared" si="152"/>
        <v>9310099901</v>
      </c>
      <c r="E988" s="3" t="s">
        <v>1</v>
      </c>
      <c r="F988" s="3" t="s">
        <v>63</v>
      </c>
      <c r="H988" s="3">
        <v>0</v>
      </c>
      <c r="I988" s="10">
        <f t="shared" si="153"/>
        <v>0</v>
      </c>
      <c r="J988" s="3">
        <v>1.1929116919999996</v>
      </c>
      <c r="K988" s="3">
        <v>0</v>
      </c>
      <c r="L988" s="3">
        <f t="shared" si="154"/>
        <v>0</v>
      </c>
      <c r="M988" s="32"/>
      <c r="N988" s="11">
        <f t="shared" si="155"/>
        <v>-1.1929116919999996</v>
      </c>
      <c r="O988" s="3">
        <v>1.1929116919999996</v>
      </c>
      <c r="P988" s="11">
        <f t="shared" si="156"/>
        <v>-30</v>
      </c>
      <c r="Q988" s="12">
        <f t="shared" si="157"/>
        <v>-30</v>
      </c>
      <c r="R988" s="13">
        <f t="shared" si="158"/>
        <v>-29.999999999999996</v>
      </c>
      <c r="S988" s="3">
        <v>0</v>
      </c>
      <c r="T988" s="3" t="s">
        <v>32</v>
      </c>
      <c r="U988" s="10">
        <v>0</v>
      </c>
      <c r="V988" s="3">
        <v>0</v>
      </c>
      <c r="W988" s="3">
        <f t="shared" si="159"/>
        <v>0</v>
      </c>
      <c r="Y988" s="3">
        <v>0</v>
      </c>
      <c r="Z988" s="3">
        <v>40</v>
      </c>
      <c r="AA988" s="3">
        <v>36</v>
      </c>
    </row>
    <row r="989" spans="1:27" x14ac:dyDescent="0.3">
      <c r="A989" s="3" t="str">
        <f t="shared" si="150"/>
        <v>West9310019901210</v>
      </c>
      <c r="B989" s="3" t="str">
        <f t="shared" si="151"/>
        <v>Mah9310019901210</v>
      </c>
      <c r="C989" s="10">
        <v>9310019901210</v>
      </c>
      <c r="D989" s="10" t="str">
        <f t="shared" si="152"/>
        <v>9310019901</v>
      </c>
      <c r="E989" s="3" t="s">
        <v>1</v>
      </c>
      <c r="F989" s="3" t="s">
        <v>63</v>
      </c>
      <c r="H989" s="3">
        <v>1.1780000000000002</v>
      </c>
      <c r="I989" s="10">
        <f t="shared" si="153"/>
        <v>40.664812612165903</v>
      </c>
      <c r="J989" s="3">
        <v>0.8690560150135096</v>
      </c>
      <c r="K989" s="3">
        <v>18</v>
      </c>
      <c r="L989" s="3">
        <f t="shared" si="154"/>
        <v>0</v>
      </c>
      <c r="M989" s="32"/>
      <c r="N989" s="11">
        <f t="shared" si="155"/>
        <v>0.30894398498649056</v>
      </c>
      <c r="O989" s="3">
        <v>0.8690560150135096</v>
      </c>
      <c r="P989" s="11">
        <f t="shared" si="156"/>
        <v>10.664812612165901</v>
      </c>
      <c r="Q989" s="12">
        <f t="shared" si="157"/>
        <v>10.664812612165901</v>
      </c>
      <c r="R989" s="13">
        <f t="shared" si="158"/>
        <v>38.257893326302671</v>
      </c>
      <c r="S989" s="3" t="s">
        <v>31</v>
      </c>
      <c r="T989" s="3" t="s">
        <v>32</v>
      </c>
      <c r="U989" s="10">
        <v>0</v>
      </c>
      <c r="V989" s="3">
        <v>0</v>
      </c>
      <c r="W989" s="3">
        <f t="shared" si="159"/>
        <v>0</v>
      </c>
      <c r="Y989" s="3">
        <v>0</v>
      </c>
      <c r="Z989" s="3">
        <v>27</v>
      </c>
      <c r="AA989" s="3">
        <v>36</v>
      </c>
    </row>
    <row r="990" spans="1:27" ht="15.6" x14ac:dyDescent="0.3">
      <c r="A990" s="3" t="str">
        <f t="shared" si="150"/>
        <v>West9360019900840</v>
      </c>
      <c r="B990" s="3" t="str">
        <f t="shared" si="151"/>
        <v>Mah9360019900840</v>
      </c>
      <c r="C990" s="10">
        <v>9360019900840</v>
      </c>
      <c r="D990" s="10" t="str">
        <f t="shared" si="152"/>
        <v>9360019900</v>
      </c>
      <c r="E990" s="3" t="s">
        <v>1</v>
      </c>
      <c r="F990" s="3" t="s">
        <v>63</v>
      </c>
      <c r="H990" s="3">
        <v>5.4920000000000009</v>
      </c>
      <c r="I990" s="10">
        <f t="shared" si="153"/>
        <v>218.78710022208745</v>
      </c>
      <c r="J990" s="3">
        <v>0.75306085154359959</v>
      </c>
      <c r="K990" s="3">
        <v>0</v>
      </c>
      <c r="L990" s="3">
        <f t="shared" si="154"/>
        <v>0</v>
      </c>
      <c r="N990" s="11">
        <f t="shared" si="155"/>
        <v>4.7389391484564012</v>
      </c>
      <c r="O990" s="3">
        <v>0.75306085154359959</v>
      </c>
      <c r="P990" s="11">
        <f t="shared" si="156"/>
        <v>188.78710022208742</v>
      </c>
      <c r="Q990" s="12">
        <f t="shared" si="157"/>
        <v>188.78710022208745</v>
      </c>
      <c r="R990" s="13">
        <f t="shared" si="158"/>
        <v>38.068005268363464</v>
      </c>
      <c r="S990" s="3" t="s">
        <v>31</v>
      </c>
      <c r="T990" s="3" t="s">
        <v>33</v>
      </c>
      <c r="U990" s="10">
        <v>0</v>
      </c>
      <c r="V990" s="3">
        <v>0</v>
      </c>
      <c r="W990" s="3">
        <f t="shared" si="159"/>
        <v>0</v>
      </c>
      <c r="Y990">
        <v>0</v>
      </c>
      <c r="Z990" s="3">
        <v>0</v>
      </c>
      <c r="AA990" s="3">
        <v>36</v>
      </c>
    </row>
    <row r="991" spans="1:27" x14ac:dyDescent="0.3">
      <c r="A991" s="3" t="str">
        <f t="shared" si="150"/>
        <v>West9310099901210</v>
      </c>
      <c r="B991" s="3" t="str">
        <f t="shared" si="151"/>
        <v>Mah9310099901210</v>
      </c>
      <c r="C991" s="10">
        <v>9310099901210</v>
      </c>
      <c r="D991" s="10" t="str">
        <f t="shared" si="152"/>
        <v>9310099901</v>
      </c>
      <c r="E991" s="3" t="s">
        <v>1</v>
      </c>
      <c r="F991" s="3" t="s">
        <v>63</v>
      </c>
      <c r="H991" s="3">
        <v>0</v>
      </c>
      <c r="I991" s="10">
        <f t="shared" si="153"/>
        <v>0</v>
      </c>
      <c r="J991" s="3">
        <v>0.53794277250000033</v>
      </c>
      <c r="K991" s="3">
        <v>0</v>
      </c>
      <c r="L991" s="3">
        <f t="shared" si="154"/>
        <v>0</v>
      </c>
      <c r="N991" s="11">
        <f t="shared" si="155"/>
        <v>-0.53794277250000033</v>
      </c>
      <c r="O991" s="3">
        <v>0.53794277250000033</v>
      </c>
      <c r="P991" s="11">
        <f t="shared" si="156"/>
        <v>-30</v>
      </c>
      <c r="Q991" s="12">
        <f t="shared" si="157"/>
        <v>-29.999999999999996</v>
      </c>
      <c r="R991" s="13">
        <f t="shared" si="158"/>
        <v>-30</v>
      </c>
      <c r="S991" s="3">
        <v>0</v>
      </c>
      <c r="T991" s="3" t="s">
        <v>32</v>
      </c>
      <c r="U991" s="10">
        <v>0</v>
      </c>
      <c r="V991" s="3">
        <v>0</v>
      </c>
      <c r="W991" s="3">
        <f t="shared" si="159"/>
        <v>0</v>
      </c>
      <c r="AA991" s="3">
        <v>36</v>
      </c>
    </row>
    <row r="992" spans="1:27" x14ac:dyDescent="0.3">
      <c r="A992" s="3" t="str">
        <f t="shared" si="150"/>
        <v>West9360019900210</v>
      </c>
      <c r="B992" s="3" t="str">
        <f t="shared" si="151"/>
        <v>Mah9360019900210</v>
      </c>
      <c r="C992" s="10">
        <v>9360019900210</v>
      </c>
      <c r="D992" s="10" t="str">
        <f t="shared" si="152"/>
        <v>9360019900</v>
      </c>
      <c r="E992" s="3" t="s">
        <v>1</v>
      </c>
      <c r="F992" s="3" t="s">
        <v>63</v>
      </c>
      <c r="H992" s="3">
        <v>0.92500000000000004</v>
      </c>
      <c r="I992" s="10">
        <f t="shared" si="153"/>
        <v>64.51433812344402</v>
      </c>
      <c r="J992" s="3">
        <v>0.43013694020858073</v>
      </c>
      <c r="K992" s="3">
        <v>0</v>
      </c>
      <c r="L992" s="3">
        <f t="shared" si="154"/>
        <v>0</v>
      </c>
      <c r="N992" s="11">
        <f t="shared" si="155"/>
        <v>0.49486305979141931</v>
      </c>
      <c r="O992" s="3">
        <v>0.43013694020858073</v>
      </c>
      <c r="P992" s="11">
        <f t="shared" si="156"/>
        <v>34.51433812344402</v>
      </c>
      <c r="Q992" s="12">
        <f t="shared" si="157"/>
        <v>34.51433812344402</v>
      </c>
      <c r="R992" s="13">
        <f t="shared" si="158"/>
        <v>101.59272695247127</v>
      </c>
      <c r="S992" s="3" t="s">
        <v>31</v>
      </c>
      <c r="T992" s="3" t="s">
        <v>33</v>
      </c>
      <c r="U992" s="10">
        <v>0</v>
      </c>
      <c r="V992" s="3">
        <v>0</v>
      </c>
      <c r="W992" s="3">
        <f t="shared" si="159"/>
        <v>0</v>
      </c>
      <c r="AA992" s="3">
        <v>36</v>
      </c>
    </row>
    <row r="993" spans="1:27" x14ac:dyDescent="0.3">
      <c r="A993" s="3" t="str">
        <f t="shared" si="150"/>
        <v>West9100309900210</v>
      </c>
      <c r="B993" s="3" t="str">
        <f t="shared" si="151"/>
        <v>Mah9100309900210</v>
      </c>
      <c r="C993" s="10">
        <v>9100309900210</v>
      </c>
      <c r="D993" s="10" t="str">
        <f t="shared" si="152"/>
        <v>9100309900</v>
      </c>
      <c r="E993" s="3" t="s">
        <v>1</v>
      </c>
      <c r="F993" s="3" t="s">
        <v>63</v>
      </c>
      <c r="H993" s="3">
        <v>0</v>
      </c>
      <c r="I993" s="10">
        <f t="shared" si="153"/>
        <v>0</v>
      </c>
      <c r="J993" s="3">
        <v>0</v>
      </c>
      <c r="K993" s="3">
        <v>0</v>
      </c>
      <c r="L993" s="3">
        <f t="shared" si="154"/>
        <v>0</v>
      </c>
      <c r="N993" s="11">
        <f t="shared" si="155"/>
        <v>0</v>
      </c>
      <c r="O993" s="3">
        <v>0</v>
      </c>
      <c r="P993" s="11">
        <f t="shared" si="156"/>
        <v>9999</v>
      </c>
      <c r="Q993" s="12">
        <f t="shared" si="157"/>
        <v>9999</v>
      </c>
      <c r="R993" s="13">
        <f t="shared" si="158"/>
        <v>9999</v>
      </c>
      <c r="S993" s="3" t="s">
        <v>31</v>
      </c>
      <c r="T993" s="3" t="s">
        <v>34</v>
      </c>
      <c r="U993" s="10" t="s">
        <v>72</v>
      </c>
      <c r="V993" s="3" t="s">
        <v>72</v>
      </c>
      <c r="W993" s="3">
        <f t="shared" si="159"/>
        <v>0</v>
      </c>
      <c r="AA993" s="3">
        <v>36</v>
      </c>
    </row>
    <row r="994" spans="1:27" x14ac:dyDescent="0.3">
      <c r="A994" s="3" t="str">
        <f t="shared" si="150"/>
        <v>West9161109900210</v>
      </c>
      <c r="B994" s="3" t="str">
        <f t="shared" si="151"/>
        <v>Mah9161109900210</v>
      </c>
      <c r="C994" s="10">
        <v>9161109900210</v>
      </c>
      <c r="D994" s="10" t="str">
        <f t="shared" si="152"/>
        <v>9161109900</v>
      </c>
      <c r="E994" s="3" t="s">
        <v>1</v>
      </c>
      <c r="F994" s="3" t="s">
        <v>63</v>
      </c>
      <c r="H994" s="3">
        <v>0.41099999999999998</v>
      </c>
      <c r="I994" s="10">
        <f t="shared" si="153"/>
        <v>0</v>
      </c>
      <c r="J994" s="3">
        <v>0</v>
      </c>
      <c r="K994" s="3">
        <v>0</v>
      </c>
      <c r="L994" s="3">
        <f t="shared" si="154"/>
        <v>0</v>
      </c>
      <c r="N994" s="11">
        <f t="shared" si="155"/>
        <v>0.41099999999999998</v>
      </c>
      <c r="O994" s="3">
        <v>0</v>
      </c>
      <c r="P994" s="11">
        <f t="shared" si="156"/>
        <v>9999</v>
      </c>
      <c r="Q994" s="12">
        <f t="shared" si="157"/>
        <v>9999</v>
      </c>
      <c r="R994" s="13">
        <f t="shared" si="158"/>
        <v>9999</v>
      </c>
      <c r="S994" s="3" t="s">
        <v>31</v>
      </c>
      <c r="T994" s="3" t="s">
        <v>34</v>
      </c>
      <c r="U994" s="10" t="s">
        <v>72</v>
      </c>
      <c r="V994" s="3" t="s">
        <v>72</v>
      </c>
      <c r="W994" s="3">
        <f t="shared" si="159"/>
        <v>0</v>
      </c>
      <c r="AA994" s="3">
        <v>36</v>
      </c>
    </row>
    <row r="995" spans="1:27" x14ac:dyDescent="0.3">
      <c r="A995" s="3" t="str">
        <f t="shared" si="150"/>
        <v>North9420019901320</v>
      </c>
      <c r="B995" s="3" t="str">
        <f t="shared" si="151"/>
        <v>Pan9420019901320</v>
      </c>
      <c r="C995" s="10">
        <v>9420019901320</v>
      </c>
      <c r="D995" s="10" t="str">
        <f t="shared" si="152"/>
        <v>9420019901</v>
      </c>
      <c r="E995" s="3" t="s">
        <v>2</v>
      </c>
      <c r="F995" s="3" t="s">
        <v>64</v>
      </c>
      <c r="H995" s="3">
        <v>15.079999999999997</v>
      </c>
      <c r="I995" s="10">
        <f t="shared" si="153"/>
        <v>23.034641181040012</v>
      </c>
      <c r="J995" s="3">
        <v>19.639984684127562</v>
      </c>
      <c r="K995" s="3">
        <v>0</v>
      </c>
      <c r="L995" s="3">
        <f t="shared" si="154"/>
        <v>0</v>
      </c>
      <c r="N995" s="11">
        <f t="shared" si="155"/>
        <v>-4.5599846841275653</v>
      </c>
      <c r="O995" s="3">
        <v>19.639984684127562</v>
      </c>
      <c r="P995" s="11">
        <f t="shared" si="156"/>
        <v>-6.9653588189599853</v>
      </c>
      <c r="Q995" s="12">
        <f t="shared" si="157"/>
        <v>-5.5611531881563057</v>
      </c>
      <c r="R995" s="13">
        <f t="shared" si="158"/>
        <v>9.1596073909749496</v>
      </c>
      <c r="S995" s="3" t="s">
        <v>30</v>
      </c>
      <c r="T995" s="3" t="s">
        <v>28</v>
      </c>
      <c r="U995" s="10">
        <v>9420019900999</v>
      </c>
      <c r="V995" s="3">
        <v>0.1</v>
      </c>
      <c r="W995" s="3">
        <f t="shared" si="159"/>
        <v>0</v>
      </c>
      <c r="AA995" s="3">
        <v>36</v>
      </c>
    </row>
    <row r="996" spans="1:27" x14ac:dyDescent="0.3">
      <c r="A996" s="3" t="str">
        <f t="shared" si="150"/>
        <v>North9310049901320</v>
      </c>
      <c r="B996" s="3" t="str">
        <f t="shared" si="151"/>
        <v>Pan9310049901320</v>
      </c>
      <c r="C996" s="10">
        <v>9310049901320</v>
      </c>
      <c r="D996" s="10" t="str">
        <f t="shared" si="152"/>
        <v>9310049901</v>
      </c>
      <c r="E996" s="3" t="s">
        <v>2</v>
      </c>
      <c r="F996" s="3" t="s">
        <v>64</v>
      </c>
      <c r="H996" s="3">
        <v>41.46</v>
      </c>
      <c r="I996" s="10">
        <f t="shared" si="153"/>
        <v>72.887774246616289</v>
      </c>
      <c r="J996" s="3">
        <v>17.0645902259492</v>
      </c>
      <c r="K996" s="3">
        <v>0</v>
      </c>
      <c r="L996" s="3">
        <f t="shared" si="154"/>
        <v>0</v>
      </c>
      <c r="N996" s="11">
        <f t="shared" si="155"/>
        <v>24.395409774050801</v>
      </c>
      <c r="O996" s="3">
        <v>17.0645902259492</v>
      </c>
      <c r="P996" s="11">
        <f t="shared" si="156"/>
        <v>42.887774246616289</v>
      </c>
      <c r="Q996" s="12">
        <f t="shared" si="157"/>
        <v>42.887774246616281</v>
      </c>
      <c r="R996" s="13">
        <f t="shared" si="158"/>
        <v>39.933465504377935</v>
      </c>
      <c r="S996" s="3" t="s">
        <v>30</v>
      </c>
      <c r="T996" s="3" t="s">
        <v>32</v>
      </c>
      <c r="U996" s="10">
        <v>9310049900999</v>
      </c>
      <c r="V996" s="3">
        <v>0.1</v>
      </c>
      <c r="W996" s="3">
        <f t="shared" si="159"/>
        <v>0</v>
      </c>
      <c r="AA996" s="3">
        <v>36</v>
      </c>
    </row>
    <row r="997" spans="1:27" x14ac:dyDescent="0.3">
      <c r="A997" s="3" t="str">
        <f t="shared" si="150"/>
        <v>North9420019900320</v>
      </c>
      <c r="B997" s="3" t="str">
        <f t="shared" si="151"/>
        <v>Pan9420019900320</v>
      </c>
      <c r="C997" s="10">
        <v>9420019900320</v>
      </c>
      <c r="D997" s="10" t="str">
        <f t="shared" si="152"/>
        <v>9420019900</v>
      </c>
      <c r="E997" s="3" t="s">
        <v>2</v>
      </c>
      <c r="F997" s="3" t="s">
        <v>64</v>
      </c>
      <c r="H997" s="3">
        <v>12.085999999999997</v>
      </c>
      <c r="I997" s="10">
        <f t="shared" si="153"/>
        <v>30.437360307161498</v>
      </c>
      <c r="J997" s="3">
        <v>11.912333932410352</v>
      </c>
      <c r="K997" s="3">
        <v>0</v>
      </c>
      <c r="L997" s="3">
        <f t="shared" si="154"/>
        <v>0</v>
      </c>
      <c r="N997" s="11">
        <f t="shared" si="155"/>
        <v>0.17366606758964487</v>
      </c>
      <c r="O997" s="3">
        <v>11.912333932410352</v>
      </c>
      <c r="P997" s="11">
        <f t="shared" si="156"/>
        <v>0.43736030716149965</v>
      </c>
      <c r="Q997" s="12">
        <f t="shared" si="157"/>
        <v>17.78649337436514</v>
      </c>
      <c r="R997" s="13">
        <f t="shared" si="158"/>
        <v>28.338406312816389</v>
      </c>
      <c r="S997" s="3" t="s">
        <v>30</v>
      </c>
      <c r="T997" s="3" t="s">
        <v>28</v>
      </c>
      <c r="U997" s="10">
        <v>9420019900999</v>
      </c>
      <c r="V997" s="3">
        <v>0.1</v>
      </c>
      <c r="W997" s="3">
        <f t="shared" si="159"/>
        <v>0</v>
      </c>
      <c r="AA997" s="3">
        <v>36</v>
      </c>
    </row>
    <row r="998" spans="1:27" x14ac:dyDescent="0.3">
      <c r="A998" s="3" t="str">
        <f t="shared" si="150"/>
        <v>North9330209902219</v>
      </c>
      <c r="B998" s="3" t="str">
        <f t="shared" si="151"/>
        <v>Pan9330209902219</v>
      </c>
      <c r="C998" s="10">
        <v>9330209902219</v>
      </c>
      <c r="D998" s="10" t="str">
        <f t="shared" si="152"/>
        <v>9330209902</v>
      </c>
      <c r="E998" s="3" t="s">
        <v>2</v>
      </c>
      <c r="F998" s="3" t="s">
        <v>64</v>
      </c>
      <c r="H998" s="3">
        <v>24.452999999999996</v>
      </c>
      <c r="I998" s="10">
        <f t="shared" si="153"/>
        <v>88.956063074891802</v>
      </c>
      <c r="J998" s="3">
        <v>8.2466554233902301</v>
      </c>
      <c r="K998" s="3">
        <v>0</v>
      </c>
      <c r="L998" s="3">
        <f t="shared" si="154"/>
        <v>0</v>
      </c>
      <c r="N998" s="11">
        <f t="shared" si="155"/>
        <v>16.206344576609766</v>
      </c>
      <c r="O998" s="3">
        <v>8.2466554233902301</v>
      </c>
      <c r="P998" s="11">
        <f t="shared" si="156"/>
        <v>58.956063074891802</v>
      </c>
      <c r="Q998" s="12">
        <f t="shared" si="157"/>
        <v>50.291061049778023</v>
      </c>
      <c r="R998" s="13">
        <f t="shared" si="158"/>
        <v>25.495735371468772</v>
      </c>
      <c r="S998" s="3" t="s">
        <v>30</v>
      </c>
      <c r="T998" s="3" t="s">
        <v>35</v>
      </c>
      <c r="U998" s="10">
        <v>9330209900999</v>
      </c>
      <c r="V998" s="3">
        <v>0.1</v>
      </c>
      <c r="W998" s="3">
        <f t="shared" si="159"/>
        <v>0</v>
      </c>
      <c r="AA998" s="3">
        <v>36</v>
      </c>
    </row>
    <row r="999" spans="1:27" x14ac:dyDescent="0.3">
      <c r="A999" s="3" t="str">
        <f t="shared" si="150"/>
        <v>North9330209902839</v>
      </c>
      <c r="B999" s="3" t="str">
        <f t="shared" si="151"/>
        <v>Pan9330209902839</v>
      </c>
      <c r="C999" s="10">
        <v>9330209902839</v>
      </c>
      <c r="D999" s="10" t="str">
        <f t="shared" si="152"/>
        <v>9330209902</v>
      </c>
      <c r="E999" s="3" t="s">
        <v>2</v>
      </c>
      <c r="F999" s="3" t="s">
        <v>64</v>
      </c>
      <c r="H999" s="3">
        <v>18.657600000000002</v>
      </c>
      <c r="I999" s="10">
        <f t="shared" si="153"/>
        <v>134.44194278986515</v>
      </c>
      <c r="J999" s="3">
        <v>4.1633435844858599</v>
      </c>
      <c r="K999" s="3">
        <v>0</v>
      </c>
      <c r="L999" s="3">
        <f t="shared" si="154"/>
        <v>0</v>
      </c>
      <c r="N999" s="11">
        <f t="shared" si="155"/>
        <v>14.494256415514142</v>
      </c>
      <c r="O999" s="3">
        <v>4.1633435844858599</v>
      </c>
      <c r="P999" s="11">
        <f t="shared" si="156"/>
        <v>104.44194278986514</v>
      </c>
      <c r="Q999" s="12">
        <f t="shared" si="157"/>
        <v>83.548911427565344</v>
      </c>
      <c r="R999" s="13">
        <f t="shared" si="158"/>
        <v>43.473852368581014</v>
      </c>
      <c r="S999" s="3" t="s">
        <v>30</v>
      </c>
      <c r="T999" s="3" t="s">
        <v>35</v>
      </c>
      <c r="U999" s="10">
        <v>0</v>
      </c>
      <c r="V999" s="3">
        <v>0</v>
      </c>
      <c r="W999" s="3">
        <f t="shared" si="159"/>
        <v>0</v>
      </c>
      <c r="AA999" s="3">
        <v>36</v>
      </c>
    </row>
    <row r="1000" spans="1:27" x14ac:dyDescent="0.3">
      <c r="A1000" s="3" t="str">
        <f t="shared" si="150"/>
        <v>North9420019901310</v>
      </c>
      <c r="B1000" s="3" t="str">
        <f t="shared" si="151"/>
        <v>Pan9420019901310</v>
      </c>
      <c r="C1000" s="10">
        <v>9420019901310</v>
      </c>
      <c r="D1000" s="10" t="str">
        <f t="shared" si="152"/>
        <v>9420019901</v>
      </c>
      <c r="E1000" s="3" t="s">
        <v>2</v>
      </c>
      <c r="F1000" s="3" t="s">
        <v>64</v>
      </c>
      <c r="H1000" s="3">
        <v>3.15</v>
      </c>
      <c r="I1000" s="10">
        <f t="shared" si="153"/>
        <v>24.203926472267675</v>
      </c>
      <c r="J1000" s="3">
        <v>3.9043251973301114</v>
      </c>
      <c r="K1000" s="3">
        <v>0</v>
      </c>
      <c r="L1000" s="3">
        <f t="shared" si="154"/>
        <v>0</v>
      </c>
      <c r="N1000" s="11">
        <f t="shared" si="155"/>
        <v>-0.7543251973301115</v>
      </c>
      <c r="O1000" s="3">
        <v>3.9043251973301114</v>
      </c>
      <c r="P1000" s="11">
        <f t="shared" si="156"/>
        <v>-5.7960735277323243</v>
      </c>
      <c r="Q1000" s="12">
        <f t="shared" si="157"/>
        <v>68.092835848004455</v>
      </c>
      <c r="R1000" s="13">
        <f t="shared" si="158"/>
        <v>38.280373310321046</v>
      </c>
      <c r="S1000" s="3" t="s">
        <v>30</v>
      </c>
      <c r="T1000" s="3" t="s">
        <v>28</v>
      </c>
      <c r="U1000" s="10">
        <v>9420019900999</v>
      </c>
      <c r="V1000" s="3">
        <v>0.1</v>
      </c>
      <c r="W1000" s="3">
        <f t="shared" si="159"/>
        <v>0</v>
      </c>
      <c r="AA1000" s="3">
        <v>36</v>
      </c>
    </row>
    <row r="1001" spans="1:27" x14ac:dyDescent="0.3">
      <c r="A1001" s="3" t="str">
        <f t="shared" si="150"/>
        <v>North9432009902319</v>
      </c>
      <c r="B1001" s="3" t="str">
        <f t="shared" si="151"/>
        <v>Pan9432009902319</v>
      </c>
      <c r="C1001" s="10">
        <v>9432009902319</v>
      </c>
      <c r="D1001" s="10" t="str">
        <f t="shared" si="152"/>
        <v>9432009902</v>
      </c>
      <c r="E1001" s="3" t="s">
        <v>2</v>
      </c>
      <c r="F1001" s="3" t="s">
        <v>64</v>
      </c>
      <c r="H1001" s="3">
        <v>4.617</v>
      </c>
      <c r="I1001" s="10">
        <f t="shared" si="153"/>
        <v>39.515146479478318</v>
      </c>
      <c r="J1001" s="3">
        <v>3.5052381767566869</v>
      </c>
      <c r="K1001" s="3">
        <v>0</v>
      </c>
      <c r="L1001" s="3">
        <f t="shared" si="154"/>
        <v>0</v>
      </c>
      <c r="N1001" s="11">
        <f t="shared" si="155"/>
        <v>1.1117618232433131</v>
      </c>
      <c r="O1001" s="3">
        <v>3.5052381767566869</v>
      </c>
      <c r="P1001" s="11">
        <f t="shared" si="156"/>
        <v>9.5151464794783198</v>
      </c>
      <c r="Q1001" s="12">
        <f t="shared" si="157"/>
        <v>19.02686705775627</v>
      </c>
      <c r="R1001" s="13">
        <f t="shared" si="158"/>
        <v>18.627692690008107</v>
      </c>
      <c r="S1001" s="3" t="s">
        <v>30</v>
      </c>
      <c r="T1001" s="3" t="s">
        <v>35</v>
      </c>
      <c r="U1001" s="10">
        <v>9432009900999</v>
      </c>
      <c r="V1001" s="3">
        <v>0.1</v>
      </c>
      <c r="W1001" s="3">
        <f t="shared" si="159"/>
        <v>0</v>
      </c>
      <c r="AA1001" s="3">
        <v>36</v>
      </c>
    </row>
    <row r="1002" spans="1:27" x14ac:dyDescent="0.3">
      <c r="A1002" s="3" t="str">
        <f t="shared" si="150"/>
        <v>North9310049901310</v>
      </c>
      <c r="B1002" s="3" t="str">
        <f t="shared" si="151"/>
        <v>Pan9310049901310</v>
      </c>
      <c r="C1002" s="10">
        <v>9310049901310</v>
      </c>
      <c r="D1002" s="10" t="str">
        <f t="shared" si="152"/>
        <v>9310049901</v>
      </c>
      <c r="E1002" s="3" t="s">
        <v>2</v>
      </c>
      <c r="F1002" s="3" t="s">
        <v>64</v>
      </c>
      <c r="H1002" s="3">
        <v>7.7299999999999969</v>
      </c>
      <c r="I1002" s="10">
        <f t="shared" si="153"/>
        <v>72.93114033342863</v>
      </c>
      <c r="J1002" s="3">
        <v>3.1797116970856751</v>
      </c>
      <c r="K1002" s="3">
        <v>0</v>
      </c>
      <c r="L1002" s="3">
        <f t="shared" si="154"/>
        <v>0</v>
      </c>
      <c r="N1002" s="11">
        <f t="shared" si="155"/>
        <v>4.5502883029143213</v>
      </c>
      <c r="O1002" s="3">
        <v>3.1797116970856751</v>
      </c>
      <c r="P1002" s="11">
        <f t="shared" si="156"/>
        <v>42.93114033342863</v>
      </c>
      <c r="Q1002" s="12">
        <f t="shared" si="157"/>
        <v>42.93114033342863</v>
      </c>
      <c r="R1002" s="13">
        <f t="shared" si="158"/>
        <v>35.993952980959477</v>
      </c>
      <c r="S1002" s="3" t="s">
        <v>31</v>
      </c>
      <c r="T1002" s="3" t="s">
        <v>32</v>
      </c>
      <c r="U1002" s="10">
        <v>9310049900999</v>
      </c>
      <c r="V1002" s="3">
        <v>0.1</v>
      </c>
      <c r="W1002" s="3">
        <f t="shared" si="159"/>
        <v>0</v>
      </c>
      <c r="AA1002" s="3">
        <v>36</v>
      </c>
    </row>
    <row r="1003" spans="1:27" x14ac:dyDescent="0.3">
      <c r="A1003" s="3" t="str">
        <f t="shared" si="150"/>
        <v>North9432009902838</v>
      </c>
      <c r="B1003" s="3" t="str">
        <f t="shared" si="151"/>
        <v>Pan9432009902838</v>
      </c>
      <c r="C1003" s="10">
        <v>9432009902838</v>
      </c>
      <c r="D1003" s="10" t="str">
        <f t="shared" si="152"/>
        <v>9432009902</v>
      </c>
      <c r="E1003" s="3" t="s">
        <v>2</v>
      </c>
      <c r="F1003" s="3" t="s">
        <v>64</v>
      </c>
      <c r="H1003" s="3">
        <v>4.0166000000000004</v>
      </c>
      <c r="I1003" s="10">
        <f t="shared" si="153"/>
        <v>38.838826283033683</v>
      </c>
      <c r="J1003" s="3">
        <v>3.102513941123866</v>
      </c>
      <c r="K1003" s="3">
        <v>0</v>
      </c>
      <c r="L1003" s="3">
        <f t="shared" si="154"/>
        <v>0</v>
      </c>
      <c r="N1003" s="11">
        <f t="shared" si="155"/>
        <v>0.91408605887613437</v>
      </c>
      <c r="O1003" s="3">
        <v>3.102513941123866</v>
      </c>
      <c r="P1003" s="11">
        <f t="shared" si="156"/>
        <v>8.8388262830336792</v>
      </c>
      <c r="Q1003" s="12">
        <f t="shared" si="157"/>
        <v>10.342575855054347</v>
      </c>
      <c r="R1003" s="13">
        <f t="shared" si="158"/>
        <v>19.801120837885417</v>
      </c>
      <c r="S1003" s="3" t="s">
        <v>30</v>
      </c>
      <c r="T1003" s="3" t="s">
        <v>35</v>
      </c>
      <c r="U1003" s="10">
        <v>0</v>
      </c>
      <c r="V1003" s="3">
        <v>0</v>
      </c>
      <c r="W1003" s="3">
        <f t="shared" si="159"/>
        <v>0</v>
      </c>
      <c r="AA1003" s="3">
        <v>36</v>
      </c>
    </row>
    <row r="1004" spans="1:27" x14ac:dyDescent="0.3">
      <c r="A1004" s="3" t="str">
        <f t="shared" si="150"/>
        <v>North9330209902097</v>
      </c>
      <c r="B1004" s="3" t="str">
        <f t="shared" si="151"/>
        <v>Pan9330209902097</v>
      </c>
      <c r="C1004" s="10">
        <v>9330209902097</v>
      </c>
      <c r="D1004" s="10" t="str">
        <f t="shared" si="152"/>
        <v>9330209902</v>
      </c>
      <c r="E1004" s="3" t="s">
        <v>2</v>
      </c>
      <c r="F1004" s="3" t="s">
        <v>64</v>
      </c>
      <c r="H1004" s="3">
        <v>3.9877499999999992</v>
      </c>
      <c r="I1004" s="10">
        <f t="shared" si="153"/>
        <v>39.179830002011144</v>
      </c>
      <c r="J1004" s="3">
        <v>3.0534205991669467</v>
      </c>
      <c r="K1004" s="3">
        <v>12</v>
      </c>
      <c r="L1004" s="3">
        <f t="shared" si="154"/>
        <v>0</v>
      </c>
      <c r="N1004" s="11">
        <f t="shared" si="155"/>
        <v>0.93432940083305249</v>
      </c>
      <c r="O1004" s="3">
        <v>3.0534205991669467</v>
      </c>
      <c r="P1004" s="11">
        <f t="shared" si="156"/>
        <v>9.1798300020111423</v>
      </c>
      <c r="Q1004" s="12">
        <f t="shared" si="157"/>
        <v>4.4767410849816001</v>
      </c>
      <c r="R1004" s="13">
        <f t="shared" si="158"/>
        <v>23.62392331129497</v>
      </c>
      <c r="S1004" s="3" t="s">
        <v>30</v>
      </c>
      <c r="T1004" s="3" t="s">
        <v>35</v>
      </c>
      <c r="U1004" s="10">
        <v>0</v>
      </c>
      <c r="V1004" s="3">
        <v>0</v>
      </c>
      <c r="W1004" s="3">
        <f t="shared" si="159"/>
        <v>0</v>
      </c>
      <c r="AA1004" s="3">
        <v>36</v>
      </c>
    </row>
    <row r="1005" spans="1:27" x14ac:dyDescent="0.3">
      <c r="A1005" s="3" t="str">
        <f t="shared" si="150"/>
        <v>North9330209902297</v>
      </c>
      <c r="B1005" s="3" t="str">
        <f t="shared" si="151"/>
        <v>Pan9330209902297</v>
      </c>
      <c r="C1005" s="10">
        <v>9330209902297</v>
      </c>
      <c r="D1005" s="10" t="str">
        <f t="shared" si="152"/>
        <v>9330209902</v>
      </c>
      <c r="E1005" s="3" t="s">
        <v>2</v>
      </c>
      <c r="F1005" s="3" t="s">
        <v>64</v>
      </c>
      <c r="H1005" s="3">
        <v>4.5630000000000006</v>
      </c>
      <c r="I1005" s="10">
        <f t="shared" si="153"/>
        <v>48.72088210291551</v>
      </c>
      <c r="J1005" s="3">
        <v>2.8096781932404378</v>
      </c>
      <c r="K1005" s="3">
        <v>24</v>
      </c>
      <c r="L1005" s="3">
        <f t="shared" si="154"/>
        <v>0</v>
      </c>
      <c r="N1005" s="11">
        <f t="shared" si="155"/>
        <v>1.7533218067595628</v>
      </c>
      <c r="O1005" s="3">
        <v>2.8096781932404378</v>
      </c>
      <c r="P1005" s="11">
        <f t="shared" si="156"/>
        <v>18.720882102915503</v>
      </c>
      <c r="Q1005" s="12">
        <f t="shared" si="157"/>
        <v>16.298487677401869</v>
      </c>
      <c r="R1005" s="13">
        <f t="shared" si="158"/>
        <v>19.916688006569078</v>
      </c>
      <c r="S1005" s="3" t="s">
        <v>30</v>
      </c>
      <c r="T1005" s="3" t="s">
        <v>35</v>
      </c>
      <c r="U1005" s="10">
        <v>9330209900999</v>
      </c>
      <c r="V1005" s="3">
        <v>0.1</v>
      </c>
      <c r="W1005" s="3">
        <f t="shared" si="159"/>
        <v>2.4000000000000004</v>
      </c>
      <c r="AA1005" s="3">
        <v>36</v>
      </c>
    </row>
    <row r="1006" spans="1:27" x14ac:dyDescent="0.3">
      <c r="A1006" s="3" t="str">
        <f t="shared" si="150"/>
        <v>North9420019900310</v>
      </c>
      <c r="B1006" s="3" t="str">
        <f t="shared" si="151"/>
        <v>Pan9420019900310</v>
      </c>
      <c r="C1006" s="10">
        <v>9420019900310</v>
      </c>
      <c r="D1006" s="10" t="str">
        <f t="shared" si="152"/>
        <v>9420019900</v>
      </c>
      <c r="E1006" s="3" t="s">
        <v>2</v>
      </c>
      <c r="F1006" s="3" t="s">
        <v>64</v>
      </c>
      <c r="H1006" s="3">
        <v>2.4699999999999993</v>
      </c>
      <c r="I1006" s="10">
        <f t="shared" si="153"/>
        <v>28.174198750527982</v>
      </c>
      <c r="J1006" s="3">
        <v>2.6300659215237259</v>
      </c>
      <c r="K1006" s="3">
        <v>9</v>
      </c>
      <c r="L1006" s="3">
        <f t="shared" si="154"/>
        <v>0</v>
      </c>
      <c r="N1006" s="11">
        <f t="shared" si="155"/>
        <v>-0.16006592152372656</v>
      </c>
      <c r="O1006" s="3">
        <v>2.6300659215237259</v>
      </c>
      <c r="P1006" s="11">
        <f t="shared" si="156"/>
        <v>-1.8258012494720195</v>
      </c>
      <c r="Q1006" s="12">
        <f t="shared" si="157"/>
        <v>1.5822001910104633</v>
      </c>
      <c r="R1006" s="13">
        <f t="shared" si="158"/>
        <v>-4.0605572829131411</v>
      </c>
      <c r="S1006" s="3" t="s">
        <v>31</v>
      </c>
      <c r="T1006" s="3" t="s">
        <v>28</v>
      </c>
      <c r="U1006" s="10">
        <v>9420019900999</v>
      </c>
      <c r="V1006" s="3">
        <v>0.1</v>
      </c>
      <c r="W1006" s="3">
        <f t="shared" si="159"/>
        <v>0.9</v>
      </c>
      <c r="AA1006" s="3">
        <v>36</v>
      </c>
    </row>
    <row r="1007" spans="1:27" x14ac:dyDescent="0.3">
      <c r="A1007" s="3" t="str">
        <f t="shared" si="150"/>
        <v>North9432009902195</v>
      </c>
      <c r="B1007" s="3" t="str">
        <f t="shared" si="151"/>
        <v>Pan9432009902195</v>
      </c>
      <c r="C1007" s="10">
        <v>9432009902195</v>
      </c>
      <c r="D1007" s="10" t="str">
        <f t="shared" si="152"/>
        <v>9432009902</v>
      </c>
      <c r="E1007" s="3" t="s">
        <v>2</v>
      </c>
      <c r="F1007" s="3" t="s">
        <v>64</v>
      </c>
      <c r="H1007" s="3">
        <v>4.4108500000000008</v>
      </c>
      <c r="I1007" s="10">
        <f t="shared" si="153"/>
        <v>52.73344519370734</v>
      </c>
      <c r="J1007" s="3">
        <v>2.5093277997279491</v>
      </c>
      <c r="K1007" s="3">
        <v>0</v>
      </c>
      <c r="L1007" s="3">
        <f t="shared" si="154"/>
        <v>0</v>
      </c>
      <c r="N1007" s="11">
        <f t="shared" si="155"/>
        <v>1.9015222002720518</v>
      </c>
      <c r="O1007" s="3">
        <v>2.5093277997279491</v>
      </c>
      <c r="P1007" s="11">
        <f t="shared" si="156"/>
        <v>22.733445193707336</v>
      </c>
      <c r="Q1007" s="12">
        <f t="shared" si="157"/>
        <v>20.299132804188687</v>
      </c>
      <c r="R1007" s="13">
        <f t="shared" si="158"/>
        <v>34.173467301071753</v>
      </c>
      <c r="S1007" s="3" t="s">
        <v>30</v>
      </c>
      <c r="T1007" s="3" t="s">
        <v>35</v>
      </c>
      <c r="U1007" s="10">
        <v>0</v>
      </c>
      <c r="V1007" s="3">
        <v>0</v>
      </c>
      <c r="W1007" s="3">
        <f t="shared" si="159"/>
        <v>0</v>
      </c>
      <c r="AA1007" s="3">
        <v>36</v>
      </c>
    </row>
    <row r="1008" spans="1:27" x14ac:dyDescent="0.3">
      <c r="A1008" s="3" t="str">
        <f t="shared" si="150"/>
        <v>North9432009902295</v>
      </c>
      <c r="B1008" s="3" t="str">
        <f t="shared" si="151"/>
        <v>Pan9432009902295</v>
      </c>
      <c r="C1008" s="10">
        <v>9432009902295</v>
      </c>
      <c r="D1008" s="10" t="str">
        <f t="shared" si="152"/>
        <v>9432009902</v>
      </c>
      <c r="E1008" s="3" t="s">
        <v>2</v>
      </c>
      <c r="F1008" s="3" t="s">
        <v>64</v>
      </c>
      <c r="H1008" s="3">
        <v>3.7620000000000005</v>
      </c>
      <c r="I1008" s="10">
        <f t="shared" si="153"/>
        <v>52.108432104910484</v>
      </c>
      <c r="J1008" s="3">
        <v>2.1658682758440655</v>
      </c>
      <c r="K1008" s="3">
        <v>0</v>
      </c>
      <c r="L1008" s="3">
        <f t="shared" si="154"/>
        <v>0</v>
      </c>
      <c r="N1008" s="11">
        <f t="shared" si="155"/>
        <v>1.596131724155935</v>
      </c>
      <c r="O1008" s="3">
        <v>2.1658682758440655</v>
      </c>
      <c r="P1008" s="11">
        <f t="shared" si="156"/>
        <v>22.108432104910484</v>
      </c>
      <c r="Q1008" s="12">
        <f t="shared" si="157"/>
        <v>30.566197172818942</v>
      </c>
      <c r="R1008" s="13">
        <f t="shared" si="158"/>
        <v>36.662124742386482</v>
      </c>
      <c r="S1008" s="3" t="s">
        <v>30</v>
      </c>
      <c r="T1008" s="3" t="s">
        <v>35</v>
      </c>
      <c r="U1008" s="10">
        <v>9432009900999</v>
      </c>
      <c r="V1008" s="3">
        <v>0.1</v>
      </c>
      <c r="W1008" s="3">
        <f t="shared" si="159"/>
        <v>0</v>
      </c>
      <c r="AA1008" s="3">
        <v>36</v>
      </c>
    </row>
    <row r="1009" spans="1:27" x14ac:dyDescent="0.3">
      <c r="A1009" s="3" t="str">
        <f t="shared" si="150"/>
        <v>North9310049901840</v>
      </c>
      <c r="B1009" s="3" t="str">
        <f t="shared" si="151"/>
        <v>Pan9310049901840</v>
      </c>
      <c r="C1009" s="10">
        <v>9310049901840</v>
      </c>
      <c r="D1009" s="10" t="str">
        <f t="shared" si="152"/>
        <v>9310049901</v>
      </c>
      <c r="E1009" s="3" t="s">
        <v>2</v>
      </c>
      <c r="F1009" s="3" t="s">
        <v>64</v>
      </c>
      <c r="H1009" s="3">
        <v>8.3120000000000029</v>
      </c>
      <c r="I1009" s="10">
        <f t="shared" si="153"/>
        <v>172.23139330266025</v>
      </c>
      <c r="J1009" s="3">
        <v>1.4478196757184831</v>
      </c>
      <c r="K1009" s="3">
        <v>0</v>
      </c>
      <c r="L1009" s="3">
        <f t="shared" si="154"/>
        <v>0</v>
      </c>
      <c r="N1009" s="11">
        <f t="shared" si="155"/>
        <v>6.86418032428152</v>
      </c>
      <c r="O1009" s="3">
        <v>1.4478196757184831</v>
      </c>
      <c r="P1009" s="11">
        <f t="shared" si="156"/>
        <v>142.23139330266025</v>
      </c>
      <c r="Q1009" s="12">
        <f t="shared" si="157"/>
        <v>142.23139330266025</v>
      </c>
      <c r="R1009" s="13">
        <f t="shared" si="158"/>
        <v>99.797377999186565</v>
      </c>
      <c r="S1009" s="3" t="s">
        <v>31</v>
      </c>
      <c r="T1009" s="3" t="s">
        <v>32</v>
      </c>
      <c r="U1009" s="10">
        <v>0</v>
      </c>
      <c r="V1009" s="3">
        <v>0</v>
      </c>
      <c r="W1009" s="3">
        <f t="shared" si="159"/>
        <v>0</v>
      </c>
      <c r="AA1009" s="3">
        <v>36</v>
      </c>
    </row>
    <row r="1010" spans="1:27" x14ac:dyDescent="0.3">
      <c r="A1010" s="3" t="str">
        <f t="shared" si="150"/>
        <v>North9420019901840</v>
      </c>
      <c r="B1010" s="3" t="str">
        <f t="shared" si="151"/>
        <v>Pan9420019901840</v>
      </c>
      <c r="C1010" s="10">
        <v>9420019901840</v>
      </c>
      <c r="D1010" s="10" t="str">
        <f t="shared" si="152"/>
        <v>9420019901</v>
      </c>
      <c r="E1010" s="3" t="s">
        <v>2</v>
      </c>
      <c r="F1010" s="3" t="s">
        <v>64</v>
      </c>
      <c r="H1010" s="3">
        <v>2.2520000000000011</v>
      </c>
      <c r="I1010" s="10">
        <f t="shared" si="153"/>
        <v>47.433668692942277</v>
      </c>
      <c r="J1010" s="3">
        <v>1.4243047578154624</v>
      </c>
      <c r="K1010" s="3">
        <v>0</v>
      </c>
      <c r="L1010" s="3">
        <f t="shared" si="154"/>
        <v>0</v>
      </c>
      <c r="N1010" s="11">
        <f t="shared" si="155"/>
        <v>0.82769524218453872</v>
      </c>
      <c r="O1010" s="3">
        <v>1.4243047578154624</v>
      </c>
      <c r="P1010" s="11">
        <f t="shared" si="156"/>
        <v>17.43366869294228</v>
      </c>
      <c r="Q1010" s="12">
        <f t="shared" si="157"/>
        <v>10.673762174984983</v>
      </c>
      <c r="R1010" s="13">
        <f t="shared" si="158"/>
        <v>13.508670420487539</v>
      </c>
      <c r="S1010" s="3" t="s">
        <v>31</v>
      </c>
      <c r="T1010" s="3" t="s">
        <v>28</v>
      </c>
      <c r="U1010" s="10">
        <v>0</v>
      </c>
      <c r="V1010" s="3">
        <v>0</v>
      </c>
      <c r="W1010" s="3">
        <f t="shared" si="159"/>
        <v>0</v>
      </c>
      <c r="AA1010" s="3">
        <v>36</v>
      </c>
    </row>
    <row r="1011" spans="1:27" x14ac:dyDescent="0.3">
      <c r="A1011" s="3" t="str">
        <f t="shared" si="150"/>
        <v>North9420019900840</v>
      </c>
      <c r="B1011" s="3" t="str">
        <f t="shared" si="151"/>
        <v>Pan9420019900840</v>
      </c>
      <c r="C1011" s="10">
        <v>9420019900840</v>
      </c>
      <c r="D1011" s="10" t="str">
        <f t="shared" si="152"/>
        <v>9420019900</v>
      </c>
      <c r="E1011" s="3" t="s">
        <v>2</v>
      </c>
      <c r="F1011" s="3" t="s">
        <v>64</v>
      </c>
      <c r="H1011" s="3">
        <v>0.58400000000000007</v>
      </c>
      <c r="I1011" s="10">
        <f t="shared" si="153"/>
        <v>28.878116302476222</v>
      </c>
      <c r="J1011" s="3">
        <v>0.60668777064581969</v>
      </c>
      <c r="K1011" s="3">
        <v>0</v>
      </c>
      <c r="L1011" s="3">
        <f t="shared" si="154"/>
        <v>0</v>
      </c>
      <c r="N1011" s="11">
        <f t="shared" si="155"/>
        <v>-2.2687770645819616E-2</v>
      </c>
      <c r="O1011" s="3">
        <v>0.60668777064581969</v>
      </c>
      <c r="P1011" s="11">
        <f t="shared" si="156"/>
        <v>-1.1218836975237754</v>
      </c>
      <c r="Q1011" s="12">
        <f t="shared" si="157"/>
        <v>-9.523100735126123</v>
      </c>
      <c r="R1011" s="13">
        <f t="shared" si="158"/>
        <v>-16.802681825879457</v>
      </c>
      <c r="S1011" s="3" t="s">
        <v>31</v>
      </c>
      <c r="T1011" s="3" t="s">
        <v>28</v>
      </c>
      <c r="U1011" s="10">
        <v>0</v>
      </c>
      <c r="V1011" s="3">
        <v>0</v>
      </c>
      <c r="W1011" s="3">
        <f t="shared" si="159"/>
        <v>0</v>
      </c>
      <c r="AA1011" s="3">
        <v>36</v>
      </c>
    </row>
    <row r="1012" spans="1:27" x14ac:dyDescent="0.3">
      <c r="A1012" s="3" t="str">
        <f t="shared" si="150"/>
        <v>North9420019901210</v>
      </c>
      <c r="B1012" s="3" t="str">
        <f t="shared" si="151"/>
        <v>Pan9420019901210</v>
      </c>
      <c r="C1012" s="10">
        <v>9420019901210</v>
      </c>
      <c r="D1012" s="10" t="str">
        <f t="shared" si="152"/>
        <v>9420019901</v>
      </c>
      <c r="E1012" s="3" t="s">
        <v>2</v>
      </c>
      <c r="F1012" s="3" t="s">
        <v>64</v>
      </c>
      <c r="H1012" s="3">
        <v>1.8190000000000004</v>
      </c>
      <c r="I1012" s="10">
        <f t="shared" si="153"/>
        <v>141.58894005446564</v>
      </c>
      <c r="J1012" s="3">
        <v>0.38541145924963011</v>
      </c>
      <c r="K1012" s="3">
        <v>0</v>
      </c>
      <c r="L1012" s="3">
        <f t="shared" si="154"/>
        <v>0</v>
      </c>
      <c r="N1012" s="11">
        <f t="shared" si="155"/>
        <v>1.4335885407503703</v>
      </c>
      <c r="O1012" s="3">
        <v>0.38541145924963011</v>
      </c>
      <c r="P1012" s="11">
        <f t="shared" si="156"/>
        <v>111.58894005446567</v>
      </c>
      <c r="Q1012" s="12">
        <f t="shared" si="157"/>
        <v>61.86078841931888</v>
      </c>
      <c r="R1012" s="13">
        <f t="shared" si="158"/>
        <v>7.9005308736412605</v>
      </c>
      <c r="S1012" s="3" t="s">
        <v>31</v>
      </c>
      <c r="T1012" s="3" t="s">
        <v>28</v>
      </c>
      <c r="U1012" s="10">
        <v>0</v>
      </c>
      <c r="V1012" s="3">
        <v>0</v>
      </c>
      <c r="W1012" s="3">
        <f t="shared" si="159"/>
        <v>0</v>
      </c>
      <c r="AA1012" s="3">
        <v>36</v>
      </c>
    </row>
    <row r="1013" spans="1:27" x14ac:dyDescent="0.3">
      <c r="A1013" s="3" t="str">
        <f t="shared" si="150"/>
        <v>North9310049901210</v>
      </c>
      <c r="B1013" s="3" t="str">
        <f t="shared" si="151"/>
        <v>Pan9310049901210</v>
      </c>
      <c r="C1013" s="10">
        <v>9310049901210</v>
      </c>
      <c r="D1013" s="10" t="str">
        <f t="shared" si="152"/>
        <v>9310049901</v>
      </c>
      <c r="E1013" s="3" t="s">
        <v>2</v>
      </c>
      <c r="F1013" s="3" t="s">
        <v>64</v>
      </c>
      <c r="H1013" s="3">
        <v>0.48900000000000005</v>
      </c>
      <c r="I1013" s="10">
        <f t="shared" si="153"/>
        <v>51.411528730952256</v>
      </c>
      <c r="J1013" s="3">
        <v>0.28534455913130519</v>
      </c>
      <c r="K1013" s="3">
        <v>0</v>
      </c>
      <c r="L1013" s="3">
        <f t="shared" si="154"/>
        <v>0</v>
      </c>
      <c r="N1013" s="11">
        <f t="shared" si="155"/>
        <v>0.20365544086869486</v>
      </c>
      <c r="O1013" s="3">
        <v>0.28534455913130519</v>
      </c>
      <c r="P1013" s="11">
        <f t="shared" si="156"/>
        <v>21.411528730952256</v>
      </c>
      <c r="Q1013" s="12">
        <f t="shared" si="157"/>
        <v>21.411528730952256</v>
      </c>
      <c r="R1013" s="13">
        <f t="shared" si="158"/>
        <v>13.564857995607879</v>
      </c>
      <c r="S1013" s="3" t="s">
        <v>31</v>
      </c>
      <c r="T1013" s="3" t="s">
        <v>32</v>
      </c>
      <c r="U1013" s="10">
        <v>0</v>
      </c>
      <c r="V1013" s="3">
        <v>0</v>
      </c>
      <c r="W1013" s="3">
        <f t="shared" si="159"/>
        <v>0</v>
      </c>
      <c r="AA1013" s="3">
        <v>36</v>
      </c>
    </row>
    <row r="1014" spans="1:27" x14ac:dyDescent="0.3">
      <c r="A1014" s="3" t="str">
        <f t="shared" si="150"/>
        <v>North9160909902219</v>
      </c>
      <c r="B1014" s="3" t="str">
        <f t="shared" si="151"/>
        <v>Pan9160909902219</v>
      </c>
      <c r="C1014" s="10">
        <v>9160909902219</v>
      </c>
      <c r="D1014" s="10" t="str">
        <f t="shared" si="152"/>
        <v>9160909902</v>
      </c>
      <c r="E1014" s="3" t="s">
        <v>2</v>
      </c>
      <c r="F1014" s="3" t="s">
        <v>64</v>
      </c>
      <c r="H1014" s="3">
        <v>1.4624999999999999</v>
      </c>
      <c r="I1014" s="10">
        <f t="shared" si="153"/>
        <v>160.20688321324116</v>
      </c>
      <c r="J1014" s="3">
        <v>0.27386463752372475</v>
      </c>
      <c r="K1014" s="3">
        <v>0</v>
      </c>
      <c r="L1014" s="3">
        <f t="shared" si="154"/>
        <v>0</v>
      </c>
      <c r="N1014" s="11">
        <f t="shared" si="155"/>
        <v>1.1886353624762751</v>
      </c>
      <c r="O1014" s="3">
        <v>0.27386463752372475</v>
      </c>
      <c r="P1014" s="11">
        <f t="shared" si="156"/>
        <v>130.20688321324116</v>
      </c>
      <c r="Q1014" s="12">
        <f t="shared" si="157"/>
        <v>136.61515854177082</v>
      </c>
      <c r="R1014" s="13">
        <f t="shared" si="158"/>
        <v>109.1236064775905</v>
      </c>
      <c r="S1014" s="3" t="s">
        <v>31</v>
      </c>
      <c r="T1014" s="3" t="s">
        <v>34</v>
      </c>
      <c r="U1014" s="10">
        <v>0</v>
      </c>
      <c r="V1014" s="3">
        <v>0</v>
      </c>
      <c r="W1014" s="3">
        <f t="shared" si="159"/>
        <v>0</v>
      </c>
      <c r="AA1014" s="3">
        <v>36</v>
      </c>
    </row>
    <row r="1015" spans="1:27" x14ac:dyDescent="0.3">
      <c r="A1015" s="3" t="str">
        <f t="shared" si="150"/>
        <v>North9420019900210</v>
      </c>
      <c r="B1015" s="3" t="str">
        <f t="shared" si="151"/>
        <v>Pan9420019900210</v>
      </c>
      <c r="C1015" s="10">
        <v>9420019900210</v>
      </c>
      <c r="D1015" s="10" t="str">
        <f t="shared" si="152"/>
        <v>9420019900</v>
      </c>
      <c r="E1015" s="3" t="s">
        <v>2</v>
      </c>
      <c r="F1015" s="3" t="s">
        <v>64</v>
      </c>
      <c r="H1015" s="3">
        <v>8.8879999999999999</v>
      </c>
      <c r="I1015" s="10">
        <f t="shared" si="153"/>
        <v>982.32976395724654</v>
      </c>
      <c r="J1015" s="3">
        <v>0.27143634427390195</v>
      </c>
      <c r="K1015" s="3">
        <v>0</v>
      </c>
      <c r="L1015" s="3">
        <f t="shared" si="154"/>
        <v>0</v>
      </c>
      <c r="N1015" s="11">
        <f t="shared" si="155"/>
        <v>8.6165636557260985</v>
      </c>
      <c r="O1015" s="3">
        <v>0.27143634427390195</v>
      </c>
      <c r="P1015" s="11">
        <f t="shared" si="156"/>
        <v>952.32976395724654</v>
      </c>
      <c r="Q1015" s="12">
        <f t="shared" si="157"/>
        <v>580.07895711763661</v>
      </c>
      <c r="R1015" s="13">
        <f t="shared" si="158"/>
        <v>173.10614674349301</v>
      </c>
      <c r="S1015" s="3" t="s">
        <v>31</v>
      </c>
      <c r="T1015" s="3" t="s">
        <v>28</v>
      </c>
      <c r="U1015" s="10">
        <v>0</v>
      </c>
      <c r="V1015" s="3">
        <v>0</v>
      </c>
      <c r="W1015" s="3">
        <f t="shared" si="159"/>
        <v>0</v>
      </c>
      <c r="AA1015" s="3">
        <v>36</v>
      </c>
    </row>
    <row r="1016" spans="1:27" x14ac:dyDescent="0.3">
      <c r="A1016" s="3" t="str">
        <f t="shared" si="150"/>
        <v>North9420019902319</v>
      </c>
      <c r="B1016" s="3" t="str">
        <f t="shared" si="151"/>
        <v>Pan9420019902319</v>
      </c>
      <c r="C1016" s="10">
        <v>9420019902319</v>
      </c>
      <c r="D1016" s="10" t="str">
        <f t="shared" si="152"/>
        <v>9420019902</v>
      </c>
      <c r="E1016" s="3" t="s">
        <v>2</v>
      </c>
      <c r="F1016" s="3" t="s">
        <v>64</v>
      </c>
      <c r="H1016" s="3">
        <v>3.8000000000000012</v>
      </c>
      <c r="I1016" s="10">
        <f t="shared" si="153"/>
        <v>683.49710678478493</v>
      </c>
      <c r="J1016" s="3">
        <v>0.1667892941584837</v>
      </c>
      <c r="K1016" s="3">
        <v>0</v>
      </c>
      <c r="L1016" s="3">
        <f t="shared" si="154"/>
        <v>0</v>
      </c>
      <c r="N1016" s="11">
        <f t="shared" si="155"/>
        <v>3.6332107058415173</v>
      </c>
      <c r="O1016" s="3">
        <v>0.1667892941584837</v>
      </c>
      <c r="P1016" s="11">
        <f t="shared" si="156"/>
        <v>653.49710678478493</v>
      </c>
      <c r="Q1016" s="12">
        <f t="shared" si="157"/>
        <v>726.61144319259563</v>
      </c>
      <c r="R1016" s="13">
        <f t="shared" si="158"/>
        <v>129.12664609594353</v>
      </c>
      <c r="S1016" s="3" t="s">
        <v>31</v>
      </c>
      <c r="T1016" s="3" t="s">
        <v>28</v>
      </c>
      <c r="U1016" s="10">
        <v>9420019900999</v>
      </c>
      <c r="V1016" s="3">
        <v>0.1</v>
      </c>
      <c r="W1016" s="3">
        <f t="shared" si="159"/>
        <v>0</v>
      </c>
      <c r="AA1016" s="3">
        <v>36</v>
      </c>
    </row>
    <row r="1017" spans="1:27" x14ac:dyDescent="0.3">
      <c r="A1017" s="3" t="str">
        <f t="shared" si="150"/>
        <v>North9420019902838</v>
      </c>
      <c r="B1017" s="3" t="str">
        <f t="shared" si="151"/>
        <v>Pan9420019902838</v>
      </c>
      <c r="C1017" s="10">
        <v>9420019902838</v>
      </c>
      <c r="D1017" s="10" t="str">
        <f t="shared" si="152"/>
        <v>9420019902</v>
      </c>
      <c r="E1017" s="3" t="s">
        <v>2</v>
      </c>
      <c r="F1017" s="3" t="s">
        <v>64</v>
      </c>
      <c r="H1017" s="3">
        <v>2.6752000000000011</v>
      </c>
      <c r="I1017" s="10">
        <f t="shared" si="153"/>
        <v>552.53892682117169</v>
      </c>
      <c r="J1017" s="3">
        <v>0.14524949483961833</v>
      </c>
      <c r="K1017" s="3">
        <v>0</v>
      </c>
      <c r="L1017" s="3">
        <f t="shared" si="154"/>
        <v>0</v>
      </c>
      <c r="N1017" s="11">
        <f t="shared" si="155"/>
        <v>2.5299505051603828</v>
      </c>
      <c r="O1017" s="3">
        <v>0.14524949483961833</v>
      </c>
      <c r="P1017" s="11">
        <f t="shared" si="156"/>
        <v>522.53892682117169</v>
      </c>
      <c r="Q1017" s="12">
        <f t="shared" si="157"/>
        <v>558.80304425623399</v>
      </c>
      <c r="R1017" s="13">
        <f t="shared" si="158"/>
        <v>94.982382273186985</v>
      </c>
      <c r="S1017" s="3" t="s">
        <v>31</v>
      </c>
      <c r="T1017" s="3" t="s">
        <v>28</v>
      </c>
      <c r="U1017" s="10">
        <v>0</v>
      </c>
      <c r="V1017" s="3">
        <v>0</v>
      </c>
      <c r="W1017" s="3">
        <f t="shared" si="159"/>
        <v>0</v>
      </c>
      <c r="AA1017" s="3">
        <v>36</v>
      </c>
    </row>
    <row r="1018" spans="1:27" x14ac:dyDescent="0.3">
      <c r="A1018" s="3" t="str">
        <f t="shared" si="150"/>
        <v>North9420019902295</v>
      </c>
      <c r="B1018" s="3" t="str">
        <f t="shared" si="151"/>
        <v>Pan9420019902295</v>
      </c>
      <c r="C1018" s="10">
        <v>9420019902295</v>
      </c>
      <c r="D1018" s="10" t="str">
        <f t="shared" si="152"/>
        <v>9420019902</v>
      </c>
      <c r="E1018" s="3" t="s">
        <v>2</v>
      </c>
      <c r="F1018" s="3" t="s">
        <v>64</v>
      </c>
      <c r="H1018" s="3">
        <v>0.57950000000000013</v>
      </c>
      <c r="I1018" s="10">
        <f t="shared" si="153"/>
        <v>343.73683867625158</v>
      </c>
      <c r="J1018" s="3">
        <v>5.0576481900952319E-2</v>
      </c>
      <c r="K1018" s="3">
        <v>0</v>
      </c>
      <c r="L1018" s="3">
        <f t="shared" si="154"/>
        <v>0</v>
      </c>
      <c r="N1018" s="11">
        <f t="shared" si="155"/>
        <v>0.52892351809904781</v>
      </c>
      <c r="O1018" s="3">
        <v>5.0576481900952319E-2</v>
      </c>
      <c r="P1018" s="11">
        <f t="shared" si="156"/>
        <v>313.73683867625158</v>
      </c>
      <c r="Q1018" s="12">
        <f t="shared" si="157"/>
        <v>290.21077215679566</v>
      </c>
      <c r="R1018" s="13">
        <f t="shared" si="158"/>
        <v>39.953658255764203</v>
      </c>
      <c r="S1018" s="3" t="s">
        <v>31</v>
      </c>
      <c r="T1018" s="3" t="s">
        <v>28</v>
      </c>
      <c r="U1018" s="10">
        <v>9420019900999</v>
      </c>
      <c r="V1018" s="3">
        <v>0.1</v>
      </c>
      <c r="W1018" s="3">
        <f t="shared" si="159"/>
        <v>0</v>
      </c>
      <c r="AA1018" s="3">
        <v>36</v>
      </c>
    </row>
    <row r="1019" spans="1:27" x14ac:dyDescent="0.3">
      <c r="A1019" s="3" t="str">
        <f t="shared" si="150"/>
        <v>North9420019902195</v>
      </c>
      <c r="B1019" s="3" t="str">
        <f t="shared" si="151"/>
        <v>Pan9420019902195</v>
      </c>
      <c r="C1019" s="10">
        <v>9420019902195</v>
      </c>
      <c r="D1019" s="10" t="str">
        <f t="shared" si="152"/>
        <v>9420019902</v>
      </c>
      <c r="E1019" s="3" t="s">
        <v>2</v>
      </c>
      <c r="F1019" s="3" t="s">
        <v>64</v>
      </c>
      <c r="H1019" s="3">
        <v>0.73814999999999986</v>
      </c>
      <c r="I1019" s="10">
        <f t="shared" si="153"/>
        <v>638.38973803274132</v>
      </c>
      <c r="J1019" s="3">
        <v>3.4688057593532717E-2</v>
      </c>
      <c r="K1019" s="3">
        <v>0</v>
      </c>
      <c r="L1019" s="3">
        <f t="shared" si="154"/>
        <v>0</v>
      </c>
      <c r="N1019" s="11">
        <f t="shared" si="155"/>
        <v>0.7034619424064672</v>
      </c>
      <c r="O1019" s="3">
        <v>3.4688057593532717E-2</v>
      </c>
      <c r="P1019" s="11">
        <f t="shared" si="156"/>
        <v>608.38973803274132</v>
      </c>
      <c r="Q1019" s="12">
        <f t="shared" si="157"/>
        <v>107.1423355719254</v>
      </c>
      <c r="R1019" s="13">
        <f t="shared" si="158"/>
        <v>45.855734013861159</v>
      </c>
      <c r="S1019" s="3" t="s">
        <v>31</v>
      </c>
      <c r="T1019" s="3" t="s">
        <v>28</v>
      </c>
      <c r="U1019" s="10">
        <v>0</v>
      </c>
      <c r="V1019" s="3">
        <v>0</v>
      </c>
      <c r="W1019" s="3">
        <f t="shared" si="159"/>
        <v>0</v>
      </c>
      <c r="AA1019" s="3">
        <v>36</v>
      </c>
    </row>
    <row r="1020" spans="1:27" x14ac:dyDescent="0.3">
      <c r="A1020" s="3" t="str">
        <f t="shared" si="150"/>
        <v>North9160909902097</v>
      </c>
      <c r="B1020" s="3" t="str">
        <f t="shared" si="151"/>
        <v>Pan9160909902097</v>
      </c>
      <c r="C1020" s="10">
        <v>9160909902097</v>
      </c>
      <c r="D1020" s="10" t="str">
        <f t="shared" si="152"/>
        <v>9160909902</v>
      </c>
      <c r="E1020" s="3" t="s">
        <v>2</v>
      </c>
      <c r="F1020" s="3" t="s">
        <v>64</v>
      </c>
      <c r="H1020" s="3">
        <v>0</v>
      </c>
      <c r="I1020" s="10">
        <f t="shared" si="153"/>
        <v>0</v>
      </c>
      <c r="J1020" s="3">
        <v>0</v>
      </c>
      <c r="K1020" s="3">
        <v>0</v>
      </c>
      <c r="L1020" s="3">
        <f t="shared" si="154"/>
        <v>0</v>
      </c>
      <c r="N1020" s="11">
        <f t="shared" si="155"/>
        <v>0</v>
      </c>
      <c r="O1020" s="3">
        <v>0</v>
      </c>
      <c r="P1020" s="11">
        <f t="shared" si="156"/>
        <v>9999</v>
      </c>
      <c r="Q1020" s="12">
        <f t="shared" si="157"/>
        <v>9999</v>
      </c>
      <c r="R1020" s="13">
        <f t="shared" si="158"/>
        <v>9999</v>
      </c>
      <c r="S1020" s="3" t="s">
        <v>31</v>
      </c>
      <c r="T1020" s="3" t="s">
        <v>34</v>
      </c>
      <c r="U1020" s="10" t="s">
        <v>72</v>
      </c>
      <c r="V1020" s="3" t="s">
        <v>72</v>
      </c>
      <c r="W1020" s="3">
        <f t="shared" si="159"/>
        <v>0</v>
      </c>
      <c r="AA1020" s="3">
        <v>36</v>
      </c>
    </row>
    <row r="1021" spans="1:27" x14ac:dyDescent="0.3">
      <c r="A1021" s="3" t="str">
        <f t="shared" si="150"/>
        <v>North9310019901320</v>
      </c>
      <c r="B1021" s="3" t="str">
        <f t="shared" si="151"/>
        <v>Lud9310019901320</v>
      </c>
      <c r="C1021" s="10">
        <v>9310019901320</v>
      </c>
      <c r="D1021" s="10" t="str">
        <f t="shared" si="152"/>
        <v>9310019901</v>
      </c>
      <c r="E1021" s="3" t="s">
        <v>3</v>
      </c>
      <c r="F1021" s="3" t="s">
        <v>64</v>
      </c>
      <c r="H1021" s="3">
        <v>9.4</v>
      </c>
      <c r="I1021" s="10">
        <f t="shared" si="153"/>
        <v>27.002621210741989</v>
      </c>
      <c r="J1021" s="3">
        <v>10.443430576577388</v>
      </c>
      <c r="K1021" s="3">
        <v>36</v>
      </c>
      <c r="L1021" s="3">
        <f t="shared" si="154"/>
        <v>0</v>
      </c>
      <c r="N1021" s="11">
        <f t="shared" si="155"/>
        <v>-1.0434305765773875</v>
      </c>
      <c r="O1021" s="3">
        <v>10.443430576577388</v>
      </c>
      <c r="P1021" s="11">
        <f t="shared" si="156"/>
        <v>-2.9973787892580113</v>
      </c>
      <c r="Q1021" s="12">
        <f t="shared" si="157"/>
        <v>-10.728812386561957</v>
      </c>
      <c r="R1021" s="13">
        <f t="shared" si="158"/>
        <v>15.311331395407025</v>
      </c>
      <c r="S1021" s="3" t="s">
        <v>29</v>
      </c>
      <c r="T1021" s="3" t="s">
        <v>32</v>
      </c>
      <c r="U1021" s="10">
        <v>9310019900999</v>
      </c>
      <c r="V1021" s="3">
        <v>0.1</v>
      </c>
      <c r="W1021" s="3">
        <f t="shared" si="159"/>
        <v>3.6</v>
      </c>
      <c r="AA1021" s="3">
        <v>36</v>
      </c>
    </row>
    <row r="1022" spans="1:27" x14ac:dyDescent="0.3">
      <c r="A1022" s="3" t="str">
        <f t="shared" si="150"/>
        <v>North9420059900320</v>
      </c>
      <c r="B1022" s="3" t="str">
        <f t="shared" si="151"/>
        <v>Lud9420059900320</v>
      </c>
      <c r="C1022" s="10">
        <v>9420059900320</v>
      </c>
      <c r="D1022" s="10" t="str">
        <f t="shared" si="152"/>
        <v>9420059900</v>
      </c>
      <c r="E1022" s="3" t="s">
        <v>3</v>
      </c>
      <c r="F1022" s="3" t="s">
        <v>64</v>
      </c>
      <c r="H1022" s="3">
        <v>8.5400000000000009</v>
      </c>
      <c r="I1022" s="10">
        <f t="shared" si="153"/>
        <v>40.756141918243799</v>
      </c>
      <c r="J1022" s="3">
        <v>6.2861691009402545</v>
      </c>
      <c r="K1022" s="3">
        <v>18</v>
      </c>
      <c r="L1022" s="3">
        <f t="shared" si="154"/>
        <v>0</v>
      </c>
      <c r="N1022" s="11">
        <f t="shared" si="155"/>
        <v>2.2538308990597464</v>
      </c>
      <c r="O1022" s="3">
        <v>6.2861691009402545</v>
      </c>
      <c r="P1022" s="11">
        <f t="shared" si="156"/>
        <v>10.756141918243797</v>
      </c>
      <c r="Q1022" s="12">
        <f t="shared" si="157"/>
        <v>13.761644410947397</v>
      </c>
      <c r="R1022" s="13">
        <f t="shared" si="158"/>
        <v>11.423436010590386</v>
      </c>
      <c r="S1022" s="3" t="s">
        <v>30</v>
      </c>
      <c r="T1022" s="3" t="s">
        <v>28</v>
      </c>
      <c r="U1022" s="10">
        <v>9420059900999</v>
      </c>
      <c r="V1022" s="3">
        <v>0.1</v>
      </c>
      <c r="W1022" s="3">
        <f t="shared" si="159"/>
        <v>1.8</v>
      </c>
      <c r="AA1022" s="3">
        <v>36</v>
      </c>
    </row>
    <row r="1023" spans="1:27" x14ac:dyDescent="0.3">
      <c r="A1023" s="3" t="str">
        <f t="shared" si="150"/>
        <v>North9310099901320</v>
      </c>
      <c r="B1023" s="3" t="str">
        <f t="shared" si="151"/>
        <v>Lud9310099901320</v>
      </c>
      <c r="C1023" s="10">
        <v>9310099901320</v>
      </c>
      <c r="D1023" s="10" t="str">
        <f t="shared" si="152"/>
        <v>9310099901</v>
      </c>
      <c r="E1023" s="3" t="s">
        <v>3</v>
      </c>
      <c r="F1023" s="3" t="s">
        <v>64</v>
      </c>
      <c r="H1023" s="3">
        <v>0</v>
      </c>
      <c r="I1023" s="10">
        <f t="shared" si="153"/>
        <v>0</v>
      </c>
      <c r="J1023" s="3">
        <v>5.4171780949999997</v>
      </c>
      <c r="K1023" s="3">
        <v>0</v>
      </c>
      <c r="L1023" s="3">
        <f t="shared" si="154"/>
        <v>0</v>
      </c>
      <c r="N1023" s="11">
        <f t="shared" si="155"/>
        <v>-5.4171780949999997</v>
      </c>
      <c r="O1023" s="3">
        <v>5.4171780949999997</v>
      </c>
      <c r="P1023" s="11">
        <f t="shared" si="156"/>
        <v>-30</v>
      </c>
      <c r="Q1023" s="12">
        <f t="shared" si="157"/>
        <v>-30</v>
      </c>
      <c r="R1023" s="13">
        <f t="shared" si="158"/>
        <v>-30</v>
      </c>
      <c r="S1023" s="3">
        <v>0</v>
      </c>
      <c r="T1023" s="3" t="s">
        <v>32</v>
      </c>
      <c r="U1023" s="10">
        <v>9310099900999</v>
      </c>
      <c r="V1023" s="3">
        <v>0.1</v>
      </c>
      <c r="W1023" s="3">
        <f t="shared" si="159"/>
        <v>0</v>
      </c>
      <c r="AA1023" s="3">
        <v>36</v>
      </c>
    </row>
    <row r="1024" spans="1:27" x14ac:dyDescent="0.3">
      <c r="A1024" s="3" t="str">
        <f t="shared" si="150"/>
        <v>North9160709901320</v>
      </c>
      <c r="B1024" s="3" t="str">
        <f t="shared" si="151"/>
        <v>Lud9160709901320</v>
      </c>
      <c r="C1024" s="10">
        <v>9160709901320</v>
      </c>
      <c r="D1024" s="10" t="str">
        <f t="shared" si="152"/>
        <v>9160709901</v>
      </c>
      <c r="E1024" s="3" t="s">
        <v>3</v>
      </c>
      <c r="F1024" s="3" t="s">
        <v>64</v>
      </c>
      <c r="H1024" s="3">
        <v>8.8999999999999986</v>
      </c>
      <c r="I1024" s="10">
        <f t="shared" si="153"/>
        <v>64.551981366028244</v>
      </c>
      <c r="J1024" s="3">
        <v>4.1362014666294042</v>
      </c>
      <c r="K1024" s="3">
        <v>0</v>
      </c>
      <c r="L1024" s="3">
        <f t="shared" si="154"/>
        <v>0</v>
      </c>
      <c r="N1024" s="11">
        <f t="shared" si="155"/>
        <v>4.7637985333705943</v>
      </c>
      <c r="O1024" s="3">
        <v>4.1362014666294042</v>
      </c>
      <c r="P1024" s="11">
        <f t="shared" si="156"/>
        <v>34.55198136602823</v>
      </c>
      <c r="Q1024" s="12">
        <f t="shared" si="157"/>
        <v>71.002641930064797</v>
      </c>
      <c r="R1024" s="13">
        <f t="shared" si="158"/>
        <v>51.151619002309836</v>
      </c>
      <c r="S1024" s="3" t="s">
        <v>29</v>
      </c>
      <c r="T1024" s="3" t="s">
        <v>34</v>
      </c>
      <c r="U1024" s="10">
        <v>0</v>
      </c>
      <c r="V1024" s="3">
        <v>0</v>
      </c>
      <c r="W1024" s="3">
        <f t="shared" si="159"/>
        <v>0</v>
      </c>
      <c r="AA1024" s="3">
        <v>36</v>
      </c>
    </row>
    <row r="1025" spans="1:27" x14ac:dyDescent="0.3">
      <c r="A1025" s="3" t="str">
        <f t="shared" si="150"/>
        <v>North9310039901320</v>
      </c>
      <c r="B1025" s="3" t="str">
        <f t="shared" si="151"/>
        <v>Lud9310039901320</v>
      </c>
      <c r="C1025" s="10">
        <v>9310039901320</v>
      </c>
      <c r="D1025" s="10" t="str">
        <f t="shared" si="152"/>
        <v>9310039901</v>
      </c>
      <c r="E1025" s="3" t="s">
        <v>3</v>
      </c>
      <c r="F1025" s="3" t="s">
        <v>64</v>
      </c>
      <c r="H1025" s="3">
        <v>28.419999999999998</v>
      </c>
      <c r="I1025" s="10">
        <f t="shared" si="153"/>
        <v>565.67161720973172</v>
      </c>
      <c r="J1025" s="3">
        <v>1.5072348939930726</v>
      </c>
      <c r="K1025" s="3">
        <v>36</v>
      </c>
      <c r="L1025" s="3">
        <f t="shared" si="154"/>
        <v>0</v>
      </c>
      <c r="N1025" s="11">
        <f t="shared" si="155"/>
        <v>26.912765106006926</v>
      </c>
      <c r="O1025" s="3">
        <v>1.5072348939930726</v>
      </c>
      <c r="P1025" s="11">
        <f t="shared" si="156"/>
        <v>535.67161720973172</v>
      </c>
      <c r="Q1025" s="12">
        <f t="shared" si="157"/>
        <v>128.19639677362008</v>
      </c>
      <c r="R1025" s="13">
        <f t="shared" si="158"/>
        <v>31.066758628273089</v>
      </c>
      <c r="S1025" s="3" t="s">
        <v>29</v>
      </c>
      <c r="T1025" s="3" t="s">
        <v>32</v>
      </c>
      <c r="U1025" s="10">
        <v>9310039900999</v>
      </c>
      <c r="V1025" s="3">
        <v>0.1</v>
      </c>
      <c r="W1025" s="3">
        <f t="shared" si="159"/>
        <v>3.6</v>
      </c>
      <c r="AA1025" s="3">
        <v>36</v>
      </c>
    </row>
    <row r="1026" spans="1:27" x14ac:dyDescent="0.3">
      <c r="A1026" s="3" t="str">
        <f t="shared" si="150"/>
        <v>North9310019901310</v>
      </c>
      <c r="B1026" s="3" t="str">
        <f t="shared" si="151"/>
        <v>Lud9310019901310</v>
      </c>
      <c r="C1026" s="10">
        <v>9310019901310</v>
      </c>
      <c r="D1026" s="10" t="str">
        <f t="shared" si="152"/>
        <v>9310019901</v>
      </c>
      <c r="E1026" s="3" t="s">
        <v>3</v>
      </c>
      <c r="F1026" s="3" t="s">
        <v>64</v>
      </c>
      <c r="H1026" s="3">
        <v>6.7299999999999995</v>
      </c>
      <c r="I1026" s="10">
        <f t="shared" si="153"/>
        <v>191.4296519724746</v>
      </c>
      <c r="J1026" s="3">
        <v>1.0546955391687747</v>
      </c>
      <c r="K1026" s="3">
        <v>0</v>
      </c>
      <c r="L1026" s="3">
        <f t="shared" si="154"/>
        <v>0</v>
      </c>
      <c r="N1026" s="11">
        <f t="shared" si="155"/>
        <v>5.6753044608312244</v>
      </c>
      <c r="O1026" s="3">
        <v>1.0546955391687747</v>
      </c>
      <c r="P1026" s="11">
        <f t="shared" si="156"/>
        <v>161.4296519724746</v>
      </c>
      <c r="Q1026" s="12">
        <f t="shared" si="157"/>
        <v>48.052278768150494</v>
      </c>
      <c r="R1026" s="13">
        <f t="shared" si="158"/>
        <v>34.329351227139078</v>
      </c>
      <c r="S1026" s="3" t="s">
        <v>30</v>
      </c>
      <c r="T1026" s="3" t="s">
        <v>32</v>
      </c>
      <c r="U1026" s="10">
        <v>9310019900999</v>
      </c>
      <c r="V1026" s="3">
        <v>0.1</v>
      </c>
      <c r="W1026" s="3">
        <f t="shared" si="159"/>
        <v>0</v>
      </c>
      <c r="AA1026" s="3">
        <v>36</v>
      </c>
    </row>
    <row r="1027" spans="1:27" x14ac:dyDescent="0.3">
      <c r="A1027" s="3" t="str">
        <f t="shared" si="150"/>
        <v>North9420059900310</v>
      </c>
      <c r="B1027" s="3" t="str">
        <f t="shared" si="151"/>
        <v>Lud9420059900310</v>
      </c>
      <c r="C1027" s="10">
        <v>9420059900310</v>
      </c>
      <c r="D1027" s="10" t="str">
        <f t="shared" si="152"/>
        <v>9420059900</v>
      </c>
      <c r="E1027" s="3" t="s">
        <v>3</v>
      </c>
      <c r="F1027" s="3" t="s">
        <v>64</v>
      </c>
      <c r="H1027" s="3">
        <v>2.98</v>
      </c>
      <c r="I1027" s="10">
        <f t="shared" si="153"/>
        <v>97.641107329948312</v>
      </c>
      <c r="J1027" s="3">
        <v>0.91559797348364758</v>
      </c>
      <c r="K1027" s="3">
        <v>18</v>
      </c>
      <c r="L1027" s="3">
        <f t="shared" si="154"/>
        <v>0</v>
      </c>
      <c r="N1027" s="11">
        <f t="shared" si="155"/>
        <v>2.0644020265163525</v>
      </c>
      <c r="O1027" s="3">
        <v>0.91559797348364758</v>
      </c>
      <c r="P1027" s="11">
        <f t="shared" si="156"/>
        <v>67.641107329948312</v>
      </c>
      <c r="Q1027" s="12">
        <f t="shared" si="157"/>
        <v>0.57971888446900988</v>
      </c>
      <c r="R1027" s="13">
        <f t="shared" si="158"/>
        <v>6.0010965144808175</v>
      </c>
      <c r="S1027" s="3" t="s">
        <v>31</v>
      </c>
      <c r="T1027" s="3" t="s">
        <v>28</v>
      </c>
      <c r="U1027" s="10">
        <v>9420059900999</v>
      </c>
      <c r="V1027" s="3">
        <v>0.1</v>
      </c>
      <c r="W1027" s="3">
        <f t="shared" si="159"/>
        <v>1.8</v>
      </c>
      <c r="AA1027" s="3">
        <v>36</v>
      </c>
    </row>
    <row r="1028" spans="1:27" x14ac:dyDescent="0.3">
      <c r="A1028" s="3" t="str">
        <f t="shared" ref="A1028:A1091" si="160">_xlfn.CONCAT(F1028,C1028)</f>
        <v>North9310099901310</v>
      </c>
      <c r="B1028" s="3" t="str">
        <f t="shared" ref="B1028:B1091" si="161">_xlfn.CONCAT(E1028,C1028)</f>
        <v>Lud9310099901310</v>
      </c>
      <c r="C1028" s="10">
        <v>9310099901310</v>
      </c>
      <c r="D1028" s="10" t="str">
        <f t="shared" ref="D1028:D1091" si="162">LEFT(C1028,10)</f>
        <v>9310099901</v>
      </c>
      <c r="E1028" s="3" t="s">
        <v>3</v>
      </c>
      <c r="F1028" s="3" t="s">
        <v>64</v>
      </c>
      <c r="H1028" s="3">
        <v>0</v>
      </c>
      <c r="I1028" s="10">
        <f t="shared" ref="I1028:I1091" si="163">IFERROR(H1028/J1028*30,0)</f>
        <v>0</v>
      </c>
      <c r="J1028" s="3">
        <v>0.78332017750000005</v>
      </c>
      <c r="K1028" s="3">
        <v>0</v>
      </c>
      <c r="L1028" s="3">
        <f t="shared" ref="L1028:L1091" si="164">M1028*G1028</f>
        <v>0</v>
      </c>
      <c r="N1028" s="11">
        <f t="shared" ref="N1028:N1091" si="165">H1028-J1028+L1028</f>
        <v>-0.78332017750000005</v>
      </c>
      <c r="O1028" s="3">
        <v>0.78332017750000005</v>
      </c>
      <c r="P1028" s="11">
        <f t="shared" ref="P1028:P1091" si="166">IF(O1028=0,9999,N1028/O1028*30)</f>
        <v>-30</v>
      </c>
      <c r="Q1028" s="12">
        <f t="shared" ref="Q1028:Q1091" si="167">IF(SUMIF($A:$A,$A1028,$O:$O)=0,9999,SUMIF($A:$A,$A1028,$N:$N)*30/SUMIF($A:$A,$A1028,$O:$O))</f>
        <v>-30</v>
      </c>
      <c r="R1028" s="13">
        <f t="shared" ref="R1028:R1091" si="168">IF(SUMIF($C:$C,$C1028,$O:$O)=0,9999,SUMIF($C:$C,$C1028,$N:$N)*30/SUMIF($C:$C,$C1028,$O:$O))</f>
        <v>-30.000000000000004</v>
      </c>
      <c r="S1028" s="3">
        <v>0</v>
      </c>
      <c r="T1028" s="3" t="s">
        <v>32</v>
      </c>
      <c r="U1028" s="10">
        <v>9310099900999</v>
      </c>
      <c r="V1028" s="3">
        <v>0.1</v>
      </c>
      <c r="W1028" s="3">
        <f t="shared" ref="W1028:W1091" si="169">IFERROR(K1028*V1028,0)</f>
        <v>0</v>
      </c>
      <c r="AA1028" s="3">
        <v>36</v>
      </c>
    </row>
    <row r="1029" spans="1:27" x14ac:dyDescent="0.3">
      <c r="A1029" s="3" t="str">
        <f t="shared" si="160"/>
        <v>North9160909901320</v>
      </c>
      <c r="B1029" s="3" t="str">
        <f t="shared" si="161"/>
        <v>Lud9160909901320</v>
      </c>
      <c r="C1029" s="10">
        <v>9160909901320</v>
      </c>
      <c r="D1029" s="10" t="str">
        <f t="shared" si="162"/>
        <v>9160909901</v>
      </c>
      <c r="E1029" s="3" t="s">
        <v>3</v>
      </c>
      <c r="F1029" s="3" t="s">
        <v>64</v>
      </c>
      <c r="H1029" s="3">
        <v>2.8800000000000003</v>
      </c>
      <c r="I1029" s="10">
        <f t="shared" si="163"/>
        <v>122.56966308812429</v>
      </c>
      <c r="J1029" s="3">
        <v>0.7049052581459796</v>
      </c>
      <c r="K1029" s="3">
        <v>0</v>
      </c>
      <c r="L1029" s="3">
        <f t="shared" si="164"/>
        <v>0</v>
      </c>
      <c r="N1029" s="11">
        <f t="shared" si="165"/>
        <v>2.1750947418540205</v>
      </c>
      <c r="O1029" s="3">
        <v>0.7049052581459796</v>
      </c>
      <c r="P1029" s="11">
        <f t="shared" si="166"/>
        <v>92.569663088124287</v>
      </c>
      <c r="Q1029" s="12">
        <f t="shared" si="167"/>
        <v>63.624713239891626</v>
      </c>
      <c r="R1029" s="13">
        <f t="shared" si="168"/>
        <v>79.654804762418195</v>
      </c>
      <c r="S1029" s="3" t="s">
        <v>30</v>
      </c>
      <c r="T1029" s="3" t="s">
        <v>34</v>
      </c>
      <c r="U1029" s="10">
        <v>0</v>
      </c>
      <c r="V1029" s="3">
        <v>0</v>
      </c>
      <c r="W1029" s="3">
        <f t="shared" si="169"/>
        <v>0</v>
      </c>
      <c r="AA1029" s="3">
        <v>36</v>
      </c>
    </row>
    <row r="1030" spans="1:27" x14ac:dyDescent="0.3">
      <c r="A1030" s="3" t="str">
        <f t="shared" si="160"/>
        <v>North9310019901840</v>
      </c>
      <c r="B1030" s="3" t="str">
        <f t="shared" si="161"/>
        <v>Lud9310019901840</v>
      </c>
      <c r="C1030" s="10">
        <v>9310019901840</v>
      </c>
      <c r="D1030" s="10" t="str">
        <f t="shared" si="162"/>
        <v>9310019901</v>
      </c>
      <c r="E1030" s="3" t="s">
        <v>3</v>
      </c>
      <c r="F1030" s="3" t="s">
        <v>64</v>
      </c>
      <c r="H1030" s="3">
        <v>0.54400000000000004</v>
      </c>
      <c r="I1030" s="10">
        <f t="shared" si="163"/>
        <v>37.552366745058059</v>
      </c>
      <c r="J1030" s="3">
        <v>0.43459311395193845</v>
      </c>
      <c r="K1030" s="3">
        <v>0</v>
      </c>
      <c r="L1030" s="3">
        <f t="shared" si="164"/>
        <v>0</v>
      </c>
      <c r="N1030" s="11">
        <f t="shared" si="165"/>
        <v>0.10940688604806159</v>
      </c>
      <c r="O1030" s="3">
        <v>0.43459311395193845</v>
      </c>
      <c r="P1030" s="11">
        <f t="shared" si="166"/>
        <v>7.5523667450580598</v>
      </c>
      <c r="Q1030" s="12">
        <f t="shared" si="167"/>
        <v>-7.7863805200307512</v>
      </c>
      <c r="R1030" s="13">
        <f t="shared" si="168"/>
        <v>45.841224370308467</v>
      </c>
      <c r="S1030" s="3" t="s">
        <v>30</v>
      </c>
      <c r="T1030" s="3" t="s">
        <v>32</v>
      </c>
      <c r="U1030" s="10">
        <v>0</v>
      </c>
      <c r="V1030" s="3">
        <v>0</v>
      </c>
      <c r="W1030" s="3">
        <f t="shared" si="169"/>
        <v>0</v>
      </c>
      <c r="AA1030" s="3">
        <v>36</v>
      </c>
    </row>
    <row r="1031" spans="1:27" x14ac:dyDescent="0.3">
      <c r="A1031" s="3" t="str">
        <f t="shared" si="160"/>
        <v>North9310099901840</v>
      </c>
      <c r="B1031" s="3" t="str">
        <f t="shared" si="161"/>
        <v>Lud9310099901840</v>
      </c>
      <c r="C1031" s="10">
        <v>9310099901840</v>
      </c>
      <c r="D1031" s="10" t="str">
        <f t="shared" si="162"/>
        <v>9310099901</v>
      </c>
      <c r="E1031" s="3" t="s">
        <v>3</v>
      </c>
      <c r="F1031" s="3" t="s">
        <v>64</v>
      </c>
      <c r="H1031" s="3">
        <v>0</v>
      </c>
      <c r="I1031" s="10">
        <f t="shared" si="163"/>
        <v>0</v>
      </c>
      <c r="J1031" s="3">
        <v>0.3775037</v>
      </c>
      <c r="K1031" s="3">
        <v>0</v>
      </c>
      <c r="L1031" s="3">
        <f t="shared" si="164"/>
        <v>0</v>
      </c>
      <c r="N1031" s="11">
        <f t="shared" si="165"/>
        <v>-0.3775037</v>
      </c>
      <c r="O1031" s="3">
        <v>0.3775037</v>
      </c>
      <c r="P1031" s="11">
        <f t="shared" si="166"/>
        <v>-30</v>
      </c>
      <c r="Q1031" s="12">
        <f t="shared" si="167"/>
        <v>-30</v>
      </c>
      <c r="R1031" s="13">
        <f t="shared" si="168"/>
        <v>-29.999999999999996</v>
      </c>
      <c r="S1031" s="3">
        <v>0</v>
      </c>
      <c r="T1031" s="3" t="s">
        <v>32</v>
      </c>
      <c r="U1031" s="10">
        <v>0</v>
      </c>
      <c r="V1031" s="3">
        <v>0</v>
      </c>
      <c r="W1031" s="3">
        <f t="shared" si="169"/>
        <v>0</v>
      </c>
      <c r="AA1031" s="3">
        <v>36</v>
      </c>
    </row>
    <row r="1032" spans="1:27" x14ac:dyDescent="0.3">
      <c r="A1032" s="3" t="str">
        <f t="shared" si="160"/>
        <v>North9420059900210</v>
      </c>
      <c r="B1032" s="3" t="str">
        <f t="shared" si="161"/>
        <v>Lud9420059900210</v>
      </c>
      <c r="C1032" s="10">
        <v>9420059900210</v>
      </c>
      <c r="D1032" s="10" t="str">
        <f t="shared" si="162"/>
        <v>9420059900</v>
      </c>
      <c r="E1032" s="3" t="s">
        <v>3</v>
      </c>
      <c r="F1032" s="3" t="s">
        <v>64</v>
      </c>
      <c r="H1032" s="3">
        <v>0.25370000000000004</v>
      </c>
      <c r="I1032" s="10">
        <f t="shared" si="163"/>
        <v>29.231402593887097</v>
      </c>
      <c r="J1032" s="3">
        <v>0.26037067415956366</v>
      </c>
      <c r="K1032" s="3">
        <v>0</v>
      </c>
      <c r="L1032" s="3">
        <f t="shared" si="164"/>
        <v>0</v>
      </c>
      <c r="N1032" s="11">
        <f t="shared" si="165"/>
        <v>-6.6706741595636276E-3</v>
      </c>
      <c r="O1032" s="3">
        <v>0.26037067415956366</v>
      </c>
      <c r="P1032" s="11">
        <f t="shared" si="166"/>
        <v>-0.76859740611290428</v>
      </c>
      <c r="Q1032" s="12">
        <f t="shared" si="167"/>
        <v>0.59206030339362015</v>
      </c>
      <c r="R1032" s="13">
        <f t="shared" si="168"/>
        <v>2.7646503276073755</v>
      </c>
      <c r="S1032" s="3" t="s">
        <v>31</v>
      </c>
      <c r="T1032" s="3" t="s">
        <v>28</v>
      </c>
      <c r="U1032" s="10">
        <v>0</v>
      </c>
      <c r="V1032" s="3">
        <v>0</v>
      </c>
      <c r="W1032" s="3">
        <f t="shared" si="169"/>
        <v>0</v>
      </c>
      <c r="AA1032" s="3">
        <v>36</v>
      </c>
    </row>
    <row r="1033" spans="1:27" x14ac:dyDescent="0.3">
      <c r="A1033" s="3" t="str">
        <f t="shared" si="160"/>
        <v>North9420059900840</v>
      </c>
      <c r="B1033" s="3" t="str">
        <f t="shared" si="161"/>
        <v>Lud9420059900840</v>
      </c>
      <c r="C1033" s="10">
        <v>9420059900840</v>
      </c>
      <c r="D1033" s="10" t="str">
        <f t="shared" si="162"/>
        <v>9420059900</v>
      </c>
      <c r="E1033" s="3" t="s">
        <v>3</v>
      </c>
      <c r="F1033" s="3" t="s">
        <v>64</v>
      </c>
      <c r="H1033" s="3">
        <v>0.28799999999999998</v>
      </c>
      <c r="I1033" s="10">
        <f t="shared" si="163"/>
        <v>38.169447978370115</v>
      </c>
      <c r="J1033" s="3">
        <v>0.22635905043468585</v>
      </c>
      <c r="K1033" s="3">
        <v>0</v>
      </c>
      <c r="L1033" s="3">
        <f t="shared" si="164"/>
        <v>0</v>
      </c>
      <c r="N1033" s="11">
        <f t="shared" si="165"/>
        <v>6.1640949565314129E-2</v>
      </c>
      <c r="O1033" s="3">
        <v>0.22635905043468585</v>
      </c>
      <c r="P1033" s="11">
        <f t="shared" si="166"/>
        <v>8.1694479783701173</v>
      </c>
      <c r="Q1033" s="12">
        <f t="shared" si="167"/>
        <v>-17.059643528613169</v>
      </c>
      <c r="R1033" s="13">
        <f t="shared" si="168"/>
        <v>-15.041796421296725</v>
      </c>
      <c r="S1033" s="3" t="s">
        <v>31</v>
      </c>
      <c r="T1033" s="3" t="s">
        <v>28</v>
      </c>
      <c r="U1033" s="10">
        <v>0</v>
      </c>
      <c r="V1033" s="3">
        <v>0</v>
      </c>
      <c r="W1033" s="3">
        <f t="shared" si="169"/>
        <v>0</v>
      </c>
      <c r="AA1033" s="3">
        <v>36</v>
      </c>
    </row>
    <row r="1034" spans="1:27" x14ac:dyDescent="0.3">
      <c r="A1034" s="3" t="str">
        <f t="shared" si="160"/>
        <v>North9310019901210</v>
      </c>
      <c r="B1034" s="3" t="str">
        <f t="shared" si="161"/>
        <v>Lud9310019901210</v>
      </c>
      <c r="C1034" s="10">
        <v>9310019901210</v>
      </c>
      <c r="D1034" s="10" t="str">
        <f t="shared" si="162"/>
        <v>9310019901</v>
      </c>
      <c r="E1034" s="3" t="s">
        <v>3</v>
      </c>
      <c r="F1034" s="3" t="s">
        <v>64</v>
      </c>
      <c r="H1034" s="3">
        <v>0.33600000000000008</v>
      </c>
      <c r="I1034" s="10">
        <f t="shared" si="163"/>
        <v>61.084776872558216</v>
      </c>
      <c r="J1034" s="3">
        <v>0.16501656412742585</v>
      </c>
      <c r="K1034" s="3">
        <v>0</v>
      </c>
      <c r="L1034" s="3">
        <f t="shared" si="164"/>
        <v>0</v>
      </c>
      <c r="N1034" s="11">
        <f t="shared" si="165"/>
        <v>0.17098343587257422</v>
      </c>
      <c r="O1034" s="3">
        <v>0.16501656412742585</v>
      </c>
      <c r="P1034" s="11">
        <f t="shared" si="166"/>
        <v>31.084776872558216</v>
      </c>
      <c r="Q1034" s="12">
        <f t="shared" si="167"/>
        <v>-3.1336425548862352</v>
      </c>
      <c r="R1034" s="13">
        <f t="shared" si="168"/>
        <v>38.257893326302671</v>
      </c>
      <c r="S1034" s="3" t="s">
        <v>31</v>
      </c>
      <c r="T1034" s="3" t="s">
        <v>32</v>
      </c>
      <c r="U1034" s="10">
        <v>0</v>
      </c>
      <c r="V1034" s="3">
        <v>0</v>
      </c>
      <c r="W1034" s="3">
        <f t="shared" si="169"/>
        <v>0</v>
      </c>
      <c r="AA1034" s="3">
        <v>36</v>
      </c>
    </row>
    <row r="1035" spans="1:27" x14ac:dyDescent="0.3">
      <c r="A1035" s="3" t="str">
        <f t="shared" si="160"/>
        <v>North9310039901310</v>
      </c>
      <c r="B1035" s="3" t="str">
        <f t="shared" si="161"/>
        <v>Lud9310039901310</v>
      </c>
      <c r="C1035" s="10">
        <v>9310039901310</v>
      </c>
      <c r="D1035" s="10" t="str">
        <f t="shared" si="162"/>
        <v>9310039901</v>
      </c>
      <c r="E1035" s="3" t="s">
        <v>3</v>
      </c>
      <c r="F1035" s="3" t="s">
        <v>64</v>
      </c>
      <c r="H1035" s="3">
        <v>1.0900000000000001</v>
      </c>
      <c r="I1035" s="10">
        <f t="shared" si="163"/>
        <v>201.43740773300539</v>
      </c>
      <c r="J1035" s="3">
        <v>0.16233330426562143</v>
      </c>
      <c r="K1035" s="3">
        <v>0</v>
      </c>
      <c r="L1035" s="3">
        <f t="shared" si="164"/>
        <v>0</v>
      </c>
      <c r="N1035" s="11">
        <f t="shared" si="165"/>
        <v>0.92766669573437865</v>
      </c>
      <c r="O1035" s="3">
        <v>0.16233330426562143</v>
      </c>
      <c r="P1035" s="11">
        <f t="shared" si="166"/>
        <v>171.43740773300539</v>
      </c>
      <c r="Q1035" s="12">
        <f t="shared" si="167"/>
        <v>42.445546366611588</v>
      </c>
      <c r="R1035" s="13">
        <f t="shared" si="168"/>
        <v>26.606476274762038</v>
      </c>
      <c r="S1035" s="3" t="s">
        <v>30</v>
      </c>
      <c r="T1035" s="3" t="s">
        <v>32</v>
      </c>
      <c r="U1035" s="10">
        <v>9310039900999</v>
      </c>
      <c r="V1035" s="3">
        <v>0.1</v>
      </c>
      <c r="W1035" s="3">
        <f t="shared" si="169"/>
        <v>0</v>
      </c>
      <c r="AA1035" s="3">
        <v>36</v>
      </c>
    </row>
    <row r="1036" spans="1:27" x14ac:dyDescent="0.3">
      <c r="A1036" s="3" t="str">
        <f t="shared" si="160"/>
        <v>North9310099901210</v>
      </c>
      <c r="B1036" s="3" t="str">
        <f t="shared" si="161"/>
        <v>Lud9310099901210</v>
      </c>
      <c r="C1036" s="10">
        <v>9310099901210</v>
      </c>
      <c r="D1036" s="10" t="str">
        <f t="shared" si="162"/>
        <v>9310099901</v>
      </c>
      <c r="E1036" s="3" t="s">
        <v>3</v>
      </c>
      <c r="F1036" s="3" t="s">
        <v>64</v>
      </c>
      <c r="H1036" s="3">
        <v>0</v>
      </c>
      <c r="I1036" s="10">
        <f t="shared" si="163"/>
        <v>0</v>
      </c>
      <c r="J1036" s="3">
        <v>0.14722644300000001</v>
      </c>
      <c r="K1036" s="3">
        <v>0</v>
      </c>
      <c r="L1036" s="3">
        <f t="shared" si="164"/>
        <v>0</v>
      </c>
      <c r="N1036" s="11">
        <f t="shared" si="165"/>
        <v>-0.14722644300000001</v>
      </c>
      <c r="O1036" s="3">
        <v>0.14722644300000001</v>
      </c>
      <c r="P1036" s="11">
        <f t="shared" si="166"/>
        <v>-30</v>
      </c>
      <c r="Q1036" s="12">
        <f t="shared" si="167"/>
        <v>-30</v>
      </c>
      <c r="R1036" s="13">
        <f t="shared" si="168"/>
        <v>-30</v>
      </c>
      <c r="S1036" s="3">
        <v>0</v>
      </c>
      <c r="T1036" s="3" t="s">
        <v>32</v>
      </c>
      <c r="U1036" s="10">
        <v>0</v>
      </c>
      <c r="V1036" s="3">
        <v>0</v>
      </c>
      <c r="W1036" s="3">
        <f t="shared" si="169"/>
        <v>0</v>
      </c>
      <c r="AA1036" s="3">
        <v>36</v>
      </c>
    </row>
    <row r="1037" spans="1:27" x14ac:dyDescent="0.3">
      <c r="A1037" s="3" t="str">
        <f t="shared" si="160"/>
        <v>North9310039901840</v>
      </c>
      <c r="B1037" s="3" t="str">
        <f t="shared" si="161"/>
        <v>Lud9310039901840</v>
      </c>
      <c r="C1037" s="10">
        <v>9310039901840</v>
      </c>
      <c r="D1037" s="10" t="str">
        <f t="shared" si="162"/>
        <v>9310039901</v>
      </c>
      <c r="E1037" s="3" t="s">
        <v>3</v>
      </c>
      <c r="F1037" s="3" t="s">
        <v>64</v>
      </c>
      <c r="H1037" s="3">
        <v>1.4360000000000002</v>
      </c>
      <c r="I1037" s="10">
        <f t="shared" si="163"/>
        <v>664.39575109860482</v>
      </c>
      <c r="J1037" s="3">
        <v>6.4840872219254123E-2</v>
      </c>
      <c r="K1037" s="3">
        <v>0</v>
      </c>
      <c r="L1037" s="3">
        <f t="shared" si="164"/>
        <v>0</v>
      </c>
      <c r="N1037" s="11">
        <f t="shared" si="165"/>
        <v>1.371159127780746</v>
      </c>
      <c r="O1037" s="3">
        <v>6.4840872219254123E-2</v>
      </c>
      <c r="P1037" s="11">
        <f t="shared" si="166"/>
        <v>634.39575109860482</v>
      </c>
      <c r="Q1037" s="12">
        <f t="shared" si="167"/>
        <v>111.23494091891811</v>
      </c>
      <c r="R1037" s="13">
        <f t="shared" si="168"/>
        <v>42.929882151854791</v>
      </c>
      <c r="S1037" s="3" t="s">
        <v>31</v>
      </c>
      <c r="T1037" s="3" t="s">
        <v>32</v>
      </c>
      <c r="U1037" s="10">
        <v>0</v>
      </c>
      <c r="V1037" s="3">
        <v>0</v>
      </c>
      <c r="W1037" s="3">
        <f t="shared" si="169"/>
        <v>0</v>
      </c>
      <c r="AA1037" s="3">
        <v>36</v>
      </c>
    </row>
    <row r="1038" spans="1:27" x14ac:dyDescent="0.3">
      <c r="A1038" s="3" t="str">
        <f t="shared" si="160"/>
        <v>North9310039902839</v>
      </c>
      <c r="B1038" s="3" t="str">
        <f t="shared" si="161"/>
        <v>Lud9310039902839</v>
      </c>
      <c r="C1038" s="10">
        <v>9310039902839</v>
      </c>
      <c r="D1038" s="10" t="str">
        <f t="shared" si="162"/>
        <v>9310039902</v>
      </c>
      <c r="E1038" s="3" t="s">
        <v>3</v>
      </c>
      <c r="F1038" s="3" t="s">
        <v>64</v>
      </c>
      <c r="H1038" s="3">
        <v>0.56159999999999999</v>
      </c>
      <c r="I1038" s="10">
        <f t="shared" si="163"/>
        <v>373.51260003163083</v>
      </c>
      <c r="J1038" s="3">
        <v>4.5106912052158964E-2</v>
      </c>
      <c r="K1038" s="3">
        <v>0</v>
      </c>
      <c r="L1038" s="3">
        <f t="shared" si="164"/>
        <v>0</v>
      </c>
      <c r="N1038" s="11">
        <f t="shared" si="165"/>
        <v>0.51649308794784099</v>
      </c>
      <c r="O1038" s="3">
        <v>4.5106912052158964E-2</v>
      </c>
      <c r="P1038" s="11">
        <f t="shared" si="166"/>
        <v>343.51260003163083</v>
      </c>
      <c r="Q1038" s="12">
        <f t="shared" si="167"/>
        <v>174.85313144632337</v>
      </c>
      <c r="R1038" s="13">
        <f t="shared" si="168"/>
        <v>147.06389746158985</v>
      </c>
      <c r="S1038" s="3" t="s">
        <v>31</v>
      </c>
      <c r="T1038" s="3" t="s">
        <v>32</v>
      </c>
      <c r="U1038" s="10">
        <v>0</v>
      </c>
      <c r="V1038" s="3">
        <v>0</v>
      </c>
      <c r="W1038" s="3">
        <f t="shared" si="169"/>
        <v>0</v>
      </c>
      <c r="AA1038" s="3">
        <v>36</v>
      </c>
    </row>
    <row r="1039" spans="1:27" x14ac:dyDescent="0.3">
      <c r="A1039" s="3" t="str">
        <f t="shared" si="160"/>
        <v>North9310039901210</v>
      </c>
      <c r="B1039" s="3" t="str">
        <f t="shared" si="161"/>
        <v>Lud9310039901210</v>
      </c>
      <c r="C1039" s="10">
        <v>9310039901210</v>
      </c>
      <c r="D1039" s="10" t="str">
        <f t="shared" si="162"/>
        <v>9310039901</v>
      </c>
      <c r="E1039" s="3" t="s">
        <v>3</v>
      </c>
      <c r="F1039" s="3" t="s">
        <v>64</v>
      </c>
      <c r="H1039" s="3">
        <v>0.34399999999999997</v>
      </c>
      <c r="I1039" s="10">
        <f t="shared" si="163"/>
        <v>320.63968824527285</v>
      </c>
      <c r="J1039" s="3">
        <v>3.2185660036276389E-2</v>
      </c>
      <c r="K1039" s="3">
        <v>0</v>
      </c>
      <c r="L1039" s="3">
        <f t="shared" si="164"/>
        <v>0</v>
      </c>
      <c r="N1039" s="11">
        <f t="shared" si="165"/>
        <v>0.3118143399637236</v>
      </c>
      <c r="O1039" s="3">
        <v>3.2185660036276389E-2</v>
      </c>
      <c r="P1039" s="11">
        <f t="shared" si="166"/>
        <v>290.63968824527285</v>
      </c>
      <c r="Q1039" s="12">
        <f t="shared" si="167"/>
        <v>137.21337909645587</v>
      </c>
      <c r="R1039" s="13">
        <f t="shared" si="168"/>
        <v>97.336469979643681</v>
      </c>
      <c r="S1039" s="3" t="s">
        <v>31</v>
      </c>
      <c r="T1039" s="3" t="s">
        <v>32</v>
      </c>
      <c r="U1039" s="10">
        <v>0</v>
      </c>
      <c r="V1039" s="3">
        <v>0</v>
      </c>
      <c r="W1039" s="3">
        <f t="shared" si="169"/>
        <v>0</v>
      </c>
      <c r="AA1039" s="3">
        <v>36</v>
      </c>
    </row>
    <row r="1040" spans="1:27" x14ac:dyDescent="0.3">
      <c r="A1040" s="3" t="str">
        <f t="shared" si="160"/>
        <v>North9310039902097</v>
      </c>
      <c r="B1040" s="3" t="str">
        <f t="shared" si="161"/>
        <v>Lud9310039902097</v>
      </c>
      <c r="C1040" s="10">
        <v>9310039902097</v>
      </c>
      <c r="D1040" s="10" t="str">
        <f t="shared" si="162"/>
        <v>9310039902</v>
      </c>
      <c r="E1040" s="3" t="s">
        <v>3</v>
      </c>
      <c r="F1040" s="3" t="s">
        <v>64</v>
      </c>
      <c r="H1040" s="3">
        <v>0.14332499999999998</v>
      </c>
      <c r="I1040" s="10">
        <f t="shared" si="163"/>
        <v>199.56062571544675</v>
      </c>
      <c r="J1040" s="3">
        <v>2.1546083976159744E-2</v>
      </c>
      <c r="K1040" s="3">
        <v>0</v>
      </c>
      <c r="L1040" s="3">
        <f t="shared" si="164"/>
        <v>0</v>
      </c>
      <c r="N1040" s="11">
        <f t="shared" si="165"/>
        <v>0.12177891602384024</v>
      </c>
      <c r="O1040" s="3">
        <v>2.1546083976159744E-2</v>
      </c>
      <c r="P1040" s="11">
        <f t="shared" si="166"/>
        <v>169.56062571544675</v>
      </c>
      <c r="Q1040" s="12">
        <f t="shared" si="167"/>
        <v>320.66812805953765</v>
      </c>
      <c r="R1040" s="13">
        <f t="shared" si="168"/>
        <v>263.59855286489056</v>
      </c>
      <c r="S1040" s="3" t="s">
        <v>31</v>
      </c>
      <c r="T1040" s="3" t="s">
        <v>32</v>
      </c>
      <c r="U1040" s="10">
        <v>0</v>
      </c>
      <c r="V1040" s="3">
        <v>0</v>
      </c>
      <c r="W1040" s="3">
        <f t="shared" si="169"/>
        <v>0</v>
      </c>
      <c r="AA1040" s="3">
        <v>36</v>
      </c>
    </row>
    <row r="1041" spans="1:27" x14ac:dyDescent="0.3">
      <c r="A1041" s="3" t="str">
        <f t="shared" si="160"/>
        <v>North9310039902297</v>
      </c>
      <c r="B1041" s="3" t="str">
        <f t="shared" si="161"/>
        <v>Lud9310039902297</v>
      </c>
      <c r="C1041" s="10">
        <v>9310039902297</v>
      </c>
      <c r="D1041" s="10" t="str">
        <f t="shared" si="162"/>
        <v>9310039902</v>
      </c>
      <c r="E1041" s="3" t="s">
        <v>3</v>
      </c>
      <c r="F1041" s="3" t="s">
        <v>64</v>
      </c>
      <c r="H1041" s="3">
        <v>0.46799999999999997</v>
      </c>
      <c r="I1041" s="10">
        <f t="shared" si="163"/>
        <v>1345.0329485172351</v>
      </c>
      <c r="J1041" s="3">
        <v>1.0438406000000001E-2</v>
      </c>
      <c r="K1041" s="3">
        <v>0</v>
      </c>
      <c r="L1041" s="3">
        <f t="shared" si="164"/>
        <v>0</v>
      </c>
      <c r="N1041" s="11">
        <f t="shared" si="165"/>
        <v>0.45756159399999996</v>
      </c>
      <c r="O1041" s="3">
        <v>1.0438406000000001E-2</v>
      </c>
      <c r="P1041" s="11">
        <f t="shared" si="166"/>
        <v>1315.0329485172351</v>
      </c>
      <c r="Q1041" s="12">
        <f t="shared" si="167"/>
        <v>736.0232243678596</v>
      </c>
      <c r="R1041" s="13">
        <f t="shared" si="168"/>
        <v>108.69545438572041</v>
      </c>
      <c r="S1041" s="3" t="s">
        <v>31</v>
      </c>
      <c r="T1041" s="3" t="s">
        <v>32</v>
      </c>
      <c r="U1041" s="10">
        <v>9310039900999</v>
      </c>
      <c r="V1041" s="3">
        <v>0.1</v>
      </c>
      <c r="W1041" s="3">
        <f t="shared" si="169"/>
        <v>0</v>
      </c>
      <c r="AA1041" s="3">
        <v>36</v>
      </c>
    </row>
    <row r="1042" spans="1:27" x14ac:dyDescent="0.3">
      <c r="A1042" s="3" t="str">
        <f t="shared" si="160"/>
        <v>North9310039902219</v>
      </c>
      <c r="B1042" s="3" t="str">
        <f t="shared" si="161"/>
        <v>Lud9310039902219</v>
      </c>
      <c r="C1042" s="10">
        <v>9310039902219</v>
      </c>
      <c r="D1042" s="10" t="str">
        <f t="shared" si="162"/>
        <v>9310039902</v>
      </c>
      <c r="E1042" s="3" t="s">
        <v>3</v>
      </c>
      <c r="F1042" s="3" t="s">
        <v>64</v>
      </c>
      <c r="H1042" s="3">
        <v>0.64349999999999996</v>
      </c>
      <c r="I1042" s="10">
        <f t="shared" si="163"/>
        <v>0</v>
      </c>
      <c r="J1042" s="3">
        <v>0</v>
      </c>
      <c r="K1042" s="3">
        <v>0</v>
      </c>
      <c r="L1042" s="3">
        <f t="shared" si="164"/>
        <v>0</v>
      </c>
      <c r="N1042" s="11">
        <f t="shared" si="165"/>
        <v>0.64349999999999996</v>
      </c>
      <c r="O1042" s="3">
        <v>0</v>
      </c>
      <c r="P1042" s="11">
        <f t="shared" si="166"/>
        <v>9999</v>
      </c>
      <c r="Q1042" s="12">
        <f t="shared" si="167"/>
        <v>432.35588724243939</v>
      </c>
      <c r="R1042" s="13">
        <f t="shared" si="168"/>
        <v>50.261699549000284</v>
      </c>
      <c r="S1042" s="3" t="s">
        <v>30</v>
      </c>
      <c r="T1042" s="3" t="s">
        <v>32</v>
      </c>
      <c r="U1042" s="10">
        <v>9310039900999</v>
      </c>
      <c r="V1042" s="3">
        <v>0.1</v>
      </c>
      <c r="W1042" s="3">
        <f t="shared" si="169"/>
        <v>0</v>
      </c>
      <c r="AA1042" s="3">
        <v>36</v>
      </c>
    </row>
    <row r="1043" spans="1:27" x14ac:dyDescent="0.3">
      <c r="A1043" s="3" t="str">
        <f t="shared" si="160"/>
        <v>North9160909902097</v>
      </c>
      <c r="B1043" s="3" t="str">
        <f t="shared" si="161"/>
        <v>Lud9160909902097</v>
      </c>
      <c r="C1043" s="10">
        <v>9160909902097</v>
      </c>
      <c r="D1043" s="10" t="str">
        <f t="shared" si="162"/>
        <v>9160909902</v>
      </c>
      <c r="E1043" s="3" t="s">
        <v>3</v>
      </c>
      <c r="F1043" s="3" t="s">
        <v>64</v>
      </c>
      <c r="H1043" s="3">
        <v>0</v>
      </c>
      <c r="I1043" s="10">
        <f t="shared" si="163"/>
        <v>0</v>
      </c>
      <c r="J1043" s="3">
        <v>0</v>
      </c>
      <c r="K1043" s="3">
        <v>0</v>
      </c>
      <c r="L1043" s="3">
        <f t="shared" si="164"/>
        <v>0</v>
      </c>
      <c r="N1043" s="11">
        <f t="shared" si="165"/>
        <v>0</v>
      </c>
      <c r="O1043" s="3">
        <v>0</v>
      </c>
      <c r="P1043" s="11">
        <f t="shared" si="166"/>
        <v>9999</v>
      </c>
      <c r="Q1043" s="12">
        <f t="shared" si="167"/>
        <v>9999</v>
      </c>
      <c r="R1043" s="13">
        <f t="shared" si="168"/>
        <v>9999</v>
      </c>
      <c r="S1043" s="3" t="s">
        <v>31</v>
      </c>
      <c r="T1043" s="3" t="s">
        <v>34</v>
      </c>
      <c r="U1043" s="10" t="s">
        <v>72</v>
      </c>
      <c r="V1043" s="3" t="s">
        <v>72</v>
      </c>
      <c r="W1043" s="3">
        <f t="shared" si="169"/>
        <v>0</v>
      </c>
      <c r="AA1043" s="3">
        <v>36</v>
      </c>
    </row>
    <row r="1044" spans="1:27" x14ac:dyDescent="0.3">
      <c r="A1044" s="3" t="str">
        <f t="shared" si="160"/>
        <v>North9160909901210</v>
      </c>
      <c r="B1044" s="3" t="str">
        <f t="shared" si="161"/>
        <v>Lud9160909901210</v>
      </c>
      <c r="C1044" s="10">
        <v>9160909901210</v>
      </c>
      <c r="D1044" s="10" t="str">
        <f t="shared" si="162"/>
        <v>9160909901</v>
      </c>
      <c r="E1044" s="3" t="s">
        <v>3</v>
      </c>
      <c r="F1044" s="3" t="s">
        <v>64</v>
      </c>
      <c r="H1044" s="3">
        <v>0</v>
      </c>
      <c r="I1044" s="10">
        <f t="shared" si="163"/>
        <v>0</v>
      </c>
      <c r="J1044" s="3">
        <v>0</v>
      </c>
      <c r="K1044" s="3">
        <v>0</v>
      </c>
      <c r="L1044" s="3">
        <f t="shared" si="164"/>
        <v>0</v>
      </c>
      <c r="N1044" s="11">
        <f t="shared" si="165"/>
        <v>0</v>
      </c>
      <c r="O1044" s="3">
        <v>0</v>
      </c>
      <c r="P1044" s="11">
        <f t="shared" si="166"/>
        <v>9999</v>
      </c>
      <c r="Q1044" s="12">
        <f t="shared" si="167"/>
        <v>9999</v>
      </c>
      <c r="R1044" s="13">
        <f t="shared" si="168"/>
        <v>9999</v>
      </c>
      <c r="S1044" s="3" t="s">
        <v>31</v>
      </c>
      <c r="T1044" s="3" t="s">
        <v>34</v>
      </c>
      <c r="U1044" s="10" t="s">
        <v>72</v>
      </c>
      <c r="V1044" s="3" t="s">
        <v>72</v>
      </c>
      <c r="W1044" s="3">
        <f t="shared" si="169"/>
        <v>0</v>
      </c>
      <c r="AA1044" s="3">
        <v>36</v>
      </c>
    </row>
    <row r="1045" spans="1:27" x14ac:dyDescent="0.3">
      <c r="A1045" s="3" t="str">
        <f t="shared" si="160"/>
        <v>North9160709901210</v>
      </c>
      <c r="B1045" s="3" t="str">
        <f t="shared" si="161"/>
        <v>Lud9160709901210</v>
      </c>
      <c r="C1045" s="10">
        <v>9160709901210</v>
      </c>
      <c r="D1045" s="10" t="str">
        <f t="shared" si="162"/>
        <v>9160709901</v>
      </c>
      <c r="E1045" s="3" t="s">
        <v>3</v>
      </c>
      <c r="F1045" s="3" t="s">
        <v>64</v>
      </c>
      <c r="H1045" s="3">
        <v>0</v>
      </c>
      <c r="I1045" s="10">
        <f t="shared" si="163"/>
        <v>0</v>
      </c>
      <c r="J1045" s="3">
        <v>0</v>
      </c>
      <c r="K1045" s="3">
        <v>0</v>
      </c>
      <c r="L1045" s="3">
        <f t="shared" si="164"/>
        <v>0</v>
      </c>
      <c r="N1045" s="11">
        <f t="shared" si="165"/>
        <v>0</v>
      </c>
      <c r="O1045" s="3">
        <v>0</v>
      </c>
      <c r="P1045" s="11">
        <f t="shared" si="166"/>
        <v>9999</v>
      </c>
      <c r="Q1045" s="12">
        <f t="shared" si="167"/>
        <v>9999</v>
      </c>
      <c r="R1045" s="13">
        <f t="shared" si="168"/>
        <v>9999</v>
      </c>
      <c r="S1045" s="3" t="s">
        <v>31</v>
      </c>
      <c r="T1045" s="3" t="s">
        <v>34</v>
      </c>
      <c r="U1045" s="10">
        <v>0</v>
      </c>
      <c r="V1045" s="3">
        <v>0</v>
      </c>
      <c r="W1045" s="3">
        <f t="shared" si="169"/>
        <v>0</v>
      </c>
      <c r="AA1045" s="3">
        <v>36</v>
      </c>
    </row>
    <row r="1046" spans="1:27" x14ac:dyDescent="0.3">
      <c r="A1046" s="3" t="str">
        <f t="shared" si="160"/>
        <v>North9160909902219</v>
      </c>
      <c r="B1046" s="3" t="str">
        <f t="shared" si="161"/>
        <v>Lud9160909902219</v>
      </c>
      <c r="C1046" s="10">
        <v>9160909902219</v>
      </c>
      <c r="D1046" s="10" t="str">
        <f t="shared" si="162"/>
        <v>9160909902</v>
      </c>
      <c r="E1046" s="3" t="s">
        <v>3</v>
      </c>
      <c r="F1046" s="3" t="s">
        <v>64</v>
      </c>
      <c r="H1046" s="3">
        <v>5.8499999999999996E-2</v>
      </c>
      <c r="I1046" s="10">
        <f t="shared" si="163"/>
        <v>0</v>
      </c>
      <c r="J1046" s="3">
        <v>0</v>
      </c>
      <c r="K1046" s="3">
        <v>0</v>
      </c>
      <c r="L1046" s="3">
        <f t="shared" si="164"/>
        <v>0</v>
      </c>
      <c r="N1046" s="11">
        <f t="shared" si="165"/>
        <v>5.8499999999999996E-2</v>
      </c>
      <c r="O1046" s="3">
        <v>0</v>
      </c>
      <c r="P1046" s="11">
        <f t="shared" si="166"/>
        <v>9999</v>
      </c>
      <c r="Q1046" s="12">
        <f t="shared" si="167"/>
        <v>136.61515854177082</v>
      </c>
      <c r="R1046" s="13">
        <f t="shared" si="168"/>
        <v>109.1236064775905</v>
      </c>
      <c r="S1046" s="3" t="s">
        <v>31</v>
      </c>
      <c r="T1046" s="3" t="s">
        <v>34</v>
      </c>
      <c r="U1046" s="10">
        <v>0</v>
      </c>
      <c r="V1046" s="3">
        <v>0</v>
      </c>
      <c r="W1046" s="3">
        <f t="shared" si="169"/>
        <v>0</v>
      </c>
      <c r="AA1046" s="3">
        <v>36</v>
      </c>
    </row>
    <row r="1047" spans="1:27" x14ac:dyDescent="0.3">
      <c r="A1047" s="3" t="str">
        <f t="shared" si="160"/>
        <v>South9160909900320</v>
      </c>
      <c r="B1047" s="3" t="str">
        <f t="shared" si="161"/>
        <v>CY9160909900320</v>
      </c>
      <c r="C1047" s="10">
        <v>9160909900320</v>
      </c>
      <c r="D1047" s="10" t="str">
        <f t="shared" si="162"/>
        <v>9160909900</v>
      </c>
      <c r="E1047" s="3" t="s">
        <v>4</v>
      </c>
      <c r="F1047" s="3" t="s">
        <v>65</v>
      </c>
      <c r="H1047" s="3">
        <v>4.72</v>
      </c>
      <c r="I1047" s="10">
        <f t="shared" si="163"/>
        <v>158.97384412981188</v>
      </c>
      <c r="J1047" s="3">
        <v>0.89071256202608351</v>
      </c>
      <c r="K1047" s="3">
        <v>0</v>
      </c>
      <c r="L1047" s="3">
        <f t="shared" si="164"/>
        <v>0</v>
      </c>
      <c r="N1047" s="11">
        <f t="shared" si="165"/>
        <v>3.8292874379739161</v>
      </c>
      <c r="O1047" s="3">
        <v>0.89071256202608351</v>
      </c>
      <c r="P1047" s="11">
        <f t="shared" si="166"/>
        <v>128.97384412981188</v>
      </c>
      <c r="Q1047" s="12">
        <f t="shared" si="167"/>
        <v>244.85320768400885</v>
      </c>
      <c r="R1047" s="13">
        <f t="shared" si="168"/>
        <v>88.356551732675399</v>
      </c>
      <c r="S1047" s="3" t="s">
        <v>31</v>
      </c>
      <c r="T1047" s="3" t="s">
        <v>34</v>
      </c>
      <c r="U1047" s="10">
        <v>0</v>
      </c>
      <c r="V1047" s="3">
        <v>0</v>
      </c>
      <c r="W1047" s="3">
        <f t="shared" si="169"/>
        <v>0</v>
      </c>
      <c r="AA1047" s="3">
        <v>36</v>
      </c>
    </row>
    <row r="1048" spans="1:27" x14ac:dyDescent="0.3">
      <c r="A1048" s="3" t="str">
        <f t="shared" si="160"/>
        <v>South9420039905190</v>
      </c>
      <c r="B1048" s="3" t="str">
        <f t="shared" si="161"/>
        <v>CY9420039905190</v>
      </c>
      <c r="C1048" s="10">
        <v>9420039905190</v>
      </c>
      <c r="D1048" s="10" t="str">
        <f t="shared" si="162"/>
        <v>9420039905</v>
      </c>
      <c r="E1048" s="3" t="s">
        <v>4</v>
      </c>
      <c r="F1048" s="3" t="s">
        <v>65</v>
      </c>
      <c r="H1048" s="3">
        <v>12.557700000000001</v>
      </c>
      <c r="I1048" s="10">
        <f t="shared" si="163"/>
        <v>425.55709658712061</v>
      </c>
      <c r="J1048" s="3">
        <v>0.88526546266365724</v>
      </c>
      <c r="K1048" s="3">
        <v>0</v>
      </c>
      <c r="L1048" s="3">
        <f t="shared" si="164"/>
        <v>0</v>
      </c>
      <c r="N1048" s="11">
        <f t="shared" si="165"/>
        <v>11.672434537336343</v>
      </c>
      <c r="O1048" s="3">
        <v>0.88526546266365724</v>
      </c>
      <c r="P1048" s="11">
        <f t="shared" si="166"/>
        <v>395.55709658712061</v>
      </c>
      <c r="Q1048" s="12">
        <f t="shared" si="167"/>
        <v>395.55709658712061</v>
      </c>
      <c r="R1048" s="13">
        <f t="shared" si="168"/>
        <v>165.29724578674393</v>
      </c>
      <c r="S1048" s="3" t="s">
        <v>31</v>
      </c>
      <c r="T1048" s="3" t="s">
        <v>28</v>
      </c>
      <c r="U1048" s="10">
        <v>0</v>
      </c>
      <c r="V1048" s="3">
        <v>0</v>
      </c>
      <c r="W1048" s="3">
        <f t="shared" si="169"/>
        <v>0</v>
      </c>
      <c r="AA1048" s="3">
        <v>36</v>
      </c>
    </row>
    <row r="1049" spans="1:27" x14ac:dyDescent="0.3">
      <c r="A1049" s="3" t="str">
        <f t="shared" si="160"/>
        <v>South9420039905836</v>
      </c>
      <c r="B1049" s="3" t="str">
        <f t="shared" si="161"/>
        <v>CY9420039905836</v>
      </c>
      <c r="C1049" s="10">
        <v>9420039905836</v>
      </c>
      <c r="D1049" s="10" t="str">
        <f t="shared" si="162"/>
        <v>9420039905</v>
      </c>
      <c r="E1049" s="3" t="s">
        <v>4</v>
      </c>
      <c r="F1049" s="3" t="s">
        <v>65</v>
      </c>
      <c r="H1049" s="3">
        <v>2.7324000000000011</v>
      </c>
      <c r="I1049" s="10">
        <f t="shared" si="163"/>
        <v>111.30738454910234</v>
      </c>
      <c r="J1049" s="3">
        <v>0.73644709497094285</v>
      </c>
      <c r="K1049" s="3">
        <v>0</v>
      </c>
      <c r="L1049" s="3">
        <f t="shared" si="164"/>
        <v>0</v>
      </c>
      <c r="N1049" s="11">
        <f t="shared" si="165"/>
        <v>1.9959529050290583</v>
      </c>
      <c r="O1049" s="3">
        <v>0.73644709497094285</v>
      </c>
      <c r="P1049" s="11">
        <f t="shared" si="166"/>
        <v>81.307384549102352</v>
      </c>
      <c r="Q1049" s="12">
        <f t="shared" si="167"/>
        <v>81.307384549102352</v>
      </c>
      <c r="R1049" s="13">
        <f t="shared" si="168"/>
        <v>106.73156802051402</v>
      </c>
      <c r="S1049" s="3" t="s">
        <v>31</v>
      </c>
      <c r="T1049" s="3" t="s">
        <v>28</v>
      </c>
      <c r="U1049" s="10">
        <v>0</v>
      </c>
      <c r="V1049" s="3">
        <v>0</v>
      </c>
      <c r="W1049" s="3">
        <f t="shared" si="169"/>
        <v>0</v>
      </c>
      <c r="AA1049" s="3">
        <v>36</v>
      </c>
    </row>
    <row r="1050" spans="1:27" x14ac:dyDescent="0.3">
      <c r="A1050" s="3" t="str">
        <f t="shared" si="160"/>
        <v>South9420039906190</v>
      </c>
      <c r="B1050" s="3" t="str">
        <f t="shared" si="161"/>
        <v>CY9420039906190</v>
      </c>
      <c r="C1050" s="10">
        <v>9420039906190</v>
      </c>
      <c r="D1050" s="10" t="str">
        <f t="shared" si="162"/>
        <v>9420039906</v>
      </c>
      <c r="E1050" s="3" t="s">
        <v>4</v>
      </c>
      <c r="F1050" s="3" t="s">
        <v>65</v>
      </c>
      <c r="H1050" s="3">
        <v>6.8409000000000013</v>
      </c>
      <c r="I1050" s="10">
        <f t="shared" si="163"/>
        <v>671.17573654442765</v>
      </c>
      <c r="J1050" s="3">
        <v>0.30577237648163297</v>
      </c>
      <c r="K1050" s="3">
        <v>0</v>
      </c>
      <c r="L1050" s="3">
        <f t="shared" si="164"/>
        <v>0</v>
      </c>
      <c r="N1050" s="11">
        <f t="shared" si="165"/>
        <v>6.5351276235183686</v>
      </c>
      <c r="O1050" s="3">
        <v>0.30577237648163297</v>
      </c>
      <c r="P1050" s="11">
        <f t="shared" si="166"/>
        <v>641.17573654442765</v>
      </c>
      <c r="Q1050" s="12">
        <f t="shared" si="167"/>
        <v>641.17573654442776</v>
      </c>
      <c r="R1050" s="13">
        <f t="shared" si="168"/>
        <v>480.18321130247631</v>
      </c>
      <c r="S1050" s="3" t="s">
        <v>31</v>
      </c>
      <c r="T1050" s="3" t="s">
        <v>28</v>
      </c>
      <c r="U1050" s="10">
        <v>0</v>
      </c>
      <c r="V1050" s="3">
        <v>0</v>
      </c>
      <c r="W1050" s="3">
        <f t="shared" si="169"/>
        <v>0</v>
      </c>
      <c r="AA1050" s="3">
        <v>36</v>
      </c>
    </row>
    <row r="1051" spans="1:27" x14ac:dyDescent="0.3">
      <c r="A1051" s="3" t="str">
        <f t="shared" si="160"/>
        <v>South9420039906836</v>
      </c>
      <c r="B1051" s="3" t="str">
        <f t="shared" si="161"/>
        <v>CY9420039906836</v>
      </c>
      <c r="C1051" s="10">
        <v>9420039906836</v>
      </c>
      <c r="D1051" s="10" t="str">
        <f t="shared" si="162"/>
        <v>9420039906</v>
      </c>
      <c r="E1051" s="3" t="s">
        <v>4</v>
      </c>
      <c r="F1051" s="3" t="s">
        <v>65</v>
      </c>
      <c r="H1051" s="3">
        <v>13.229999999999999</v>
      </c>
      <c r="I1051" s="10">
        <f t="shared" si="163"/>
        <v>2425.8479092464672</v>
      </c>
      <c r="J1051" s="3">
        <v>0.16361289530442474</v>
      </c>
      <c r="K1051" s="3">
        <v>0</v>
      </c>
      <c r="L1051" s="3">
        <f t="shared" si="164"/>
        <v>0</v>
      </c>
      <c r="N1051" s="11">
        <f t="shared" si="165"/>
        <v>13.066387104695574</v>
      </c>
      <c r="O1051" s="3">
        <v>0.16361289530442474</v>
      </c>
      <c r="P1051" s="11">
        <f t="shared" si="166"/>
        <v>2395.8479092464672</v>
      </c>
      <c r="Q1051" s="12">
        <f t="shared" si="167"/>
        <v>2395.8479092464677</v>
      </c>
      <c r="R1051" s="13">
        <f t="shared" si="168"/>
        <v>1401.1343685971328</v>
      </c>
      <c r="S1051" s="3" t="s">
        <v>31</v>
      </c>
      <c r="T1051" s="3" t="s">
        <v>28</v>
      </c>
      <c r="U1051" s="10">
        <v>0</v>
      </c>
      <c r="V1051" s="3">
        <v>0</v>
      </c>
      <c r="W1051" s="3">
        <f t="shared" si="169"/>
        <v>0</v>
      </c>
      <c r="AA1051" s="3">
        <v>36</v>
      </c>
    </row>
    <row r="1052" spans="1:27" x14ac:dyDescent="0.3">
      <c r="A1052" s="3" t="str">
        <f t="shared" si="160"/>
        <v>South9160909900210</v>
      </c>
      <c r="B1052" s="3" t="str">
        <f t="shared" si="161"/>
        <v>CY9160909900210</v>
      </c>
      <c r="C1052" s="10">
        <v>9160909900210</v>
      </c>
      <c r="D1052" s="10" t="str">
        <f t="shared" si="162"/>
        <v>9160909900</v>
      </c>
      <c r="E1052" s="3" t="s">
        <v>4</v>
      </c>
      <c r="F1052" s="3" t="s">
        <v>65</v>
      </c>
      <c r="H1052" s="3">
        <v>0</v>
      </c>
      <c r="I1052" s="10">
        <f t="shared" si="163"/>
        <v>0</v>
      </c>
      <c r="J1052" s="3">
        <v>0</v>
      </c>
      <c r="K1052" s="3">
        <v>0</v>
      </c>
      <c r="L1052" s="3">
        <f t="shared" si="164"/>
        <v>0</v>
      </c>
      <c r="N1052" s="11">
        <f t="shared" si="165"/>
        <v>0</v>
      </c>
      <c r="O1052" s="3">
        <v>0</v>
      </c>
      <c r="P1052" s="11">
        <f t="shared" si="166"/>
        <v>9999</v>
      </c>
      <c r="Q1052" s="12">
        <f t="shared" si="167"/>
        <v>9999</v>
      </c>
      <c r="R1052" s="13">
        <f t="shared" si="168"/>
        <v>9999</v>
      </c>
      <c r="S1052" s="3" t="s">
        <v>31</v>
      </c>
      <c r="T1052" s="3" t="s">
        <v>34</v>
      </c>
      <c r="U1052" s="10" t="s">
        <v>72</v>
      </c>
      <c r="V1052" s="3" t="s">
        <v>72</v>
      </c>
      <c r="W1052" s="3">
        <f t="shared" si="169"/>
        <v>0</v>
      </c>
      <c r="AA1052" s="3">
        <v>36</v>
      </c>
    </row>
    <row r="1053" spans="1:27" x14ac:dyDescent="0.3">
      <c r="A1053" s="3" t="str">
        <f t="shared" si="160"/>
        <v>South9310019901320</v>
      </c>
      <c r="B1053" s="3" t="str">
        <f t="shared" si="161"/>
        <v>CMR9310019901320</v>
      </c>
      <c r="C1053" s="10">
        <v>9310019901320</v>
      </c>
      <c r="D1053" s="10" t="str">
        <f t="shared" si="162"/>
        <v>9310019901</v>
      </c>
      <c r="E1053" s="3" t="s">
        <v>5</v>
      </c>
      <c r="F1053" s="3" t="s">
        <v>65</v>
      </c>
      <c r="H1053" s="3">
        <v>87.8</v>
      </c>
      <c r="I1053" s="10">
        <f t="shared" si="163"/>
        <v>49.374264254990884</v>
      </c>
      <c r="J1053" s="3">
        <v>53.347630384866918</v>
      </c>
      <c r="K1053" s="3">
        <v>36</v>
      </c>
      <c r="L1053" s="3">
        <f t="shared" si="164"/>
        <v>0</v>
      </c>
      <c r="N1053" s="11">
        <f t="shared" si="165"/>
        <v>34.45236961513308</v>
      </c>
      <c r="O1053" s="3">
        <v>53.347630384866918</v>
      </c>
      <c r="P1053" s="11">
        <f t="shared" si="166"/>
        <v>19.374264254990877</v>
      </c>
      <c r="Q1053" s="12">
        <f t="shared" si="167"/>
        <v>17.855151794738006</v>
      </c>
      <c r="R1053" s="13">
        <f t="shared" si="168"/>
        <v>15.311331395407025</v>
      </c>
      <c r="S1053" s="3" t="s">
        <v>29</v>
      </c>
      <c r="T1053" s="3" t="s">
        <v>32</v>
      </c>
      <c r="U1053" s="10">
        <v>9310019900999</v>
      </c>
      <c r="V1053" s="3">
        <v>0.1</v>
      </c>
      <c r="W1053" s="3">
        <f t="shared" si="169"/>
        <v>3.6</v>
      </c>
      <c r="AA1053" s="3">
        <v>36</v>
      </c>
    </row>
    <row r="1054" spans="1:27" x14ac:dyDescent="0.3">
      <c r="A1054" s="3" t="str">
        <f t="shared" si="160"/>
        <v>South9420059901320</v>
      </c>
      <c r="B1054" s="3" t="str">
        <f t="shared" si="161"/>
        <v>CMR9420059901320</v>
      </c>
      <c r="C1054" s="10">
        <v>9420059901320</v>
      </c>
      <c r="D1054" s="10" t="str">
        <f t="shared" si="162"/>
        <v>9420059901</v>
      </c>
      <c r="E1054" s="3" t="s">
        <v>5</v>
      </c>
      <c r="F1054" s="3" t="s">
        <v>65</v>
      </c>
      <c r="H1054" s="3">
        <v>15.16</v>
      </c>
      <c r="I1054" s="10">
        <f t="shared" si="163"/>
        <v>37.138579987210115</v>
      </c>
      <c r="J1054" s="3">
        <v>12.246025565776216</v>
      </c>
      <c r="K1054" s="3">
        <v>0</v>
      </c>
      <c r="L1054" s="3">
        <f t="shared" si="164"/>
        <v>0</v>
      </c>
      <c r="N1054" s="11">
        <f t="shared" si="165"/>
        <v>2.9139744342237837</v>
      </c>
      <c r="O1054" s="3">
        <v>12.246025565776216</v>
      </c>
      <c r="P1054" s="11">
        <f t="shared" si="166"/>
        <v>7.1385799872101137</v>
      </c>
      <c r="Q1054" s="12">
        <f t="shared" si="167"/>
        <v>0.76026271028611458</v>
      </c>
      <c r="R1054" s="13">
        <f t="shared" si="168"/>
        <v>-2.9292804868373241</v>
      </c>
      <c r="S1054" s="3" t="s">
        <v>29</v>
      </c>
      <c r="T1054" s="3" t="s">
        <v>28</v>
      </c>
      <c r="U1054" s="10">
        <v>9420059900999</v>
      </c>
      <c r="V1054" s="3">
        <v>0.1</v>
      </c>
      <c r="W1054" s="3">
        <f t="shared" si="169"/>
        <v>0</v>
      </c>
      <c r="AA1054" s="3">
        <v>36</v>
      </c>
    </row>
    <row r="1055" spans="1:27" x14ac:dyDescent="0.3">
      <c r="A1055" s="3" t="str">
        <f t="shared" si="160"/>
        <v>South9100309900320</v>
      </c>
      <c r="B1055" s="3" t="str">
        <f t="shared" si="161"/>
        <v>CMR9100309900320</v>
      </c>
      <c r="C1055" s="10">
        <v>9100309900320</v>
      </c>
      <c r="D1055" s="10" t="str">
        <f t="shared" si="162"/>
        <v>9100309900</v>
      </c>
      <c r="E1055" s="3" t="s">
        <v>5</v>
      </c>
      <c r="F1055" s="3" t="s">
        <v>65</v>
      </c>
      <c r="H1055" s="3">
        <v>21.480000000000004</v>
      </c>
      <c r="I1055" s="10">
        <f t="shared" si="163"/>
        <v>56.386049523810691</v>
      </c>
      <c r="J1055" s="3">
        <v>11.428358706489679</v>
      </c>
      <c r="K1055" s="3">
        <v>0</v>
      </c>
      <c r="L1055" s="3">
        <f t="shared" si="164"/>
        <v>0</v>
      </c>
      <c r="N1055" s="11">
        <f t="shared" si="165"/>
        <v>10.051641293510325</v>
      </c>
      <c r="O1055" s="3">
        <v>11.428358706489679</v>
      </c>
      <c r="P1055" s="11">
        <f t="shared" si="166"/>
        <v>26.386049523810691</v>
      </c>
      <c r="Q1055" s="12">
        <f t="shared" si="167"/>
        <v>14.353732222531852</v>
      </c>
      <c r="R1055" s="13">
        <f t="shared" si="168"/>
        <v>25.384779387632882</v>
      </c>
      <c r="S1055" s="3" t="s">
        <v>29</v>
      </c>
      <c r="T1055" s="3" t="s">
        <v>34</v>
      </c>
      <c r="U1055" s="10">
        <v>0</v>
      </c>
      <c r="V1055" s="3">
        <v>0</v>
      </c>
      <c r="W1055" s="3">
        <f t="shared" si="169"/>
        <v>0</v>
      </c>
      <c r="AA1055" s="3">
        <v>36</v>
      </c>
    </row>
    <row r="1056" spans="1:27" x14ac:dyDescent="0.3">
      <c r="A1056" s="3" t="str">
        <f t="shared" si="160"/>
        <v>South9310099901320</v>
      </c>
      <c r="B1056" s="3" t="str">
        <f t="shared" si="161"/>
        <v>CMR9310099901320</v>
      </c>
      <c r="C1056" s="10">
        <v>9310099901320</v>
      </c>
      <c r="D1056" s="10" t="str">
        <f t="shared" si="162"/>
        <v>9310099901</v>
      </c>
      <c r="E1056" s="3" t="s">
        <v>5</v>
      </c>
      <c r="F1056" s="3" t="s">
        <v>65</v>
      </c>
      <c r="H1056" s="3">
        <v>0</v>
      </c>
      <c r="I1056" s="10">
        <f t="shared" si="163"/>
        <v>0</v>
      </c>
      <c r="J1056" s="3">
        <v>8.418332509999999</v>
      </c>
      <c r="K1056" s="3">
        <v>0</v>
      </c>
      <c r="L1056" s="3">
        <f t="shared" si="164"/>
        <v>0</v>
      </c>
      <c r="N1056" s="11">
        <f t="shared" si="165"/>
        <v>-8.418332509999999</v>
      </c>
      <c r="O1056" s="3">
        <v>8.418332509999999</v>
      </c>
      <c r="P1056" s="11">
        <f t="shared" si="166"/>
        <v>-30</v>
      </c>
      <c r="Q1056" s="12">
        <f t="shared" si="167"/>
        <v>-29.999999999999996</v>
      </c>
      <c r="R1056" s="13">
        <f t="shared" si="168"/>
        <v>-30</v>
      </c>
      <c r="S1056" s="3">
        <v>0</v>
      </c>
      <c r="T1056" s="3" t="s">
        <v>32</v>
      </c>
      <c r="U1056" s="10">
        <v>9310099900999</v>
      </c>
      <c r="V1056" s="3">
        <v>0.1</v>
      </c>
      <c r="W1056" s="3">
        <f t="shared" si="169"/>
        <v>0</v>
      </c>
      <c r="AA1056" s="3">
        <v>36</v>
      </c>
    </row>
    <row r="1057" spans="1:27" x14ac:dyDescent="0.3">
      <c r="A1057" s="3" t="str">
        <f t="shared" si="160"/>
        <v>South9310019901310</v>
      </c>
      <c r="B1057" s="3" t="str">
        <f t="shared" si="161"/>
        <v>CMR9310019901310</v>
      </c>
      <c r="C1057" s="10">
        <v>9310019901310</v>
      </c>
      <c r="D1057" s="10" t="str">
        <f t="shared" si="162"/>
        <v>9310019901</v>
      </c>
      <c r="E1057" s="3" t="s">
        <v>5</v>
      </c>
      <c r="F1057" s="3" t="s">
        <v>65</v>
      </c>
      <c r="H1057" s="3">
        <v>12.25</v>
      </c>
      <c r="I1057" s="10">
        <f t="shared" si="163"/>
        <v>46.283868872845069</v>
      </c>
      <c r="J1057" s="3">
        <v>7.9401313881003945</v>
      </c>
      <c r="K1057" s="3">
        <v>0</v>
      </c>
      <c r="L1057" s="3">
        <f t="shared" si="164"/>
        <v>0</v>
      </c>
      <c r="N1057" s="11">
        <f t="shared" si="165"/>
        <v>4.3098686118996055</v>
      </c>
      <c r="O1057" s="3">
        <v>7.9401313881003945</v>
      </c>
      <c r="P1057" s="11">
        <f t="shared" si="166"/>
        <v>16.283868872845073</v>
      </c>
      <c r="Q1057" s="12">
        <f t="shared" si="167"/>
        <v>26.554958232547058</v>
      </c>
      <c r="R1057" s="13">
        <f t="shared" si="168"/>
        <v>34.329351227139078</v>
      </c>
      <c r="S1057" s="3" t="s">
        <v>30</v>
      </c>
      <c r="T1057" s="3" t="s">
        <v>32</v>
      </c>
      <c r="U1057" s="10">
        <v>9310019900999</v>
      </c>
      <c r="V1057" s="3">
        <v>0.1</v>
      </c>
      <c r="W1057" s="3">
        <f t="shared" si="169"/>
        <v>0</v>
      </c>
      <c r="AA1057" s="3">
        <v>36</v>
      </c>
    </row>
    <row r="1058" spans="1:27" x14ac:dyDescent="0.3">
      <c r="A1058" s="3" t="str">
        <f t="shared" si="160"/>
        <v>South9160709901320</v>
      </c>
      <c r="B1058" s="3" t="str">
        <f t="shared" si="161"/>
        <v>CMR9160709901320</v>
      </c>
      <c r="C1058" s="10">
        <v>9160709901320</v>
      </c>
      <c r="D1058" s="10" t="str">
        <f t="shared" si="162"/>
        <v>9160709901</v>
      </c>
      <c r="E1058" s="3" t="s">
        <v>5</v>
      </c>
      <c r="F1058" s="3" t="s">
        <v>65</v>
      </c>
      <c r="H1058" s="3">
        <v>13.260000000000002</v>
      </c>
      <c r="I1058" s="10">
        <f t="shared" si="163"/>
        <v>67.813846465276114</v>
      </c>
      <c r="J1058" s="3">
        <v>5.8660586404532067</v>
      </c>
      <c r="K1058" s="3">
        <v>0</v>
      </c>
      <c r="L1058" s="3">
        <f t="shared" si="164"/>
        <v>0</v>
      </c>
      <c r="N1058" s="11">
        <f t="shared" si="165"/>
        <v>7.3939413595467949</v>
      </c>
      <c r="O1058" s="3">
        <v>5.8660586404532067</v>
      </c>
      <c r="P1058" s="11">
        <f t="shared" si="166"/>
        <v>37.813846465276107</v>
      </c>
      <c r="Q1058" s="12">
        <f t="shared" si="167"/>
        <v>57.101637316668636</v>
      </c>
      <c r="R1058" s="13">
        <f t="shared" si="168"/>
        <v>51.151619002309836</v>
      </c>
      <c r="S1058" s="3" t="s">
        <v>29</v>
      </c>
      <c r="T1058" s="3" t="s">
        <v>34</v>
      </c>
      <c r="U1058" s="10">
        <v>0</v>
      </c>
      <c r="V1058" s="3">
        <v>0</v>
      </c>
      <c r="W1058" s="3">
        <f t="shared" si="169"/>
        <v>0</v>
      </c>
      <c r="AA1058" s="3">
        <v>36</v>
      </c>
    </row>
    <row r="1059" spans="1:27" x14ac:dyDescent="0.3">
      <c r="A1059" s="3" t="str">
        <f t="shared" si="160"/>
        <v>South9420059901310</v>
      </c>
      <c r="B1059" s="3" t="str">
        <f t="shared" si="161"/>
        <v>CMR9420059901310</v>
      </c>
      <c r="C1059" s="10">
        <v>9420059901310</v>
      </c>
      <c r="D1059" s="10" t="str">
        <f t="shared" si="162"/>
        <v>9420059901</v>
      </c>
      <c r="E1059" s="3" t="s">
        <v>5</v>
      </c>
      <c r="F1059" s="3" t="s">
        <v>65</v>
      </c>
      <c r="H1059" s="3">
        <v>12.399999999999999</v>
      </c>
      <c r="I1059" s="10">
        <f t="shared" si="163"/>
        <v>91.63653426698697</v>
      </c>
      <c r="J1059" s="3">
        <v>4.0595162505400086</v>
      </c>
      <c r="K1059" s="3">
        <v>0</v>
      </c>
      <c r="L1059" s="3">
        <f t="shared" si="164"/>
        <v>0</v>
      </c>
      <c r="N1059" s="11">
        <f t="shared" si="165"/>
        <v>8.3404837494599899</v>
      </c>
      <c r="O1059" s="3">
        <v>4.0595162505400086</v>
      </c>
      <c r="P1059" s="11">
        <f t="shared" si="166"/>
        <v>61.636534266986963</v>
      </c>
      <c r="Q1059" s="12">
        <f t="shared" si="167"/>
        <v>36.704227587291037</v>
      </c>
      <c r="R1059" s="13">
        <f t="shared" si="168"/>
        <v>11.425874448246407</v>
      </c>
      <c r="S1059" s="3" t="s">
        <v>30</v>
      </c>
      <c r="T1059" s="3" t="s">
        <v>28</v>
      </c>
      <c r="U1059" s="10">
        <v>9420059900999</v>
      </c>
      <c r="V1059" s="3">
        <v>0.1</v>
      </c>
      <c r="W1059" s="3">
        <f t="shared" si="169"/>
        <v>0</v>
      </c>
      <c r="AA1059" s="3">
        <v>36</v>
      </c>
    </row>
    <row r="1060" spans="1:27" x14ac:dyDescent="0.3">
      <c r="A1060" s="3" t="str">
        <f t="shared" si="160"/>
        <v>South9310019901840</v>
      </c>
      <c r="B1060" s="3" t="str">
        <f t="shared" si="161"/>
        <v>CMR9310019901840</v>
      </c>
      <c r="C1060" s="10">
        <v>9310019901840</v>
      </c>
      <c r="D1060" s="10" t="str">
        <f t="shared" si="162"/>
        <v>9310019901</v>
      </c>
      <c r="E1060" s="3" t="s">
        <v>5</v>
      </c>
      <c r="F1060" s="3" t="s">
        <v>65</v>
      </c>
      <c r="H1060" s="3">
        <v>2.048</v>
      </c>
      <c r="I1060" s="10">
        <f t="shared" si="163"/>
        <v>20.727408172995084</v>
      </c>
      <c r="J1060" s="3">
        <v>2.9641911563283503</v>
      </c>
      <c r="K1060" s="3">
        <v>0</v>
      </c>
      <c r="L1060" s="3">
        <f t="shared" si="164"/>
        <v>0</v>
      </c>
      <c r="N1060" s="11">
        <f t="shared" si="165"/>
        <v>-0.91619115632835024</v>
      </c>
      <c r="O1060" s="3">
        <v>2.9641911563283503</v>
      </c>
      <c r="P1060" s="11">
        <f t="shared" si="166"/>
        <v>-9.2725918270049146</v>
      </c>
      <c r="Q1060" s="12">
        <f t="shared" si="167"/>
        <v>36.943421508203841</v>
      </c>
      <c r="R1060" s="13">
        <f t="shared" si="168"/>
        <v>45.841224370308467</v>
      </c>
      <c r="S1060" s="3" t="s">
        <v>30</v>
      </c>
      <c r="T1060" s="3" t="s">
        <v>32</v>
      </c>
      <c r="U1060" s="10">
        <v>0</v>
      </c>
      <c r="V1060" s="3">
        <v>0</v>
      </c>
      <c r="W1060" s="3">
        <f t="shared" si="169"/>
        <v>0</v>
      </c>
      <c r="AA1060" s="3">
        <v>36</v>
      </c>
    </row>
    <row r="1061" spans="1:27" x14ac:dyDescent="0.3">
      <c r="A1061" s="3" t="str">
        <f t="shared" si="160"/>
        <v>South9420059901840</v>
      </c>
      <c r="B1061" s="3" t="str">
        <f t="shared" si="161"/>
        <v>CMR9420059901840</v>
      </c>
      <c r="C1061" s="10">
        <v>9420059901840</v>
      </c>
      <c r="D1061" s="10" t="str">
        <f t="shared" si="162"/>
        <v>9420059901</v>
      </c>
      <c r="E1061" s="3" t="s">
        <v>5</v>
      </c>
      <c r="F1061" s="3" t="s">
        <v>65</v>
      </c>
      <c r="H1061" s="3">
        <v>2.5360000000000005</v>
      </c>
      <c r="I1061" s="10">
        <f t="shared" si="163"/>
        <v>32.448091471910182</v>
      </c>
      <c r="J1061" s="3">
        <v>2.3446679465219491</v>
      </c>
      <c r="K1061" s="3">
        <v>9</v>
      </c>
      <c r="L1061" s="3">
        <f t="shared" si="164"/>
        <v>0</v>
      </c>
      <c r="N1061" s="11">
        <f t="shared" si="165"/>
        <v>0.19133205347805138</v>
      </c>
      <c r="O1061" s="3">
        <v>2.3446679465219491</v>
      </c>
      <c r="P1061" s="11">
        <f t="shared" si="166"/>
        <v>2.4480914719101814</v>
      </c>
      <c r="Q1061" s="12">
        <f t="shared" si="167"/>
        <v>5.2574304506964307</v>
      </c>
      <c r="R1061" s="13">
        <f t="shared" si="168"/>
        <v>10.165483682719454</v>
      </c>
      <c r="S1061" s="3" t="s">
        <v>30</v>
      </c>
      <c r="T1061" s="3" t="s">
        <v>28</v>
      </c>
      <c r="U1061" s="10">
        <v>0</v>
      </c>
      <c r="V1061" s="3">
        <v>0</v>
      </c>
      <c r="W1061" s="3">
        <f t="shared" si="169"/>
        <v>0</v>
      </c>
      <c r="AA1061" s="3">
        <v>36</v>
      </c>
    </row>
    <row r="1062" spans="1:27" x14ac:dyDescent="0.3">
      <c r="A1062" s="3" t="str">
        <f t="shared" si="160"/>
        <v>South9310019901210</v>
      </c>
      <c r="B1062" s="3" t="str">
        <f t="shared" si="161"/>
        <v>CMR9310019901210</v>
      </c>
      <c r="C1062" s="10">
        <v>9310019901210</v>
      </c>
      <c r="D1062" s="10" t="str">
        <f t="shared" si="162"/>
        <v>9310019901</v>
      </c>
      <c r="E1062" s="3" t="s">
        <v>5</v>
      </c>
      <c r="F1062" s="3" t="s">
        <v>65</v>
      </c>
      <c r="H1062" s="3">
        <v>6.8239999999999998</v>
      </c>
      <c r="I1062" s="10">
        <f t="shared" si="163"/>
        <v>132.08000379992365</v>
      </c>
      <c r="J1062" s="3">
        <v>1.5499696707316291</v>
      </c>
      <c r="K1062" s="3">
        <v>0</v>
      </c>
      <c r="L1062" s="3">
        <f t="shared" si="164"/>
        <v>0</v>
      </c>
      <c r="N1062" s="11">
        <f t="shared" si="165"/>
        <v>5.2740303292683706</v>
      </c>
      <c r="O1062" s="3">
        <v>1.5499696707316291</v>
      </c>
      <c r="P1062" s="11">
        <f t="shared" si="166"/>
        <v>102.08000379992366</v>
      </c>
      <c r="Q1062" s="12">
        <f t="shared" si="167"/>
        <v>37.292731056188479</v>
      </c>
      <c r="R1062" s="13">
        <f t="shared" si="168"/>
        <v>38.257893326302671</v>
      </c>
      <c r="S1062" s="3" t="s">
        <v>31</v>
      </c>
      <c r="T1062" s="3" t="s">
        <v>32</v>
      </c>
      <c r="U1062" s="10">
        <v>0</v>
      </c>
      <c r="V1062" s="3">
        <v>0</v>
      </c>
      <c r="W1062" s="3">
        <f t="shared" si="169"/>
        <v>0</v>
      </c>
      <c r="AA1062" s="3">
        <v>36</v>
      </c>
    </row>
    <row r="1063" spans="1:27" x14ac:dyDescent="0.3">
      <c r="A1063" s="3" t="str">
        <f t="shared" si="160"/>
        <v>South9310099901310</v>
      </c>
      <c r="B1063" s="3" t="str">
        <f t="shared" si="161"/>
        <v>CMR9310099901310</v>
      </c>
      <c r="C1063" s="10">
        <v>9310099901310</v>
      </c>
      <c r="D1063" s="10" t="str">
        <f t="shared" si="162"/>
        <v>9310099901</v>
      </c>
      <c r="E1063" s="3" t="s">
        <v>5</v>
      </c>
      <c r="F1063" s="3" t="s">
        <v>65</v>
      </c>
      <c r="H1063" s="3">
        <v>0</v>
      </c>
      <c r="I1063" s="10">
        <f t="shared" si="163"/>
        <v>0</v>
      </c>
      <c r="J1063" s="3">
        <v>1.3023877650000004</v>
      </c>
      <c r="K1063" s="3">
        <v>0</v>
      </c>
      <c r="L1063" s="3">
        <f t="shared" si="164"/>
        <v>0</v>
      </c>
      <c r="N1063" s="11">
        <f t="shared" si="165"/>
        <v>-1.3023877650000004</v>
      </c>
      <c r="O1063" s="3">
        <v>1.3023877650000004</v>
      </c>
      <c r="P1063" s="11">
        <f t="shared" si="166"/>
        <v>-30</v>
      </c>
      <c r="Q1063" s="12">
        <f t="shared" si="167"/>
        <v>-30.000000000000004</v>
      </c>
      <c r="R1063" s="13">
        <f t="shared" si="168"/>
        <v>-30.000000000000004</v>
      </c>
      <c r="S1063" s="3">
        <v>0</v>
      </c>
      <c r="T1063" s="3" t="s">
        <v>32</v>
      </c>
      <c r="U1063" s="10">
        <v>9310099900999</v>
      </c>
      <c r="V1063" s="3">
        <v>0.1</v>
      </c>
      <c r="W1063" s="3">
        <f t="shared" si="169"/>
        <v>0</v>
      </c>
      <c r="AA1063" s="3">
        <v>36</v>
      </c>
    </row>
    <row r="1064" spans="1:27" x14ac:dyDescent="0.3">
      <c r="A1064" s="3" t="str">
        <f t="shared" si="160"/>
        <v>South9420059901210</v>
      </c>
      <c r="B1064" s="3" t="str">
        <f t="shared" si="161"/>
        <v>CMR9420059901210</v>
      </c>
      <c r="C1064" s="10">
        <v>9420059901210</v>
      </c>
      <c r="D1064" s="10" t="str">
        <f t="shared" si="162"/>
        <v>9420059901</v>
      </c>
      <c r="E1064" s="3" t="s">
        <v>5</v>
      </c>
      <c r="F1064" s="3" t="s">
        <v>65</v>
      </c>
      <c r="H1064" s="3">
        <v>1.5170000000000003</v>
      </c>
      <c r="I1064" s="10">
        <f t="shared" si="163"/>
        <v>35.586764549783098</v>
      </c>
      <c r="J1064" s="3">
        <v>1.2788462389250106</v>
      </c>
      <c r="K1064" s="3">
        <v>0</v>
      </c>
      <c r="L1064" s="3">
        <f t="shared" si="164"/>
        <v>0</v>
      </c>
      <c r="N1064" s="11">
        <f t="shared" si="165"/>
        <v>0.23815376107498976</v>
      </c>
      <c r="O1064" s="3">
        <v>1.2788462389250106</v>
      </c>
      <c r="P1064" s="11">
        <f t="shared" si="166"/>
        <v>5.586764549783096</v>
      </c>
      <c r="Q1064" s="12">
        <f t="shared" si="167"/>
        <v>15.443412602189914</v>
      </c>
      <c r="R1064" s="13">
        <f t="shared" si="168"/>
        <v>19.510512160893086</v>
      </c>
      <c r="S1064" s="3" t="s">
        <v>31</v>
      </c>
      <c r="T1064" s="3" t="s">
        <v>28</v>
      </c>
      <c r="U1064" s="10">
        <v>0</v>
      </c>
      <c r="V1064" s="3">
        <v>0</v>
      </c>
      <c r="W1064" s="3">
        <f t="shared" si="169"/>
        <v>0</v>
      </c>
      <c r="AA1064" s="3">
        <v>36</v>
      </c>
    </row>
    <row r="1065" spans="1:27" x14ac:dyDescent="0.3">
      <c r="A1065" s="3" t="str">
        <f t="shared" si="160"/>
        <v>South9310099901840</v>
      </c>
      <c r="B1065" s="3" t="str">
        <f t="shared" si="161"/>
        <v>CMR9310099901840</v>
      </c>
      <c r="C1065" s="10">
        <v>9310099901840</v>
      </c>
      <c r="D1065" s="10" t="str">
        <f t="shared" si="162"/>
        <v>9310099901</v>
      </c>
      <c r="E1065" s="3" t="s">
        <v>5</v>
      </c>
      <c r="F1065" s="3" t="s">
        <v>65</v>
      </c>
      <c r="H1065" s="3">
        <v>0</v>
      </c>
      <c r="I1065" s="10">
        <f t="shared" si="163"/>
        <v>0</v>
      </c>
      <c r="J1065" s="3">
        <v>0.57380562400000001</v>
      </c>
      <c r="K1065" s="3">
        <v>0</v>
      </c>
      <c r="L1065" s="3">
        <f t="shared" si="164"/>
        <v>0</v>
      </c>
      <c r="N1065" s="11">
        <f t="shared" si="165"/>
        <v>-0.57380562400000001</v>
      </c>
      <c r="O1065" s="3">
        <v>0.57380562400000001</v>
      </c>
      <c r="P1065" s="11">
        <f t="shared" si="166"/>
        <v>-30</v>
      </c>
      <c r="Q1065" s="12">
        <f t="shared" si="167"/>
        <v>-30.000000000000004</v>
      </c>
      <c r="R1065" s="13">
        <f t="shared" si="168"/>
        <v>-29.999999999999996</v>
      </c>
      <c r="S1065" s="3">
        <v>0</v>
      </c>
      <c r="T1065" s="3" t="s">
        <v>32</v>
      </c>
      <c r="U1065" s="10">
        <v>0</v>
      </c>
      <c r="V1065" s="3">
        <v>0</v>
      </c>
      <c r="W1065" s="3">
        <f t="shared" si="169"/>
        <v>0</v>
      </c>
      <c r="AA1065" s="3">
        <v>36</v>
      </c>
    </row>
    <row r="1066" spans="1:27" x14ac:dyDescent="0.3">
      <c r="A1066" s="3" t="str">
        <f t="shared" si="160"/>
        <v>South9410029900320</v>
      </c>
      <c r="B1066" s="3" t="str">
        <f t="shared" si="161"/>
        <v>CMR9410029900320</v>
      </c>
      <c r="C1066" s="10">
        <v>9410029900320</v>
      </c>
      <c r="D1066" s="10" t="str">
        <f t="shared" si="162"/>
        <v>9410029900</v>
      </c>
      <c r="E1066" s="3" t="s">
        <v>5</v>
      </c>
      <c r="F1066" s="3" t="s">
        <v>65</v>
      </c>
      <c r="H1066" s="3">
        <v>1.8000000000000003</v>
      </c>
      <c r="I1066" s="10">
        <f t="shared" si="163"/>
        <v>126.24160425941311</v>
      </c>
      <c r="J1066" s="3">
        <v>0.42775121812485634</v>
      </c>
      <c r="K1066" s="3">
        <v>0</v>
      </c>
      <c r="L1066" s="3">
        <f t="shared" si="164"/>
        <v>0</v>
      </c>
      <c r="N1066" s="11">
        <f t="shared" si="165"/>
        <v>1.3722487818751439</v>
      </c>
      <c r="O1066" s="3">
        <v>0.42775121812485634</v>
      </c>
      <c r="P1066" s="11">
        <f t="shared" si="166"/>
        <v>96.241604259413108</v>
      </c>
      <c r="Q1066" s="12">
        <f t="shared" si="167"/>
        <v>81.491650956692212</v>
      </c>
      <c r="R1066" s="13">
        <f t="shared" si="168"/>
        <v>18.008421131063521</v>
      </c>
      <c r="S1066" s="3" t="s">
        <v>30</v>
      </c>
      <c r="T1066" s="3" t="s">
        <v>32</v>
      </c>
      <c r="U1066" s="10">
        <v>9410029900999</v>
      </c>
      <c r="V1066" s="3">
        <v>0.1</v>
      </c>
      <c r="W1066" s="3">
        <f t="shared" si="169"/>
        <v>0</v>
      </c>
      <c r="AA1066" s="3">
        <v>36</v>
      </c>
    </row>
    <row r="1067" spans="1:27" x14ac:dyDescent="0.3">
      <c r="A1067" s="3" t="str">
        <f t="shared" si="160"/>
        <v>South9310099901210</v>
      </c>
      <c r="B1067" s="3" t="str">
        <f t="shared" si="161"/>
        <v>CMR9310099901210</v>
      </c>
      <c r="C1067" s="10">
        <v>9310099901210</v>
      </c>
      <c r="D1067" s="10" t="str">
        <f t="shared" si="162"/>
        <v>9310099901</v>
      </c>
      <c r="E1067" s="3" t="s">
        <v>5</v>
      </c>
      <c r="F1067" s="3" t="s">
        <v>65</v>
      </c>
      <c r="H1067" s="3">
        <v>0</v>
      </c>
      <c r="I1067" s="10">
        <f t="shared" si="163"/>
        <v>0</v>
      </c>
      <c r="J1067" s="3">
        <v>0.25481499750000003</v>
      </c>
      <c r="K1067" s="3">
        <v>0</v>
      </c>
      <c r="L1067" s="3">
        <f t="shared" si="164"/>
        <v>0</v>
      </c>
      <c r="N1067" s="11">
        <f t="shared" si="165"/>
        <v>-0.25481499750000003</v>
      </c>
      <c r="O1067" s="3">
        <v>0.25481499750000003</v>
      </c>
      <c r="P1067" s="11">
        <f t="shared" si="166"/>
        <v>-30</v>
      </c>
      <c r="Q1067" s="12">
        <f t="shared" si="167"/>
        <v>-30</v>
      </c>
      <c r="R1067" s="13">
        <f t="shared" si="168"/>
        <v>-30</v>
      </c>
      <c r="S1067" s="3">
        <v>0</v>
      </c>
      <c r="T1067" s="3" t="s">
        <v>32</v>
      </c>
      <c r="U1067" s="10">
        <v>0</v>
      </c>
      <c r="V1067" s="3">
        <v>0</v>
      </c>
      <c r="W1067" s="3">
        <f t="shared" si="169"/>
        <v>0</v>
      </c>
      <c r="AA1067" s="3">
        <v>36</v>
      </c>
    </row>
    <row r="1068" spans="1:27" x14ac:dyDescent="0.3">
      <c r="A1068" s="3" t="str">
        <f t="shared" si="160"/>
        <v>South9410029900310</v>
      </c>
      <c r="B1068" s="3" t="str">
        <f t="shared" si="161"/>
        <v>CMR9410029900310</v>
      </c>
      <c r="C1068" s="10">
        <v>9410029900310</v>
      </c>
      <c r="D1068" s="10" t="str">
        <f t="shared" si="162"/>
        <v>9410029900</v>
      </c>
      <c r="E1068" s="3" t="s">
        <v>5</v>
      </c>
      <c r="F1068" s="3" t="s">
        <v>65</v>
      </c>
      <c r="H1068" s="3">
        <v>0.3600000000000001</v>
      </c>
      <c r="I1068" s="10">
        <f t="shared" si="163"/>
        <v>61.364175130121986</v>
      </c>
      <c r="J1068" s="3">
        <v>0.17599845475146916</v>
      </c>
      <c r="K1068" s="3">
        <v>0</v>
      </c>
      <c r="L1068" s="3">
        <f t="shared" si="164"/>
        <v>0</v>
      </c>
      <c r="N1068" s="11">
        <f t="shared" si="165"/>
        <v>0.18400154524853093</v>
      </c>
      <c r="O1068" s="3">
        <v>0.17599845475146916</v>
      </c>
      <c r="P1068" s="11">
        <f t="shared" si="166"/>
        <v>31.364175130121982</v>
      </c>
      <c r="Q1068" s="12">
        <f t="shared" si="167"/>
        <v>32.110020571615046</v>
      </c>
      <c r="R1068" s="13">
        <f t="shared" si="168"/>
        <v>-6.4410101637640524</v>
      </c>
      <c r="S1068" s="3" t="s">
        <v>31</v>
      </c>
      <c r="T1068" s="3" t="s">
        <v>32</v>
      </c>
      <c r="U1068" s="10">
        <v>9410029900999</v>
      </c>
      <c r="V1068" s="3">
        <v>0.1</v>
      </c>
      <c r="W1068" s="3">
        <f t="shared" si="169"/>
        <v>0</v>
      </c>
      <c r="AA1068" s="3">
        <v>36</v>
      </c>
    </row>
    <row r="1069" spans="1:27" x14ac:dyDescent="0.3">
      <c r="A1069" s="3" t="str">
        <f t="shared" si="160"/>
        <v>South9410029900840</v>
      </c>
      <c r="B1069" s="3" t="str">
        <f t="shared" si="161"/>
        <v>CMR9410029900840</v>
      </c>
      <c r="C1069" s="10">
        <v>9410029900840</v>
      </c>
      <c r="D1069" s="10" t="str">
        <f t="shared" si="162"/>
        <v>9410029900</v>
      </c>
      <c r="E1069" s="3" t="s">
        <v>5</v>
      </c>
      <c r="F1069" s="3" t="s">
        <v>65</v>
      </c>
      <c r="H1069" s="3">
        <v>1.1880000000000002</v>
      </c>
      <c r="I1069" s="10">
        <f t="shared" si="163"/>
        <v>907.50481272753689</v>
      </c>
      <c r="J1069" s="3">
        <v>3.9272518999522173E-2</v>
      </c>
      <c r="K1069" s="3">
        <v>0</v>
      </c>
      <c r="L1069" s="3">
        <f t="shared" si="164"/>
        <v>0</v>
      </c>
      <c r="N1069" s="11">
        <f t="shared" si="165"/>
        <v>1.1487274810004779</v>
      </c>
      <c r="O1069" s="3">
        <v>3.9272518999522173E-2</v>
      </c>
      <c r="P1069" s="11">
        <f t="shared" si="166"/>
        <v>877.50481272753689</v>
      </c>
      <c r="Q1069" s="12">
        <f t="shared" si="167"/>
        <v>674.55542311707882</v>
      </c>
      <c r="R1069" s="13">
        <f t="shared" si="168"/>
        <v>5.1087063375705419</v>
      </c>
      <c r="S1069" s="3" t="s">
        <v>31</v>
      </c>
      <c r="T1069" s="3" t="s">
        <v>32</v>
      </c>
      <c r="U1069" s="10">
        <v>0</v>
      </c>
      <c r="V1069" s="3">
        <v>0</v>
      </c>
      <c r="W1069" s="3">
        <f t="shared" si="169"/>
        <v>0</v>
      </c>
      <c r="AA1069" s="3">
        <v>36</v>
      </c>
    </row>
    <row r="1070" spans="1:27" x14ac:dyDescent="0.3">
      <c r="A1070" s="3" t="str">
        <f t="shared" si="160"/>
        <v>South9410029900210</v>
      </c>
      <c r="B1070" s="3" t="str">
        <f t="shared" si="161"/>
        <v>CMR9410029900210</v>
      </c>
      <c r="C1070" s="10">
        <v>9410029900210</v>
      </c>
      <c r="D1070" s="10" t="str">
        <f t="shared" si="162"/>
        <v>9410029900</v>
      </c>
      <c r="E1070" s="3" t="s">
        <v>5</v>
      </c>
      <c r="F1070" s="3" t="s">
        <v>65</v>
      </c>
      <c r="H1070" s="3">
        <v>2.1739999999999999</v>
      </c>
      <c r="I1070" s="10">
        <f t="shared" si="163"/>
        <v>4156.2900658684839</v>
      </c>
      <c r="J1070" s="3">
        <v>1.5691878806916679E-2</v>
      </c>
      <c r="K1070" s="3">
        <v>0</v>
      </c>
      <c r="L1070" s="3">
        <f t="shared" si="164"/>
        <v>0</v>
      </c>
      <c r="N1070" s="11">
        <f t="shared" si="165"/>
        <v>2.1583081211930835</v>
      </c>
      <c r="O1070" s="3">
        <v>1.5691878806916679E-2</v>
      </c>
      <c r="P1070" s="11">
        <f t="shared" si="166"/>
        <v>4126.2900658684848</v>
      </c>
      <c r="Q1070" s="12">
        <f t="shared" si="167"/>
        <v>2280.6485314662418</v>
      </c>
      <c r="R1070" s="13">
        <f t="shared" si="168"/>
        <v>80.018962520459795</v>
      </c>
      <c r="S1070" s="3" t="s">
        <v>31</v>
      </c>
      <c r="T1070" s="3" t="s">
        <v>32</v>
      </c>
      <c r="U1070" s="10">
        <v>0</v>
      </c>
      <c r="V1070" s="3">
        <v>0</v>
      </c>
      <c r="W1070" s="3">
        <f t="shared" si="169"/>
        <v>0</v>
      </c>
      <c r="AA1070" s="3">
        <v>36</v>
      </c>
    </row>
    <row r="1071" spans="1:27" x14ac:dyDescent="0.3">
      <c r="A1071" s="3" t="str">
        <f t="shared" si="160"/>
        <v>South9160709901210</v>
      </c>
      <c r="B1071" s="3" t="str">
        <f t="shared" si="161"/>
        <v>CMR9160709901210</v>
      </c>
      <c r="C1071" s="10">
        <v>9160709901210</v>
      </c>
      <c r="D1071" s="10" t="str">
        <f t="shared" si="162"/>
        <v>9160709901</v>
      </c>
      <c r="E1071" s="3" t="s">
        <v>5</v>
      </c>
      <c r="F1071" s="3" t="s">
        <v>65</v>
      </c>
      <c r="H1071" s="3">
        <v>0</v>
      </c>
      <c r="I1071" s="10">
        <f t="shared" si="163"/>
        <v>0</v>
      </c>
      <c r="J1071" s="3">
        <v>0</v>
      </c>
      <c r="K1071" s="3">
        <v>0</v>
      </c>
      <c r="L1071" s="3">
        <f t="shared" si="164"/>
        <v>0</v>
      </c>
      <c r="N1071" s="11">
        <f t="shared" si="165"/>
        <v>0</v>
      </c>
      <c r="O1071" s="3">
        <v>0</v>
      </c>
      <c r="P1071" s="11">
        <f t="shared" si="166"/>
        <v>9999</v>
      </c>
      <c r="Q1071" s="12">
        <f t="shared" si="167"/>
        <v>9999</v>
      </c>
      <c r="R1071" s="13">
        <f t="shared" si="168"/>
        <v>9999</v>
      </c>
      <c r="S1071" s="3" t="s">
        <v>31</v>
      </c>
      <c r="T1071" s="3" t="s">
        <v>34</v>
      </c>
      <c r="U1071" s="10">
        <v>0</v>
      </c>
      <c r="V1071" s="3">
        <v>0</v>
      </c>
      <c r="W1071" s="3">
        <f t="shared" si="169"/>
        <v>0</v>
      </c>
      <c r="AA1071" s="3">
        <v>36</v>
      </c>
    </row>
    <row r="1072" spans="1:27" x14ac:dyDescent="0.3">
      <c r="A1072" s="3" t="str">
        <f t="shared" si="160"/>
        <v>South9100309900210</v>
      </c>
      <c r="B1072" s="3" t="str">
        <f t="shared" si="161"/>
        <v>CMR9100309900210</v>
      </c>
      <c r="C1072" s="10">
        <v>9100309900210</v>
      </c>
      <c r="D1072" s="10" t="str">
        <f t="shared" si="162"/>
        <v>9100309900</v>
      </c>
      <c r="E1072" s="3" t="s">
        <v>5</v>
      </c>
      <c r="F1072" s="3" t="s">
        <v>65</v>
      </c>
      <c r="H1072" s="3">
        <v>0</v>
      </c>
      <c r="I1072" s="10">
        <f t="shared" si="163"/>
        <v>0</v>
      </c>
      <c r="J1072" s="3">
        <v>0</v>
      </c>
      <c r="K1072" s="3">
        <v>0</v>
      </c>
      <c r="L1072" s="3">
        <f t="shared" si="164"/>
        <v>0</v>
      </c>
      <c r="N1072" s="11">
        <f t="shared" si="165"/>
        <v>0</v>
      </c>
      <c r="O1072" s="3">
        <v>0</v>
      </c>
      <c r="P1072" s="11">
        <f t="shared" si="166"/>
        <v>9999</v>
      </c>
      <c r="Q1072" s="12">
        <f t="shared" si="167"/>
        <v>9999</v>
      </c>
      <c r="R1072" s="13">
        <f t="shared" si="168"/>
        <v>9999</v>
      </c>
      <c r="S1072" s="3" t="s">
        <v>31</v>
      </c>
      <c r="T1072" s="3" t="s">
        <v>34</v>
      </c>
      <c r="U1072" s="10" t="s">
        <v>72</v>
      </c>
      <c r="V1072" s="3" t="s">
        <v>72</v>
      </c>
      <c r="W1072" s="3">
        <f t="shared" si="169"/>
        <v>0</v>
      </c>
      <c r="AA1072" s="3">
        <v>36</v>
      </c>
    </row>
    <row r="1073" spans="1:27" x14ac:dyDescent="0.3">
      <c r="A1073" s="3" t="str">
        <f t="shared" si="160"/>
        <v>East9410029902838</v>
      </c>
      <c r="B1073" s="3" t="str">
        <f t="shared" si="161"/>
        <v>KGP9410029902838</v>
      </c>
      <c r="C1073" s="10">
        <v>9410029902838</v>
      </c>
      <c r="D1073" s="10" t="str">
        <f t="shared" si="162"/>
        <v>9410029902</v>
      </c>
      <c r="E1073" s="3" t="s">
        <v>6</v>
      </c>
      <c r="F1073" s="3" t="s">
        <v>66</v>
      </c>
      <c r="H1073" s="3">
        <v>10.5032</v>
      </c>
      <c r="I1073" s="10">
        <f t="shared" si="163"/>
        <v>50.601818105638529</v>
      </c>
      <c r="J1073" s="3">
        <v>6.2269699349970402</v>
      </c>
      <c r="K1073" s="3">
        <v>0</v>
      </c>
      <c r="L1073" s="3">
        <f t="shared" si="164"/>
        <v>0</v>
      </c>
      <c r="N1073" s="11">
        <f t="shared" si="165"/>
        <v>4.2762300650029594</v>
      </c>
      <c r="O1073" s="3">
        <v>6.2269699349970402</v>
      </c>
      <c r="P1073" s="11">
        <f t="shared" si="166"/>
        <v>20.601818105638525</v>
      </c>
      <c r="Q1073" s="12">
        <f t="shared" si="167"/>
        <v>20.601818105638525</v>
      </c>
      <c r="R1073" s="13">
        <f t="shared" si="168"/>
        <v>29.473018002408558</v>
      </c>
      <c r="S1073" s="3" t="s">
        <v>31</v>
      </c>
      <c r="T1073" s="3" t="s">
        <v>32</v>
      </c>
      <c r="U1073" s="10">
        <v>0</v>
      </c>
      <c r="V1073" s="3">
        <v>0</v>
      </c>
      <c r="W1073" s="3">
        <f t="shared" si="169"/>
        <v>0</v>
      </c>
      <c r="AA1073" s="3">
        <v>36</v>
      </c>
    </row>
    <row r="1074" spans="1:27" x14ac:dyDescent="0.3">
      <c r="A1074" s="3" t="str">
        <f t="shared" si="160"/>
        <v>East9410029902195</v>
      </c>
      <c r="B1074" s="3" t="str">
        <f t="shared" si="161"/>
        <v>KGP9410029902195</v>
      </c>
      <c r="C1074" s="10">
        <v>9410029902195</v>
      </c>
      <c r="D1074" s="10" t="str">
        <f t="shared" si="162"/>
        <v>9410029902</v>
      </c>
      <c r="E1074" s="3" t="s">
        <v>6</v>
      </c>
      <c r="F1074" s="3" t="s">
        <v>66</v>
      </c>
      <c r="H1074" s="3">
        <v>21.165999999999997</v>
      </c>
      <c r="I1074" s="10">
        <f t="shared" si="163"/>
        <v>130.45231332262068</v>
      </c>
      <c r="J1074" s="3">
        <v>4.8675257941163181</v>
      </c>
      <c r="K1074" s="3">
        <v>0</v>
      </c>
      <c r="L1074" s="3">
        <f t="shared" si="164"/>
        <v>0</v>
      </c>
      <c r="N1074" s="11">
        <f t="shared" si="165"/>
        <v>16.298474205883679</v>
      </c>
      <c r="O1074" s="3">
        <v>4.8675257941163181</v>
      </c>
      <c r="P1074" s="11">
        <f t="shared" si="166"/>
        <v>100.45231332262067</v>
      </c>
      <c r="Q1074" s="12">
        <f t="shared" si="167"/>
        <v>100.45231332262067</v>
      </c>
      <c r="R1074" s="13">
        <f t="shared" si="168"/>
        <v>72.106187171666605</v>
      </c>
      <c r="S1074" s="3" t="s">
        <v>31</v>
      </c>
      <c r="T1074" s="3" t="s">
        <v>32</v>
      </c>
      <c r="U1074" s="10">
        <v>0</v>
      </c>
      <c r="V1074" s="3">
        <v>0</v>
      </c>
      <c r="W1074" s="3">
        <f t="shared" si="169"/>
        <v>0</v>
      </c>
      <c r="AA1074" s="3">
        <v>36</v>
      </c>
    </row>
    <row r="1075" spans="1:27" x14ac:dyDescent="0.3">
      <c r="A1075" s="3" t="str">
        <f t="shared" si="160"/>
        <v>East9410029902295</v>
      </c>
      <c r="B1075" s="3" t="str">
        <f t="shared" si="161"/>
        <v>KGP9410029902295</v>
      </c>
      <c r="C1075" s="10">
        <v>9410029902295</v>
      </c>
      <c r="D1075" s="10" t="str">
        <f t="shared" si="162"/>
        <v>9410029902</v>
      </c>
      <c r="E1075" s="3" t="s">
        <v>6</v>
      </c>
      <c r="F1075" s="3" t="s">
        <v>66</v>
      </c>
      <c r="H1075" s="3">
        <v>19.8645</v>
      </c>
      <c r="I1075" s="10">
        <f t="shared" si="163"/>
        <v>135.50571675396986</v>
      </c>
      <c r="J1075" s="3">
        <v>4.397858734491666</v>
      </c>
      <c r="K1075" s="3">
        <v>0</v>
      </c>
      <c r="L1075" s="3">
        <f t="shared" si="164"/>
        <v>0</v>
      </c>
      <c r="N1075" s="11">
        <f t="shared" si="165"/>
        <v>15.466641265508333</v>
      </c>
      <c r="O1075" s="3">
        <v>4.397858734491666</v>
      </c>
      <c r="P1075" s="11">
        <f t="shared" si="166"/>
        <v>105.50571675396985</v>
      </c>
      <c r="Q1075" s="12">
        <f t="shared" si="167"/>
        <v>105.50571675396984</v>
      </c>
      <c r="R1075" s="13">
        <f t="shared" si="168"/>
        <v>107.29403852358182</v>
      </c>
      <c r="S1075" s="3" t="s">
        <v>31</v>
      </c>
      <c r="T1075" s="3" t="s">
        <v>32</v>
      </c>
      <c r="U1075" s="10">
        <v>9410029900999</v>
      </c>
      <c r="V1075" s="3">
        <v>0.1</v>
      </c>
      <c r="W1075" s="3">
        <f t="shared" si="169"/>
        <v>0</v>
      </c>
      <c r="AA1075" s="3">
        <v>36</v>
      </c>
    </row>
    <row r="1076" spans="1:27" x14ac:dyDescent="0.3">
      <c r="A1076" s="3" t="str">
        <f t="shared" si="160"/>
        <v>East9420029902319</v>
      </c>
      <c r="B1076" s="3" t="str">
        <f t="shared" si="161"/>
        <v>KGP9420029902319</v>
      </c>
      <c r="C1076" s="10">
        <v>9420029902319</v>
      </c>
      <c r="D1076" s="10" t="str">
        <f t="shared" si="162"/>
        <v>9420029902</v>
      </c>
      <c r="E1076" s="3" t="s">
        <v>6</v>
      </c>
      <c r="F1076" s="3" t="s">
        <v>66</v>
      </c>
      <c r="H1076" s="3">
        <v>20.586499999999997</v>
      </c>
      <c r="I1076" s="10">
        <f t="shared" si="163"/>
        <v>160.5007039733224</v>
      </c>
      <c r="J1076" s="3">
        <v>3.8479270477383913</v>
      </c>
      <c r="K1076" s="3">
        <v>0</v>
      </c>
      <c r="L1076" s="3">
        <f t="shared" si="164"/>
        <v>0</v>
      </c>
      <c r="N1076" s="11">
        <f t="shared" si="165"/>
        <v>16.738572952261606</v>
      </c>
      <c r="O1076" s="3">
        <v>3.8479270477383913</v>
      </c>
      <c r="P1076" s="11">
        <f t="shared" si="166"/>
        <v>130.5007039733224</v>
      </c>
      <c r="Q1076" s="12">
        <f t="shared" si="167"/>
        <v>130.50070397332237</v>
      </c>
      <c r="R1076" s="13">
        <f t="shared" si="168"/>
        <v>100.81020277708481</v>
      </c>
      <c r="S1076" s="3" t="s">
        <v>31</v>
      </c>
      <c r="T1076" s="3" t="s">
        <v>28</v>
      </c>
      <c r="U1076" s="10">
        <v>9420029900999</v>
      </c>
      <c r="V1076" s="3">
        <v>0.1</v>
      </c>
      <c r="W1076" s="3">
        <f t="shared" si="169"/>
        <v>0</v>
      </c>
      <c r="AA1076" s="3">
        <v>36</v>
      </c>
    </row>
    <row r="1077" spans="1:27" x14ac:dyDescent="0.3">
      <c r="A1077" s="3" t="str">
        <f t="shared" si="160"/>
        <v>East9420029902838</v>
      </c>
      <c r="B1077" s="3" t="str">
        <f t="shared" si="161"/>
        <v>KGP9420029902838</v>
      </c>
      <c r="C1077" s="10">
        <v>9420029902838</v>
      </c>
      <c r="D1077" s="10" t="str">
        <f t="shared" si="162"/>
        <v>9420029902</v>
      </c>
      <c r="E1077" s="3" t="s">
        <v>6</v>
      </c>
      <c r="F1077" s="3" t="s">
        <v>66</v>
      </c>
      <c r="H1077" s="3">
        <v>14.865600000000001</v>
      </c>
      <c r="I1077" s="10">
        <f t="shared" si="163"/>
        <v>123.67412613621181</v>
      </c>
      <c r="J1077" s="3">
        <v>3.6059927321323557</v>
      </c>
      <c r="K1077" s="3">
        <v>0</v>
      </c>
      <c r="L1077" s="3">
        <f t="shared" si="164"/>
        <v>0</v>
      </c>
      <c r="N1077" s="11">
        <f t="shared" si="165"/>
        <v>11.259607267867645</v>
      </c>
      <c r="O1077" s="3">
        <v>3.6059927321323557</v>
      </c>
      <c r="P1077" s="11">
        <f t="shared" si="166"/>
        <v>93.674126136211811</v>
      </c>
      <c r="Q1077" s="12">
        <f t="shared" si="167"/>
        <v>93.674126136211825</v>
      </c>
      <c r="R1077" s="13">
        <f t="shared" si="168"/>
        <v>45.116201366682233</v>
      </c>
      <c r="S1077" s="3" t="s">
        <v>31</v>
      </c>
      <c r="T1077" s="3" t="s">
        <v>28</v>
      </c>
      <c r="U1077" s="10">
        <v>0</v>
      </c>
      <c r="V1077" s="3">
        <v>0</v>
      </c>
      <c r="W1077" s="3">
        <f t="shared" si="169"/>
        <v>0</v>
      </c>
      <c r="AA1077" s="3">
        <v>36</v>
      </c>
    </row>
    <row r="1078" spans="1:27" x14ac:dyDescent="0.3">
      <c r="A1078" s="3" t="str">
        <f t="shared" si="160"/>
        <v>East9410029902319</v>
      </c>
      <c r="B1078" s="3" t="str">
        <f t="shared" si="161"/>
        <v>KGP9410029902319</v>
      </c>
      <c r="C1078" s="10">
        <v>9410029902319</v>
      </c>
      <c r="D1078" s="10" t="str">
        <f t="shared" si="162"/>
        <v>9410029902</v>
      </c>
      <c r="E1078" s="3" t="s">
        <v>6</v>
      </c>
      <c r="F1078" s="3" t="s">
        <v>66</v>
      </c>
      <c r="H1078" s="3">
        <v>1.8619999999999999</v>
      </c>
      <c r="I1078" s="10">
        <f t="shared" si="163"/>
        <v>15.845575620175911</v>
      </c>
      <c r="J1078" s="3">
        <v>3.5252742682868758</v>
      </c>
      <c r="K1078" s="3">
        <v>0</v>
      </c>
      <c r="L1078" s="3">
        <f t="shared" si="164"/>
        <v>0</v>
      </c>
      <c r="N1078" s="11">
        <f t="shared" si="165"/>
        <v>-1.663274268286876</v>
      </c>
      <c r="O1078" s="3">
        <v>3.5252742682868758</v>
      </c>
      <c r="P1078" s="11">
        <f t="shared" si="166"/>
        <v>-14.154424379824089</v>
      </c>
      <c r="Q1078" s="12">
        <f t="shared" si="167"/>
        <v>-14.154424379824087</v>
      </c>
      <c r="R1078" s="13">
        <f t="shared" si="168"/>
        <v>110.66043314697285</v>
      </c>
      <c r="S1078" s="3" t="s">
        <v>31</v>
      </c>
      <c r="T1078" s="3" t="s">
        <v>32</v>
      </c>
      <c r="U1078" s="10">
        <v>9410029900999</v>
      </c>
      <c r="V1078" s="3">
        <v>0.1</v>
      </c>
      <c r="W1078" s="3">
        <f t="shared" si="169"/>
        <v>0</v>
      </c>
      <c r="AA1078" s="3">
        <v>36</v>
      </c>
    </row>
    <row r="1079" spans="1:27" x14ac:dyDescent="0.3">
      <c r="A1079" s="3" t="str">
        <f t="shared" si="160"/>
        <v>East9420029902295</v>
      </c>
      <c r="B1079" s="3" t="str">
        <f t="shared" si="161"/>
        <v>KGP9420029902295</v>
      </c>
      <c r="C1079" s="10">
        <v>9420029902295</v>
      </c>
      <c r="D1079" s="10" t="str">
        <f t="shared" si="162"/>
        <v>9420029902</v>
      </c>
      <c r="E1079" s="3" t="s">
        <v>6</v>
      </c>
      <c r="F1079" s="3" t="s">
        <v>66</v>
      </c>
      <c r="H1079" s="3">
        <v>13.908000000000001</v>
      </c>
      <c r="I1079" s="10">
        <f t="shared" si="163"/>
        <v>131.29482684308852</v>
      </c>
      <c r="J1079" s="3">
        <v>3.1778860601922023</v>
      </c>
      <c r="K1079" s="3">
        <v>0</v>
      </c>
      <c r="L1079" s="3">
        <f t="shared" si="164"/>
        <v>0</v>
      </c>
      <c r="N1079" s="11">
        <f t="shared" si="165"/>
        <v>10.730113939807799</v>
      </c>
      <c r="O1079" s="3">
        <v>3.1778860601922023</v>
      </c>
      <c r="P1079" s="11">
        <f t="shared" si="166"/>
        <v>101.29482684308854</v>
      </c>
      <c r="Q1079" s="12">
        <f t="shared" si="167"/>
        <v>101.29482684308853</v>
      </c>
      <c r="R1079" s="13">
        <f t="shared" si="168"/>
        <v>62.065240679388516</v>
      </c>
      <c r="S1079" s="3" t="s">
        <v>31</v>
      </c>
      <c r="T1079" s="3" t="s">
        <v>28</v>
      </c>
      <c r="U1079" s="10">
        <v>9420029900999</v>
      </c>
      <c r="V1079" s="3">
        <v>0.1</v>
      </c>
      <c r="W1079" s="3">
        <f t="shared" si="169"/>
        <v>0</v>
      </c>
      <c r="AA1079" s="3">
        <v>36</v>
      </c>
    </row>
    <row r="1080" spans="1:27" x14ac:dyDescent="0.3">
      <c r="A1080" s="3" t="str">
        <f t="shared" si="160"/>
        <v>East9410029905836</v>
      </c>
      <c r="B1080" s="3" t="str">
        <f t="shared" si="161"/>
        <v>KGP9410029905836</v>
      </c>
      <c r="C1080" s="10">
        <v>9410029905836</v>
      </c>
      <c r="D1080" s="10" t="str">
        <f t="shared" si="162"/>
        <v>9410029905</v>
      </c>
      <c r="E1080" s="3" t="s">
        <v>6</v>
      </c>
      <c r="F1080" s="3" t="s">
        <v>66</v>
      </c>
      <c r="H1080" s="3">
        <v>15.937200000000001</v>
      </c>
      <c r="I1080" s="10">
        <f t="shared" si="163"/>
        <v>172.36077004917067</v>
      </c>
      <c r="J1080" s="3">
        <v>2.7739258757291712</v>
      </c>
      <c r="K1080" s="3">
        <v>0</v>
      </c>
      <c r="L1080" s="3">
        <f t="shared" si="164"/>
        <v>0</v>
      </c>
      <c r="N1080" s="11">
        <f t="shared" si="165"/>
        <v>13.16327412427083</v>
      </c>
      <c r="O1080" s="3">
        <v>2.7739258757291712</v>
      </c>
      <c r="P1080" s="11">
        <f t="shared" si="166"/>
        <v>142.36077004917067</v>
      </c>
      <c r="Q1080" s="12">
        <f t="shared" si="167"/>
        <v>142.36077004917067</v>
      </c>
      <c r="R1080" s="13">
        <f t="shared" si="168"/>
        <v>144.47238082969847</v>
      </c>
      <c r="S1080" s="3" t="s">
        <v>31</v>
      </c>
      <c r="T1080" s="3" t="s">
        <v>32</v>
      </c>
      <c r="U1080" s="10">
        <v>0</v>
      </c>
      <c r="V1080" s="3">
        <v>0</v>
      </c>
      <c r="W1080" s="3">
        <f t="shared" si="169"/>
        <v>0</v>
      </c>
      <c r="AA1080" s="3">
        <v>36</v>
      </c>
    </row>
    <row r="1081" spans="1:27" x14ac:dyDescent="0.3">
      <c r="A1081" s="3" t="str">
        <f t="shared" si="160"/>
        <v>East9320029906839</v>
      </c>
      <c r="B1081" s="3" t="str">
        <f t="shared" si="161"/>
        <v>KGP9320029906839</v>
      </c>
      <c r="C1081" s="10">
        <v>9320029906839</v>
      </c>
      <c r="D1081" s="10" t="str">
        <f t="shared" si="162"/>
        <v>9320029906</v>
      </c>
      <c r="E1081" s="3" t="s">
        <v>6</v>
      </c>
      <c r="F1081" s="3" t="s">
        <v>66</v>
      </c>
      <c r="H1081" s="3">
        <v>18.407999999999998</v>
      </c>
      <c r="I1081" s="10">
        <f t="shared" si="163"/>
        <v>214.08198180683462</v>
      </c>
      <c r="J1081" s="3">
        <v>2.5795725326304391</v>
      </c>
      <c r="K1081" s="3">
        <v>0</v>
      </c>
      <c r="L1081" s="3">
        <f t="shared" si="164"/>
        <v>0</v>
      </c>
      <c r="N1081" s="11">
        <f t="shared" si="165"/>
        <v>15.828427467369558</v>
      </c>
      <c r="O1081" s="3">
        <v>2.5795725326304391</v>
      </c>
      <c r="P1081" s="11">
        <f t="shared" si="166"/>
        <v>184.08198180683459</v>
      </c>
      <c r="Q1081" s="12">
        <f t="shared" si="167"/>
        <v>184.08198180683459</v>
      </c>
      <c r="R1081" s="13">
        <f t="shared" si="168"/>
        <v>147.88602369105809</v>
      </c>
      <c r="S1081" s="3" t="s">
        <v>31</v>
      </c>
      <c r="T1081" s="3" t="s">
        <v>28</v>
      </c>
      <c r="U1081" s="10">
        <v>0</v>
      </c>
      <c r="V1081" s="3">
        <v>0</v>
      </c>
      <c r="W1081" s="3">
        <f t="shared" si="169"/>
        <v>0</v>
      </c>
      <c r="AA1081" s="3">
        <v>36</v>
      </c>
    </row>
    <row r="1082" spans="1:27" x14ac:dyDescent="0.3">
      <c r="A1082" s="3" t="str">
        <f t="shared" si="160"/>
        <v>East9420029902195</v>
      </c>
      <c r="B1082" s="3" t="str">
        <f t="shared" si="161"/>
        <v>KGP9420029902195</v>
      </c>
      <c r="C1082" s="10">
        <v>9420029902195</v>
      </c>
      <c r="D1082" s="10" t="str">
        <f t="shared" si="162"/>
        <v>9420029902</v>
      </c>
      <c r="E1082" s="3" t="s">
        <v>6</v>
      </c>
      <c r="F1082" s="3" t="s">
        <v>66</v>
      </c>
      <c r="H1082" s="3">
        <v>19.237500000000001</v>
      </c>
      <c r="I1082" s="10">
        <f t="shared" si="163"/>
        <v>249.61577742943905</v>
      </c>
      <c r="J1082" s="3">
        <v>2.3120533723600092</v>
      </c>
      <c r="K1082" s="3">
        <v>0</v>
      </c>
      <c r="L1082" s="3">
        <f t="shared" si="164"/>
        <v>0</v>
      </c>
      <c r="N1082" s="11">
        <f t="shared" si="165"/>
        <v>16.925446627639992</v>
      </c>
      <c r="O1082" s="3">
        <v>2.3120533723600092</v>
      </c>
      <c r="P1082" s="11">
        <f t="shared" si="166"/>
        <v>219.61577742943908</v>
      </c>
      <c r="Q1082" s="12">
        <f t="shared" si="167"/>
        <v>219.61577742943908</v>
      </c>
      <c r="R1082" s="13">
        <f t="shared" si="168"/>
        <v>54.081869668543256</v>
      </c>
      <c r="S1082" s="3" t="s">
        <v>31</v>
      </c>
      <c r="T1082" s="3" t="s">
        <v>28</v>
      </c>
      <c r="U1082" s="10">
        <v>0</v>
      </c>
      <c r="V1082" s="3">
        <v>0</v>
      </c>
      <c r="W1082" s="3">
        <f t="shared" si="169"/>
        <v>0</v>
      </c>
      <c r="AA1082" s="3">
        <v>36</v>
      </c>
    </row>
    <row r="1083" spans="1:27" x14ac:dyDescent="0.3">
      <c r="A1083" s="3" t="str">
        <f t="shared" si="160"/>
        <v>East9320029906097</v>
      </c>
      <c r="B1083" s="3" t="str">
        <f t="shared" si="161"/>
        <v>KGP9320029906097</v>
      </c>
      <c r="C1083" s="10">
        <v>9320029906097</v>
      </c>
      <c r="D1083" s="10" t="str">
        <f t="shared" si="162"/>
        <v>9320029906</v>
      </c>
      <c r="E1083" s="3" t="s">
        <v>6</v>
      </c>
      <c r="F1083" s="3" t="s">
        <v>66</v>
      </c>
      <c r="H1083" s="3">
        <v>14.039024999999999</v>
      </c>
      <c r="I1083" s="10">
        <f t="shared" si="163"/>
        <v>189.01153800305946</v>
      </c>
      <c r="J1083" s="3">
        <v>2.2282806354032347</v>
      </c>
      <c r="K1083" s="3">
        <v>0</v>
      </c>
      <c r="L1083" s="3">
        <f t="shared" si="164"/>
        <v>0</v>
      </c>
      <c r="N1083" s="11">
        <f t="shared" si="165"/>
        <v>11.810744364596765</v>
      </c>
      <c r="O1083" s="3">
        <v>2.2282806354032347</v>
      </c>
      <c r="P1083" s="11">
        <f t="shared" si="166"/>
        <v>159.01153800305948</v>
      </c>
      <c r="Q1083" s="12">
        <f t="shared" si="167"/>
        <v>159.01153800305946</v>
      </c>
      <c r="R1083" s="13">
        <f t="shared" si="168"/>
        <v>77.044110717229671</v>
      </c>
      <c r="S1083" s="3" t="s">
        <v>31</v>
      </c>
      <c r="T1083" s="3" t="s">
        <v>28</v>
      </c>
      <c r="U1083" s="10">
        <v>0</v>
      </c>
      <c r="V1083" s="3">
        <v>0</v>
      </c>
      <c r="W1083" s="3">
        <f t="shared" si="169"/>
        <v>0</v>
      </c>
      <c r="AA1083" s="3">
        <v>36</v>
      </c>
    </row>
    <row r="1084" spans="1:27" x14ac:dyDescent="0.3">
      <c r="A1084" s="3" t="str">
        <f t="shared" si="160"/>
        <v>East9160909901320</v>
      </c>
      <c r="B1084" s="3" t="str">
        <f t="shared" si="161"/>
        <v>KGP9160909901320</v>
      </c>
      <c r="C1084" s="10">
        <v>9160909901320</v>
      </c>
      <c r="D1084" s="10" t="str">
        <f t="shared" si="162"/>
        <v>9160909901</v>
      </c>
      <c r="E1084" s="3" t="s">
        <v>6</v>
      </c>
      <c r="F1084" s="3" t="s">
        <v>66</v>
      </c>
      <c r="H1084" s="3">
        <v>11.479999999999999</v>
      </c>
      <c r="I1084" s="10">
        <f t="shared" si="163"/>
        <v>161.49224338890588</v>
      </c>
      <c r="J1084" s="3">
        <v>2.132610166115628</v>
      </c>
      <c r="K1084" s="3">
        <v>0</v>
      </c>
      <c r="L1084" s="3">
        <f t="shared" si="164"/>
        <v>0</v>
      </c>
      <c r="N1084" s="11">
        <f t="shared" si="165"/>
        <v>9.3473898338843711</v>
      </c>
      <c r="O1084" s="3">
        <v>2.132610166115628</v>
      </c>
      <c r="P1084" s="11">
        <f t="shared" si="166"/>
        <v>131.49224338890588</v>
      </c>
      <c r="Q1084" s="12">
        <f t="shared" si="167"/>
        <v>131.49224338890588</v>
      </c>
      <c r="R1084" s="13">
        <f t="shared" si="168"/>
        <v>79.654804762418195</v>
      </c>
      <c r="S1084" s="3" t="s">
        <v>30</v>
      </c>
      <c r="T1084" s="3" t="s">
        <v>34</v>
      </c>
      <c r="U1084" s="10">
        <v>0</v>
      </c>
      <c r="V1084" s="3">
        <v>0</v>
      </c>
      <c r="W1084" s="3">
        <f t="shared" si="169"/>
        <v>0</v>
      </c>
      <c r="AA1084" s="3">
        <v>36</v>
      </c>
    </row>
    <row r="1085" spans="1:27" x14ac:dyDescent="0.3">
      <c r="A1085" s="3" t="str">
        <f t="shared" si="160"/>
        <v>East9410029905190</v>
      </c>
      <c r="B1085" s="3" t="str">
        <f t="shared" si="161"/>
        <v>KGP9410029905190</v>
      </c>
      <c r="C1085" s="10">
        <v>9410029905190</v>
      </c>
      <c r="D1085" s="10" t="str">
        <f t="shared" si="162"/>
        <v>9410029905</v>
      </c>
      <c r="E1085" s="3" t="s">
        <v>6</v>
      </c>
      <c r="F1085" s="3" t="s">
        <v>66</v>
      </c>
      <c r="H1085" s="3">
        <v>13.712399999999999</v>
      </c>
      <c r="I1085" s="10">
        <f t="shared" si="163"/>
        <v>198.53066720341644</v>
      </c>
      <c r="J1085" s="3">
        <v>2.0720828967874483</v>
      </c>
      <c r="K1085" s="3">
        <v>0</v>
      </c>
      <c r="L1085" s="3">
        <f t="shared" si="164"/>
        <v>0</v>
      </c>
      <c r="N1085" s="11">
        <f t="shared" si="165"/>
        <v>11.640317103212551</v>
      </c>
      <c r="O1085" s="3">
        <v>2.0720828967874483</v>
      </c>
      <c r="P1085" s="11">
        <f t="shared" si="166"/>
        <v>168.53066720341644</v>
      </c>
      <c r="Q1085" s="12">
        <f t="shared" si="167"/>
        <v>168.53066720341644</v>
      </c>
      <c r="R1085" s="13">
        <f t="shared" si="168"/>
        <v>140.30510959586513</v>
      </c>
      <c r="S1085" s="3" t="s">
        <v>31</v>
      </c>
      <c r="T1085" s="3" t="s">
        <v>32</v>
      </c>
      <c r="U1085" s="10">
        <v>0</v>
      </c>
      <c r="V1085" s="3">
        <v>0</v>
      </c>
      <c r="W1085" s="3">
        <f t="shared" si="169"/>
        <v>0</v>
      </c>
      <c r="AA1085" s="3">
        <v>36</v>
      </c>
    </row>
    <row r="1086" spans="1:27" x14ac:dyDescent="0.3">
      <c r="A1086" s="3" t="str">
        <f t="shared" si="160"/>
        <v>East9310019905219</v>
      </c>
      <c r="B1086" s="3" t="str">
        <f t="shared" si="161"/>
        <v>KGP9310019905219</v>
      </c>
      <c r="C1086" s="10">
        <v>9310019905219</v>
      </c>
      <c r="D1086" s="10" t="str">
        <f t="shared" si="162"/>
        <v>9310019905</v>
      </c>
      <c r="E1086" s="3" t="s">
        <v>6</v>
      </c>
      <c r="F1086" s="3" t="s">
        <v>66</v>
      </c>
      <c r="H1086" s="3">
        <v>14.293500000000002</v>
      </c>
      <c r="I1086" s="10">
        <f t="shared" si="163"/>
        <v>209.58673188302373</v>
      </c>
      <c r="J1086" s="3">
        <v>2.0459548948896642</v>
      </c>
      <c r="K1086" s="3">
        <v>0</v>
      </c>
      <c r="L1086" s="3">
        <f t="shared" si="164"/>
        <v>0</v>
      </c>
      <c r="N1086" s="11">
        <f t="shared" si="165"/>
        <v>12.247545105110337</v>
      </c>
      <c r="O1086" s="3">
        <v>2.0459548948896642</v>
      </c>
      <c r="P1086" s="11">
        <f t="shared" si="166"/>
        <v>179.5867318830237</v>
      </c>
      <c r="Q1086" s="12">
        <f t="shared" si="167"/>
        <v>179.58673188302373</v>
      </c>
      <c r="R1086" s="13">
        <f t="shared" si="168"/>
        <v>175.92021139214239</v>
      </c>
      <c r="S1086" s="3" t="s">
        <v>31</v>
      </c>
      <c r="T1086" s="3" t="s">
        <v>32</v>
      </c>
      <c r="U1086" s="10">
        <v>9310019900999</v>
      </c>
      <c r="V1086" s="3">
        <v>0.1</v>
      </c>
      <c r="W1086" s="3">
        <f t="shared" si="169"/>
        <v>0</v>
      </c>
      <c r="AA1086" s="3">
        <v>36</v>
      </c>
    </row>
    <row r="1087" spans="1:27" x14ac:dyDescent="0.3">
      <c r="A1087" s="3" t="str">
        <f t="shared" si="160"/>
        <v>East9420019900320</v>
      </c>
      <c r="B1087" s="3" t="str">
        <f t="shared" si="161"/>
        <v>KGP9420019900320</v>
      </c>
      <c r="C1087" s="10">
        <v>9420019900320</v>
      </c>
      <c r="D1087" s="10" t="str">
        <f t="shared" si="162"/>
        <v>9420019900</v>
      </c>
      <c r="E1087" s="3" t="s">
        <v>6</v>
      </c>
      <c r="F1087" s="3" t="s">
        <v>66</v>
      </c>
      <c r="H1087" s="3">
        <v>19.466000000000001</v>
      </c>
      <c r="I1087" s="10">
        <f t="shared" si="163"/>
        <v>309.56964614781941</v>
      </c>
      <c r="J1087" s="3">
        <v>1.8864252592812338</v>
      </c>
      <c r="K1087" s="3">
        <v>0</v>
      </c>
      <c r="L1087" s="3">
        <f t="shared" si="164"/>
        <v>0</v>
      </c>
      <c r="N1087" s="11">
        <f t="shared" si="165"/>
        <v>17.579574740718769</v>
      </c>
      <c r="O1087" s="3">
        <v>1.8864252592812338</v>
      </c>
      <c r="P1087" s="11">
        <f t="shared" si="166"/>
        <v>279.56964614781947</v>
      </c>
      <c r="Q1087" s="12">
        <f t="shared" si="167"/>
        <v>279.56964614781941</v>
      </c>
      <c r="R1087" s="13">
        <f t="shared" si="168"/>
        <v>28.338406312816389</v>
      </c>
      <c r="S1087" s="3" t="s">
        <v>30</v>
      </c>
      <c r="T1087" s="3" t="s">
        <v>28</v>
      </c>
      <c r="U1087" s="10">
        <v>9420019900999</v>
      </c>
      <c r="V1087" s="3">
        <v>0.1</v>
      </c>
      <c r="W1087" s="3">
        <f t="shared" si="169"/>
        <v>0</v>
      </c>
      <c r="AA1087" s="3">
        <v>36</v>
      </c>
    </row>
    <row r="1088" spans="1:27" x14ac:dyDescent="0.3">
      <c r="A1088" s="3" t="str">
        <f t="shared" si="160"/>
        <v>East9160909902219</v>
      </c>
      <c r="B1088" s="3" t="str">
        <f t="shared" si="161"/>
        <v>KGP9160909902219</v>
      </c>
      <c r="C1088" s="10">
        <v>9160909902219</v>
      </c>
      <c r="D1088" s="10" t="str">
        <f t="shared" si="162"/>
        <v>9160909902</v>
      </c>
      <c r="E1088" s="3" t="s">
        <v>6</v>
      </c>
      <c r="F1088" s="3" t="s">
        <v>66</v>
      </c>
      <c r="H1088" s="3">
        <v>3.2954999999999997</v>
      </c>
      <c r="I1088" s="10">
        <f t="shared" si="163"/>
        <v>95.572633748152711</v>
      </c>
      <c r="J1088" s="3">
        <v>1.0344488387808075</v>
      </c>
      <c r="K1088" s="3">
        <v>0</v>
      </c>
      <c r="L1088" s="3">
        <f t="shared" si="164"/>
        <v>0</v>
      </c>
      <c r="N1088" s="11">
        <f t="shared" si="165"/>
        <v>2.2610511612191919</v>
      </c>
      <c r="O1088" s="3">
        <v>1.0344488387808075</v>
      </c>
      <c r="P1088" s="11">
        <f t="shared" si="166"/>
        <v>65.572633748152697</v>
      </c>
      <c r="Q1088" s="12">
        <f t="shared" si="167"/>
        <v>65.572633748152711</v>
      </c>
      <c r="R1088" s="13">
        <f t="shared" si="168"/>
        <v>109.1236064775905</v>
      </c>
      <c r="S1088" s="3" t="s">
        <v>31</v>
      </c>
      <c r="T1088" s="3" t="s">
        <v>34</v>
      </c>
      <c r="U1088" s="10">
        <v>0</v>
      </c>
      <c r="V1088" s="3">
        <v>0</v>
      </c>
      <c r="W1088" s="3">
        <f t="shared" si="169"/>
        <v>0</v>
      </c>
      <c r="AA1088" s="3">
        <v>36</v>
      </c>
    </row>
    <row r="1089" spans="1:27" x14ac:dyDescent="0.3">
      <c r="A1089" s="3" t="str">
        <f t="shared" si="160"/>
        <v>East9420019902838</v>
      </c>
      <c r="B1089" s="3" t="str">
        <f t="shared" si="161"/>
        <v>KGP9420019902838</v>
      </c>
      <c r="C1089" s="10">
        <v>9420019902838</v>
      </c>
      <c r="D1089" s="10" t="str">
        <f t="shared" si="162"/>
        <v>9420019902</v>
      </c>
      <c r="E1089" s="3" t="s">
        <v>6</v>
      </c>
      <c r="F1089" s="3" t="s">
        <v>66</v>
      </c>
      <c r="H1089" s="3">
        <v>2.0367999999999999</v>
      </c>
      <c r="I1089" s="10">
        <f t="shared" si="163"/>
        <v>63.547308602863438</v>
      </c>
      <c r="J1089" s="3">
        <v>0.96155134408393583</v>
      </c>
      <c r="K1089" s="3">
        <v>0</v>
      </c>
      <c r="L1089" s="3">
        <f t="shared" si="164"/>
        <v>0</v>
      </c>
      <c r="N1089" s="11">
        <f t="shared" si="165"/>
        <v>1.0752486559160641</v>
      </c>
      <c r="O1089" s="3">
        <v>0.96155134408393583</v>
      </c>
      <c r="P1089" s="11">
        <f t="shared" si="166"/>
        <v>33.547308602863438</v>
      </c>
      <c r="Q1089" s="12">
        <f t="shared" si="167"/>
        <v>33.547308602863438</v>
      </c>
      <c r="R1089" s="13">
        <f t="shared" si="168"/>
        <v>94.982382273186985</v>
      </c>
      <c r="S1089" s="3" t="s">
        <v>31</v>
      </c>
      <c r="T1089" s="3" t="s">
        <v>28</v>
      </c>
      <c r="U1089" s="10">
        <v>0</v>
      </c>
      <c r="V1089" s="3">
        <v>0</v>
      </c>
      <c r="W1089" s="3">
        <f t="shared" si="169"/>
        <v>0</v>
      </c>
      <c r="AA1089" s="3">
        <v>36</v>
      </c>
    </row>
    <row r="1090" spans="1:27" x14ac:dyDescent="0.3">
      <c r="A1090" s="3" t="str">
        <f t="shared" si="160"/>
        <v>East9310019905097</v>
      </c>
      <c r="B1090" s="3" t="str">
        <f t="shared" si="161"/>
        <v>KGP9310019905097</v>
      </c>
      <c r="C1090" s="10">
        <v>9310019905097</v>
      </c>
      <c r="D1090" s="10" t="str">
        <f t="shared" si="162"/>
        <v>9310019905</v>
      </c>
      <c r="E1090" s="3" t="s">
        <v>6</v>
      </c>
      <c r="F1090" s="3" t="s">
        <v>66</v>
      </c>
      <c r="H1090" s="3">
        <v>15.1008</v>
      </c>
      <c r="I1090" s="10">
        <f t="shared" si="163"/>
        <v>485.9223710106096</v>
      </c>
      <c r="J1090" s="3">
        <v>0.93229706435991344</v>
      </c>
      <c r="K1090" s="3">
        <v>0</v>
      </c>
      <c r="L1090" s="3">
        <f t="shared" si="164"/>
        <v>0</v>
      </c>
      <c r="N1090" s="11">
        <f t="shared" si="165"/>
        <v>14.168502935640086</v>
      </c>
      <c r="O1090" s="3">
        <v>0.93229706435991344</v>
      </c>
      <c r="P1090" s="11">
        <f t="shared" si="166"/>
        <v>455.92237101060954</v>
      </c>
      <c r="Q1090" s="12">
        <f t="shared" si="167"/>
        <v>455.9223710106096</v>
      </c>
      <c r="R1090" s="13">
        <f t="shared" si="168"/>
        <v>121.40272958123445</v>
      </c>
      <c r="S1090" s="3" t="s">
        <v>31</v>
      </c>
      <c r="T1090" s="3" t="s">
        <v>32</v>
      </c>
      <c r="U1090" s="10">
        <v>0</v>
      </c>
      <c r="V1090" s="3">
        <v>0</v>
      </c>
      <c r="W1090" s="3">
        <f t="shared" si="169"/>
        <v>0</v>
      </c>
      <c r="AA1090" s="3">
        <v>36</v>
      </c>
    </row>
    <row r="1091" spans="1:27" x14ac:dyDescent="0.3">
      <c r="A1091" s="3" t="str">
        <f t="shared" si="160"/>
        <v>East9310019905839</v>
      </c>
      <c r="B1091" s="3" t="str">
        <f t="shared" si="161"/>
        <v>KGP9310019905839</v>
      </c>
      <c r="C1091" s="10">
        <v>9310019905839</v>
      </c>
      <c r="D1091" s="10" t="str">
        <f t="shared" si="162"/>
        <v>9310019905</v>
      </c>
      <c r="E1091" s="3" t="s">
        <v>6</v>
      </c>
      <c r="F1091" s="3" t="s">
        <v>66</v>
      </c>
      <c r="H1091" s="3">
        <v>18.294899999999998</v>
      </c>
      <c r="I1091" s="10">
        <f t="shared" si="163"/>
        <v>601.37526166990062</v>
      </c>
      <c r="J1091" s="3">
        <v>0.91265310527732713</v>
      </c>
      <c r="K1091" s="3">
        <v>0</v>
      </c>
      <c r="L1091" s="3">
        <f t="shared" si="164"/>
        <v>0</v>
      </c>
      <c r="N1091" s="11">
        <f t="shared" si="165"/>
        <v>17.38224689472267</v>
      </c>
      <c r="O1091" s="3">
        <v>0.91265310527732713</v>
      </c>
      <c r="P1091" s="11">
        <f t="shared" si="166"/>
        <v>571.37526166990062</v>
      </c>
      <c r="Q1091" s="12">
        <f t="shared" si="167"/>
        <v>571.37526166990051</v>
      </c>
      <c r="R1091" s="13">
        <f t="shared" si="168"/>
        <v>212.69288208290433</v>
      </c>
      <c r="S1091" s="3" t="s">
        <v>31</v>
      </c>
      <c r="T1091" s="3" t="s">
        <v>32</v>
      </c>
      <c r="U1091" s="10">
        <v>0</v>
      </c>
      <c r="V1091" s="3">
        <v>0</v>
      </c>
      <c r="W1091" s="3">
        <f t="shared" si="169"/>
        <v>0</v>
      </c>
      <c r="AA1091" s="3">
        <v>36</v>
      </c>
    </row>
    <row r="1092" spans="1:27" x14ac:dyDescent="0.3">
      <c r="A1092" s="3" t="str">
        <f t="shared" ref="A1092:A1155" si="170">_xlfn.CONCAT(F1092,C1092)</f>
        <v>East9420019900310</v>
      </c>
      <c r="B1092" s="3" t="str">
        <f t="shared" ref="B1092:B1155" si="171">_xlfn.CONCAT(E1092,C1092)</f>
        <v>KGP9420019900310</v>
      </c>
      <c r="C1092" s="10">
        <v>9420019900310</v>
      </c>
      <c r="D1092" s="10" t="str">
        <f t="shared" ref="D1092:D1155" si="172">LEFT(C1092,10)</f>
        <v>9420019900</v>
      </c>
      <c r="E1092" s="3" t="s">
        <v>6</v>
      </c>
      <c r="F1092" s="3" t="s">
        <v>66</v>
      </c>
      <c r="H1092" s="3">
        <v>1.3500000000000003</v>
      </c>
      <c r="I1092" s="10">
        <f t="shared" ref="I1092:I1155" si="173">IFERROR(H1092/J1092*30,0)</f>
        <v>47.990032531685998</v>
      </c>
      <c r="J1092" s="3">
        <v>0.84392524579472616</v>
      </c>
      <c r="K1092" s="3">
        <v>0</v>
      </c>
      <c r="L1092" s="3">
        <f t="shared" ref="L1092:L1155" si="174">M1092*G1092</f>
        <v>0</v>
      </c>
      <c r="N1092" s="11">
        <f t="shared" ref="N1092:N1155" si="175">H1092-J1092+L1092</f>
        <v>0.50607475420527415</v>
      </c>
      <c r="O1092" s="3">
        <v>0.84392524579472616</v>
      </c>
      <c r="P1092" s="11">
        <f t="shared" ref="P1092:P1155" si="176">IF(O1092=0,9999,N1092/O1092*30)</f>
        <v>17.990032531685994</v>
      </c>
      <c r="Q1092" s="12">
        <f t="shared" ref="Q1092:Q1155" si="177">IF(SUMIF($A:$A,$A1092,$O:$O)=0,9999,SUMIF($A:$A,$A1092,$N:$N)*30/SUMIF($A:$A,$A1092,$O:$O))</f>
        <v>17.990032531685998</v>
      </c>
      <c r="R1092" s="13">
        <f t="shared" ref="R1092:R1155" si="178">IF(SUMIF($C:$C,$C1092,$O:$O)=0,9999,SUMIF($C:$C,$C1092,$N:$N)*30/SUMIF($C:$C,$C1092,$O:$O))</f>
        <v>-4.0605572829131411</v>
      </c>
      <c r="S1092" s="3" t="s">
        <v>31</v>
      </c>
      <c r="T1092" s="3" t="s">
        <v>28</v>
      </c>
      <c r="U1092" s="10">
        <v>9420019900999</v>
      </c>
      <c r="V1092" s="3">
        <v>0.1</v>
      </c>
      <c r="W1092" s="3">
        <f t="shared" ref="W1092:W1155" si="179">IFERROR(K1092*V1092,0)</f>
        <v>0</v>
      </c>
      <c r="AA1092" s="3">
        <v>36</v>
      </c>
    </row>
    <row r="1093" spans="1:27" x14ac:dyDescent="0.3">
      <c r="A1093" s="3" t="str">
        <f t="shared" si="170"/>
        <v>East9320029906219</v>
      </c>
      <c r="B1093" s="3" t="str">
        <f t="shared" si="171"/>
        <v>KGP9320029906219</v>
      </c>
      <c r="C1093" s="10">
        <v>9320029906219</v>
      </c>
      <c r="D1093" s="10" t="str">
        <f t="shared" si="172"/>
        <v>9320029906</v>
      </c>
      <c r="E1093" s="3" t="s">
        <v>6</v>
      </c>
      <c r="F1093" s="3" t="s">
        <v>66</v>
      </c>
      <c r="H1093" s="3">
        <v>11.6805</v>
      </c>
      <c r="I1093" s="10">
        <f t="shared" si="173"/>
        <v>458.02446491562887</v>
      </c>
      <c r="J1093" s="3">
        <v>0.76505738632225417</v>
      </c>
      <c r="K1093" s="3">
        <v>0</v>
      </c>
      <c r="L1093" s="3">
        <f t="shared" si="174"/>
        <v>0</v>
      </c>
      <c r="N1093" s="11">
        <f t="shared" si="175"/>
        <v>10.915442613677746</v>
      </c>
      <c r="O1093" s="3">
        <v>0.76505738632225417</v>
      </c>
      <c r="P1093" s="11">
        <f t="shared" si="176"/>
        <v>428.02446491562887</v>
      </c>
      <c r="Q1093" s="12">
        <f t="shared" si="177"/>
        <v>428.02446491562881</v>
      </c>
      <c r="R1093" s="13">
        <f t="shared" si="178"/>
        <v>620.82264501632687</v>
      </c>
      <c r="S1093" s="3" t="s">
        <v>31</v>
      </c>
      <c r="T1093" s="3" t="s">
        <v>28</v>
      </c>
      <c r="U1093" s="10">
        <v>9320029900999</v>
      </c>
      <c r="V1093" s="3">
        <v>0.1</v>
      </c>
      <c r="W1093" s="3">
        <f t="shared" si="179"/>
        <v>0</v>
      </c>
      <c r="AA1093" s="3">
        <v>36</v>
      </c>
    </row>
    <row r="1094" spans="1:27" x14ac:dyDescent="0.3">
      <c r="A1094" s="3" t="str">
        <f t="shared" si="170"/>
        <v>East9420019902319</v>
      </c>
      <c r="B1094" s="3" t="str">
        <f t="shared" si="171"/>
        <v>KGP9420019902319</v>
      </c>
      <c r="C1094" s="10">
        <v>9420019902319</v>
      </c>
      <c r="D1094" s="10" t="str">
        <f t="shared" si="172"/>
        <v>9420019902</v>
      </c>
      <c r="E1094" s="3" t="s">
        <v>6</v>
      </c>
      <c r="F1094" s="3" t="s">
        <v>66</v>
      </c>
      <c r="H1094" s="3">
        <v>0.39900000000000002</v>
      </c>
      <c r="I1094" s="10">
        <f t="shared" si="173"/>
        <v>19.211301354221423</v>
      </c>
      <c r="J1094" s="3">
        <v>0.62307075295395098</v>
      </c>
      <c r="K1094" s="3">
        <v>0</v>
      </c>
      <c r="L1094" s="3">
        <f t="shared" si="174"/>
        <v>0</v>
      </c>
      <c r="N1094" s="11">
        <f t="shared" si="175"/>
        <v>-0.22407075295395096</v>
      </c>
      <c r="O1094" s="3">
        <v>0.62307075295395098</v>
      </c>
      <c r="P1094" s="11">
        <f t="shared" si="176"/>
        <v>-10.788698645778576</v>
      </c>
      <c r="Q1094" s="12">
        <f t="shared" si="177"/>
        <v>-10.788698645778576</v>
      </c>
      <c r="R1094" s="13">
        <f t="shared" si="178"/>
        <v>129.12664609594353</v>
      </c>
      <c r="S1094" s="3" t="s">
        <v>31</v>
      </c>
      <c r="T1094" s="3" t="s">
        <v>28</v>
      </c>
      <c r="U1094" s="10">
        <v>9420019900999</v>
      </c>
      <c r="V1094" s="3">
        <v>0.1</v>
      </c>
      <c r="W1094" s="3">
        <f t="shared" si="179"/>
        <v>0</v>
      </c>
      <c r="AA1094" s="3">
        <v>36</v>
      </c>
    </row>
    <row r="1095" spans="1:27" x14ac:dyDescent="0.3">
      <c r="A1095" s="3" t="str">
        <f t="shared" si="170"/>
        <v>East9310019905297</v>
      </c>
      <c r="B1095" s="3" t="str">
        <f t="shared" si="171"/>
        <v>KGP9310019905297</v>
      </c>
      <c r="C1095" s="10">
        <v>9310019905297</v>
      </c>
      <c r="D1095" s="10" t="str">
        <f t="shared" si="172"/>
        <v>9310019905</v>
      </c>
      <c r="E1095" s="3" t="s">
        <v>6</v>
      </c>
      <c r="F1095" s="3" t="s">
        <v>66</v>
      </c>
      <c r="H1095" s="3">
        <v>2.262</v>
      </c>
      <c r="I1095" s="10">
        <f t="shared" si="173"/>
        <v>114.65729424117023</v>
      </c>
      <c r="J1095" s="3">
        <v>0.59185070124944017</v>
      </c>
      <c r="K1095" s="3">
        <v>0</v>
      </c>
      <c r="L1095" s="3">
        <f t="shared" si="174"/>
        <v>0</v>
      </c>
      <c r="N1095" s="11">
        <f t="shared" si="175"/>
        <v>1.6701492987505597</v>
      </c>
      <c r="O1095" s="3">
        <v>0.59185070124944017</v>
      </c>
      <c r="P1095" s="11">
        <f t="shared" si="176"/>
        <v>84.65729424117022</v>
      </c>
      <c r="Q1095" s="12">
        <f t="shared" si="177"/>
        <v>84.657294241170234</v>
      </c>
      <c r="R1095" s="13">
        <f t="shared" si="178"/>
        <v>114.03376967986529</v>
      </c>
      <c r="S1095" s="3" t="s">
        <v>31</v>
      </c>
      <c r="T1095" s="3" t="s">
        <v>32</v>
      </c>
      <c r="U1095" s="10">
        <v>9310019900999</v>
      </c>
      <c r="V1095" s="3">
        <v>0.1</v>
      </c>
      <c r="W1095" s="3">
        <f t="shared" si="179"/>
        <v>0</v>
      </c>
      <c r="AA1095" s="3">
        <v>36</v>
      </c>
    </row>
    <row r="1096" spans="1:27" x14ac:dyDescent="0.3">
      <c r="A1096" s="3" t="str">
        <f t="shared" si="170"/>
        <v>East9420019902295</v>
      </c>
      <c r="B1096" s="3" t="str">
        <f t="shared" si="171"/>
        <v>KGP9420019902295</v>
      </c>
      <c r="C1096" s="10">
        <v>9420019902295</v>
      </c>
      <c r="D1096" s="10" t="str">
        <f t="shared" si="172"/>
        <v>9420019902</v>
      </c>
      <c r="E1096" s="3" t="s">
        <v>6</v>
      </c>
      <c r="F1096" s="3" t="s">
        <v>66</v>
      </c>
      <c r="H1096" s="3">
        <v>0.19949999999999998</v>
      </c>
      <c r="I1096" s="10">
        <f t="shared" si="173"/>
        <v>10.546379735411438</v>
      </c>
      <c r="J1096" s="3">
        <v>0.56749331525625279</v>
      </c>
      <c r="K1096" s="3">
        <v>0</v>
      </c>
      <c r="L1096" s="3">
        <f t="shared" si="174"/>
        <v>0</v>
      </c>
      <c r="N1096" s="11">
        <f t="shared" si="175"/>
        <v>-0.36799331525625278</v>
      </c>
      <c r="O1096" s="3">
        <v>0.56749331525625279</v>
      </c>
      <c r="P1096" s="11">
        <f t="shared" si="176"/>
        <v>-19.453620264588562</v>
      </c>
      <c r="Q1096" s="12">
        <f t="shared" si="177"/>
        <v>-19.453620264588562</v>
      </c>
      <c r="R1096" s="13">
        <f t="shared" si="178"/>
        <v>39.953658255764203</v>
      </c>
      <c r="S1096" s="3" t="s">
        <v>31</v>
      </c>
      <c r="T1096" s="3" t="s">
        <v>28</v>
      </c>
      <c r="U1096" s="10">
        <v>9420019900999</v>
      </c>
      <c r="V1096" s="3">
        <v>0.1</v>
      </c>
      <c r="W1096" s="3">
        <f t="shared" si="179"/>
        <v>0</v>
      </c>
      <c r="AA1096" s="3">
        <v>36</v>
      </c>
    </row>
    <row r="1097" spans="1:27" x14ac:dyDescent="0.3">
      <c r="A1097" s="3" t="str">
        <f t="shared" si="170"/>
        <v>East9420019900840</v>
      </c>
      <c r="B1097" s="3" t="str">
        <f t="shared" si="171"/>
        <v>KGP9420019900840</v>
      </c>
      <c r="C1097" s="10">
        <v>9420019900840</v>
      </c>
      <c r="D1097" s="10" t="str">
        <f t="shared" si="172"/>
        <v>9420019900</v>
      </c>
      <c r="E1097" s="3" t="s">
        <v>6</v>
      </c>
      <c r="F1097" s="3" t="s">
        <v>66</v>
      </c>
      <c r="H1097" s="3">
        <v>0.72400000000000009</v>
      </c>
      <c r="I1097" s="10">
        <f t="shared" si="173"/>
        <v>48.347410005320768</v>
      </c>
      <c r="J1097" s="3">
        <v>0.44924847055115585</v>
      </c>
      <c r="K1097" s="3">
        <v>0</v>
      </c>
      <c r="L1097" s="3">
        <f t="shared" si="174"/>
        <v>0</v>
      </c>
      <c r="N1097" s="11">
        <f t="shared" si="175"/>
        <v>0.27475152944884423</v>
      </c>
      <c r="O1097" s="3">
        <v>0.44924847055115585</v>
      </c>
      <c r="P1097" s="11">
        <f t="shared" si="176"/>
        <v>18.347410005320761</v>
      </c>
      <c r="Q1097" s="12">
        <f t="shared" si="177"/>
        <v>18.347410005320764</v>
      </c>
      <c r="R1097" s="13">
        <f t="shared" si="178"/>
        <v>-16.802681825879457</v>
      </c>
      <c r="S1097" s="3" t="s">
        <v>31</v>
      </c>
      <c r="T1097" s="3" t="s">
        <v>28</v>
      </c>
      <c r="U1097" s="10">
        <v>0</v>
      </c>
      <c r="V1097" s="3">
        <v>0</v>
      </c>
      <c r="W1097" s="3">
        <f t="shared" si="179"/>
        <v>0</v>
      </c>
      <c r="AA1097" s="3">
        <v>36</v>
      </c>
    </row>
    <row r="1098" spans="1:27" x14ac:dyDescent="0.3">
      <c r="A1098" s="3" t="str">
        <f t="shared" si="170"/>
        <v>East9420039906190</v>
      </c>
      <c r="B1098" s="3" t="str">
        <f t="shared" si="171"/>
        <v>KGP9420039906190</v>
      </c>
      <c r="C1098" s="10">
        <v>9420039906190</v>
      </c>
      <c r="D1098" s="10" t="str">
        <f t="shared" si="172"/>
        <v>9420039906</v>
      </c>
      <c r="E1098" s="3" t="s">
        <v>6</v>
      </c>
      <c r="F1098" s="3" t="s">
        <v>66</v>
      </c>
      <c r="H1098" s="3">
        <v>5.5233000000000008</v>
      </c>
      <c r="I1098" s="10">
        <f t="shared" si="173"/>
        <v>393.32989755153773</v>
      </c>
      <c r="J1098" s="3">
        <v>0.42127232389774949</v>
      </c>
      <c r="K1098" s="3">
        <v>0</v>
      </c>
      <c r="L1098" s="3">
        <f t="shared" si="174"/>
        <v>0</v>
      </c>
      <c r="N1098" s="11">
        <f t="shared" si="175"/>
        <v>5.1020276761022512</v>
      </c>
      <c r="O1098" s="3">
        <v>0.42127232389774949</v>
      </c>
      <c r="P1098" s="11">
        <f t="shared" si="176"/>
        <v>363.32989755153773</v>
      </c>
      <c r="Q1098" s="12">
        <f t="shared" si="177"/>
        <v>363.32989755153773</v>
      </c>
      <c r="R1098" s="13">
        <f t="shared" si="178"/>
        <v>480.18321130247631</v>
      </c>
      <c r="S1098" s="3" t="s">
        <v>31</v>
      </c>
      <c r="T1098" s="3" t="s">
        <v>28</v>
      </c>
      <c r="U1098" s="10">
        <v>0</v>
      </c>
      <c r="V1098" s="3">
        <v>0</v>
      </c>
      <c r="W1098" s="3">
        <f t="shared" si="179"/>
        <v>0</v>
      </c>
      <c r="AA1098" s="3">
        <v>36</v>
      </c>
    </row>
    <row r="1099" spans="1:27" x14ac:dyDescent="0.3">
      <c r="A1099" s="3" t="str">
        <f t="shared" si="170"/>
        <v>East9320029906297</v>
      </c>
      <c r="B1099" s="3" t="str">
        <f t="shared" si="171"/>
        <v>KGP9320029906297</v>
      </c>
      <c r="C1099" s="10">
        <v>9320029906297</v>
      </c>
      <c r="D1099" s="10" t="str">
        <f t="shared" si="172"/>
        <v>9320029906</v>
      </c>
      <c r="E1099" s="3" t="s">
        <v>6</v>
      </c>
      <c r="F1099" s="3" t="s">
        <v>66</v>
      </c>
      <c r="H1099" s="3">
        <v>2.7982499999999999</v>
      </c>
      <c r="I1099" s="10">
        <f t="shared" si="173"/>
        <v>259.87227160889472</v>
      </c>
      <c r="J1099" s="3">
        <v>0.32303369451566644</v>
      </c>
      <c r="K1099" s="3">
        <v>0</v>
      </c>
      <c r="L1099" s="3">
        <f t="shared" si="174"/>
        <v>0</v>
      </c>
      <c r="N1099" s="11">
        <f t="shared" si="175"/>
        <v>2.4752163054843335</v>
      </c>
      <c r="O1099" s="3">
        <v>0.32303369451566644</v>
      </c>
      <c r="P1099" s="11">
        <f t="shared" si="176"/>
        <v>229.87227160889472</v>
      </c>
      <c r="Q1099" s="12">
        <f t="shared" si="177"/>
        <v>229.87227160889475</v>
      </c>
      <c r="R1099" s="13">
        <f t="shared" si="178"/>
        <v>843.98779103561071</v>
      </c>
      <c r="S1099" s="3" t="s">
        <v>31</v>
      </c>
      <c r="T1099" s="3" t="s">
        <v>28</v>
      </c>
      <c r="U1099" s="10">
        <v>9320029900999</v>
      </c>
      <c r="V1099" s="3">
        <v>0.1</v>
      </c>
      <c r="W1099" s="3">
        <f t="shared" si="179"/>
        <v>0</v>
      </c>
      <c r="AA1099" s="3">
        <v>36</v>
      </c>
    </row>
    <row r="1100" spans="1:27" x14ac:dyDescent="0.3">
      <c r="A1100" s="3" t="str">
        <f t="shared" si="170"/>
        <v>East9420019900210</v>
      </c>
      <c r="B1100" s="3" t="str">
        <f t="shared" si="171"/>
        <v>KGP9420019900210</v>
      </c>
      <c r="C1100" s="10">
        <v>9420019900210</v>
      </c>
      <c r="D1100" s="10" t="str">
        <f t="shared" si="172"/>
        <v>9420019900</v>
      </c>
      <c r="E1100" s="3" t="s">
        <v>6</v>
      </c>
      <c r="F1100" s="3" t="s">
        <v>66</v>
      </c>
      <c r="H1100" s="3">
        <v>2.4820000000000002</v>
      </c>
      <c r="I1100" s="10">
        <f t="shared" si="173"/>
        <v>252.32748472048775</v>
      </c>
      <c r="J1100" s="3">
        <v>0.29509270495238377</v>
      </c>
      <c r="K1100" s="3">
        <v>0</v>
      </c>
      <c r="L1100" s="3">
        <f t="shared" si="174"/>
        <v>0</v>
      </c>
      <c r="N1100" s="11">
        <f t="shared" si="175"/>
        <v>2.1869072950476163</v>
      </c>
      <c r="O1100" s="3">
        <v>0.29509270495238377</v>
      </c>
      <c r="P1100" s="11">
        <f t="shared" si="176"/>
        <v>222.32748472048772</v>
      </c>
      <c r="Q1100" s="12">
        <f t="shared" si="177"/>
        <v>222.32748472048769</v>
      </c>
      <c r="R1100" s="13">
        <f t="shared" si="178"/>
        <v>173.10614674349301</v>
      </c>
      <c r="S1100" s="3" t="s">
        <v>31</v>
      </c>
      <c r="T1100" s="3" t="s">
        <v>28</v>
      </c>
      <c r="U1100" s="10">
        <v>0</v>
      </c>
      <c r="V1100" s="3">
        <v>0</v>
      </c>
      <c r="W1100" s="3">
        <f t="shared" si="179"/>
        <v>0</v>
      </c>
      <c r="AA1100" s="3">
        <v>36</v>
      </c>
    </row>
    <row r="1101" spans="1:27" x14ac:dyDescent="0.3">
      <c r="A1101" s="3" t="str">
        <f t="shared" si="170"/>
        <v>East9420039906836</v>
      </c>
      <c r="B1101" s="3" t="str">
        <f t="shared" si="171"/>
        <v>KGP9420039906836</v>
      </c>
      <c r="C1101" s="10">
        <v>9420039906836</v>
      </c>
      <c r="D1101" s="10" t="str">
        <f t="shared" si="172"/>
        <v>9420039906</v>
      </c>
      <c r="E1101" s="3" t="s">
        <v>6</v>
      </c>
      <c r="F1101" s="3" t="s">
        <v>66</v>
      </c>
      <c r="H1101" s="3">
        <v>7.0164000000000026</v>
      </c>
      <c r="I1101" s="10">
        <f t="shared" si="173"/>
        <v>807.10096954917526</v>
      </c>
      <c r="J1101" s="3">
        <v>0.26080008318856962</v>
      </c>
      <c r="K1101" s="3">
        <v>0</v>
      </c>
      <c r="L1101" s="3">
        <f t="shared" si="174"/>
        <v>0</v>
      </c>
      <c r="N1101" s="11">
        <f t="shared" si="175"/>
        <v>6.7555999168114331</v>
      </c>
      <c r="O1101" s="3">
        <v>0.26080008318856962</v>
      </c>
      <c r="P1101" s="11">
        <f t="shared" si="176"/>
        <v>777.10096954917526</v>
      </c>
      <c r="Q1101" s="12">
        <f t="shared" si="177"/>
        <v>777.10096954917515</v>
      </c>
      <c r="R1101" s="13">
        <f t="shared" si="178"/>
        <v>1401.1343685971328</v>
      </c>
      <c r="S1101" s="3" t="s">
        <v>31</v>
      </c>
      <c r="T1101" s="3" t="s">
        <v>28</v>
      </c>
      <c r="U1101" s="10">
        <v>0</v>
      </c>
      <c r="V1101" s="3">
        <v>0</v>
      </c>
      <c r="W1101" s="3">
        <f t="shared" si="179"/>
        <v>0</v>
      </c>
      <c r="AA1101" s="3">
        <v>36</v>
      </c>
    </row>
    <row r="1102" spans="1:27" x14ac:dyDescent="0.3">
      <c r="A1102" s="3" t="str">
        <f t="shared" si="170"/>
        <v>East9420019902195</v>
      </c>
      <c r="B1102" s="3" t="str">
        <f t="shared" si="171"/>
        <v>KGP9420019902195</v>
      </c>
      <c r="C1102" s="10">
        <v>9420019902195</v>
      </c>
      <c r="D1102" s="10" t="str">
        <f t="shared" si="172"/>
        <v>9420019902</v>
      </c>
      <c r="E1102" s="3" t="s">
        <v>6</v>
      </c>
      <c r="F1102" s="3" t="s">
        <v>66</v>
      </c>
      <c r="H1102" s="3">
        <v>1.0782499999999999</v>
      </c>
      <c r="I1102" s="10">
        <f t="shared" si="173"/>
        <v>207.44148410440903</v>
      </c>
      <c r="J1102" s="3">
        <v>0.15593554076058827</v>
      </c>
      <c r="K1102" s="3">
        <v>0</v>
      </c>
      <c r="L1102" s="3">
        <f t="shared" si="174"/>
        <v>0</v>
      </c>
      <c r="N1102" s="11">
        <f t="shared" si="175"/>
        <v>0.92231445923941169</v>
      </c>
      <c r="O1102" s="3">
        <v>0.15593554076058827</v>
      </c>
      <c r="P1102" s="11">
        <f t="shared" si="176"/>
        <v>177.44148410440903</v>
      </c>
      <c r="Q1102" s="12">
        <f t="shared" si="177"/>
        <v>177.44148410440906</v>
      </c>
      <c r="R1102" s="13">
        <f t="shared" si="178"/>
        <v>45.855734013861159</v>
      </c>
      <c r="S1102" s="3" t="s">
        <v>31</v>
      </c>
      <c r="T1102" s="3" t="s">
        <v>28</v>
      </c>
      <c r="U1102" s="10">
        <v>0</v>
      </c>
      <c r="V1102" s="3">
        <v>0</v>
      </c>
      <c r="W1102" s="3">
        <f t="shared" si="179"/>
        <v>0</v>
      </c>
      <c r="AA1102" s="3">
        <v>36</v>
      </c>
    </row>
    <row r="1103" spans="1:27" x14ac:dyDescent="0.3">
      <c r="A1103" s="3" t="str">
        <f t="shared" si="170"/>
        <v>East9160909901210</v>
      </c>
      <c r="B1103" s="3" t="str">
        <f t="shared" si="171"/>
        <v>KGP9160909901210</v>
      </c>
      <c r="C1103" s="10">
        <v>9160909901210</v>
      </c>
      <c r="D1103" s="10" t="str">
        <f t="shared" si="172"/>
        <v>9160909901</v>
      </c>
      <c r="E1103" s="3" t="s">
        <v>6</v>
      </c>
      <c r="F1103" s="3" t="s">
        <v>66</v>
      </c>
      <c r="H1103" s="3">
        <v>0</v>
      </c>
      <c r="I1103" s="10">
        <f t="shared" si="173"/>
        <v>0</v>
      </c>
      <c r="J1103" s="3">
        <v>0</v>
      </c>
      <c r="K1103" s="3">
        <v>0</v>
      </c>
      <c r="L1103" s="3">
        <f t="shared" si="174"/>
        <v>0</v>
      </c>
      <c r="N1103" s="11">
        <f t="shared" si="175"/>
        <v>0</v>
      </c>
      <c r="O1103" s="3">
        <v>0</v>
      </c>
      <c r="P1103" s="11">
        <f t="shared" si="176"/>
        <v>9999</v>
      </c>
      <c r="Q1103" s="12">
        <f t="shared" si="177"/>
        <v>9999</v>
      </c>
      <c r="R1103" s="13">
        <f t="shared" si="178"/>
        <v>9999</v>
      </c>
      <c r="S1103" s="3" t="s">
        <v>31</v>
      </c>
      <c r="T1103" s="3" t="s">
        <v>34</v>
      </c>
      <c r="U1103" s="10" t="s">
        <v>72</v>
      </c>
      <c r="V1103" s="3" t="s">
        <v>72</v>
      </c>
      <c r="W1103" s="3">
        <f t="shared" si="179"/>
        <v>0</v>
      </c>
      <c r="AA1103" s="3">
        <v>36</v>
      </c>
    </row>
    <row r="1104" spans="1:27" x14ac:dyDescent="0.3">
      <c r="A1104" s="3" t="str">
        <f t="shared" si="170"/>
        <v>East9160909902097</v>
      </c>
      <c r="B1104" s="3" t="str">
        <f t="shared" si="171"/>
        <v>KGP9160909902097</v>
      </c>
      <c r="C1104" s="10">
        <v>9160909902097</v>
      </c>
      <c r="D1104" s="10" t="str">
        <f t="shared" si="172"/>
        <v>9160909902</v>
      </c>
      <c r="E1104" s="3" t="s">
        <v>6</v>
      </c>
      <c r="F1104" s="3" t="s">
        <v>66</v>
      </c>
      <c r="H1104" s="3">
        <v>0</v>
      </c>
      <c r="I1104" s="10">
        <f t="shared" si="173"/>
        <v>0</v>
      </c>
      <c r="J1104" s="3">
        <v>0</v>
      </c>
      <c r="K1104" s="3">
        <v>0</v>
      </c>
      <c r="L1104" s="3">
        <f t="shared" si="174"/>
        <v>0</v>
      </c>
      <c r="N1104" s="11">
        <f t="shared" si="175"/>
        <v>0</v>
      </c>
      <c r="O1104" s="3">
        <v>0</v>
      </c>
      <c r="P1104" s="11">
        <f t="shared" si="176"/>
        <v>9999</v>
      </c>
      <c r="Q1104" s="12">
        <f t="shared" si="177"/>
        <v>9999</v>
      </c>
      <c r="R1104" s="13">
        <f t="shared" si="178"/>
        <v>9999</v>
      </c>
      <c r="S1104" s="3" t="s">
        <v>31</v>
      </c>
      <c r="T1104" s="3" t="s">
        <v>34</v>
      </c>
      <c r="U1104" s="10" t="s">
        <v>72</v>
      </c>
      <c r="V1104" s="3" t="s">
        <v>72</v>
      </c>
      <c r="W1104" s="3">
        <f t="shared" si="179"/>
        <v>0</v>
      </c>
      <c r="AA1104" s="3">
        <v>36</v>
      </c>
    </row>
    <row r="1105" spans="1:27" ht="15.6" x14ac:dyDescent="0.3">
      <c r="A1105" s="3" t="str">
        <f t="shared" si="170"/>
        <v>West9100309901320</v>
      </c>
      <c r="B1105" s="3" t="str">
        <f t="shared" si="171"/>
        <v>Mah9100309901320</v>
      </c>
      <c r="C1105" s="14">
        <v>9100309901320</v>
      </c>
      <c r="D1105" s="10" t="str">
        <f t="shared" si="172"/>
        <v>9100309901</v>
      </c>
      <c r="E1105" s="3" t="s">
        <v>1</v>
      </c>
      <c r="F1105" s="3" t="s">
        <v>63</v>
      </c>
      <c r="G1105"/>
      <c r="H1105" s="3">
        <v>81.319999999999993</v>
      </c>
      <c r="I1105" s="10">
        <f t="shared" si="173"/>
        <v>39.95269346097318</v>
      </c>
      <c r="J1105" s="3">
        <v>61.062216052668987</v>
      </c>
      <c r="K1105" s="3">
        <v>111</v>
      </c>
      <c r="L1105" s="3">
        <f t="shared" si="174"/>
        <v>0</v>
      </c>
      <c r="M1105" s="32"/>
      <c r="N1105" s="11">
        <f t="shared" si="175"/>
        <v>20.257783947331006</v>
      </c>
      <c r="O1105" s="3">
        <v>61.062216052668987</v>
      </c>
      <c r="P1105" s="11">
        <f t="shared" si="176"/>
        <v>9.9526934609731814</v>
      </c>
      <c r="Q1105" s="12">
        <f t="shared" si="177"/>
        <v>9.9526934609731796</v>
      </c>
      <c r="R1105" s="13">
        <f t="shared" si="178"/>
        <v>38.292230513753402</v>
      </c>
      <c r="S1105" s="3" t="s">
        <v>29</v>
      </c>
      <c r="T1105" s="3" t="s">
        <v>34</v>
      </c>
      <c r="U1105" s="10">
        <v>0</v>
      </c>
      <c r="V1105" s="3">
        <v>0</v>
      </c>
      <c r="W1105" s="3">
        <f t="shared" si="179"/>
        <v>0</v>
      </c>
      <c r="Y1105" s="3">
        <v>0</v>
      </c>
      <c r="Z1105" s="3">
        <v>0</v>
      </c>
      <c r="AA1105">
        <v>37</v>
      </c>
    </row>
    <row r="1106" spans="1:27" x14ac:dyDescent="0.3">
      <c r="A1106" s="3" t="str">
        <f t="shared" si="170"/>
        <v>West9100509901320</v>
      </c>
      <c r="B1106" s="3" t="str">
        <f t="shared" si="171"/>
        <v>Mah9100509901320</v>
      </c>
      <c r="C1106" s="14">
        <v>9100509901320</v>
      </c>
      <c r="D1106" s="10" t="str">
        <f t="shared" si="172"/>
        <v>9100509901</v>
      </c>
      <c r="E1106" s="3" t="s">
        <v>1</v>
      </c>
      <c r="F1106" s="3" t="s">
        <v>63</v>
      </c>
      <c r="H1106" s="3">
        <v>72.12</v>
      </c>
      <c r="I1106" s="10">
        <f t="shared" si="173"/>
        <v>88.339329926713404</v>
      </c>
      <c r="J1106" s="3">
        <v>24.491922247937918</v>
      </c>
      <c r="K1106" s="3">
        <v>0</v>
      </c>
      <c r="L1106" s="3">
        <f t="shared" si="174"/>
        <v>0</v>
      </c>
      <c r="M1106" s="32"/>
      <c r="N1106" s="11">
        <f t="shared" si="175"/>
        <v>47.628077752062083</v>
      </c>
      <c r="O1106" s="3">
        <v>24.491922247937918</v>
      </c>
      <c r="P1106" s="11">
        <f t="shared" si="176"/>
        <v>58.339329926713404</v>
      </c>
      <c r="Q1106" s="12">
        <f t="shared" si="177"/>
        <v>58.339329926713411</v>
      </c>
      <c r="R1106" s="13">
        <f t="shared" si="178"/>
        <v>43.827287758389929</v>
      </c>
      <c r="S1106" s="3" t="s">
        <v>30</v>
      </c>
      <c r="T1106" s="3" t="s">
        <v>34</v>
      </c>
      <c r="U1106" s="10">
        <v>0</v>
      </c>
      <c r="V1106" s="3">
        <v>0</v>
      </c>
      <c r="W1106" s="3">
        <f t="shared" si="179"/>
        <v>0</v>
      </c>
      <c r="Y1106" s="3">
        <v>0</v>
      </c>
      <c r="Z1106" s="3">
        <v>110</v>
      </c>
      <c r="AA1106" s="3">
        <v>37</v>
      </c>
    </row>
    <row r="1107" spans="1:27" x14ac:dyDescent="0.3">
      <c r="A1107" s="3" t="str">
        <f t="shared" si="170"/>
        <v>West9310029901320</v>
      </c>
      <c r="B1107" s="3" t="str">
        <f t="shared" si="171"/>
        <v>Mah9310029901320</v>
      </c>
      <c r="C1107" s="10">
        <v>9310029901320</v>
      </c>
      <c r="D1107" s="10" t="str">
        <f t="shared" si="172"/>
        <v>9310029901</v>
      </c>
      <c r="E1107" s="3" t="s">
        <v>1</v>
      </c>
      <c r="F1107" s="3" t="s">
        <v>63</v>
      </c>
      <c r="H1107" s="3">
        <v>9.7200000000000006</v>
      </c>
      <c r="I1107" s="10">
        <f t="shared" si="173"/>
        <v>77.351619700702372</v>
      </c>
      <c r="J1107" s="3">
        <v>3.7697982424710914</v>
      </c>
      <c r="K1107" s="3">
        <v>0</v>
      </c>
      <c r="L1107" s="3">
        <f t="shared" si="174"/>
        <v>0</v>
      </c>
      <c r="M1107" s="32"/>
      <c r="N1107" s="11">
        <f t="shared" si="175"/>
        <v>5.9502017575289088</v>
      </c>
      <c r="O1107" s="3">
        <v>3.7697982424710914</v>
      </c>
      <c r="P1107" s="11">
        <f t="shared" si="176"/>
        <v>47.351619700702358</v>
      </c>
      <c r="Q1107" s="12">
        <f t="shared" si="177"/>
        <v>47.351619700702365</v>
      </c>
      <c r="R1107" s="13">
        <f t="shared" si="178"/>
        <v>68.274718392050673</v>
      </c>
      <c r="S1107" s="3" t="s">
        <v>31</v>
      </c>
      <c r="T1107" s="3" t="s">
        <v>32</v>
      </c>
      <c r="U1107" s="10">
        <v>9310029900999</v>
      </c>
      <c r="V1107" s="3">
        <v>0.1</v>
      </c>
      <c r="W1107" s="3">
        <f t="shared" si="179"/>
        <v>0</v>
      </c>
      <c r="Y1107" s="3">
        <v>0</v>
      </c>
      <c r="Z1107" s="3">
        <v>130</v>
      </c>
      <c r="AA1107" s="3">
        <v>37</v>
      </c>
    </row>
    <row r="1108" spans="1:27" x14ac:dyDescent="0.3">
      <c r="A1108" s="3" t="str">
        <f t="shared" si="170"/>
        <v>West9310029901310</v>
      </c>
      <c r="B1108" s="3" t="str">
        <f t="shared" si="171"/>
        <v>Mah9310029901310</v>
      </c>
      <c r="C1108" s="10">
        <v>9310029901310</v>
      </c>
      <c r="D1108" s="10" t="str">
        <f t="shared" si="172"/>
        <v>9310029901</v>
      </c>
      <c r="E1108" s="3" t="s">
        <v>1</v>
      </c>
      <c r="F1108" s="3" t="s">
        <v>63</v>
      </c>
      <c r="H1108" s="3">
        <v>1.4800000000000004</v>
      </c>
      <c r="I1108" s="10">
        <f t="shared" si="173"/>
        <v>147.80035816878038</v>
      </c>
      <c r="J1108" s="3">
        <v>0.30040522600965219</v>
      </c>
      <c r="K1108" s="3">
        <v>0</v>
      </c>
      <c r="L1108" s="3">
        <f t="shared" si="174"/>
        <v>0</v>
      </c>
      <c r="N1108" s="11">
        <f t="shared" si="175"/>
        <v>1.1795947739903483</v>
      </c>
      <c r="O1108" s="3">
        <v>0.30040522600965219</v>
      </c>
      <c r="P1108" s="11">
        <f t="shared" si="176"/>
        <v>117.80035816878038</v>
      </c>
      <c r="Q1108" s="12">
        <f t="shared" si="177"/>
        <v>117.80035816878038</v>
      </c>
      <c r="R1108" s="13">
        <f t="shared" si="178"/>
        <v>236.16131981271428</v>
      </c>
      <c r="S1108" s="3" t="s">
        <v>31</v>
      </c>
      <c r="T1108" s="3" t="s">
        <v>32</v>
      </c>
      <c r="U1108" s="10">
        <v>9310029900999</v>
      </c>
      <c r="V1108" s="3">
        <v>0.1</v>
      </c>
      <c r="W1108" s="3">
        <f t="shared" si="179"/>
        <v>0</v>
      </c>
      <c r="AA1108" s="3">
        <v>37</v>
      </c>
    </row>
    <row r="1109" spans="1:27" x14ac:dyDescent="0.3">
      <c r="A1109" s="3" t="str">
        <f t="shared" si="170"/>
        <v>West9310029901210</v>
      </c>
      <c r="B1109" s="3" t="str">
        <f t="shared" si="171"/>
        <v>Mah9310029901210</v>
      </c>
      <c r="C1109" s="10">
        <v>9310029901210</v>
      </c>
      <c r="D1109" s="10" t="str">
        <f t="shared" si="172"/>
        <v>9310029901</v>
      </c>
      <c r="E1109" s="3" t="s">
        <v>1</v>
      </c>
      <c r="F1109" s="3" t="s">
        <v>63</v>
      </c>
      <c r="H1109" s="3">
        <v>0.77300000000000002</v>
      </c>
      <c r="I1109" s="10">
        <f t="shared" si="173"/>
        <v>185.03724098817301</v>
      </c>
      <c r="J1109" s="3">
        <v>0.12532612287211001</v>
      </c>
      <c r="K1109" s="3">
        <v>0</v>
      </c>
      <c r="L1109" s="3">
        <f t="shared" si="174"/>
        <v>0</v>
      </c>
      <c r="N1109" s="11">
        <f t="shared" si="175"/>
        <v>0.64767387712789004</v>
      </c>
      <c r="O1109" s="3">
        <v>0.12532612287211001</v>
      </c>
      <c r="P1109" s="11">
        <f t="shared" si="176"/>
        <v>155.03724098817301</v>
      </c>
      <c r="Q1109" s="12">
        <f t="shared" si="177"/>
        <v>155.03724098817301</v>
      </c>
      <c r="R1109" s="13">
        <f t="shared" si="178"/>
        <v>839.82980335981051</v>
      </c>
      <c r="S1109" s="3" t="s">
        <v>31</v>
      </c>
      <c r="T1109" s="3" t="s">
        <v>32</v>
      </c>
      <c r="U1109" s="10">
        <v>0</v>
      </c>
      <c r="V1109" s="3">
        <v>0</v>
      </c>
      <c r="W1109" s="3">
        <f t="shared" si="179"/>
        <v>0</v>
      </c>
      <c r="AA1109" s="3">
        <v>37</v>
      </c>
    </row>
    <row r="1110" spans="1:27" x14ac:dyDescent="0.3">
      <c r="A1110" s="3" t="str">
        <f t="shared" si="170"/>
        <v>West9310029901840</v>
      </c>
      <c r="B1110" s="3" t="str">
        <f t="shared" si="171"/>
        <v>Mah9310029901840</v>
      </c>
      <c r="C1110" s="10">
        <v>9310029901840</v>
      </c>
      <c r="D1110" s="10" t="str">
        <f t="shared" si="172"/>
        <v>9310029901</v>
      </c>
      <c r="E1110" s="3" t="s">
        <v>1</v>
      </c>
      <c r="F1110" s="3" t="s">
        <v>63</v>
      </c>
      <c r="H1110" s="3">
        <v>0.18</v>
      </c>
      <c r="I1110" s="10">
        <f t="shared" si="173"/>
        <v>74.907384393027485</v>
      </c>
      <c r="J1110" s="3">
        <v>7.208902091237139E-2</v>
      </c>
      <c r="K1110" s="3">
        <v>0</v>
      </c>
      <c r="L1110" s="3">
        <f t="shared" si="174"/>
        <v>0</v>
      </c>
      <c r="N1110" s="11">
        <f t="shared" si="175"/>
        <v>0.1079109790876286</v>
      </c>
      <c r="O1110" s="3">
        <v>7.208902091237139E-2</v>
      </c>
      <c r="P1110" s="11">
        <f t="shared" si="176"/>
        <v>44.907384393027471</v>
      </c>
      <c r="Q1110" s="12">
        <f t="shared" si="177"/>
        <v>44.907384393027471</v>
      </c>
      <c r="R1110" s="13">
        <f t="shared" si="178"/>
        <v>419.68149637672144</v>
      </c>
      <c r="S1110" s="3" t="s">
        <v>31</v>
      </c>
      <c r="T1110" s="3" t="s">
        <v>32</v>
      </c>
      <c r="U1110" s="10">
        <v>0</v>
      </c>
      <c r="V1110" s="3">
        <v>0</v>
      </c>
      <c r="W1110" s="3">
        <f t="shared" si="179"/>
        <v>0</v>
      </c>
      <c r="AA1110" s="3">
        <v>37</v>
      </c>
    </row>
    <row r="1111" spans="1:27" x14ac:dyDescent="0.3">
      <c r="A1111" s="3" t="str">
        <f t="shared" si="170"/>
        <v>West9100309901210</v>
      </c>
      <c r="B1111" s="3" t="str">
        <f t="shared" si="171"/>
        <v>Mah9100309901210</v>
      </c>
      <c r="C1111" s="10">
        <v>9100309901210</v>
      </c>
      <c r="D1111" s="10" t="str">
        <f t="shared" si="172"/>
        <v>9100309901</v>
      </c>
      <c r="E1111" s="3" t="s">
        <v>1</v>
      </c>
      <c r="F1111" s="3" t="s">
        <v>63</v>
      </c>
      <c r="H1111" s="3">
        <v>0</v>
      </c>
      <c r="I1111" s="10">
        <f t="shared" si="173"/>
        <v>0</v>
      </c>
      <c r="J1111" s="3">
        <v>0</v>
      </c>
      <c r="K1111" s="3">
        <v>0</v>
      </c>
      <c r="L1111" s="3">
        <f t="shared" si="174"/>
        <v>0</v>
      </c>
      <c r="N1111" s="11">
        <f t="shared" si="175"/>
        <v>0</v>
      </c>
      <c r="O1111" s="3">
        <v>0</v>
      </c>
      <c r="P1111" s="11">
        <f t="shared" si="176"/>
        <v>9999</v>
      </c>
      <c r="Q1111" s="12">
        <f t="shared" si="177"/>
        <v>9999</v>
      </c>
      <c r="R1111" s="13">
        <f t="shared" si="178"/>
        <v>9999</v>
      </c>
      <c r="S1111" s="3" t="s">
        <v>31</v>
      </c>
      <c r="T1111" s="3" t="s">
        <v>34</v>
      </c>
      <c r="U1111" s="10" t="s">
        <v>72</v>
      </c>
      <c r="V1111" s="3" t="s">
        <v>72</v>
      </c>
      <c r="W1111" s="3">
        <f t="shared" si="179"/>
        <v>0</v>
      </c>
      <c r="AA1111" s="3">
        <v>37</v>
      </c>
    </row>
    <row r="1112" spans="1:27" x14ac:dyDescent="0.3">
      <c r="A1112" s="3" t="str">
        <f t="shared" si="170"/>
        <v>West9100509901210</v>
      </c>
      <c r="B1112" s="3" t="str">
        <f t="shared" si="171"/>
        <v>Mah9100509901210</v>
      </c>
      <c r="C1112" s="10">
        <v>9100509901210</v>
      </c>
      <c r="D1112" s="10" t="str">
        <f t="shared" si="172"/>
        <v>9100509901</v>
      </c>
      <c r="E1112" s="3" t="s">
        <v>1</v>
      </c>
      <c r="F1112" s="3" t="s">
        <v>63</v>
      </c>
      <c r="H1112" s="3">
        <v>0</v>
      </c>
      <c r="I1112" s="10">
        <f t="shared" si="173"/>
        <v>0</v>
      </c>
      <c r="J1112" s="3">
        <v>0</v>
      </c>
      <c r="K1112" s="3">
        <v>0</v>
      </c>
      <c r="L1112" s="3">
        <f t="shared" si="174"/>
        <v>0</v>
      </c>
      <c r="N1112" s="11">
        <f t="shared" si="175"/>
        <v>0</v>
      </c>
      <c r="O1112" s="3">
        <v>0</v>
      </c>
      <c r="P1112" s="11">
        <f t="shared" si="176"/>
        <v>9999</v>
      </c>
      <c r="Q1112" s="12">
        <f t="shared" si="177"/>
        <v>9999</v>
      </c>
      <c r="R1112" s="13">
        <f t="shared" si="178"/>
        <v>9999</v>
      </c>
      <c r="S1112" s="3" t="s">
        <v>31</v>
      </c>
      <c r="T1112" s="3" t="s">
        <v>34</v>
      </c>
      <c r="U1112" s="10" t="s">
        <v>72</v>
      </c>
      <c r="V1112" s="3" t="s">
        <v>72</v>
      </c>
      <c r="W1112" s="3">
        <f t="shared" si="179"/>
        <v>0</v>
      </c>
      <c r="AA1112" s="3">
        <v>37</v>
      </c>
    </row>
    <row r="1113" spans="1:27" x14ac:dyDescent="0.3">
      <c r="A1113" s="3" t="str">
        <f t="shared" si="170"/>
        <v>North9160309902219</v>
      </c>
      <c r="B1113" s="3" t="str">
        <f t="shared" si="171"/>
        <v>Pan9160309902219</v>
      </c>
      <c r="C1113" s="10">
        <v>9160309902219</v>
      </c>
      <c r="D1113" s="10" t="str">
        <f t="shared" si="172"/>
        <v>9160309902</v>
      </c>
      <c r="E1113" s="3" t="s">
        <v>2</v>
      </c>
      <c r="F1113" s="3" t="s">
        <v>64</v>
      </c>
      <c r="H1113" s="3">
        <v>7.7220000000000013</v>
      </c>
      <c r="I1113" s="10">
        <f t="shared" si="173"/>
        <v>92.756784002911132</v>
      </c>
      <c r="J1113" s="3">
        <v>2.4974992663903643</v>
      </c>
      <c r="K1113" s="3">
        <v>0</v>
      </c>
      <c r="L1113" s="3">
        <f t="shared" si="174"/>
        <v>0</v>
      </c>
      <c r="N1113" s="11">
        <f t="shared" si="175"/>
        <v>5.224500733609637</v>
      </c>
      <c r="O1113" s="3">
        <v>2.4974992663903643</v>
      </c>
      <c r="P1113" s="11">
        <f t="shared" si="176"/>
        <v>62.756784002911125</v>
      </c>
      <c r="Q1113" s="12">
        <f t="shared" si="177"/>
        <v>71.421968054622667</v>
      </c>
      <c r="R1113" s="13">
        <f t="shared" si="178"/>
        <v>96.414129400234444</v>
      </c>
      <c r="S1113" s="3" t="s">
        <v>31</v>
      </c>
      <c r="T1113" s="3" t="s">
        <v>34</v>
      </c>
      <c r="U1113" s="10">
        <v>0</v>
      </c>
      <c r="V1113" s="3">
        <v>0</v>
      </c>
      <c r="W1113" s="3">
        <f t="shared" si="179"/>
        <v>0</v>
      </c>
      <c r="AA1113" s="3">
        <v>37</v>
      </c>
    </row>
    <row r="1114" spans="1:27" x14ac:dyDescent="0.3">
      <c r="A1114" s="3" t="str">
        <f t="shared" si="170"/>
        <v>North9310029900320</v>
      </c>
      <c r="B1114" s="3" t="str">
        <f t="shared" si="171"/>
        <v>Pan9310029900320</v>
      </c>
      <c r="C1114" s="10">
        <v>9310029900320</v>
      </c>
      <c r="D1114" s="10" t="str">
        <f t="shared" si="172"/>
        <v>9310029900</v>
      </c>
      <c r="E1114" s="3" t="s">
        <v>2</v>
      </c>
      <c r="F1114" s="3" t="s">
        <v>64</v>
      </c>
      <c r="H1114" s="3">
        <v>7.2099999999999991</v>
      </c>
      <c r="I1114" s="10">
        <f t="shared" si="173"/>
        <v>244.12333753016608</v>
      </c>
      <c r="J1114" s="3">
        <v>0.88602753914615795</v>
      </c>
      <c r="K1114" s="3">
        <v>0</v>
      </c>
      <c r="L1114" s="3">
        <f t="shared" si="174"/>
        <v>0</v>
      </c>
      <c r="N1114" s="11">
        <f t="shared" si="175"/>
        <v>6.3239724608538408</v>
      </c>
      <c r="O1114" s="3">
        <v>0.88602753914615795</v>
      </c>
      <c r="P1114" s="11">
        <f t="shared" si="176"/>
        <v>214.12333753016608</v>
      </c>
      <c r="Q1114" s="12">
        <f t="shared" si="177"/>
        <v>81.402153793422599</v>
      </c>
      <c r="R1114" s="13">
        <f t="shared" si="178"/>
        <v>63.892856759683227</v>
      </c>
      <c r="S1114" s="3" t="s">
        <v>31</v>
      </c>
      <c r="T1114" s="3" t="s">
        <v>32</v>
      </c>
      <c r="U1114" s="10">
        <v>9310029900999</v>
      </c>
      <c r="V1114" s="3">
        <v>0.1</v>
      </c>
      <c r="W1114" s="3">
        <f t="shared" si="179"/>
        <v>0</v>
      </c>
      <c r="AA1114" s="3">
        <v>37</v>
      </c>
    </row>
    <row r="1115" spans="1:27" x14ac:dyDescent="0.3">
      <c r="A1115" s="3" t="str">
        <f t="shared" si="170"/>
        <v>North9420029902838</v>
      </c>
      <c r="B1115" s="3" t="str">
        <f t="shared" si="171"/>
        <v>Pan9420029902838</v>
      </c>
      <c r="C1115" s="10">
        <v>9420029902838</v>
      </c>
      <c r="D1115" s="10" t="str">
        <f t="shared" si="172"/>
        <v>9420029902</v>
      </c>
      <c r="E1115" s="3" t="s">
        <v>2</v>
      </c>
      <c r="F1115" s="3" t="s">
        <v>64</v>
      </c>
      <c r="H1115" s="3">
        <v>1.1210000000000002</v>
      </c>
      <c r="I1115" s="10">
        <f t="shared" si="173"/>
        <v>44.380948290408455</v>
      </c>
      <c r="J1115" s="3">
        <v>0.75775758057130282</v>
      </c>
      <c r="K1115" s="3">
        <v>0</v>
      </c>
      <c r="L1115" s="3">
        <f t="shared" si="174"/>
        <v>0</v>
      </c>
      <c r="N1115" s="11">
        <f t="shared" si="175"/>
        <v>0.36324241942869739</v>
      </c>
      <c r="O1115" s="3">
        <v>0.75775758057130282</v>
      </c>
      <c r="P1115" s="11">
        <f t="shared" si="176"/>
        <v>14.380948290408451</v>
      </c>
      <c r="Q1115" s="12">
        <f t="shared" si="177"/>
        <v>5.989906057353469</v>
      </c>
      <c r="R1115" s="13">
        <f t="shared" si="178"/>
        <v>45.116201366682233</v>
      </c>
      <c r="S1115" s="3" t="s">
        <v>31</v>
      </c>
      <c r="T1115" s="3" t="s">
        <v>28</v>
      </c>
      <c r="U1115" s="10">
        <v>0</v>
      </c>
      <c r="V1115" s="3">
        <v>0</v>
      </c>
      <c r="W1115" s="3">
        <f t="shared" si="179"/>
        <v>0</v>
      </c>
      <c r="AA1115" s="3">
        <v>37</v>
      </c>
    </row>
    <row r="1116" spans="1:27" x14ac:dyDescent="0.3">
      <c r="A1116" s="3" t="str">
        <f t="shared" si="170"/>
        <v>North9420029902195</v>
      </c>
      <c r="B1116" s="3" t="str">
        <f t="shared" si="171"/>
        <v>Pan9420029902195</v>
      </c>
      <c r="C1116" s="10">
        <v>9420029902195</v>
      </c>
      <c r="D1116" s="10" t="str">
        <f t="shared" si="172"/>
        <v>9420029902</v>
      </c>
      <c r="E1116" s="3" t="s">
        <v>2</v>
      </c>
      <c r="F1116" s="3" t="s">
        <v>64</v>
      </c>
      <c r="H1116" s="3">
        <v>0.52249999999999985</v>
      </c>
      <c r="I1116" s="10">
        <f t="shared" si="173"/>
        <v>30.653637830553475</v>
      </c>
      <c r="J1116" s="3">
        <v>0.51135855674448583</v>
      </c>
      <c r="K1116" s="3">
        <v>0</v>
      </c>
      <c r="L1116" s="3">
        <f t="shared" si="174"/>
        <v>0</v>
      </c>
      <c r="N1116" s="11">
        <f t="shared" si="175"/>
        <v>1.1141443255514027E-2</v>
      </c>
      <c r="O1116" s="3">
        <v>0.51135855674448583</v>
      </c>
      <c r="P1116" s="11">
        <f t="shared" si="176"/>
        <v>0.65363783055347313</v>
      </c>
      <c r="Q1116" s="12">
        <f t="shared" si="177"/>
        <v>-6.0435464963471803</v>
      </c>
      <c r="R1116" s="13">
        <f t="shared" si="178"/>
        <v>54.081869668543256</v>
      </c>
      <c r="S1116" s="3" t="s">
        <v>31</v>
      </c>
      <c r="T1116" s="3" t="s">
        <v>28</v>
      </c>
      <c r="U1116" s="10">
        <v>0</v>
      </c>
      <c r="V1116" s="3">
        <v>0</v>
      </c>
      <c r="W1116" s="3">
        <f t="shared" si="179"/>
        <v>0</v>
      </c>
      <c r="AA1116" s="3">
        <v>37</v>
      </c>
    </row>
    <row r="1117" spans="1:27" x14ac:dyDescent="0.3">
      <c r="A1117" s="3" t="str">
        <f t="shared" si="170"/>
        <v>North9100509902319</v>
      </c>
      <c r="B1117" s="3" t="str">
        <f t="shared" si="171"/>
        <v>Pan9100509902319</v>
      </c>
      <c r="C1117" s="10">
        <v>9100509902319</v>
      </c>
      <c r="D1117" s="10" t="str">
        <f t="shared" si="172"/>
        <v>9100509902</v>
      </c>
      <c r="E1117" s="3" t="s">
        <v>2</v>
      </c>
      <c r="F1117" s="3" t="s">
        <v>64</v>
      </c>
      <c r="H1117" s="3">
        <v>22.173000000000002</v>
      </c>
      <c r="I1117" s="10">
        <f t="shared" si="173"/>
        <v>2573.1628202850875</v>
      </c>
      <c r="J1117" s="3">
        <v>0.25851065263188511</v>
      </c>
      <c r="K1117" s="3">
        <v>0</v>
      </c>
      <c r="L1117" s="3">
        <f t="shared" si="174"/>
        <v>0</v>
      </c>
      <c r="N1117" s="11">
        <f t="shared" si="175"/>
        <v>21.914489347368118</v>
      </c>
      <c r="O1117" s="3">
        <v>0.25851065263188511</v>
      </c>
      <c r="P1117" s="11">
        <f t="shared" si="176"/>
        <v>2543.1628202850875</v>
      </c>
      <c r="Q1117" s="12">
        <f t="shared" si="177"/>
        <v>3527.4526540349302</v>
      </c>
      <c r="R1117" s="13">
        <f t="shared" si="178"/>
        <v>1010.5867835272217</v>
      </c>
      <c r="S1117" s="3" t="s">
        <v>31</v>
      </c>
      <c r="T1117" s="3" t="s">
        <v>34</v>
      </c>
      <c r="U1117" s="10">
        <v>0</v>
      </c>
      <c r="V1117" s="3">
        <v>0</v>
      </c>
      <c r="W1117" s="3">
        <f t="shared" si="179"/>
        <v>0</v>
      </c>
      <c r="AA1117" s="3">
        <v>37</v>
      </c>
    </row>
    <row r="1118" spans="1:27" x14ac:dyDescent="0.3">
      <c r="A1118" s="3" t="str">
        <f t="shared" si="170"/>
        <v>North9420029902295</v>
      </c>
      <c r="B1118" s="3" t="str">
        <f t="shared" si="171"/>
        <v>Pan9420029902295</v>
      </c>
      <c r="C1118" s="10">
        <v>9420029902295</v>
      </c>
      <c r="D1118" s="10" t="str">
        <f t="shared" si="172"/>
        <v>9420029902</v>
      </c>
      <c r="E1118" s="3" t="s">
        <v>2</v>
      </c>
      <c r="F1118" s="3" t="s">
        <v>64</v>
      </c>
      <c r="H1118" s="3">
        <v>1.3679999999999992</v>
      </c>
      <c r="I1118" s="10">
        <f t="shared" si="173"/>
        <v>173.63594430591792</v>
      </c>
      <c r="J1118" s="3">
        <v>0.23635659174170909</v>
      </c>
      <c r="K1118" s="3">
        <v>0</v>
      </c>
      <c r="L1118" s="3">
        <f t="shared" si="174"/>
        <v>0</v>
      </c>
      <c r="N1118" s="11">
        <f t="shared" si="175"/>
        <v>1.1316434082582902</v>
      </c>
      <c r="O1118" s="3">
        <v>0.23635659174170909</v>
      </c>
      <c r="P1118" s="11">
        <f t="shared" si="176"/>
        <v>143.63594430591792</v>
      </c>
      <c r="Q1118" s="12">
        <f t="shared" si="177"/>
        <v>90.876831154819826</v>
      </c>
      <c r="R1118" s="13">
        <f t="shared" si="178"/>
        <v>62.065240679388516</v>
      </c>
      <c r="S1118" s="3" t="s">
        <v>31</v>
      </c>
      <c r="T1118" s="3" t="s">
        <v>28</v>
      </c>
      <c r="U1118" s="10">
        <v>9420029900999</v>
      </c>
      <c r="V1118" s="3">
        <v>0.1</v>
      </c>
      <c r="W1118" s="3">
        <f t="shared" si="179"/>
        <v>0</v>
      </c>
      <c r="AA1118" s="3">
        <v>37</v>
      </c>
    </row>
    <row r="1119" spans="1:27" x14ac:dyDescent="0.3">
      <c r="A1119" s="3" t="str">
        <f t="shared" si="170"/>
        <v>North9310029900310</v>
      </c>
      <c r="B1119" s="3" t="str">
        <f t="shared" si="171"/>
        <v>Pan9310029900310</v>
      </c>
      <c r="C1119" s="10">
        <v>9310029900310</v>
      </c>
      <c r="D1119" s="10" t="str">
        <f t="shared" si="172"/>
        <v>9310029900</v>
      </c>
      <c r="E1119" s="3" t="s">
        <v>2</v>
      </c>
      <c r="F1119" s="3" t="s">
        <v>64</v>
      </c>
      <c r="H1119" s="3">
        <v>1.2100000000000002</v>
      </c>
      <c r="I1119" s="10">
        <f t="shared" si="173"/>
        <v>165.6735575782746</v>
      </c>
      <c r="J1119" s="3">
        <v>0.21910557442366507</v>
      </c>
      <c r="K1119" s="3">
        <v>0</v>
      </c>
      <c r="L1119" s="3">
        <f t="shared" si="174"/>
        <v>0</v>
      </c>
      <c r="N1119" s="11">
        <f t="shared" si="175"/>
        <v>0.99089442557633511</v>
      </c>
      <c r="O1119" s="3">
        <v>0.21910557442366507</v>
      </c>
      <c r="P1119" s="11">
        <f t="shared" si="176"/>
        <v>135.6735575782746</v>
      </c>
      <c r="Q1119" s="12">
        <f t="shared" si="177"/>
        <v>152.10797666409491</v>
      </c>
      <c r="R1119" s="13">
        <f t="shared" si="178"/>
        <v>309.77333263500134</v>
      </c>
      <c r="S1119" s="3" t="s">
        <v>31</v>
      </c>
      <c r="T1119" s="3" t="s">
        <v>32</v>
      </c>
      <c r="U1119" s="10">
        <v>9310029900999</v>
      </c>
      <c r="V1119" s="3">
        <v>0.1</v>
      </c>
      <c r="W1119" s="3">
        <f t="shared" si="179"/>
        <v>0</v>
      </c>
      <c r="AA1119" s="3">
        <v>37</v>
      </c>
    </row>
    <row r="1120" spans="1:27" x14ac:dyDescent="0.3">
      <c r="A1120" s="3" t="str">
        <f t="shared" si="170"/>
        <v>North9420029902319</v>
      </c>
      <c r="B1120" s="3" t="str">
        <f t="shared" si="171"/>
        <v>Pan9420029902319</v>
      </c>
      <c r="C1120" s="10">
        <v>9420029902319</v>
      </c>
      <c r="D1120" s="10" t="str">
        <f t="shared" si="172"/>
        <v>9420029902</v>
      </c>
      <c r="E1120" s="3" t="s">
        <v>2</v>
      </c>
      <c r="F1120" s="3" t="s">
        <v>64</v>
      </c>
      <c r="H1120" s="3">
        <v>3.0209999999999995</v>
      </c>
      <c r="I1120" s="10">
        <f t="shared" si="173"/>
        <v>471.58856693467192</v>
      </c>
      <c r="J1120" s="3">
        <v>0.19218023157154859</v>
      </c>
      <c r="K1120" s="3">
        <v>0</v>
      </c>
      <c r="L1120" s="3">
        <f t="shared" si="174"/>
        <v>0</v>
      </c>
      <c r="N1120" s="11">
        <f t="shared" si="175"/>
        <v>2.8288197684284508</v>
      </c>
      <c r="O1120" s="3">
        <v>0.19218023157154859</v>
      </c>
      <c r="P1120" s="11">
        <f t="shared" si="176"/>
        <v>441.58856693467186</v>
      </c>
      <c r="Q1120" s="12">
        <f t="shared" si="177"/>
        <v>350.17815129322571</v>
      </c>
      <c r="R1120" s="13">
        <f t="shared" si="178"/>
        <v>100.81020277708481</v>
      </c>
      <c r="S1120" s="3" t="s">
        <v>31</v>
      </c>
      <c r="T1120" s="3" t="s">
        <v>28</v>
      </c>
      <c r="U1120" s="10">
        <v>9420029900999</v>
      </c>
      <c r="V1120" s="3">
        <v>0.1</v>
      </c>
      <c r="W1120" s="3">
        <f t="shared" si="179"/>
        <v>0</v>
      </c>
      <c r="AA1120" s="3">
        <v>37</v>
      </c>
    </row>
    <row r="1121" spans="1:27" x14ac:dyDescent="0.3">
      <c r="A1121" s="3" t="str">
        <f t="shared" si="170"/>
        <v>North9310029900840</v>
      </c>
      <c r="B1121" s="3" t="str">
        <f t="shared" si="171"/>
        <v>Pan9310029900840</v>
      </c>
      <c r="C1121" s="10">
        <v>9310029900840</v>
      </c>
      <c r="D1121" s="10" t="str">
        <f t="shared" si="172"/>
        <v>9310029900</v>
      </c>
      <c r="E1121" s="3" t="s">
        <v>2</v>
      </c>
      <c r="F1121" s="3" t="s">
        <v>64</v>
      </c>
      <c r="H1121" s="3">
        <v>1.3080000000000001</v>
      </c>
      <c r="I1121" s="10">
        <f t="shared" si="173"/>
        <v>2796.0643028607019</v>
      </c>
      <c r="J1121" s="3">
        <v>1.4034012007468096E-2</v>
      </c>
      <c r="K1121" s="3">
        <v>0</v>
      </c>
      <c r="L1121" s="3">
        <f t="shared" si="174"/>
        <v>0</v>
      </c>
      <c r="N1121" s="11">
        <f t="shared" si="175"/>
        <v>1.293965987992532</v>
      </c>
      <c r="O1121" s="3">
        <v>1.4034012007468096E-2</v>
      </c>
      <c r="P1121" s="11">
        <f t="shared" si="176"/>
        <v>2766.0643028607019</v>
      </c>
      <c r="Q1121" s="12">
        <f t="shared" si="177"/>
        <v>2008.9538006113701</v>
      </c>
      <c r="R1121" s="13">
        <f t="shared" si="178"/>
        <v>1357.0266447416436</v>
      </c>
      <c r="S1121" s="3" t="s">
        <v>31</v>
      </c>
      <c r="T1121" s="3" t="s">
        <v>32</v>
      </c>
      <c r="U1121" s="10">
        <v>0</v>
      </c>
      <c r="V1121" s="3">
        <v>0</v>
      </c>
      <c r="W1121" s="3">
        <f t="shared" si="179"/>
        <v>0</v>
      </c>
      <c r="AA1121" s="3">
        <v>37</v>
      </c>
    </row>
    <row r="1122" spans="1:27" x14ac:dyDescent="0.3">
      <c r="A1122" s="3" t="str">
        <f t="shared" si="170"/>
        <v>North9310029900210</v>
      </c>
      <c r="B1122" s="3" t="str">
        <f t="shared" si="171"/>
        <v>Pan9310029900210</v>
      </c>
      <c r="C1122" s="10">
        <v>9310029900210</v>
      </c>
      <c r="D1122" s="10" t="str">
        <f t="shared" si="172"/>
        <v>9310029900</v>
      </c>
      <c r="E1122" s="3" t="s">
        <v>2</v>
      </c>
      <c r="F1122" s="3" t="s">
        <v>64</v>
      </c>
      <c r="H1122" s="3">
        <v>1.4080000000000004</v>
      </c>
      <c r="I1122" s="10">
        <f t="shared" si="173"/>
        <v>4960.3342744887577</v>
      </c>
      <c r="J1122" s="3">
        <v>8.5155551345082528E-3</v>
      </c>
      <c r="K1122" s="3">
        <v>0</v>
      </c>
      <c r="L1122" s="3">
        <f t="shared" si="174"/>
        <v>0</v>
      </c>
      <c r="N1122" s="11">
        <f t="shared" si="175"/>
        <v>1.3994844448654922</v>
      </c>
      <c r="O1122" s="3">
        <v>8.5155551345082528E-3</v>
      </c>
      <c r="P1122" s="11">
        <f t="shared" si="176"/>
        <v>4930.3342744887586</v>
      </c>
      <c r="Q1122" s="12">
        <f t="shared" si="177"/>
        <v>7086.3886608432467</v>
      </c>
      <c r="R1122" s="13">
        <f t="shared" si="178"/>
        <v>2174.2698828132511</v>
      </c>
      <c r="S1122" s="3" t="s">
        <v>31</v>
      </c>
      <c r="T1122" s="3" t="s">
        <v>32</v>
      </c>
      <c r="U1122" s="10">
        <v>0</v>
      </c>
      <c r="V1122" s="3">
        <v>0</v>
      </c>
      <c r="W1122" s="3">
        <f t="shared" si="179"/>
        <v>0</v>
      </c>
      <c r="AA1122" s="3">
        <v>37</v>
      </c>
    </row>
    <row r="1123" spans="1:27" x14ac:dyDescent="0.3">
      <c r="A1123" s="3" t="str">
        <f t="shared" si="170"/>
        <v>North9100509902195</v>
      </c>
      <c r="B1123" s="3" t="str">
        <f t="shared" si="171"/>
        <v>Pan9100509902195</v>
      </c>
      <c r="C1123" s="10">
        <v>9100509902195</v>
      </c>
      <c r="D1123" s="10" t="str">
        <f t="shared" si="172"/>
        <v>9100509902</v>
      </c>
      <c r="E1123" s="3" t="s">
        <v>2</v>
      </c>
      <c r="F1123" s="3" t="s">
        <v>64</v>
      </c>
      <c r="H1123" s="3">
        <v>0</v>
      </c>
      <c r="I1123" s="10">
        <f t="shared" si="173"/>
        <v>0</v>
      </c>
      <c r="J1123" s="3">
        <v>0</v>
      </c>
      <c r="K1123" s="3">
        <v>0</v>
      </c>
      <c r="L1123" s="3">
        <f t="shared" si="174"/>
        <v>0</v>
      </c>
      <c r="N1123" s="11">
        <f t="shared" si="175"/>
        <v>0</v>
      </c>
      <c r="O1123" s="3">
        <v>0</v>
      </c>
      <c r="P1123" s="11">
        <f t="shared" si="176"/>
        <v>9999</v>
      </c>
      <c r="Q1123" s="12">
        <f t="shared" si="177"/>
        <v>9999</v>
      </c>
      <c r="R1123" s="13">
        <f t="shared" si="178"/>
        <v>9999</v>
      </c>
      <c r="S1123" s="3" t="s">
        <v>31</v>
      </c>
      <c r="T1123" s="3" t="s">
        <v>34</v>
      </c>
      <c r="U1123" s="10" t="s">
        <v>72</v>
      </c>
      <c r="V1123" s="3" t="s">
        <v>72</v>
      </c>
      <c r="W1123" s="3">
        <f t="shared" si="179"/>
        <v>0</v>
      </c>
      <c r="AA1123" s="3">
        <v>37</v>
      </c>
    </row>
    <row r="1124" spans="1:27" x14ac:dyDescent="0.3">
      <c r="A1124" s="3" t="str">
        <f t="shared" si="170"/>
        <v>North9160309902097</v>
      </c>
      <c r="B1124" s="3" t="str">
        <f t="shared" si="171"/>
        <v>Pan9160309902097</v>
      </c>
      <c r="C1124" s="10">
        <v>9160309902097</v>
      </c>
      <c r="D1124" s="10" t="str">
        <f t="shared" si="172"/>
        <v>9160309902</v>
      </c>
      <c r="E1124" s="3" t="s">
        <v>2</v>
      </c>
      <c r="F1124" s="3" t="s">
        <v>64</v>
      </c>
      <c r="H1124" s="3">
        <v>0</v>
      </c>
      <c r="I1124" s="10">
        <f t="shared" si="173"/>
        <v>0</v>
      </c>
      <c r="J1124" s="3">
        <v>0</v>
      </c>
      <c r="K1124" s="3">
        <v>0</v>
      </c>
      <c r="L1124" s="3">
        <f t="shared" si="174"/>
        <v>0</v>
      </c>
      <c r="N1124" s="11">
        <f t="shared" si="175"/>
        <v>0</v>
      </c>
      <c r="O1124" s="3">
        <v>0</v>
      </c>
      <c r="P1124" s="11">
        <f t="shared" si="176"/>
        <v>9999</v>
      </c>
      <c r="Q1124" s="12">
        <f t="shared" si="177"/>
        <v>9999</v>
      </c>
      <c r="R1124" s="13">
        <f t="shared" si="178"/>
        <v>9999</v>
      </c>
      <c r="S1124" s="3" t="s">
        <v>31</v>
      </c>
      <c r="T1124" s="3" t="s">
        <v>34</v>
      </c>
      <c r="U1124" s="10" t="s">
        <v>72</v>
      </c>
      <c r="V1124" s="3" t="s">
        <v>72</v>
      </c>
      <c r="W1124" s="3">
        <f t="shared" si="179"/>
        <v>0</v>
      </c>
      <c r="AA1124" s="3">
        <v>37</v>
      </c>
    </row>
    <row r="1125" spans="1:27" x14ac:dyDescent="0.3">
      <c r="A1125" s="3" t="str">
        <f t="shared" si="170"/>
        <v>North9100509901320</v>
      </c>
      <c r="B1125" s="3" t="str">
        <f t="shared" si="171"/>
        <v>Lud9100509901320</v>
      </c>
      <c r="C1125" s="10">
        <v>9100509901320</v>
      </c>
      <c r="D1125" s="10" t="str">
        <f t="shared" si="172"/>
        <v>9100509901</v>
      </c>
      <c r="E1125" s="3" t="s">
        <v>3</v>
      </c>
      <c r="F1125" s="3" t="s">
        <v>64</v>
      </c>
      <c r="H1125" s="3">
        <v>7.8800000000000008</v>
      </c>
      <c r="I1125" s="10">
        <f t="shared" si="173"/>
        <v>39.31658825228574</v>
      </c>
      <c r="J1125" s="3">
        <v>6.01272924504726</v>
      </c>
      <c r="K1125" s="3">
        <v>0</v>
      </c>
      <c r="L1125" s="3">
        <f t="shared" si="174"/>
        <v>0</v>
      </c>
      <c r="N1125" s="11">
        <f t="shared" si="175"/>
        <v>1.8672707549527408</v>
      </c>
      <c r="O1125" s="3">
        <v>6.01272924504726</v>
      </c>
      <c r="P1125" s="11">
        <f t="shared" si="176"/>
        <v>9.3165882522857419</v>
      </c>
      <c r="Q1125" s="12">
        <f t="shared" si="177"/>
        <v>31.145638828543198</v>
      </c>
      <c r="R1125" s="13">
        <f t="shared" si="178"/>
        <v>43.827287758389929</v>
      </c>
      <c r="S1125" s="3" t="s">
        <v>30</v>
      </c>
      <c r="T1125" s="3" t="s">
        <v>34</v>
      </c>
      <c r="U1125" s="10">
        <v>0</v>
      </c>
      <c r="V1125" s="3">
        <v>0</v>
      </c>
      <c r="W1125" s="3">
        <f t="shared" si="179"/>
        <v>0</v>
      </c>
      <c r="AA1125" s="3">
        <v>37</v>
      </c>
    </row>
    <row r="1126" spans="1:27" x14ac:dyDescent="0.3">
      <c r="A1126" s="3" t="str">
        <f t="shared" si="170"/>
        <v>North9310029901320</v>
      </c>
      <c r="B1126" s="3" t="str">
        <f t="shared" si="171"/>
        <v>Lud9310029901320</v>
      </c>
      <c r="C1126" s="10">
        <v>9310029901320</v>
      </c>
      <c r="D1126" s="10" t="str">
        <f t="shared" si="172"/>
        <v>9310029901</v>
      </c>
      <c r="E1126" s="3" t="s">
        <v>3</v>
      </c>
      <c r="F1126" s="3" t="s">
        <v>64</v>
      </c>
      <c r="H1126" s="3">
        <v>3.74</v>
      </c>
      <c r="I1126" s="10">
        <f t="shared" si="173"/>
        <v>69.16544576032652</v>
      </c>
      <c r="J1126" s="3">
        <v>1.6221973091707913</v>
      </c>
      <c r="K1126" s="3">
        <v>0</v>
      </c>
      <c r="L1126" s="3">
        <f t="shared" si="174"/>
        <v>0</v>
      </c>
      <c r="N1126" s="11">
        <f t="shared" si="175"/>
        <v>2.1178026908292091</v>
      </c>
      <c r="O1126" s="3">
        <v>1.6221973091707913</v>
      </c>
      <c r="P1126" s="11">
        <f t="shared" si="176"/>
        <v>39.165445760326527</v>
      </c>
      <c r="Q1126" s="12">
        <f t="shared" si="177"/>
        <v>45.605738671680065</v>
      </c>
      <c r="R1126" s="13">
        <f t="shared" si="178"/>
        <v>68.274718392050673</v>
      </c>
      <c r="S1126" s="3" t="s">
        <v>31</v>
      </c>
      <c r="T1126" s="3" t="s">
        <v>32</v>
      </c>
      <c r="U1126" s="10">
        <v>9310029900999</v>
      </c>
      <c r="V1126" s="3">
        <v>0.1</v>
      </c>
      <c r="W1126" s="3">
        <f t="shared" si="179"/>
        <v>0</v>
      </c>
      <c r="AA1126" s="3">
        <v>37</v>
      </c>
    </row>
    <row r="1127" spans="1:27" x14ac:dyDescent="0.3">
      <c r="A1127" s="3" t="str">
        <f t="shared" si="170"/>
        <v>North9310029901310</v>
      </c>
      <c r="B1127" s="3" t="str">
        <f t="shared" si="171"/>
        <v>Lud9310029901310</v>
      </c>
      <c r="C1127" s="10">
        <v>9310029901310</v>
      </c>
      <c r="D1127" s="10" t="str">
        <f t="shared" si="172"/>
        <v>9310029901</v>
      </c>
      <c r="E1127" s="3" t="s">
        <v>3</v>
      </c>
      <c r="F1127" s="3" t="s">
        <v>64</v>
      </c>
      <c r="H1127" s="3">
        <v>0.52</v>
      </c>
      <c r="I1127" s="10">
        <f t="shared" si="173"/>
        <v>301.05546090655162</v>
      </c>
      <c r="J1127" s="3">
        <v>5.1817694829466264E-2</v>
      </c>
      <c r="K1127" s="3">
        <v>0</v>
      </c>
      <c r="L1127" s="3">
        <f t="shared" si="174"/>
        <v>0</v>
      </c>
      <c r="N1127" s="11">
        <f t="shared" si="175"/>
        <v>0.46818230517053377</v>
      </c>
      <c r="O1127" s="3">
        <v>5.1817694829466264E-2</v>
      </c>
      <c r="P1127" s="11">
        <f t="shared" si="176"/>
        <v>271.05546090655162</v>
      </c>
      <c r="Q1127" s="12">
        <f t="shared" si="177"/>
        <v>101.28002928852297</v>
      </c>
      <c r="R1127" s="13">
        <f t="shared" si="178"/>
        <v>236.16131981271428</v>
      </c>
      <c r="S1127" s="3" t="s">
        <v>31</v>
      </c>
      <c r="T1127" s="3" t="s">
        <v>32</v>
      </c>
      <c r="U1127" s="10">
        <v>9310029900999</v>
      </c>
      <c r="V1127" s="3">
        <v>0.1</v>
      </c>
      <c r="W1127" s="3">
        <f t="shared" si="179"/>
        <v>0</v>
      </c>
      <c r="AA1127" s="3">
        <v>37</v>
      </c>
    </row>
    <row r="1128" spans="1:27" x14ac:dyDescent="0.3">
      <c r="A1128" s="3" t="str">
        <f t="shared" si="170"/>
        <v>North9310029901840</v>
      </c>
      <c r="B1128" s="3" t="str">
        <f t="shared" si="171"/>
        <v>Lud9310029901840</v>
      </c>
      <c r="C1128" s="10">
        <v>9310029901840</v>
      </c>
      <c r="D1128" s="10" t="str">
        <f t="shared" si="172"/>
        <v>9310029901</v>
      </c>
      <c r="E1128" s="3" t="s">
        <v>3</v>
      </c>
      <c r="F1128" s="3" t="s">
        <v>64</v>
      </c>
      <c r="H1128" s="3">
        <v>0.42799999999999999</v>
      </c>
      <c r="I1128" s="10">
        <f t="shared" si="173"/>
        <v>2386.4974665727086</v>
      </c>
      <c r="J1128" s="3">
        <v>5.3802696964266013E-3</v>
      </c>
      <c r="K1128" s="3">
        <v>0</v>
      </c>
      <c r="L1128" s="3">
        <f t="shared" si="174"/>
        <v>0</v>
      </c>
      <c r="N1128" s="11">
        <f t="shared" si="175"/>
        <v>0.42261973030357342</v>
      </c>
      <c r="O1128" s="3">
        <v>5.3802696964266013E-3</v>
      </c>
      <c r="P1128" s="11">
        <f t="shared" si="176"/>
        <v>2356.4974665727086</v>
      </c>
      <c r="Q1128" s="12">
        <f t="shared" si="177"/>
        <v>275.31899805251112</v>
      </c>
      <c r="R1128" s="13">
        <f t="shared" si="178"/>
        <v>419.68149637672144</v>
      </c>
      <c r="S1128" s="3" t="s">
        <v>31</v>
      </c>
      <c r="T1128" s="3" t="s">
        <v>32</v>
      </c>
      <c r="U1128" s="10">
        <v>0</v>
      </c>
      <c r="V1128" s="3">
        <v>0</v>
      </c>
      <c r="W1128" s="3">
        <f t="shared" si="179"/>
        <v>0</v>
      </c>
      <c r="AA1128" s="3">
        <v>37</v>
      </c>
    </row>
    <row r="1129" spans="1:27" x14ac:dyDescent="0.3">
      <c r="A1129" s="3" t="str">
        <f t="shared" si="170"/>
        <v>North9100509901210</v>
      </c>
      <c r="B1129" s="3" t="str">
        <f t="shared" si="171"/>
        <v>Lud9100509901210</v>
      </c>
      <c r="C1129" s="10">
        <v>9100509901210</v>
      </c>
      <c r="D1129" s="10" t="str">
        <f t="shared" si="172"/>
        <v>9100509901</v>
      </c>
      <c r="E1129" s="3" t="s">
        <v>3</v>
      </c>
      <c r="F1129" s="3" t="s">
        <v>64</v>
      </c>
      <c r="H1129" s="3">
        <v>0</v>
      </c>
      <c r="I1129" s="10">
        <f t="shared" si="173"/>
        <v>0</v>
      </c>
      <c r="J1129" s="3">
        <v>0</v>
      </c>
      <c r="K1129" s="3">
        <v>0</v>
      </c>
      <c r="L1129" s="3">
        <f t="shared" si="174"/>
        <v>0</v>
      </c>
      <c r="N1129" s="11">
        <f t="shared" si="175"/>
        <v>0</v>
      </c>
      <c r="O1129" s="3">
        <v>0</v>
      </c>
      <c r="P1129" s="11">
        <f t="shared" si="176"/>
        <v>9999</v>
      </c>
      <c r="Q1129" s="12">
        <f t="shared" si="177"/>
        <v>9999</v>
      </c>
      <c r="R1129" s="13">
        <f t="shared" si="178"/>
        <v>9999</v>
      </c>
      <c r="S1129" s="3" t="s">
        <v>31</v>
      </c>
      <c r="T1129" s="3" t="s">
        <v>34</v>
      </c>
      <c r="U1129" s="10" t="s">
        <v>72</v>
      </c>
      <c r="V1129" s="3" t="s">
        <v>72</v>
      </c>
      <c r="W1129" s="3">
        <f t="shared" si="179"/>
        <v>0</v>
      </c>
      <c r="AA1129" s="3">
        <v>37</v>
      </c>
    </row>
    <row r="1130" spans="1:27" x14ac:dyDescent="0.3">
      <c r="A1130" s="3" t="str">
        <f t="shared" si="170"/>
        <v>North9310029901210</v>
      </c>
      <c r="B1130" s="3" t="str">
        <f t="shared" si="171"/>
        <v>Lud9310029901210</v>
      </c>
      <c r="C1130" s="10">
        <v>9310029901210</v>
      </c>
      <c r="D1130" s="10" t="str">
        <f t="shared" si="172"/>
        <v>9310029901</v>
      </c>
      <c r="E1130" s="3" t="s">
        <v>3</v>
      </c>
      <c r="F1130" s="3" t="s">
        <v>64</v>
      </c>
      <c r="H1130" s="3">
        <v>0.45300000000000001</v>
      </c>
      <c r="I1130" s="10">
        <f t="shared" si="173"/>
        <v>0</v>
      </c>
      <c r="J1130" s="3">
        <v>0</v>
      </c>
      <c r="K1130" s="3">
        <v>0</v>
      </c>
      <c r="L1130" s="3">
        <f t="shared" si="174"/>
        <v>0</v>
      </c>
      <c r="N1130" s="11">
        <f t="shared" si="175"/>
        <v>0.45300000000000001</v>
      </c>
      <c r="O1130" s="3">
        <v>0</v>
      </c>
      <c r="P1130" s="11">
        <f t="shared" si="176"/>
        <v>9999</v>
      </c>
      <c r="Q1130" s="12">
        <f t="shared" si="177"/>
        <v>1645.3067166649228</v>
      </c>
      <c r="R1130" s="13">
        <f t="shared" si="178"/>
        <v>839.82980335981051</v>
      </c>
      <c r="S1130" s="3" t="s">
        <v>31</v>
      </c>
      <c r="T1130" s="3" t="s">
        <v>32</v>
      </c>
      <c r="U1130" s="10">
        <v>0</v>
      </c>
      <c r="V1130" s="3">
        <v>0</v>
      </c>
      <c r="W1130" s="3">
        <f t="shared" si="179"/>
        <v>0</v>
      </c>
      <c r="AA1130" s="3">
        <v>37</v>
      </c>
    </row>
    <row r="1131" spans="1:27" x14ac:dyDescent="0.3">
      <c r="A1131" s="3" t="str">
        <f t="shared" si="170"/>
        <v>South9320039901320</v>
      </c>
      <c r="B1131" s="3" t="str">
        <f t="shared" si="171"/>
        <v>CMR9320039901320</v>
      </c>
      <c r="C1131" s="10">
        <v>9320039901320</v>
      </c>
      <c r="D1131" s="10" t="str">
        <f t="shared" si="172"/>
        <v>9320039901</v>
      </c>
      <c r="E1131" s="3" t="s">
        <v>5</v>
      </c>
      <c r="F1131" s="3" t="s">
        <v>65</v>
      </c>
      <c r="H1131" s="3">
        <v>79.739999999999995</v>
      </c>
      <c r="I1131" s="10">
        <f t="shared" si="173"/>
        <v>34.663800827089034</v>
      </c>
      <c r="J1131" s="3">
        <v>69.01147430233749</v>
      </c>
      <c r="K1131" s="3">
        <v>55.5</v>
      </c>
      <c r="L1131" s="3">
        <f t="shared" si="174"/>
        <v>0</v>
      </c>
      <c r="N1131" s="11">
        <f t="shared" si="175"/>
        <v>10.728525697662505</v>
      </c>
      <c r="O1131" s="3">
        <v>69.01147430233749</v>
      </c>
      <c r="P1131" s="11">
        <f t="shared" si="176"/>
        <v>4.6638008270890339</v>
      </c>
      <c r="Q1131" s="12">
        <f t="shared" si="177"/>
        <v>-1.5300572497946161</v>
      </c>
      <c r="R1131" s="13">
        <f t="shared" si="178"/>
        <v>-7.7301793479032082</v>
      </c>
      <c r="S1131" s="3" t="s">
        <v>29</v>
      </c>
      <c r="T1131" s="3" t="s">
        <v>28</v>
      </c>
      <c r="U1131" s="10">
        <v>9320039900999</v>
      </c>
      <c r="V1131" s="3">
        <v>0.1</v>
      </c>
      <c r="W1131" s="3">
        <f t="shared" si="179"/>
        <v>5.5500000000000007</v>
      </c>
      <c r="AA1131" s="3">
        <v>37</v>
      </c>
    </row>
    <row r="1132" spans="1:27" x14ac:dyDescent="0.3">
      <c r="A1132" s="3" t="str">
        <f t="shared" si="170"/>
        <v>South9310039901320</v>
      </c>
      <c r="B1132" s="3" t="str">
        <f t="shared" si="171"/>
        <v>CMR9310039901320</v>
      </c>
      <c r="C1132" s="10">
        <v>9310039901320</v>
      </c>
      <c r="D1132" s="10" t="str">
        <f t="shared" si="172"/>
        <v>9310039901</v>
      </c>
      <c r="E1132" s="3" t="s">
        <v>5</v>
      </c>
      <c r="F1132" s="3" t="s">
        <v>65</v>
      </c>
      <c r="H1132" s="3">
        <v>46.480000000000004</v>
      </c>
      <c r="I1132" s="10">
        <f t="shared" si="173"/>
        <v>38.242470946175345</v>
      </c>
      <c r="J1132" s="3">
        <v>36.462079083816491</v>
      </c>
      <c r="K1132" s="3">
        <v>37</v>
      </c>
      <c r="L1132" s="3">
        <f t="shared" si="174"/>
        <v>0</v>
      </c>
      <c r="N1132" s="11">
        <f t="shared" si="175"/>
        <v>10.017920916183513</v>
      </c>
      <c r="O1132" s="3">
        <v>36.462079083816491</v>
      </c>
      <c r="P1132" s="11">
        <f t="shared" si="176"/>
        <v>8.2424709461753523</v>
      </c>
      <c r="Q1132" s="12">
        <f t="shared" si="177"/>
        <v>21.154171731005604</v>
      </c>
      <c r="R1132" s="13">
        <f t="shared" si="178"/>
        <v>31.066758628273089</v>
      </c>
      <c r="S1132" s="3" t="s">
        <v>29</v>
      </c>
      <c r="T1132" s="3" t="s">
        <v>32</v>
      </c>
      <c r="U1132" s="10">
        <v>9310039900999</v>
      </c>
      <c r="V1132" s="3">
        <v>0.1</v>
      </c>
      <c r="W1132" s="3">
        <f t="shared" si="179"/>
        <v>3.7</v>
      </c>
      <c r="AA1132" s="3">
        <v>37</v>
      </c>
    </row>
    <row r="1133" spans="1:27" x14ac:dyDescent="0.3">
      <c r="A1133" s="3" t="str">
        <f t="shared" si="170"/>
        <v>South9320039901310</v>
      </c>
      <c r="B1133" s="3" t="str">
        <f t="shared" si="171"/>
        <v>CMR9320039901310</v>
      </c>
      <c r="C1133" s="10">
        <v>9320039901310</v>
      </c>
      <c r="D1133" s="10" t="str">
        <f t="shared" si="172"/>
        <v>9320039901</v>
      </c>
      <c r="E1133" s="3" t="s">
        <v>5</v>
      </c>
      <c r="F1133" s="3" t="s">
        <v>65</v>
      </c>
      <c r="H1133" s="3">
        <v>14.689999999999994</v>
      </c>
      <c r="I1133" s="10">
        <f t="shared" si="173"/>
        <v>37.2737164778382</v>
      </c>
      <c r="J1133" s="3">
        <v>11.823344749161958</v>
      </c>
      <c r="K1133" s="3">
        <v>18.5</v>
      </c>
      <c r="L1133" s="3">
        <f t="shared" si="174"/>
        <v>0</v>
      </c>
      <c r="N1133" s="11">
        <f t="shared" si="175"/>
        <v>2.8666552508380363</v>
      </c>
      <c r="O1133" s="3">
        <v>11.823344749161958</v>
      </c>
      <c r="P1133" s="11">
        <f t="shared" si="176"/>
        <v>7.2737164778381995</v>
      </c>
      <c r="Q1133" s="12">
        <f t="shared" si="177"/>
        <v>1.5111996547868929</v>
      </c>
      <c r="R1133" s="13">
        <f t="shared" si="178"/>
        <v>5.5999242697400797</v>
      </c>
      <c r="S1133" s="3" t="s">
        <v>29</v>
      </c>
      <c r="T1133" s="3" t="s">
        <v>28</v>
      </c>
      <c r="U1133" s="10">
        <v>9320039900999</v>
      </c>
      <c r="V1133" s="3">
        <v>0.1</v>
      </c>
      <c r="W1133" s="3">
        <f t="shared" si="179"/>
        <v>1.85</v>
      </c>
      <c r="AA1133" s="3">
        <v>37</v>
      </c>
    </row>
    <row r="1134" spans="1:27" x14ac:dyDescent="0.3">
      <c r="A1134" s="3" t="str">
        <f t="shared" si="170"/>
        <v>South9160909901320</v>
      </c>
      <c r="B1134" s="3" t="str">
        <f t="shared" si="171"/>
        <v>CMR9160909901320</v>
      </c>
      <c r="C1134" s="10">
        <v>9160909901320</v>
      </c>
      <c r="D1134" s="10" t="str">
        <f t="shared" si="172"/>
        <v>9160909901</v>
      </c>
      <c r="E1134" s="3" t="s">
        <v>5</v>
      </c>
      <c r="F1134" s="3" t="s">
        <v>65</v>
      </c>
      <c r="H1134" s="3">
        <v>16.760000000000002</v>
      </c>
      <c r="I1134" s="10">
        <f t="shared" si="173"/>
        <v>85.505178460836859</v>
      </c>
      <c r="J1134" s="3">
        <v>5.8803456007087664</v>
      </c>
      <c r="K1134" s="3">
        <v>0</v>
      </c>
      <c r="L1134" s="3">
        <f t="shared" si="174"/>
        <v>0</v>
      </c>
      <c r="N1134" s="11">
        <f t="shared" si="175"/>
        <v>10.879654399291235</v>
      </c>
      <c r="O1134" s="3">
        <v>5.8803456007087664</v>
      </c>
      <c r="P1134" s="11">
        <f t="shared" si="176"/>
        <v>55.505178460836873</v>
      </c>
      <c r="Q1134" s="12">
        <f t="shared" si="177"/>
        <v>55.727478956328028</v>
      </c>
      <c r="R1134" s="13">
        <f t="shared" si="178"/>
        <v>79.654804762418195</v>
      </c>
      <c r="S1134" s="3" t="s">
        <v>30</v>
      </c>
      <c r="T1134" s="3" t="s">
        <v>34</v>
      </c>
      <c r="U1134" s="10">
        <v>0</v>
      </c>
      <c r="V1134" s="3">
        <v>0</v>
      </c>
      <c r="W1134" s="3">
        <f t="shared" si="179"/>
        <v>0</v>
      </c>
      <c r="AA1134" s="3">
        <v>37</v>
      </c>
    </row>
    <row r="1135" spans="1:27" x14ac:dyDescent="0.3">
      <c r="A1135" s="3" t="str">
        <f t="shared" si="170"/>
        <v>South9320039901840</v>
      </c>
      <c r="B1135" s="3" t="str">
        <f t="shared" si="171"/>
        <v>CMR9320039901840</v>
      </c>
      <c r="C1135" s="10">
        <v>9320039901840</v>
      </c>
      <c r="D1135" s="10" t="str">
        <f t="shared" si="172"/>
        <v>9320039901</v>
      </c>
      <c r="E1135" s="3" t="s">
        <v>5</v>
      </c>
      <c r="F1135" s="3" t="s">
        <v>65</v>
      </c>
      <c r="H1135" s="3">
        <v>3.1440000000000006</v>
      </c>
      <c r="I1135" s="10">
        <f t="shared" si="173"/>
        <v>22.519997855653131</v>
      </c>
      <c r="J1135" s="3">
        <v>4.1882774858401302</v>
      </c>
      <c r="K1135" s="3">
        <v>18.5</v>
      </c>
      <c r="L1135" s="3">
        <f t="shared" si="174"/>
        <v>0</v>
      </c>
      <c r="N1135" s="11">
        <f t="shared" si="175"/>
        <v>-1.0442774858401296</v>
      </c>
      <c r="O1135" s="3">
        <v>4.1882774858401302</v>
      </c>
      <c r="P1135" s="11">
        <f t="shared" si="176"/>
        <v>-7.4800021443468694</v>
      </c>
      <c r="Q1135" s="12">
        <f t="shared" si="177"/>
        <v>-2.9524430051329733</v>
      </c>
      <c r="R1135" s="13">
        <f t="shared" si="178"/>
        <v>11.907427871935532</v>
      </c>
      <c r="S1135" s="3" t="s">
        <v>30</v>
      </c>
      <c r="T1135" s="3" t="s">
        <v>28</v>
      </c>
      <c r="U1135" s="10">
        <v>0</v>
      </c>
      <c r="V1135" s="3">
        <v>0</v>
      </c>
      <c r="W1135" s="3">
        <f t="shared" si="179"/>
        <v>0</v>
      </c>
      <c r="AA1135" s="3">
        <v>37</v>
      </c>
    </row>
    <row r="1136" spans="1:27" x14ac:dyDescent="0.3">
      <c r="A1136" s="3" t="str">
        <f t="shared" si="170"/>
        <v>South9310039901310</v>
      </c>
      <c r="B1136" s="3" t="str">
        <f t="shared" si="171"/>
        <v>CMR9310039901310</v>
      </c>
      <c r="C1136" s="10">
        <v>9310039901310</v>
      </c>
      <c r="D1136" s="10" t="str">
        <f t="shared" si="172"/>
        <v>9310039901</v>
      </c>
      <c r="E1136" s="3" t="s">
        <v>5</v>
      </c>
      <c r="F1136" s="3" t="s">
        <v>65</v>
      </c>
      <c r="H1136" s="3">
        <v>5.93</v>
      </c>
      <c r="I1136" s="10">
        <f t="shared" si="173"/>
        <v>57.017157063741799</v>
      </c>
      <c r="J1136" s="3">
        <v>3.1201134739341412</v>
      </c>
      <c r="K1136" s="3">
        <v>0</v>
      </c>
      <c r="L1136" s="3">
        <f t="shared" si="174"/>
        <v>0</v>
      </c>
      <c r="N1136" s="11">
        <f t="shared" si="175"/>
        <v>2.8098865260658585</v>
      </c>
      <c r="O1136" s="3">
        <v>3.1201134739341412</v>
      </c>
      <c r="P1136" s="11">
        <f t="shared" si="176"/>
        <v>27.017157063741802</v>
      </c>
      <c r="Q1136" s="12">
        <f t="shared" si="177"/>
        <v>25.444610175543183</v>
      </c>
      <c r="R1136" s="13">
        <f t="shared" si="178"/>
        <v>26.606476274762038</v>
      </c>
      <c r="S1136" s="3" t="s">
        <v>30</v>
      </c>
      <c r="T1136" s="3" t="s">
        <v>32</v>
      </c>
      <c r="U1136" s="10">
        <v>9310039900999</v>
      </c>
      <c r="V1136" s="3">
        <v>0.1</v>
      </c>
      <c r="W1136" s="3">
        <f t="shared" si="179"/>
        <v>0</v>
      </c>
      <c r="AA1136" s="3">
        <v>37</v>
      </c>
    </row>
    <row r="1137" spans="1:27" x14ac:dyDescent="0.3">
      <c r="A1137" s="3" t="str">
        <f t="shared" si="170"/>
        <v>South9320039901210</v>
      </c>
      <c r="B1137" s="3" t="str">
        <f t="shared" si="171"/>
        <v>CMR9320039901210</v>
      </c>
      <c r="C1137" s="10">
        <v>9320039901210</v>
      </c>
      <c r="D1137" s="10" t="str">
        <f t="shared" si="172"/>
        <v>9320039901</v>
      </c>
      <c r="E1137" s="3" t="s">
        <v>5</v>
      </c>
      <c r="F1137" s="3" t="s">
        <v>65</v>
      </c>
      <c r="H1137" s="3">
        <v>1.5680000000000003</v>
      </c>
      <c r="I1137" s="10">
        <f t="shared" si="173"/>
        <v>24.102116439084369</v>
      </c>
      <c r="J1137" s="3">
        <v>1.9516958238455446</v>
      </c>
      <c r="K1137" s="3">
        <v>0</v>
      </c>
      <c r="L1137" s="3">
        <f t="shared" si="174"/>
        <v>0</v>
      </c>
      <c r="N1137" s="11">
        <f t="shared" si="175"/>
        <v>-0.38369582384554435</v>
      </c>
      <c r="O1137" s="3">
        <v>1.9516958238455446</v>
      </c>
      <c r="P1137" s="11">
        <f t="shared" si="176"/>
        <v>-5.8978835609156333</v>
      </c>
      <c r="Q1137" s="12">
        <f t="shared" si="177"/>
        <v>0.59203134919868672</v>
      </c>
      <c r="R1137" s="13">
        <f t="shared" si="178"/>
        <v>17.999842974581782</v>
      </c>
      <c r="S1137" s="3" t="s">
        <v>30</v>
      </c>
      <c r="T1137" s="3" t="s">
        <v>28</v>
      </c>
      <c r="U1137" s="10">
        <v>0</v>
      </c>
      <c r="V1137" s="3">
        <v>0</v>
      </c>
      <c r="W1137" s="3">
        <f t="shared" si="179"/>
        <v>0</v>
      </c>
      <c r="AA1137" s="3">
        <v>37</v>
      </c>
    </row>
    <row r="1138" spans="1:27" x14ac:dyDescent="0.3">
      <c r="A1138" s="3" t="str">
        <f t="shared" si="170"/>
        <v>South9310039901840</v>
      </c>
      <c r="B1138" s="3" t="str">
        <f t="shared" si="171"/>
        <v>CMR9310039901840</v>
      </c>
      <c r="C1138" s="10">
        <v>9310039901840</v>
      </c>
      <c r="D1138" s="10" t="str">
        <f t="shared" si="172"/>
        <v>9310039901</v>
      </c>
      <c r="E1138" s="3" t="s">
        <v>5</v>
      </c>
      <c r="F1138" s="3" t="s">
        <v>65</v>
      </c>
      <c r="H1138" s="3">
        <v>2.2720000000000002</v>
      </c>
      <c r="I1138" s="10">
        <f t="shared" si="173"/>
        <v>53.754097576407602</v>
      </c>
      <c r="J1138" s="3">
        <v>1.2679963588471641</v>
      </c>
      <c r="K1138" s="3">
        <v>0</v>
      </c>
      <c r="L1138" s="3">
        <f t="shared" si="174"/>
        <v>0</v>
      </c>
      <c r="N1138" s="11">
        <f t="shared" si="175"/>
        <v>1.0040036411528361</v>
      </c>
      <c r="O1138" s="3">
        <v>1.2679963588471641</v>
      </c>
      <c r="P1138" s="11">
        <f t="shared" si="176"/>
        <v>23.754097576407602</v>
      </c>
      <c r="Q1138" s="12">
        <f t="shared" si="177"/>
        <v>35.376960283229046</v>
      </c>
      <c r="R1138" s="13">
        <f t="shared" si="178"/>
        <v>42.929882151854791</v>
      </c>
      <c r="S1138" s="3" t="s">
        <v>31</v>
      </c>
      <c r="T1138" s="3" t="s">
        <v>32</v>
      </c>
      <c r="U1138" s="10">
        <v>0</v>
      </c>
      <c r="V1138" s="3">
        <v>0</v>
      </c>
      <c r="W1138" s="3">
        <f t="shared" si="179"/>
        <v>0</v>
      </c>
      <c r="AA1138" s="3">
        <v>37</v>
      </c>
    </row>
    <row r="1139" spans="1:27" x14ac:dyDescent="0.3">
      <c r="A1139" s="3" t="str">
        <f t="shared" si="170"/>
        <v>South9310039901210</v>
      </c>
      <c r="B1139" s="3" t="str">
        <f t="shared" si="171"/>
        <v>CMR9310039901210</v>
      </c>
      <c r="C1139" s="10">
        <v>9310039901210</v>
      </c>
      <c r="D1139" s="10" t="str">
        <f t="shared" si="172"/>
        <v>9310039901</v>
      </c>
      <c r="E1139" s="3" t="s">
        <v>5</v>
      </c>
      <c r="F1139" s="3" t="s">
        <v>65</v>
      </c>
      <c r="H1139" s="3">
        <v>1.623</v>
      </c>
      <c r="I1139" s="10">
        <f t="shared" si="173"/>
        <v>118.15366119440606</v>
      </c>
      <c r="J1139" s="3">
        <v>0.41209048884136662</v>
      </c>
      <c r="K1139" s="3">
        <v>0</v>
      </c>
      <c r="L1139" s="3">
        <f t="shared" si="174"/>
        <v>0</v>
      </c>
      <c r="N1139" s="11">
        <f t="shared" si="175"/>
        <v>1.2109095111586334</v>
      </c>
      <c r="O1139" s="3">
        <v>0.41209048884136662</v>
      </c>
      <c r="P1139" s="11">
        <f t="shared" si="176"/>
        <v>88.15366119440607</v>
      </c>
      <c r="Q1139" s="12">
        <f t="shared" si="177"/>
        <v>44.936319021635484</v>
      </c>
      <c r="R1139" s="13">
        <f t="shared" si="178"/>
        <v>97.336469979643681</v>
      </c>
      <c r="S1139" s="3" t="s">
        <v>31</v>
      </c>
      <c r="T1139" s="3" t="s">
        <v>32</v>
      </c>
      <c r="U1139" s="10">
        <v>0</v>
      </c>
      <c r="V1139" s="3">
        <v>0</v>
      </c>
      <c r="W1139" s="3">
        <f t="shared" si="179"/>
        <v>0</v>
      </c>
      <c r="AA1139" s="3">
        <v>37</v>
      </c>
    </row>
    <row r="1140" spans="1:27" x14ac:dyDescent="0.3">
      <c r="A1140" s="3" t="str">
        <f t="shared" si="170"/>
        <v>South9160909901210</v>
      </c>
      <c r="B1140" s="3" t="str">
        <f t="shared" si="171"/>
        <v>CMR9160909901210</v>
      </c>
      <c r="C1140" s="10">
        <v>9160909901210</v>
      </c>
      <c r="D1140" s="10" t="str">
        <f t="shared" si="172"/>
        <v>9160909901</v>
      </c>
      <c r="E1140" s="3" t="s">
        <v>5</v>
      </c>
      <c r="F1140" s="3" t="s">
        <v>65</v>
      </c>
      <c r="H1140" s="3">
        <v>0</v>
      </c>
      <c r="I1140" s="10">
        <f t="shared" si="173"/>
        <v>0</v>
      </c>
      <c r="J1140" s="3">
        <v>0</v>
      </c>
      <c r="K1140" s="3">
        <v>0</v>
      </c>
      <c r="L1140" s="3">
        <f t="shared" si="174"/>
        <v>0</v>
      </c>
      <c r="N1140" s="11">
        <f t="shared" si="175"/>
        <v>0</v>
      </c>
      <c r="O1140" s="3">
        <v>0</v>
      </c>
      <c r="P1140" s="11">
        <f t="shared" si="176"/>
        <v>9999</v>
      </c>
      <c r="Q1140" s="12">
        <f t="shared" si="177"/>
        <v>9999</v>
      </c>
      <c r="R1140" s="13">
        <f t="shared" si="178"/>
        <v>9999</v>
      </c>
      <c r="S1140" s="3" t="s">
        <v>31</v>
      </c>
      <c r="T1140" s="3" t="s">
        <v>34</v>
      </c>
      <c r="U1140" s="10" t="s">
        <v>72</v>
      </c>
      <c r="V1140" s="3" t="s">
        <v>72</v>
      </c>
      <c r="W1140" s="3">
        <f t="shared" si="179"/>
        <v>0</v>
      </c>
      <c r="AA1140" s="3">
        <v>37</v>
      </c>
    </row>
    <row r="1141" spans="1:27" x14ac:dyDescent="0.3">
      <c r="A1141" s="3" t="str">
        <f t="shared" si="170"/>
        <v>East9100509902319</v>
      </c>
      <c r="B1141" s="3" t="str">
        <f t="shared" si="171"/>
        <v>KGP9100509902319</v>
      </c>
      <c r="C1141" s="10">
        <v>9100509902319</v>
      </c>
      <c r="D1141" s="10" t="str">
        <f t="shared" si="172"/>
        <v>9100509902</v>
      </c>
      <c r="E1141" s="3" t="s">
        <v>6</v>
      </c>
      <c r="F1141" s="3" t="s">
        <v>66</v>
      </c>
      <c r="H1141" s="3">
        <v>18.448999999999998</v>
      </c>
      <c r="I1141" s="10">
        <f t="shared" si="173"/>
        <v>1082.018136275565</v>
      </c>
      <c r="J1141" s="3">
        <v>0.51151637985025789</v>
      </c>
      <c r="K1141" s="3">
        <v>0</v>
      </c>
      <c r="L1141" s="3">
        <f t="shared" si="174"/>
        <v>0</v>
      </c>
      <c r="N1141" s="11">
        <f t="shared" si="175"/>
        <v>17.937483620149742</v>
      </c>
      <c r="O1141" s="3">
        <v>0.51151637985025789</v>
      </c>
      <c r="P1141" s="11">
        <f t="shared" si="176"/>
        <v>1052.018136275565</v>
      </c>
      <c r="Q1141" s="12">
        <f t="shared" si="177"/>
        <v>1052.018136275565</v>
      </c>
      <c r="R1141" s="13">
        <f t="shared" si="178"/>
        <v>1010.5867835272217</v>
      </c>
      <c r="S1141" s="3" t="s">
        <v>31</v>
      </c>
      <c r="T1141" s="3" t="s">
        <v>34</v>
      </c>
      <c r="U1141" s="10">
        <v>0</v>
      </c>
      <c r="V1141" s="3">
        <v>0</v>
      </c>
      <c r="W1141" s="3">
        <f t="shared" si="179"/>
        <v>0</v>
      </c>
      <c r="AA1141" s="3">
        <v>37</v>
      </c>
    </row>
    <row r="1142" spans="1:27" x14ac:dyDescent="0.3">
      <c r="A1142" s="3" t="str">
        <f t="shared" si="170"/>
        <v>East9310029900320</v>
      </c>
      <c r="B1142" s="3" t="str">
        <f t="shared" si="171"/>
        <v>KGP9310029900320</v>
      </c>
      <c r="C1142" s="10">
        <v>9310029900320</v>
      </c>
      <c r="D1142" s="10" t="str">
        <f t="shared" si="172"/>
        <v>9310029900</v>
      </c>
      <c r="E1142" s="3" t="s">
        <v>6</v>
      </c>
      <c r="F1142" s="3" t="s">
        <v>66</v>
      </c>
      <c r="H1142" s="3">
        <v>2.96</v>
      </c>
      <c r="I1142" s="10">
        <f t="shared" si="173"/>
        <v>228.83759926523723</v>
      </c>
      <c r="J1142" s="3">
        <v>0.38804811921259141</v>
      </c>
      <c r="K1142" s="3">
        <v>0</v>
      </c>
      <c r="L1142" s="3">
        <f t="shared" si="174"/>
        <v>0</v>
      </c>
      <c r="N1142" s="11">
        <f t="shared" si="175"/>
        <v>2.5719518807874087</v>
      </c>
      <c r="O1142" s="3">
        <v>0.38804811921259141</v>
      </c>
      <c r="P1142" s="11">
        <f t="shared" si="176"/>
        <v>198.83759926523723</v>
      </c>
      <c r="Q1142" s="12">
        <f t="shared" si="177"/>
        <v>198.83759926523723</v>
      </c>
      <c r="R1142" s="13">
        <f t="shared" si="178"/>
        <v>63.892856759683227</v>
      </c>
      <c r="S1142" s="3" t="s">
        <v>31</v>
      </c>
      <c r="T1142" s="3" t="s">
        <v>32</v>
      </c>
      <c r="U1142" s="10">
        <v>9310029900999</v>
      </c>
      <c r="V1142" s="3">
        <v>0.1</v>
      </c>
      <c r="W1142" s="3">
        <f t="shared" si="179"/>
        <v>0</v>
      </c>
      <c r="AA1142" s="3">
        <v>37</v>
      </c>
    </row>
    <row r="1143" spans="1:27" x14ac:dyDescent="0.3">
      <c r="A1143" s="3" t="str">
        <f t="shared" si="170"/>
        <v>East9310029900310</v>
      </c>
      <c r="B1143" s="3" t="str">
        <f t="shared" si="171"/>
        <v>KGP9310029900310</v>
      </c>
      <c r="C1143" s="10">
        <v>9310029900310</v>
      </c>
      <c r="D1143" s="10" t="str">
        <f t="shared" si="172"/>
        <v>9310029900</v>
      </c>
      <c r="E1143" s="3" t="s">
        <v>6</v>
      </c>
      <c r="F1143" s="3" t="s">
        <v>66</v>
      </c>
      <c r="H1143" s="3">
        <v>1.0900000000000001</v>
      </c>
      <c r="I1143" s="10">
        <f t="shared" si="173"/>
        <v>2139.4485693588058</v>
      </c>
      <c r="J1143" s="3">
        <v>1.5284312260799151E-2</v>
      </c>
      <c r="K1143" s="3">
        <v>0</v>
      </c>
      <c r="L1143" s="3">
        <f t="shared" si="174"/>
        <v>0</v>
      </c>
      <c r="N1143" s="11">
        <f t="shared" si="175"/>
        <v>1.074715687739201</v>
      </c>
      <c r="O1143" s="3">
        <v>1.5284312260799151E-2</v>
      </c>
      <c r="P1143" s="11">
        <f t="shared" si="176"/>
        <v>2109.4485693588063</v>
      </c>
      <c r="Q1143" s="12">
        <f t="shared" si="177"/>
        <v>2109.4485693588063</v>
      </c>
      <c r="R1143" s="13">
        <f t="shared" si="178"/>
        <v>309.77333263500134</v>
      </c>
      <c r="S1143" s="3" t="s">
        <v>31</v>
      </c>
      <c r="T1143" s="3" t="s">
        <v>32</v>
      </c>
      <c r="U1143" s="10">
        <v>9310029900999</v>
      </c>
      <c r="V1143" s="3">
        <v>0.1</v>
      </c>
      <c r="W1143" s="3">
        <f t="shared" si="179"/>
        <v>0</v>
      </c>
      <c r="AA1143" s="3">
        <v>37</v>
      </c>
    </row>
    <row r="1144" spans="1:27" x14ac:dyDescent="0.3">
      <c r="A1144" s="3" t="str">
        <f t="shared" si="170"/>
        <v>East9310029900840</v>
      </c>
      <c r="B1144" s="3" t="str">
        <f t="shared" si="171"/>
        <v>KGP9310029900840</v>
      </c>
      <c r="C1144" s="10">
        <v>9310029900840</v>
      </c>
      <c r="D1144" s="10" t="str">
        <f t="shared" si="172"/>
        <v>9310029900</v>
      </c>
      <c r="E1144" s="3" t="s">
        <v>6</v>
      </c>
      <c r="F1144" s="3" t="s">
        <v>66</v>
      </c>
      <c r="H1144" s="3">
        <v>1.944</v>
      </c>
      <c r="I1144" s="10">
        <f t="shared" si="173"/>
        <v>4173.3941249898489</v>
      </c>
      <c r="J1144" s="3">
        <v>1.3974237336173433E-2</v>
      </c>
      <c r="K1144" s="3">
        <v>0</v>
      </c>
      <c r="L1144" s="3">
        <f t="shared" si="174"/>
        <v>0</v>
      </c>
      <c r="N1144" s="11">
        <f t="shared" si="175"/>
        <v>1.9300257626638264</v>
      </c>
      <c r="O1144" s="3">
        <v>1.3974237336173433E-2</v>
      </c>
      <c r="P1144" s="11">
        <f t="shared" si="176"/>
        <v>4143.394124989848</v>
      </c>
      <c r="Q1144" s="12">
        <f t="shared" si="177"/>
        <v>4143.394124989848</v>
      </c>
      <c r="R1144" s="13">
        <f t="shared" si="178"/>
        <v>1357.0266447416436</v>
      </c>
      <c r="S1144" s="3" t="s">
        <v>31</v>
      </c>
      <c r="T1144" s="3" t="s">
        <v>32</v>
      </c>
      <c r="U1144" s="10">
        <v>0</v>
      </c>
      <c r="V1144" s="3">
        <v>0</v>
      </c>
      <c r="W1144" s="3">
        <f t="shared" si="179"/>
        <v>0</v>
      </c>
      <c r="AA1144" s="3">
        <v>37</v>
      </c>
    </row>
    <row r="1145" spans="1:27" x14ac:dyDescent="0.3">
      <c r="A1145" s="3" t="str">
        <f t="shared" si="170"/>
        <v>East9100509902195</v>
      </c>
      <c r="B1145" s="3" t="str">
        <f t="shared" si="171"/>
        <v>KGP9100509902195</v>
      </c>
      <c r="C1145" s="10">
        <v>9100509902195</v>
      </c>
      <c r="D1145" s="10" t="str">
        <f t="shared" si="172"/>
        <v>9100509902</v>
      </c>
      <c r="E1145" s="3" t="s">
        <v>6</v>
      </c>
      <c r="F1145" s="3" t="s">
        <v>66</v>
      </c>
      <c r="H1145" s="3">
        <v>0</v>
      </c>
      <c r="I1145" s="10">
        <f t="shared" si="173"/>
        <v>0</v>
      </c>
      <c r="J1145" s="3">
        <v>0</v>
      </c>
      <c r="K1145" s="3">
        <v>0</v>
      </c>
      <c r="L1145" s="3">
        <f t="shared" si="174"/>
        <v>0</v>
      </c>
      <c r="N1145" s="11">
        <f t="shared" si="175"/>
        <v>0</v>
      </c>
      <c r="O1145" s="3">
        <v>0</v>
      </c>
      <c r="P1145" s="11">
        <f t="shared" si="176"/>
        <v>9999</v>
      </c>
      <c r="Q1145" s="12">
        <f t="shared" si="177"/>
        <v>9999</v>
      </c>
      <c r="R1145" s="13">
        <f t="shared" si="178"/>
        <v>9999</v>
      </c>
      <c r="S1145" s="3" t="s">
        <v>31</v>
      </c>
      <c r="T1145" s="3" t="s">
        <v>34</v>
      </c>
      <c r="U1145" s="10" t="s">
        <v>72</v>
      </c>
      <c r="V1145" s="3" t="s">
        <v>72</v>
      </c>
      <c r="W1145" s="3">
        <f t="shared" si="179"/>
        <v>0</v>
      </c>
      <c r="AA1145" s="3">
        <v>37</v>
      </c>
    </row>
    <row r="1146" spans="1:27" x14ac:dyDescent="0.3">
      <c r="A1146" s="3" t="str">
        <f t="shared" si="170"/>
        <v>East9310029900210</v>
      </c>
      <c r="B1146" s="3" t="str">
        <f t="shared" si="171"/>
        <v>KGP9310029900210</v>
      </c>
      <c r="C1146" s="10">
        <v>9310029900210</v>
      </c>
      <c r="D1146" s="10" t="str">
        <f t="shared" si="172"/>
        <v>9310029900</v>
      </c>
      <c r="E1146" s="3" t="s">
        <v>6</v>
      </c>
      <c r="F1146" s="3" t="s">
        <v>66</v>
      </c>
      <c r="H1146" s="3">
        <v>4.5060000000000002</v>
      </c>
      <c r="I1146" s="10">
        <f t="shared" si="173"/>
        <v>0</v>
      </c>
      <c r="J1146" s="3">
        <v>0</v>
      </c>
      <c r="K1146" s="3">
        <v>0</v>
      </c>
      <c r="L1146" s="3">
        <f t="shared" si="174"/>
        <v>0</v>
      </c>
      <c r="N1146" s="11">
        <f t="shared" si="175"/>
        <v>4.5060000000000002</v>
      </c>
      <c r="O1146" s="3">
        <v>0</v>
      </c>
      <c r="P1146" s="11">
        <f t="shared" si="176"/>
        <v>9999</v>
      </c>
      <c r="Q1146" s="12">
        <f t="shared" si="177"/>
        <v>9999</v>
      </c>
      <c r="R1146" s="13">
        <f t="shared" si="178"/>
        <v>2174.2698828132511</v>
      </c>
      <c r="S1146" s="3" t="s">
        <v>31</v>
      </c>
      <c r="T1146" s="3" t="s">
        <v>32</v>
      </c>
      <c r="U1146" s="10">
        <v>0</v>
      </c>
      <c r="V1146" s="3">
        <v>0</v>
      </c>
      <c r="W1146" s="3">
        <f t="shared" si="179"/>
        <v>0</v>
      </c>
      <c r="AA1146" s="3">
        <v>37</v>
      </c>
    </row>
    <row r="1147" spans="1:27" ht="15.6" x14ac:dyDescent="0.3">
      <c r="A1147" s="3" t="str">
        <f t="shared" si="170"/>
        <v>West9320039901320</v>
      </c>
      <c r="B1147" s="3" t="str">
        <f t="shared" si="171"/>
        <v>Mah9320039901320</v>
      </c>
      <c r="C1147" s="14">
        <v>9320039901320</v>
      </c>
      <c r="D1147" s="10" t="str">
        <f t="shared" si="172"/>
        <v>9320039901</v>
      </c>
      <c r="E1147" s="3" t="s">
        <v>1</v>
      </c>
      <c r="F1147" s="3" t="s">
        <v>63</v>
      </c>
      <c r="G1147"/>
      <c r="H1147" s="3">
        <v>39.499999999999993</v>
      </c>
      <c r="I1147" s="10">
        <f t="shared" si="173"/>
        <v>23.174278593014737</v>
      </c>
      <c r="J1147" s="3">
        <v>51.134277826330532</v>
      </c>
      <c r="K1147" s="3">
        <v>66.5</v>
      </c>
      <c r="L1147" s="3">
        <f t="shared" si="174"/>
        <v>0</v>
      </c>
      <c r="M1147" s="32"/>
      <c r="N1147" s="11">
        <f t="shared" si="175"/>
        <v>-11.634277826330539</v>
      </c>
      <c r="O1147" s="3">
        <v>51.134277826330532</v>
      </c>
      <c r="P1147" s="11">
        <f t="shared" si="176"/>
        <v>-6.825721406985263</v>
      </c>
      <c r="Q1147" s="12">
        <f t="shared" si="177"/>
        <v>-6.825721406985263</v>
      </c>
      <c r="R1147" s="13">
        <f t="shared" si="178"/>
        <v>-7.7301793479032082</v>
      </c>
      <c r="S1147" s="3" t="s">
        <v>29</v>
      </c>
      <c r="T1147" s="3" t="s">
        <v>28</v>
      </c>
      <c r="U1147" s="10">
        <v>9320039900999</v>
      </c>
      <c r="V1147" s="3">
        <v>0.1</v>
      </c>
      <c r="W1147" s="3">
        <f t="shared" si="179"/>
        <v>6.65</v>
      </c>
      <c r="Y1147" s="3">
        <v>0</v>
      </c>
      <c r="Z1147" s="3">
        <v>0</v>
      </c>
      <c r="AA1147">
        <v>38</v>
      </c>
    </row>
    <row r="1148" spans="1:27" ht="15.6" x14ac:dyDescent="0.3">
      <c r="A1148" s="3" t="str">
        <f t="shared" si="170"/>
        <v>West9420029901320</v>
      </c>
      <c r="B1148" s="3" t="str">
        <f t="shared" si="171"/>
        <v>Mah9420029901320</v>
      </c>
      <c r="C1148" s="14">
        <v>9420029901320</v>
      </c>
      <c r="D1148" s="10" t="str">
        <f t="shared" si="172"/>
        <v>9420029901</v>
      </c>
      <c r="E1148" s="3" t="s">
        <v>1</v>
      </c>
      <c r="F1148" s="3" t="s">
        <v>63</v>
      </c>
      <c r="H1148" s="3">
        <v>40.06</v>
      </c>
      <c r="I1148" s="10">
        <f t="shared" si="173"/>
        <v>60.214784346662412</v>
      </c>
      <c r="J1148" s="3">
        <v>19.958553585131515</v>
      </c>
      <c r="K1148" s="3">
        <v>0</v>
      </c>
      <c r="L1148" s="3">
        <f t="shared" si="174"/>
        <v>0</v>
      </c>
      <c r="M1148" s="32"/>
      <c r="N1148" s="11">
        <f t="shared" si="175"/>
        <v>20.101446414868487</v>
      </c>
      <c r="O1148" s="3">
        <v>19.958553585131515</v>
      </c>
      <c r="P1148" s="11">
        <f t="shared" si="176"/>
        <v>30.214784346662409</v>
      </c>
      <c r="Q1148" s="12">
        <f t="shared" si="177"/>
        <v>30.214784346662412</v>
      </c>
      <c r="R1148" s="13">
        <f t="shared" si="178"/>
        <v>11.093100461562916</v>
      </c>
      <c r="S1148" s="3" t="s">
        <v>29</v>
      </c>
      <c r="T1148" s="3" t="s">
        <v>28</v>
      </c>
      <c r="U1148" s="10">
        <v>9420029900999</v>
      </c>
      <c r="V1148" s="3">
        <v>0.1</v>
      </c>
      <c r="W1148" s="3">
        <f t="shared" si="179"/>
        <v>0</v>
      </c>
      <c r="Y1148" s="3">
        <v>4.9737991503207013E-14</v>
      </c>
      <c r="Z1148" s="3">
        <v>16</v>
      </c>
      <c r="AA1148">
        <v>38</v>
      </c>
    </row>
    <row r="1149" spans="1:27" x14ac:dyDescent="0.3">
      <c r="A1149" s="3" t="str">
        <f t="shared" si="170"/>
        <v>West9420019901320</v>
      </c>
      <c r="B1149" s="3" t="str">
        <f t="shared" si="171"/>
        <v>Mah9420019901320</v>
      </c>
      <c r="C1149" s="14">
        <v>9420019901320</v>
      </c>
      <c r="D1149" s="10" t="str">
        <f t="shared" si="172"/>
        <v>9420019901</v>
      </c>
      <c r="E1149" s="3" t="s">
        <v>1</v>
      </c>
      <c r="F1149" s="3" t="s">
        <v>63</v>
      </c>
      <c r="H1149" s="3">
        <v>18.380000000000003</v>
      </c>
      <c r="I1149" s="10">
        <f t="shared" si="173"/>
        <v>56.932019576393614</v>
      </c>
      <c r="J1149" s="3">
        <v>9.685235199852869</v>
      </c>
      <c r="K1149" s="3">
        <v>0</v>
      </c>
      <c r="L1149" s="3">
        <f t="shared" si="174"/>
        <v>0</v>
      </c>
      <c r="M1149" s="32"/>
      <c r="N1149" s="11">
        <f t="shared" si="175"/>
        <v>8.6947648001471336</v>
      </c>
      <c r="O1149" s="3">
        <v>9.685235199852869</v>
      </c>
      <c r="P1149" s="11">
        <f t="shared" si="176"/>
        <v>26.932019576393618</v>
      </c>
      <c r="Q1149" s="12">
        <f t="shared" si="177"/>
        <v>26.932019576393614</v>
      </c>
      <c r="R1149" s="13">
        <f t="shared" si="178"/>
        <v>9.1596073909749496</v>
      </c>
      <c r="S1149" s="3" t="s">
        <v>30</v>
      </c>
      <c r="T1149" s="3" t="s">
        <v>28</v>
      </c>
      <c r="U1149" s="10">
        <v>9420019900999</v>
      </c>
      <c r="V1149" s="3">
        <v>0.1</v>
      </c>
      <c r="W1149" s="3">
        <f t="shared" si="179"/>
        <v>0</v>
      </c>
      <c r="Y1149" s="3">
        <v>0</v>
      </c>
      <c r="Z1149" s="3">
        <v>160</v>
      </c>
      <c r="AA1149" s="3">
        <v>38</v>
      </c>
    </row>
    <row r="1150" spans="1:27" x14ac:dyDescent="0.3">
      <c r="A1150" s="3" t="str">
        <f t="shared" si="170"/>
        <v>West9420029900320</v>
      </c>
      <c r="B1150" s="3" t="str">
        <f t="shared" si="171"/>
        <v>Mah9420029900320</v>
      </c>
      <c r="C1150" s="14">
        <v>9420029900320</v>
      </c>
      <c r="D1150" s="10" t="str">
        <f t="shared" si="172"/>
        <v>9420029900</v>
      </c>
      <c r="E1150" s="3" t="s">
        <v>1</v>
      </c>
      <c r="F1150" s="3" t="s">
        <v>63</v>
      </c>
      <c r="H1150" s="3">
        <v>22.439999999999998</v>
      </c>
      <c r="I1150" s="10">
        <f t="shared" si="173"/>
        <v>76.621426984892608</v>
      </c>
      <c r="J1150" s="3">
        <v>8.786054064651319</v>
      </c>
      <c r="K1150" s="3">
        <v>0</v>
      </c>
      <c r="L1150" s="3">
        <f t="shared" si="174"/>
        <v>0</v>
      </c>
      <c r="M1150" s="32"/>
      <c r="N1150" s="11">
        <f t="shared" si="175"/>
        <v>13.653945935348679</v>
      </c>
      <c r="O1150" s="3">
        <v>8.786054064651319</v>
      </c>
      <c r="P1150" s="11">
        <f t="shared" si="176"/>
        <v>46.621426984892608</v>
      </c>
      <c r="Q1150" s="12">
        <f t="shared" si="177"/>
        <v>46.621426984892608</v>
      </c>
      <c r="R1150" s="13">
        <f t="shared" si="178"/>
        <v>11.93731564960561</v>
      </c>
      <c r="S1150" s="3" t="s">
        <v>29</v>
      </c>
      <c r="T1150" s="3" t="s">
        <v>28</v>
      </c>
      <c r="U1150" s="10">
        <v>9420029900999</v>
      </c>
      <c r="V1150" s="3">
        <v>0.1</v>
      </c>
      <c r="W1150" s="3">
        <f t="shared" si="179"/>
        <v>0</v>
      </c>
      <c r="Y1150" s="3">
        <v>0</v>
      </c>
      <c r="Z1150" s="3">
        <v>624</v>
      </c>
      <c r="AA1150" s="3">
        <v>38</v>
      </c>
    </row>
    <row r="1151" spans="1:27" x14ac:dyDescent="0.3">
      <c r="A1151" s="3" t="str">
        <f t="shared" si="170"/>
        <v>West9420029901310</v>
      </c>
      <c r="B1151" s="3" t="str">
        <f t="shared" si="171"/>
        <v>Mah9420029901310</v>
      </c>
      <c r="C1151" s="14">
        <v>9420029901310</v>
      </c>
      <c r="D1151" s="10" t="str">
        <f t="shared" si="172"/>
        <v>9420029901</v>
      </c>
      <c r="E1151" s="3" t="s">
        <v>1</v>
      </c>
      <c r="F1151" s="3" t="s">
        <v>63</v>
      </c>
      <c r="H1151" s="3">
        <v>22.03</v>
      </c>
      <c r="I1151" s="10">
        <f t="shared" si="173"/>
        <v>79.834342664621744</v>
      </c>
      <c r="J1151" s="3">
        <v>8.2783922049235468</v>
      </c>
      <c r="K1151" s="3">
        <v>0</v>
      </c>
      <c r="L1151" s="3">
        <f t="shared" si="174"/>
        <v>0</v>
      </c>
      <c r="M1151" s="32"/>
      <c r="N1151" s="11">
        <f t="shared" si="175"/>
        <v>13.751607795076454</v>
      </c>
      <c r="O1151" s="3">
        <v>8.2783922049235468</v>
      </c>
      <c r="P1151" s="11">
        <f t="shared" si="176"/>
        <v>49.834342664621751</v>
      </c>
      <c r="Q1151" s="12">
        <f t="shared" si="177"/>
        <v>49.834342664621751</v>
      </c>
      <c r="R1151" s="13">
        <f t="shared" si="178"/>
        <v>13.253004494118244</v>
      </c>
      <c r="S1151" s="3" t="s">
        <v>29</v>
      </c>
      <c r="T1151" s="3" t="s">
        <v>28</v>
      </c>
      <c r="U1151" s="10">
        <v>9420029900999</v>
      </c>
      <c r="V1151" s="3">
        <v>0.1</v>
      </c>
      <c r="W1151" s="3">
        <f t="shared" si="179"/>
        <v>0</v>
      </c>
      <c r="Y1151" s="3">
        <v>0</v>
      </c>
      <c r="Z1151" s="3">
        <v>72</v>
      </c>
      <c r="AA1151" s="3">
        <v>38</v>
      </c>
    </row>
    <row r="1152" spans="1:27" x14ac:dyDescent="0.3">
      <c r="A1152" s="3" t="str">
        <f t="shared" si="170"/>
        <v>West9320039900320</v>
      </c>
      <c r="B1152" s="3" t="str">
        <f t="shared" si="171"/>
        <v>Mah9320039900320</v>
      </c>
      <c r="C1152" s="14">
        <v>9320039900320</v>
      </c>
      <c r="D1152" s="10" t="str">
        <f t="shared" si="172"/>
        <v>9320039900</v>
      </c>
      <c r="E1152" s="3" t="s">
        <v>1</v>
      </c>
      <c r="F1152" s="3" t="s">
        <v>63</v>
      </c>
      <c r="H1152" s="3">
        <v>25.046000000000003</v>
      </c>
      <c r="I1152" s="10">
        <f t="shared" si="173"/>
        <v>92.153067363277572</v>
      </c>
      <c r="J1152" s="3">
        <v>8.153608138055537</v>
      </c>
      <c r="K1152" s="3">
        <v>0</v>
      </c>
      <c r="L1152" s="3">
        <f t="shared" si="174"/>
        <v>0</v>
      </c>
      <c r="M1152" s="32"/>
      <c r="N1152" s="11">
        <f t="shared" si="175"/>
        <v>16.892391861944468</v>
      </c>
      <c r="O1152" s="3">
        <v>8.153608138055537</v>
      </c>
      <c r="P1152" s="11">
        <f t="shared" si="176"/>
        <v>62.153067363277579</v>
      </c>
      <c r="Q1152" s="12">
        <f t="shared" si="177"/>
        <v>62.153067363277572</v>
      </c>
      <c r="R1152" s="13">
        <f t="shared" si="178"/>
        <v>-10.513995057186442</v>
      </c>
      <c r="S1152" s="3" t="s">
        <v>29</v>
      </c>
      <c r="T1152" s="3" t="s">
        <v>28</v>
      </c>
      <c r="U1152" s="10">
        <v>9320039900999</v>
      </c>
      <c r="V1152" s="3">
        <v>0.1</v>
      </c>
      <c r="W1152" s="3">
        <f t="shared" si="179"/>
        <v>0</v>
      </c>
      <c r="Y1152" s="3">
        <v>0</v>
      </c>
      <c r="Z1152" s="3">
        <v>11.5</v>
      </c>
      <c r="AA1152" s="3">
        <v>38</v>
      </c>
    </row>
    <row r="1153" spans="1:27" x14ac:dyDescent="0.3">
      <c r="A1153" s="3" t="str">
        <f t="shared" si="170"/>
        <v>West9320039901310</v>
      </c>
      <c r="B1153" s="3" t="str">
        <f t="shared" si="171"/>
        <v>Mah9320039901310</v>
      </c>
      <c r="C1153" s="14">
        <v>9320039901310</v>
      </c>
      <c r="D1153" s="10" t="str">
        <f t="shared" si="172"/>
        <v>9320039901</v>
      </c>
      <c r="E1153" s="3" t="s">
        <v>1</v>
      </c>
      <c r="F1153" s="3" t="s">
        <v>63</v>
      </c>
      <c r="H1153" s="3">
        <v>11.1</v>
      </c>
      <c r="I1153" s="10">
        <f t="shared" si="173"/>
        <v>41.094963114865777</v>
      </c>
      <c r="J1153" s="3">
        <v>8.103182841878251</v>
      </c>
      <c r="K1153" s="3">
        <v>9.5</v>
      </c>
      <c r="L1153" s="3">
        <f t="shared" si="174"/>
        <v>0</v>
      </c>
      <c r="M1153" s="32"/>
      <c r="N1153" s="11">
        <f t="shared" si="175"/>
        <v>2.9968171581217486</v>
      </c>
      <c r="O1153" s="3">
        <v>8.103182841878251</v>
      </c>
      <c r="P1153" s="11">
        <f t="shared" si="176"/>
        <v>11.094963114865781</v>
      </c>
      <c r="Q1153" s="12">
        <f t="shared" si="177"/>
        <v>11.094963114865779</v>
      </c>
      <c r="R1153" s="13">
        <f t="shared" si="178"/>
        <v>5.5999242697400797</v>
      </c>
      <c r="S1153" s="3" t="s">
        <v>29</v>
      </c>
      <c r="T1153" s="3" t="s">
        <v>28</v>
      </c>
      <c r="U1153" s="10">
        <v>9320039900999</v>
      </c>
      <c r="V1153" s="3">
        <v>0.1</v>
      </c>
      <c r="W1153" s="3">
        <f t="shared" si="179"/>
        <v>0.95000000000000007</v>
      </c>
      <c r="Y1153" s="3">
        <v>0</v>
      </c>
      <c r="Z1153" s="3">
        <v>75</v>
      </c>
      <c r="AA1153" s="3">
        <v>38</v>
      </c>
    </row>
    <row r="1154" spans="1:27" x14ac:dyDescent="0.3">
      <c r="A1154" s="3" t="str">
        <f t="shared" si="170"/>
        <v>West9160309902219</v>
      </c>
      <c r="B1154" s="3" t="str">
        <f t="shared" si="171"/>
        <v>Mah9160309902219</v>
      </c>
      <c r="C1154" s="10">
        <v>9160309902219</v>
      </c>
      <c r="D1154" s="10" t="str">
        <f t="shared" si="172"/>
        <v>9160309902</v>
      </c>
      <c r="E1154" s="3" t="s">
        <v>1</v>
      </c>
      <c r="F1154" s="3" t="s">
        <v>63</v>
      </c>
      <c r="H1154" s="3">
        <v>24.257999999999999</v>
      </c>
      <c r="I1154" s="10">
        <f t="shared" si="173"/>
        <v>103.37267274309605</v>
      </c>
      <c r="J1154" s="3">
        <v>7.0399650186911078</v>
      </c>
      <c r="K1154" s="3">
        <v>0</v>
      </c>
      <c r="L1154" s="3">
        <f t="shared" si="174"/>
        <v>0</v>
      </c>
      <c r="M1154" s="32"/>
      <c r="N1154" s="11">
        <f t="shared" si="175"/>
        <v>17.21803498130889</v>
      </c>
      <c r="O1154" s="3">
        <v>7.0399650186911078</v>
      </c>
      <c r="P1154" s="11">
        <f t="shared" si="176"/>
        <v>73.372672743096047</v>
      </c>
      <c r="Q1154" s="12">
        <f t="shared" si="177"/>
        <v>73.372672743096047</v>
      </c>
      <c r="R1154" s="13">
        <f t="shared" si="178"/>
        <v>96.414129400234444</v>
      </c>
      <c r="S1154" s="3" t="s">
        <v>31</v>
      </c>
      <c r="T1154" s="3" t="s">
        <v>34</v>
      </c>
      <c r="U1154" s="10">
        <v>0</v>
      </c>
      <c r="V1154" s="3">
        <v>0</v>
      </c>
      <c r="W1154" s="3">
        <f t="shared" si="179"/>
        <v>0</v>
      </c>
      <c r="Y1154" s="3">
        <v>0</v>
      </c>
      <c r="Z1154" s="3">
        <v>108</v>
      </c>
      <c r="AA1154" s="3">
        <v>38</v>
      </c>
    </row>
    <row r="1155" spans="1:27" x14ac:dyDescent="0.3">
      <c r="A1155" s="3" t="str">
        <f t="shared" si="170"/>
        <v>West9420029901840</v>
      </c>
      <c r="B1155" s="3" t="str">
        <f t="shared" si="171"/>
        <v>Mah9420029901840</v>
      </c>
      <c r="C1155" s="10">
        <v>9420029901840</v>
      </c>
      <c r="D1155" s="10" t="str">
        <f t="shared" si="172"/>
        <v>9420029901</v>
      </c>
      <c r="E1155" s="3" t="s">
        <v>1</v>
      </c>
      <c r="F1155" s="3" t="s">
        <v>63</v>
      </c>
      <c r="H1155" s="3">
        <v>8.8360000000000003</v>
      </c>
      <c r="I1155" s="10">
        <f t="shared" si="173"/>
        <v>57.625166725574374</v>
      </c>
      <c r="J1155" s="3">
        <v>4.6000734585702467</v>
      </c>
      <c r="K1155" s="3">
        <v>0</v>
      </c>
      <c r="L1155" s="3">
        <f t="shared" si="174"/>
        <v>0</v>
      </c>
      <c r="M1155" s="32"/>
      <c r="N1155" s="11">
        <f t="shared" si="175"/>
        <v>4.2359265414297536</v>
      </c>
      <c r="O1155" s="3">
        <v>4.6000734585702467</v>
      </c>
      <c r="P1155" s="11">
        <f t="shared" si="176"/>
        <v>27.625166725574374</v>
      </c>
      <c r="Q1155" s="12">
        <f t="shared" si="177"/>
        <v>27.625166725574374</v>
      </c>
      <c r="R1155" s="13">
        <f t="shared" si="178"/>
        <v>17.827850782230005</v>
      </c>
      <c r="S1155" s="3" t="s">
        <v>30</v>
      </c>
      <c r="T1155" s="3" t="s">
        <v>28</v>
      </c>
      <c r="U1155" s="10">
        <v>0</v>
      </c>
      <c r="V1155" s="3">
        <v>0</v>
      </c>
      <c r="W1155" s="3">
        <f t="shared" si="179"/>
        <v>0</v>
      </c>
      <c r="Y1155" s="3">
        <v>0</v>
      </c>
      <c r="Z1155" s="3">
        <v>20</v>
      </c>
      <c r="AA1155" s="3">
        <v>38</v>
      </c>
    </row>
    <row r="1156" spans="1:27" x14ac:dyDescent="0.3">
      <c r="A1156" s="3" t="str">
        <f t="shared" ref="A1156:A1219" si="180">_xlfn.CONCAT(F1156,C1156)</f>
        <v>West9330209902219</v>
      </c>
      <c r="B1156" s="3" t="str">
        <f t="shared" ref="B1156:B1219" si="181">_xlfn.CONCAT(E1156,C1156)</f>
        <v>Mah9330209902219</v>
      </c>
      <c r="C1156" s="10">
        <v>9330209902219</v>
      </c>
      <c r="D1156" s="10" t="str">
        <f t="shared" ref="D1156:D1219" si="182">LEFT(C1156,10)</f>
        <v>9330209902</v>
      </c>
      <c r="E1156" s="3" t="s">
        <v>1</v>
      </c>
      <c r="F1156" s="3" t="s">
        <v>63</v>
      </c>
      <c r="H1156" s="3">
        <v>14.878499999999999</v>
      </c>
      <c r="I1156" s="10">
        <f t="shared" ref="I1156:I1219" si="183">IFERROR(H1156/J1156*30,0)</f>
        <v>102.89541318796807</v>
      </c>
      <c r="J1156" s="3">
        <v>4.3379484679711053</v>
      </c>
      <c r="K1156" s="3">
        <v>0</v>
      </c>
      <c r="L1156" s="3">
        <f t="shared" ref="L1156:L1219" si="184">M1156*G1156</f>
        <v>0</v>
      </c>
      <c r="M1156" s="32"/>
      <c r="N1156" s="11">
        <f t="shared" ref="N1156:N1219" si="185">H1156-J1156+L1156</f>
        <v>10.540551532028893</v>
      </c>
      <c r="O1156" s="3">
        <v>4.3379484679711053</v>
      </c>
      <c r="P1156" s="11">
        <f t="shared" ref="P1156:P1219" si="186">IF(O1156=0,9999,N1156/O1156*30)</f>
        <v>72.89541318796806</v>
      </c>
      <c r="Q1156" s="12">
        <f t="shared" ref="Q1156:Q1219" si="187">IF(SUMIF($A:$A,$A1156,$O:$O)=0,9999,SUMIF($A:$A,$A1156,$N:$N)*30/SUMIF($A:$A,$A1156,$O:$O))</f>
        <v>72.89541318796806</v>
      </c>
      <c r="R1156" s="13">
        <f t="shared" ref="R1156:R1219" si="188">IF(SUMIF($C:$C,$C1156,$O:$O)=0,9999,SUMIF($C:$C,$C1156,$N:$N)*30/SUMIF($C:$C,$C1156,$O:$O))</f>
        <v>25.495735371468772</v>
      </c>
      <c r="S1156" s="3" t="s">
        <v>30</v>
      </c>
      <c r="T1156" s="3" t="s">
        <v>35</v>
      </c>
      <c r="U1156" s="10">
        <v>9330209900999</v>
      </c>
      <c r="V1156" s="3">
        <v>0.1</v>
      </c>
      <c r="W1156" s="3">
        <f t="shared" ref="W1156:W1219" si="189">IFERROR(K1156*V1156,0)</f>
        <v>0</v>
      </c>
      <c r="Y1156" s="3">
        <v>0</v>
      </c>
      <c r="Z1156" s="3">
        <v>150</v>
      </c>
      <c r="AA1156" s="3">
        <v>38</v>
      </c>
    </row>
    <row r="1157" spans="1:27" x14ac:dyDescent="0.3">
      <c r="A1157" s="3" t="str">
        <f t="shared" si="180"/>
        <v>West9420029900310</v>
      </c>
      <c r="B1157" s="3" t="str">
        <f t="shared" si="181"/>
        <v>Mah9420029900310</v>
      </c>
      <c r="C1157" s="10">
        <v>9420029900310</v>
      </c>
      <c r="D1157" s="10" t="str">
        <f t="shared" si="182"/>
        <v>9420029900</v>
      </c>
      <c r="E1157" s="3" t="s">
        <v>1</v>
      </c>
      <c r="F1157" s="3" t="s">
        <v>63</v>
      </c>
      <c r="H1157" s="3">
        <v>4.2099999999999991</v>
      </c>
      <c r="I1157" s="10">
        <f t="shared" si="183"/>
        <v>30.587606879093979</v>
      </c>
      <c r="J1157" s="3">
        <v>4.1291232916401679</v>
      </c>
      <c r="K1157" s="3">
        <v>12</v>
      </c>
      <c r="L1157" s="3">
        <f t="shared" si="184"/>
        <v>0</v>
      </c>
      <c r="M1157" s="32"/>
      <c r="N1157" s="11">
        <f t="shared" si="185"/>
        <v>8.0876708359831184E-2</v>
      </c>
      <c r="O1157" s="3">
        <v>4.1291232916401679</v>
      </c>
      <c r="P1157" s="11">
        <f t="shared" si="186"/>
        <v>0.58760687909397868</v>
      </c>
      <c r="Q1157" s="12">
        <f t="shared" si="187"/>
        <v>0.58760687909397868</v>
      </c>
      <c r="R1157" s="13">
        <f t="shared" si="188"/>
        <v>-2.0199706511833333</v>
      </c>
      <c r="S1157" s="3" t="s">
        <v>30</v>
      </c>
      <c r="T1157" s="3" t="s">
        <v>28</v>
      </c>
      <c r="U1157" s="10">
        <v>9420029900999</v>
      </c>
      <c r="V1157" s="3">
        <v>0.1</v>
      </c>
      <c r="W1157" s="3">
        <f t="shared" si="189"/>
        <v>1.2000000000000002</v>
      </c>
      <c r="Y1157" s="3">
        <v>0</v>
      </c>
      <c r="Z1157" s="3">
        <v>104</v>
      </c>
      <c r="AA1157" s="3">
        <v>38</v>
      </c>
    </row>
    <row r="1158" spans="1:27" x14ac:dyDescent="0.3">
      <c r="A1158" s="3" t="str">
        <f t="shared" si="180"/>
        <v>West9420019900320</v>
      </c>
      <c r="B1158" s="3" t="str">
        <f t="shared" si="181"/>
        <v>Mah9420019900320</v>
      </c>
      <c r="C1158" s="10">
        <v>9420019900320</v>
      </c>
      <c r="D1158" s="10" t="str">
        <f t="shared" si="182"/>
        <v>9420019900</v>
      </c>
      <c r="E1158" s="3" t="s">
        <v>1</v>
      </c>
      <c r="F1158" s="3" t="s">
        <v>63</v>
      </c>
      <c r="H1158" s="3">
        <v>21.7</v>
      </c>
      <c r="I1158" s="10">
        <f t="shared" si="183"/>
        <v>167.28599052776971</v>
      </c>
      <c r="J1158" s="3">
        <v>3.8915392612744402</v>
      </c>
      <c r="K1158" s="3">
        <v>0</v>
      </c>
      <c r="L1158" s="3">
        <f t="shared" si="184"/>
        <v>0</v>
      </c>
      <c r="M1158" s="32"/>
      <c r="N1158" s="11">
        <f t="shared" si="185"/>
        <v>17.808460738725557</v>
      </c>
      <c r="O1158" s="3">
        <v>3.8915392612744402</v>
      </c>
      <c r="P1158" s="11">
        <f t="shared" si="186"/>
        <v>137.28599052776971</v>
      </c>
      <c r="Q1158" s="12">
        <f t="shared" si="187"/>
        <v>137.28599052776971</v>
      </c>
      <c r="R1158" s="13">
        <f t="shared" si="188"/>
        <v>28.338406312816389</v>
      </c>
      <c r="S1158" s="3" t="s">
        <v>30</v>
      </c>
      <c r="T1158" s="3" t="s">
        <v>28</v>
      </c>
      <c r="U1158" s="10">
        <v>9420019900999</v>
      </c>
      <c r="V1158" s="3">
        <v>0.1</v>
      </c>
      <c r="W1158" s="3">
        <f t="shared" si="189"/>
        <v>0</v>
      </c>
      <c r="Y1158" s="3">
        <v>3</v>
      </c>
      <c r="Z1158" s="3">
        <v>18</v>
      </c>
      <c r="AA1158" s="3">
        <v>38</v>
      </c>
    </row>
    <row r="1159" spans="1:27" x14ac:dyDescent="0.3">
      <c r="A1159" s="3" t="str">
        <f t="shared" si="180"/>
        <v>West9432009902195</v>
      </c>
      <c r="B1159" s="3" t="str">
        <f t="shared" si="181"/>
        <v>Mah9432009902195</v>
      </c>
      <c r="C1159" s="10">
        <v>9432009902195</v>
      </c>
      <c r="D1159" s="10" t="str">
        <f t="shared" si="182"/>
        <v>9432009902</v>
      </c>
      <c r="E1159" s="3" t="s">
        <v>1</v>
      </c>
      <c r="F1159" s="3" t="s">
        <v>63</v>
      </c>
      <c r="H1159" s="3">
        <v>4.2863999999999995</v>
      </c>
      <c r="I1159" s="10">
        <f t="shared" si="183"/>
        <v>37.186179697950628</v>
      </c>
      <c r="J1159" s="3">
        <v>3.4580589091029115</v>
      </c>
      <c r="K1159" s="3">
        <v>12</v>
      </c>
      <c r="L1159" s="3">
        <f t="shared" si="184"/>
        <v>0</v>
      </c>
      <c r="M1159" s="32"/>
      <c r="N1159" s="11">
        <f t="shared" si="185"/>
        <v>0.82834109089708807</v>
      </c>
      <c r="O1159" s="3">
        <v>3.4580589091029115</v>
      </c>
      <c r="P1159" s="11">
        <f t="shared" si="186"/>
        <v>7.1861796979506289</v>
      </c>
      <c r="Q1159" s="12">
        <f t="shared" si="187"/>
        <v>7.1861796979506298</v>
      </c>
      <c r="R1159" s="13">
        <f t="shared" si="188"/>
        <v>34.173467301071753</v>
      </c>
      <c r="S1159" s="3" t="s">
        <v>30</v>
      </c>
      <c r="T1159" s="3" t="s">
        <v>35</v>
      </c>
      <c r="U1159" s="10">
        <v>0</v>
      </c>
      <c r="V1159" s="3">
        <v>0</v>
      </c>
      <c r="W1159" s="3">
        <f t="shared" si="189"/>
        <v>0</v>
      </c>
      <c r="Y1159" s="3">
        <v>0</v>
      </c>
      <c r="Z1159" s="3">
        <v>904</v>
      </c>
      <c r="AA1159" s="3">
        <v>38</v>
      </c>
    </row>
    <row r="1160" spans="1:27" x14ac:dyDescent="0.3">
      <c r="A1160" s="3" t="str">
        <f t="shared" si="180"/>
        <v>West9420019901310</v>
      </c>
      <c r="B1160" s="3" t="str">
        <f t="shared" si="181"/>
        <v>Mah9420019901310</v>
      </c>
      <c r="C1160" s="10">
        <v>9420019901310</v>
      </c>
      <c r="D1160" s="10" t="str">
        <f t="shared" si="182"/>
        <v>9420019901</v>
      </c>
      <c r="E1160" s="3" t="s">
        <v>1</v>
      </c>
      <c r="F1160" s="3" t="s">
        <v>63</v>
      </c>
      <c r="H1160" s="3">
        <v>9.09</v>
      </c>
      <c r="I1160" s="10">
        <f t="shared" si="183"/>
        <v>82.860408394000586</v>
      </c>
      <c r="J1160" s="3">
        <v>3.2910771897637003</v>
      </c>
      <c r="K1160" s="3">
        <v>0</v>
      </c>
      <c r="L1160" s="3">
        <f t="shared" si="184"/>
        <v>0</v>
      </c>
      <c r="M1160" s="32"/>
      <c r="N1160" s="11">
        <f t="shared" si="185"/>
        <v>5.7989228102362995</v>
      </c>
      <c r="O1160" s="3">
        <v>3.2910771897637003</v>
      </c>
      <c r="P1160" s="11">
        <f t="shared" si="186"/>
        <v>52.860408394000594</v>
      </c>
      <c r="Q1160" s="12">
        <f t="shared" si="187"/>
        <v>52.860408394000586</v>
      </c>
      <c r="R1160" s="13">
        <f t="shared" si="188"/>
        <v>38.280373310321046</v>
      </c>
      <c r="S1160" s="3" t="s">
        <v>30</v>
      </c>
      <c r="T1160" s="3" t="s">
        <v>28</v>
      </c>
      <c r="U1160" s="10">
        <v>9420019900999</v>
      </c>
      <c r="V1160" s="3">
        <v>0.1</v>
      </c>
      <c r="W1160" s="3">
        <f t="shared" si="189"/>
        <v>0</v>
      </c>
      <c r="Y1160" s="3">
        <v>0</v>
      </c>
      <c r="Z1160" s="3">
        <v>190</v>
      </c>
      <c r="AA1160" s="3">
        <v>38</v>
      </c>
    </row>
    <row r="1161" spans="1:27" x14ac:dyDescent="0.3">
      <c r="A1161" s="3" t="str">
        <f t="shared" si="180"/>
        <v>West9100309902319</v>
      </c>
      <c r="B1161" s="3" t="str">
        <f t="shared" si="181"/>
        <v>Mah9100309902319</v>
      </c>
      <c r="C1161" s="10">
        <v>9100309902319</v>
      </c>
      <c r="D1161" s="10" t="str">
        <f t="shared" si="182"/>
        <v>9100309902</v>
      </c>
      <c r="E1161" s="3" t="s">
        <v>1</v>
      </c>
      <c r="F1161" s="3" t="s">
        <v>63</v>
      </c>
      <c r="H1161" s="3">
        <v>11.437999999999999</v>
      </c>
      <c r="I1161" s="10">
        <f t="shared" si="183"/>
        <v>107.96036888870209</v>
      </c>
      <c r="J1161" s="3">
        <v>3.1783885469467776</v>
      </c>
      <c r="K1161" s="3">
        <v>0</v>
      </c>
      <c r="L1161" s="3">
        <f t="shared" si="184"/>
        <v>0</v>
      </c>
      <c r="M1161" s="32"/>
      <c r="N1161" s="11">
        <f t="shared" si="185"/>
        <v>8.2596114530532212</v>
      </c>
      <c r="O1161" s="3">
        <v>3.1783885469467776</v>
      </c>
      <c r="P1161" s="11">
        <f t="shared" si="186"/>
        <v>77.960368888702092</v>
      </c>
      <c r="Q1161" s="12">
        <f t="shared" si="187"/>
        <v>77.960368888702092</v>
      </c>
      <c r="R1161" s="13">
        <f t="shared" si="188"/>
        <v>340.2992622587538</v>
      </c>
      <c r="S1161" s="3" t="s">
        <v>31</v>
      </c>
      <c r="T1161" s="3" t="s">
        <v>34</v>
      </c>
      <c r="U1161" s="10">
        <v>0</v>
      </c>
      <c r="V1161" s="3">
        <v>0</v>
      </c>
      <c r="W1161" s="3">
        <f t="shared" si="189"/>
        <v>0</v>
      </c>
      <c r="Y1161" s="3">
        <v>0</v>
      </c>
      <c r="Z1161" s="3">
        <v>0</v>
      </c>
      <c r="AA1161" s="3">
        <v>38</v>
      </c>
    </row>
    <row r="1162" spans="1:27" x14ac:dyDescent="0.3">
      <c r="A1162" s="3" t="str">
        <f t="shared" si="180"/>
        <v>West9420029900840</v>
      </c>
      <c r="B1162" s="3" t="str">
        <f t="shared" si="181"/>
        <v>Mah9420029900840</v>
      </c>
      <c r="C1162" s="10">
        <v>9420029900840</v>
      </c>
      <c r="D1162" s="10" t="str">
        <f t="shared" si="182"/>
        <v>9420029900</v>
      </c>
      <c r="E1162" s="3" t="s">
        <v>1</v>
      </c>
      <c r="F1162" s="3" t="s">
        <v>63</v>
      </c>
      <c r="H1162" s="3">
        <v>1.8040000000000005</v>
      </c>
      <c r="I1162" s="10">
        <f t="shared" si="183"/>
        <v>18.477708554762646</v>
      </c>
      <c r="J1162" s="3">
        <v>2.9289346046131102</v>
      </c>
      <c r="K1162" s="3">
        <v>0</v>
      </c>
      <c r="L1162" s="3">
        <f t="shared" si="184"/>
        <v>0</v>
      </c>
      <c r="M1162" s="32"/>
      <c r="N1162" s="11">
        <f t="shared" si="185"/>
        <v>-1.1249346046131097</v>
      </c>
      <c r="O1162" s="3">
        <v>2.9289346046131102</v>
      </c>
      <c r="P1162" s="11">
        <f t="shared" si="186"/>
        <v>-11.522291445237354</v>
      </c>
      <c r="Q1162" s="12">
        <f t="shared" si="187"/>
        <v>-11.522291445237354</v>
      </c>
      <c r="R1162" s="13">
        <f t="shared" si="188"/>
        <v>9.7377292402598545</v>
      </c>
      <c r="S1162" s="3" t="s">
        <v>31</v>
      </c>
      <c r="T1162" s="3" t="s">
        <v>28</v>
      </c>
      <c r="U1162" s="10">
        <v>0</v>
      </c>
      <c r="V1162" s="3">
        <v>0</v>
      </c>
      <c r="W1162" s="3">
        <f t="shared" si="189"/>
        <v>0</v>
      </c>
      <c r="Y1162" s="3">
        <v>0</v>
      </c>
      <c r="Z1162" s="3">
        <v>69</v>
      </c>
      <c r="AA1162" s="3">
        <v>38</v>
      </c>
    </row>
    <row r="1163" spans="1:27" x14ac:dyDescent="0.3">
      <c r="A1163" s="3" t="str">
        <f t="shared" si="180"/>
        <v>West9320039901840</v>
      </c>
      <c r="B1163" s="3" t="str">
        <f t="shared" si="181"/>
        <v>Mah9320039901840</v>
      </c>
      <c r="C1163" s="10">
        <v>9320039901840</v>
      </c>
      <c r="D1163" s="10" t="str">
        <f t="shared" si="182"/>
        <v>9320039901</v>
      </c>
      <c r="E1163" s="3" t="s">
        <v>1</v>
      </c>
      <c r="F1163" s="3" t="s">
        <v>63</v>
      </c>
      <c r="H1163" s="3">
        <v>5.652000000000001</v>
      </c>
      <c r="I1163" s="10">
        <f t="shared" si="183"/>
        <v>64.727199948450959</v>
      </c>
      <c r="J1163" s="3">
        <v>2.6196096870409717</v>
      </c>
      <c r="K1163" s="3">
        <v>0</v>
      </c>
      <c r="L1163" s="3">
        <f t="shared" si="184"/>
        <v>0</v>
      </c>
      <c r="M1163" s="32"/>
      <c r="N1163" s="11">
        <f t="shared" si="185"/>
        <v>3.0323903129590293</v>
      </c>
      <c r="O1163" s="3">
        <v>2.6196096870409717</v>
      </c>
      <c r="P1163" s="11">
        <f t="shared" si="186"/>
        <v>34.727199948450959</v>
      </c>
      <c r="Q1163" s="12">
        <f t="shared" si="187"/>
        <v>34.727199948450959</v>
      </c>
      <c r="R1163" s="13">
        <f t="shared" si="188"/>
        <v>11.907427871935532</v>
      </c>
      <c r="S1163" s="3" t="s">
        <v>30</v>
      </c>
      <c r="T1163" s="3" t="s">
        <v>28</v>
      </c>
      <c r="U1163" s="10">
        <v>0</v>
      </c>
      <c r="V1163" s="3">
        <v>0</v>
      </c>
      <c r="W1163" s="3">
        <f t="shared" si="189"/>
        <v>0</v>
      </c>
      <c r="Y1163" s="3">
        <v>0</v>
      </c>
      <c r="Z1163" s="3">
        <v>60</v>
      </c>
      <c r="AA1163" s="3">
        <v>38</v>
      </c>
    </row>
    <row r="1164" spans="1:27" x14ac:dyDescent="0.3">
      <c r="A1164" s="3" t="str">
        <f t="shared" si="180"/>
        <v>West9432009902838</v>
      </c>
      <c r="B1164" s="3" t="str">
        <f t="shared" si="181"/>
        <v>Mah9432009902838</v>
      </c>
      <c r="C1164" s="10">
        <v>9432009902838</v>
      </c>
      <c r="D1164" s="10" t="str">
        <f t="shared" si="182"/>
        <v>9432009902</v>
      </c>
      <c r="E1164" s="3" t="s">
        <v>1</v>
      </c>
      <c r="F1164" s="3" t="s">
        <v>63</v>
      </c>
      <c r="H1164" s="3">
        <v>3.4807999999999999</v>
      </c>
      <c r="I1164" s="10">
        <f t="shared" si="183"/>
        <v>40.103980292042927</v>
      </c>
      <c r="J1164" s="3">
        <v>2.603831321469078</v>
      </c>
      <c r="K1164" s="3">
        <v>26.388888888888889</v>
      </c>
      <c r="L1164" s="3">
        <f t="shared" si="184"/>
        <v>0</v>
      </c>
      <c r="M1164" s="32"/>
      <c r="N1164" s="11">
        <f t="shared" si="185"/>
        <v>0.87696867853092186</v>
      </c>
      <c r="O1164" s="3">
        <v>2.603831321469078</v>
      </c>
      <c r="P1164" s="11">
        <f t="shared" si="186"/>
        <v>10.103980292042927</v>
      </c>
      <c r="Q1164" s="12">
        <f t="shared" si="187"/>
        <v>10.103980292042927</v>
      </c>
      <c r="R1164" s="13">
        <f t="shared" si="188"/>
        <v>19.801120837885417</v>
      </c>
      <c r="S1164" s="3" t="s">
        <v>30</v>
      </c>
      <c r="T1164" s="3" t="s">
        <v>35</v>
      </c>
      <c r="U1164" s="10">
        <v>0</v>
      </c>
      <c r="V1164" s="3">
        <v>0</v>
      </c>
      <c r="W1164" s="3">
        <f t="shared" si="189"/>
        <v>0</v>
      </c>
      <c r="Y1164" s="3">
        <v>0</v>
      </c>
      <c r="Z1164" s="3">
        <v>0</v>
      </c>
      <c r="AA1164" s="3">
        <v>38</v>
      </c>
    </row>
    <row r="1165" spans="1:27" x14ac:dyDescent="0.3">
      <c r="A1165" s="3" t="str">
        <f t="shared" si="180"/>
        <v>West9420019900310</v>
      </c>
      <c r="B1165" s="3" t="str">
        <f t="shared" si="181"/>
        <v>Mah9420019900310</v>
      </c>
      <c r="C1165" s="10">
        <v>9420019900310</v>
      </c>
      <c r="D1165" s="10" t="str">
        <f t="shared" si="182"/>
        <v>9420019900</v>
      </c>
      <c r="E1165" s="3" t="s">
        <v>1</v>
      </c>
      <c r="F1165" s="3" t="s">
        <v>63</v>
      </c>
      <c r="H1165" s="3">
        <v>2.83</v>
      </c>
      <c r="I1165" s="10">
        <f t="shared" si="183"/>
        <v>34.313012216907929</v>
      </c>
      <c r="J1165" s="3">
        <v>2.4742800038454522</v>
      </c>
      <c r="K1165" s="3">
        <v>0</v>
      </c>
      <c r="L1165" s="3">
        <f t="shared" si="184"/>
        <v>0</v>
      </c>
      <c r="M1165" s="32"/>
      <c r="N1165" s="11">
        <f t="shared" si="185"/>
        <v>0.35571999615454786</v>
      </c>
      <c r="O1165" s="3">
        <v>2.4742800038454522</v>
      </c>
      <c r="P1165" s="11">
        <f t="shared" si="186"/>
        <v>4.3130122169079304</v>
      </c>
      <c r="Q1165" s="12">
        <f t="shared" si="187"/>
        <v>4.3130122169079304</v>
      </c>
      <c r="R1165" s="13">
        <f t="shared" si="188"/>
        <v>-4.0605572829131411</v>
      </c>
      <c r="S1165" s="3" t="s">
        <v>31</v>
      </c>
      <c r="T1165" s="3" t="s">
        <v>28</v>
      </c>
      <c r="U1165" s="10">
        <v>9420019900999</v>
      </c>
      <c r="V1165" s="3">
        <v>0.1</v>
      </c>
      <c r="W1165" s="3">
        <f t="shared" si="189"/>
        <v>0</v>
      </c>
      <c r="Y1165" s="3">
        <v>0</v>
      </c>
      <c r="Z1165" s="3">
        <v>77</v>
      </c>
      <c r="AA1165" s="3">
        <v>38</v>
      </c>
    </row>
    <row r="1166" spans="1:27" x14ac:dyDescent="0.3">
      <c r="A1166" s="3" t="str">
        <f t="shared" si="180"/>
        <v>West9420029901210</v>
      </c>
      <c r="B1166" s="3" t="str">
        <f t="shared" si="181"/>
        <v>Mah9420029901210</v>
      </c>
      <c r="C1166" s="10">
        <v>9420029901210</v>
      </c>
      <c r="D1166" s="10" t="str">
        <f t="shared" si="182"/>
        <v>9420029901</v>
      </c>
      <c r="E1166" s="3" t="s">
        <v>1</v>
      </c>
      <c r="F1166" s="3" t="s">
        <v>63</v>
      </c>
      <c r="H1166" s="3">
        <v>2.3059999999999996</v>
      </c>
      <c r="I1166" s="10">
        <f t="shared" si="183"/>
        <v>28.698933419126714</v>
      </c>
      <c r="J1166" s="3">
        <v>2.4105425448980005</v>
      </c>
      <c r="K1166" s="3">
        <v>0</v>
      </c>
      <c r="L1166" s="3">
        <f t="shared" si="184"/>
        <v>0</v>
      </c>
      <c r="M1166" s="32"/>
      <c r="N1166" s="11">
        <f t="shared" si="185"/>
        <v>-0.10454254489800086</v>
      </c>
      <c r="O1166" s="3">
        <v>2.4105425448980005</v>
      </c>
      <c r="P1166" s="11">
        <f t="shared" si="186"/>
        <v>-1.3010665808732838</v>
      </c>
      <c r="Q1166" s="12">
        <f t="shared" si="187"/>
        <v>-1.3010665808732838</v>
      </c>
      <c r="R1166" s="13">
        <f t="shared" si="188"/>
        <v>2.2986753983757411</v>
      </c>
      <c r="S1166" s="3" t="s">
        <v>30</v>
      </c>
      <c r="T1166" s="3" t="s">
        <v>28</v>
      </c>
      <c r="U1166" s="10">
        <v>0</v>
      </c>
      <c r="V1166" s="3">
        <v>0</v>
      </c>
      <c r="W1166" s="3">
        <f t="shared" si="189"/>
        <v>0</v>
      </c>
      <c r="Y1166" s="3">
        <v>0</v>
      </c>
      <c r="Z1166" s="3">
        <v>90</v>
      </c>
      <c r="AA1166" s="3">
        <v>38</v>
      </c>
    </row>
    <row r="1167" spans="1:27" x14ac:dyDescent="0.3">
      <c r="A1167" s="3" t="str">
        <f t="shared" si="180"/>
        <v>West9330209902839</v>
      </c>
      <c r="B1167" s="3" t="str">
        <f t="shared" si="181"/>
        <v>Mah9330209902839</v>
      </c>
      <c r="C1167" s="10">
        <v>9330209902839</v>
      </c>
      <c r="D1167" s="10" t="str">
        <f t="shared" si="182"/>
        <v>9330209902</v>
      </c>
      <c r="E1167" s="3" t="s">
        <v>1</v>
      </c>
      <c r="F1167" s="3" t="s">
        <v>63</v>
      </c>
      <c r="H1167" s="3">
        <v>6.5909999999999993</v>
      </c>
      <c r="I1167" s="10">
        <f t="shared" si="183"/>
        <v>93.132558800886969</v>
      </c>
      <c r="J1167" s="3">
        <v>2.1231028390698192</v>
      </c>
      <c r="K1167" s="3">
        <v>0</v>
      </c>
      <c r="L1167" s="3">
        <f t="shared" si="184"/>
        <v>0</v>
      </c>
      <c r="M1167" s="32"/>
      <c r="N1167" s="11">
        <f t="shared" si="185"/>
        <v>4.4678971609301801</v>
      </c>
      <c r="O1167" s="3">
        <v>2.1231028390698192</v>
      </c>
      <c r="P1167" s="11">
        <f t="shared" si="186"/>
        <v>63.132558800886962</v>
      </c>
      <c r="Q1167" s="12">
        <f t="shared" si="187"/>
        <v>63.132558800886962</v>
      </c>
      <c r="R1167" s="13">
        <f t="shared" si="188"/>
        <v>43.473852368581014</v>
      </c>
      <c r="S1167" s="3" t="s">
        <v>30</v>
      </c>
      <c r="T1167" s="3" t="s">
        <v>35</v>
      </c>
      <c r="U1167" s="10">
        <v>0</v>
      </c>
      <c r="V1167" s="3">
        <v>0</v>
      </c>
      <c r="W1167" s="3">
        <f t="shared" si="189"/>
        <v>0</v>
      </c>
      <c r="Y1167" s="3">
        <v>0</v>
      </c>
      <c r="Z1167" s="3">
        <v>253</v>
      </c>
      <c r="AA1167" s="3">
        <v>38</v>
      </c>
    </row>
    <row r="1168" spans="1:27" x14ac:dyDescent="0.3">
      <c r="A1168" s="3" t="str">
        <f t="shared" si="180"/>
        <v>West9100509902319</v>
      </c>
      <c r="B1168" s="3" t="str">
        <f t="shared" si="181"/>
        <v>Mah9100509902319</v>
      </c>
      <c r="C1168" s="10">
        <v>9100509902319</v>
      </c>
      <c r="D1168" s="10" t="str">
        <f t="shared" si="182"/>
        <v>9100509902</v>
      </c>
      <c r="E1168" s="3" t="s">
        <v>1</v>
      </c>
      <c r="F1168" s="3" t="s">
        <v>63</v>
      </c>
      <c r="H1168" s="3">
        <v>18.050000000000004</v>
      </c>
      <c r="I1168" s="10">
        <f t="shared" si="183"/>
        <v>262.07416078607838</v>
      </c>
      <c r="J1168" s="3">
        <v>2.0662090393642694</v>
      </c>
      <c r="K1168" s="3">
        <v>0</v>
      </c>
      <c r="L1168" s="3">
        <f t="shared" si="184"/>
        <v>0</v>
      </c>
      <c r="M1168" s="32"/>
      <c r="N1168" s="11">
        <f t="shared" si="185"/>
        <v>15.983790960635735</v>
      </c>
      <c r="O1168" s="3">
        <v>2.0662090393642694</v>
      </c>
      <c r="P1168" s="11">
        <f t="shared" si="186"/>
        <v>232.07416078607841</v>
      </c>
      <c r="Q1168" s="12">
        <f t="shared" si="187"/>
        <v>232.07416078607841</v>
      </c>
      <c r="R1168" s="13">
        <f t="shared" si="188"/>
        <v>1010.5867835272217</v>
      </c>
      <c r="S1168" s="3" t="s">
        <v>31</v>
      </c>
      <c r="T1168" s="3" t="s">
        <v>34</v>
      </c>
      <c r="U1168" s="10">
        <v>0</v>
      </c>
      <c r="V1168" s="3">
        <v>0</v>
      </c>
      <c r="W1168" s="3">
        <f t="shared" si="189"/>
        <v>0</v>
      </c>
      <c r="Y1168" s="3">
        <v>0</v>
      </c>
      <c r="Z1168" s="3">
        <v>0</v>
      </c>
      <c r="AA1168" s="3">
        <v>38</v>
      </c>
    </row>
    <row r="1169" spans="1:27" x14ac:dyDescent="0.3">
      <c r="A1169" s="3" t="str">
        <f t="shared" si="180"/>
        <v>West9330209902097</v>
      </c>
      <c r="B1169" s="3" t="str">
        <f t="shared" si="181"/>
        <v>Mah9330209902097</v>
      </c>
      <c r="C1169" s="10">
        <v>9330209902097</v>
      </c>
      <c r="D1169" s="10" t="str">
        <f t="shared" si="182"/>
        <v>9330209902</v>
      </c>
      <c r="E1169" s="3" t="s">
        <v>1</v>
      </c>
      <c r="F1169" s="3" t="s">
        <v>63</v>
      </c>
      <c r="H1169" s="3">
        <v>2.8996500000000007</v>
      </c>
      <c r="I1169" s="10">
        <f t="shared" si="183"/>
        <v>45.649138120345199</v>
      </c>
      <c r="J1169" s="3">
        <v>1.905611005637585</v>
      </c>
      <c r="K1169" s="3">
        <v>0</v>
      </c>
      <c r="L1169" s="3">
        <f t="shared" si="184"/>
        <v>0</v>
      </c>
      <c r="M1169" s="32"/>
      <c r="N1169" s="11">
        <f t="shared" si="185"/>
        <v>0.99403899436241572</v>
      </c>
      <c r="O1169" s="3">
        <v>1.905611005637585</v>
      </c>
      <c r="P1169" s="11">
        <f t="shared" si="186"/>
        <v>15.649138120345192</v>
      </c>
      <c r="Q1169" s="12">
        <f t="shared" si="187"/>
        <v>15.649138120345194</v>
      </c>
      <c r="R1169" s="13">
        <f t="shared" si="188"/>
        <v>23.62392331129497</v>
      </c>
      <c r="S1169" s="3" t="s">
        <v>30</v>
      </c>
      <c r="T1169" s="3" t="s">
        <v>35</v>
      </c>
      <c r="U1169" s="10">
        <v>0</v>
      </c>
      <c r="V1169" s="3">
        <v>0</v>
      </c>
      <c r="W1169" s="3">
        <f t="shared" si="189"/>
        <v>0</v>
      </c>
      <c r="Y1169" s="3">
        <v>0</v>
      </c>
      <c r="Z1169" s="3">
        <v>143</v>
      </c>
      <c r="AA1169" s="3">
        <v>38</v>
      </c>
    </row>
    <row r="1170" spans="1:27" x14ac:dyDescent="0.3">
      <c r="A1170" s="3" t="str">
        <f t="shared" si="180"/>
        <v>West9420019901840</v>
      </c>
      <c r="B1170" s="3" t="str">
        <f t="shared" si="181"/>
        <v>Mah9420019901840</v>
      </c>
      <c r="C1170" s="10">
        <v>9420019901840</v>
      </c>
      <c r="D1170" s="10" t="str">
        <f t="shared" si="182"/>
        <v>9420019901</v>
      </c>
      <c r="E1170" s="3" t="s">
        <v>1</v>
      </c>
      <c r="F1170" s="3" t="s">
        <v>63</v>
      </c>
      <c r="H1170" s="3">
        <v>1.6720000000000002</v>
      </c>
      <c r="I1170" s="10">
        <f t="shared" si="183"/>
        <v>29.959854691351914</v>
      </c>
      <c r="J1170" s="3">
        <v>1.6742404299603957</v>
      </c>
      <c r="K1170" s="3">
        <v>0</v>
      </c>
      <c r="L1170" s="3">
        <f t="shared" si="184"/>
        <v>0</v>
      </c>
      <c r="M1170" s="32"/>
      <c r="N1170" s="11">
        <f t="shared" si="185"/>
        <v>-2.2404299603955291E-3</v>
      </c>
      <c r="O1170" s="3">
        <v>1.6742404299603957</v>
      </c>
      <c r="P1170" s="11">
        <f t="shared" si="186"/>
        <v>-4.0145308648086943E-2</v>
      </c>
      <c r="Q1170" s="12">
        <f t="shared" si="187"/>
        <v>-4.0145308648086943E-2</v>
      </c>
      <c r="R1170" s="13">
        <f t="shared" si="188"/>
        <v>13.508670420487539</v>
      </c>
      <c r="S1170" s="3" t="s">
        <v>31</v>
      </c>
      <c r="T1170" s="3" t="s">
        <v>28</v>
      </c>
      <c r="U1170" s="10">
        <v>0</v>
      </c>
      <c r="V1170" s="3">
        <v>0</v>
      </c>
      <c r="W1170" s="3">
        <f t="shared" si="189"/>
        <v>0</v>
      </c>
      <c r="Y1170" s="3">
        <v>0</v>
      </c>
      <c r="Z1170" s="3">
        <v>325</v>
      </c>
      <c r="AA1170" s="3">
        <v>38</v>
      </c>
    </row>
    <row r="1171" spans="1:27" x14ac:dyDescent="0.3">
      <c r="A1171" s="3" t="str">
        <f t="shared" si="180"/>
        <v>West9432009902319</v>
      </c>
      <c r="B1171" s="3" t="str">
        <f t="shared" si="181"/>
        <v>Mah9432009902319</v>
      </c>
      <c r="C1171" s="10">
        <v>9432009902319</v>
      </c>
      <c r="D1171" s="10" t="str">
        <f t="shared" si="182"/>
        <v>9432009902</v>
      </c>
      <c r="E1171" s="3" t="s">
        <v>1</v>
      </c>
      <c r="F1171" s="3" t="s">
        <v>63</v>
      </c>
      <c r="H1171" s="3">
        <v>11.989000000000001</v>
      </c>
      <c r="I1171" s="10">
        <f t="shared" si="183"/>
        <v>227.23336733416065</v>
      </c>
      <c r="J1171" s="3">
        <v>1.5828221190380161</v>
      </c>
      <c r="K1171" s="3">
        <v>0</v>
      </c>
      <c r="L1171" s="3">
        <f t="shared" si="184"/>
        <v>0</v>
      </c>
      <c r="M1171" s="32"/>
      <c r="N1171" s="11">
        <f t="shared" si="185"/>
        <v>10.406177880961984</v>
      </c>
      <c r="O1171" s="3">
        <v>1.5828221190380161</v>
      </c>
      <c r="P1171" s="11">
        <f t="shared" si="186"/>
        <v>197.23336733416062</v>
      </c>
      <c r="Q1171" s="12">
        <f t="shared" si="187"/>
        <v>197.23336733416059</v>
      </c>
      <c r="R1171" s="13">
        <f t="shared" si="188"/>
        <v>18.627692690008107</v>
      </c>
      <c r="S1171" s="3" t="s">
        <v>30</v>
      </c>
      <c r="T1171" s="3" t="s">
        <v>35</v>
      </c>
      <c r="U1171" s="10">
        <v>9432009900999</v>
      </c>
      <c r="V1171" s="3">
        <v>0.1</v>
      </c>
      <c r="W1171" s="3">
        <f t="shared" si="189"/>
        <v>0</v>
      </c>
      <c r="Y1171" s="3">
        <v>0</v>
      </c>
      <c r="Z1171" s="3">
        <v>360</v>
      </c>
      <c r="AA1171" s="3">
        <v>38</v>
      </c>
    </row>
    <row r="1172" spans="1:27" x14ac:dyDescent="0.3">
      <c r="A1172" s="3" t="str">
        <f t="shared" si="180"/>
        <v>West9320039901210</v>
      </c>
      <c r="B1172" s="3" t="str">
        <f t="shared" si="181"/>
        <v>Mah9320039901210</v>
      </c>
      <c r="C1172" s="10">
        <v>9320039901210</v>
      </c>
      <c r="D1172" s="10" t="str">
        <f t="shared" si="182"/>
        <v>9320039901</v>
      </c>
      <c r="E1172" s="3" t="s">
        <v>1</v>
      </c>
      <c r="F1172" s="3" t="s">
        <v>63</v>
      </c>
      <c r="H1172" s="3">
        <v>5.7930000000000001</v>
      </c>
      <c r="I1172" s="10">
        <f t="shared" si="183"/>
        <v>112.84503236512892</v>
      </c>
      <c r="J1172" s="3">
        <v>1.5400766551927025</v>
      </c>
      <c r="K1172" s="3">
        <v>0</v>
      </c>
      <c r="L1172" s="3">
        <f t="shared" si="184"/>
        <v>0</v>
      </c>
      <c r="M1172" s="32"/>
      <c r="N1172" s="11">
        <f t="shared" si="185"/>
        <v>4.2529233448072974</v>
      </c>
      <c r="O1172" s="3">
        <v>1.5400766551927025</v>
      </c>
      <c r="P1172" s="11">
        <f t="shared" si="186"/>
        <v>82.845032365128901</v>
      </c>
      <c r="Q1172" s="12">
        <f t="shared" si="187"/>
        <v>82.845032365128915</v>
      </c>
      <c r="R1172" s="13">
        <f t="shared" si="188"/>
        <v>17.999842974581782</v>
      </c>
      <c r="S1172" s="3" t="s">
        <v>30</v>
      </c>
      <c r="T1172" s="3" t="s">
        <v>28</v>
      </c>
      <c r="U1172" s="10">
        <v>0</v>
      </c>
      <c r="V1172" s="3">
        <v>0</v>
      </c>
      <c r="W1172" s="3">
        <f t="shared" si="189"/>
        <v>0</v>
      </c>
      <c r="Y1172" s="3">
        <v>0</v>
      </c>
      <c r="Z1172" s="3">
        <v>16</v>
      </c>
      <c r="AA1172" s="3">
        <v>38</v>
      </c>
    </row>
    <row r="1173" spans="1:27" x14ac:dyDescent="0.3">
      <c r="A1173" s="3" t="str">
        <f t="shared" si="180"/>
        <v>West9420029900210</v>
      </c>
      <c r="B1173" s="3" t="str">
        <f t="shared" si="181"/>
        <v>Mah9420029900210</v>
      </c>
      <c r="C1173" s="10">
        <v>9420029900210</v>
      </c>
      <c r="D1173" s="10" t="str">
        <f t="shared" si="182"/>
        <v>9420029900</v>
      </c>
      <c r="E1173" s="3" t="s">
        <v>1</v>
      </c>
      <c r="F1173" s="3" t="s">
        <v>63</v>
      </c>
      <c r="H1173" s="3">
        <v>0.88200000000000034</v>
      </c>
      <c r="I1173" s="10">
        <f t="shared" si="183"/>
        <v>20.820506212488763</v>
      </c>
      <c r="J1173" s="3">
        <v>1.2708624723124413</v>
      </c>
      <c r="K1173" s="3">
        <v>0</v>
      </c>
      <c r="L1173" s="3">
        <f t="shared" si="184"/>
        <v>0</v>
      </c>
      <c r="M1173" s="32"/>
      <c r="N1173" s="11">
        <f t="shared" si="185"/>
        <v>-0.38886247231244098</v>
      </c>
      <c r="O1173" s="3">
        <v>1.2708624723124413</v>
      </c>
      <c r="P1173" s="11">
        <f t="shared" si="186"/>
        <v>-9.1794937875112392</v>
      </c>
      <c r="Q1173" s="12">
        <f t="shared" si="187"/>
        <v>-9.1794937875112392</v>
      </c>
      <c r="R1173" s="13">
        <f t="shared" si="188"/>
        <v>61.100952524328754</v>
      </c>
      <c r="S1173" s="3" t="s">
        <v>31</v>
      </c>
      <c r="T1173" s="3" t="s">
        <v>28</v>
      </c>
      <c r="U1173" s="10">
        <v>0</v>
      </c>
      <c r="V1173" s="3">
        <v>0</v>
      </c>
      <c r="W1173" s="3">
        <f t="shared" si="189"/>
        <v>0</v>
      </c>
      <c r="Y1173" s="3">
        <v>0</v>
      </c>
      <c r="Z1173" s="3">
        <v>360</v>
      </c>
      <c r="AA1173" s="3">
        <v>38</v>
      </c>
    </row>
    <row r="1174" spans="1:27" x14ac:dyDescent="0.3">
      <c r="A1174" s="3" t="str">
        <f t="shared" si="180"/>
        <v>West9420019900840</v>
      </c>
      <c r="B1174" s="3" t="str">
        <f t="shared" si="181"/>
        <v>Mah9420019900840</v>
      </c>
      <c r="C1174" s="10">
        <v>9420019900840</v>
      </c>
      <c r="D1174" s="10" t="str">
        <f t="shared" si="182"/>
        <v>9420019900</v>
      </c>
      <c r="E1174" s="3" t="s">
        <v>1</v>
      </c>
      <c r="F1174" s="3" t="s">
        <v>63</v>
      </c>
      <c r="H1174" s="3">
        <v>0.40000000000000008</v>
      </c>
      <c r="I1174" s="10">
        <f t="shared" si="183"/>
        <v>9.4571822041938276</v>
      </c>
      <c r="J1174" s="3">
        <v>1.2688768959826693</v>
      </c>
      <c r="K1174" s="3">
        <v>0</v>
      </c>
      <c r="L1174" s="3">
        <f t="shared" si="184"/>
        <v>0</v>
      </c>
      <c r="M1174" s="32"/>
      <c r="N1174" s="11">
        <f t="shared" si="185"/>
        <v>-0.86887689598266915</v>
      </c>
      <c r="O1174" s="3">
        <v>1.2688768959826693</v>
      </c>
      <c r="P1174" s="11">
        <f t="shared" si="186"/>
        <v>-20.542817795806169</v>
      </c>
      <c r="Q1174" s="12">
        <f t="shared" si="187"/>
        <v>-20.542817795806169</v>
      </c>
      <c r="R1174" s="13">
        <f t="shared" si="188"/>
        <v>-16.802681825879457</v>
      </c>
      <c r="S1174" s="3" t="s">
        <v>31</v>
      </c>
      <c r="T1174" s="3" t="s">
        <v>28</v>
      </c>
      <c r="U1174" s="10">
        <v>0</v>
      </c>
      <c r="V1174" s="3">
        <v>0</v>
      </c>
      <c r="W1174" s="3">
        <f t="shared" si="189"/>
        <v>0</v>
      </c>
      <c r="Y1174" s="3">
        <v>0</v>
      </c>
      <c r="Z1174" s="3">
        <v>1365</v>
      </c>
      <c r="AA1174" s="3">
        <v>38</v>
      </c>
    </row>
    <row r="1175" spans="1:27" x14ac:dyDescent="0.3">
      <c r="A1175" s="3" t="str">
        <f t="shared" si="180"/>
        <v>West9330209902297</v>
      </c>
      <c r="B1175" s="3" t="str">
        <f t="shared" si="181"/>
        <v>Mah9330209902297</v>
      </c>
      <c r="C1175" s="10">
        <v>9330209902297</v>
      </c>
      <c r="D1175" s="10" t="str">
        <f t="shared" si="182"/>
        <v>9330209902</v>
      </c>
      <c r="E1175" s="3" t="s">
        <v>1</v>
      </c>
      <c r="F1175" s="3" t="s">
        <v>63</v>
      </c>
      <c r="H1175" s="3">
        <v>2.4862500000000001</v>
      </c>
      <c r="I1175" s="10">
        <f t="shared" si="183"/>
        <v>64.361192700966285</v>
      </c>
      <c r="J1175" s="3">
        <v>1.1588893379671659</v>
      </c>
      <c r="K1175" s="3">
        <v>0</v>
      </c>
      <c r="L1175" s="3">
        <f t="shared" si="184"/>
        <v>0</v>
      </c>
      <c r="M1175" s="32"/>
      <c r="N1175" s="11">
        <f t="shared" si="185"/>
        <v>1.3273606620328342</v>
      </c>
      <c r="O1175" s="3">
        <v>1.1588893379671659</v>
      </c>
      <c r="P1175" s="11">
        <f t="shared" si="186"/>
        <v>34.361192700966285</v>
      </c>
      <c r="Q1175" s="12">
        <f t="shared" si="187"/>
        <v>34.361192700966278</v>
      </c>
      <c r="R1175" s="13">
        <f t="shared" si="188"/>
        <v>19.916688006569078</v>
      </c>
      <c r="S1175" s="3" t="s">
        <v>30</v>
      </c>
      <c r="T1175" s="3" t="s">
        <v>35</v>
      </c>
      <c r="U1175" s="10">
        <v>9330209900999</v>
      </c>
      <c r="V1175" s="3">
        <v>0.1</v>
      </c>
      <c r="W1175" s="3">
        <f t="shared" si="189"/>
        <v>0</v>
      </c>
      <c r="Y1175" s="3">
        <v>0</v>
      </c>
      <c r="Z1175" s="3">
        <v>144</v>
      </c>
      <c r="AA1175" s="3">
        <v>38</v>
      </c>
    </row>
    <row r="1176" spans="1:27" x14ac:dyDescent="0.3">
      <c r="A1176" s="3" t="str">
        <f t="shared" si="180"/>
        <v>West9320039900310</v>
      </c>
      <c r="B1176" s="3" t="str">
        <f t="shared" si="181"/>
        <v>Mah9320039900310</v>
      </c>
      <c r="C1176" s="10">
        <v>9320039900310</v>
      </c>
      <c r="D1176" s="10" t="str">
        <f t="shared" si="182"/>
        <v>9320039900</v>
      </c>
      <c r="E1176" s="3" t="s">
        <v>1</v>
      </c>
      <c r="F1176" s="3" t="s">
        <v>63</v>
      </c>
      <c r="H1176" s="3">
        <v>2.67</v>
      </c>
      <c r="I1176" s="10">
        <f t="shared" si="183"/>
        <v>72.739727639735435</v>
      </c>
      <c r="J1176" s="3">
        <v>1.1011864162692284</v>
      </c>
      <c r="K1176" s="3">
        <v>0</v>
      </c>
      <c r="L1176" s="3">
        <f t="shared" si="184"/>
        <v>0</v>
      </c>
      <c r="M1176" s="32"/>
      <c r="N1176" s="11">
        <f t="shared" si="185"/>
        <v>1.5688135837307715</v>
      </c>
      <c r="O1176" s="3">
        <v>1.1011864162692284</v>
      </c>
      <c r="P1176" s="11">
        <f t="shared" si="186"/>
        <v>42.739727639735428</v>
      </c>
      <c r="Q1176" s="12">
        <f t="shared" si="187"/>
        <v>42.739727639735428</v>
      </c>
      <c r="R1176" s="13">
        <f t="shared" si="188"/>
        <v>11.051869163953389</v>
      </c>
      <c r="S1176" s="3" t="s">
        <v>30</v>
      </c>
      <c r="T1176" s="3" t="s">
        <v>28</v>
      </c>
      <c r="U1176" s="10">
        <v>9320039900999</v>
      </c>
      <c r="V1176" s="3">
        <v>0.1</v>
      </c>
      <c r="W1176" s="3">
        <f t="shared" si="189"/>
        <v>0</v>
      </c>
      <c r="Y1176" s="3">
        <v>0</v>
      </c>
      <c r="Z1176" s="3">
        <v>30</v>
      </c>
      <c r="AA1176" s="3">
        <v>38</v>
      </c>
    </row>
    <row r="1177" spans="1:27" x14ac:dyDescent="0.3">
      <c r="A1177" s="3" t="str">
        <f t="shared" si="180"/>
        <v>West9432009902295</v>
      </c>
      <c r="B1177" s="3" t="str">
        <f t="shared" si="181"/>
        <v>Mah9432009902295</v>
      </c>
      <c r="C1177" s="10">
        <v>9432009902295</v>
      </c>
      <c r="D1177" s="10" t="str">
        <f t="shared" si="182"/>
        <v>9432009902</v>
      </c>
      <c r="E1177" s="3" t="s">
        <v>1</v>
      </c>
      <c r="F1177" s="3" t="s">
        <v>63</v>
      </c>
      <c r="H1177" s="3">
        <v>2.1564999999999999</v>
      </c>
      <c r="I1177" s="10">
        <f t="shared" si="183"/>
        <v>65.564986918776427</v>
      </c>
      <c r="J1177" s="3">
        <v>0.98673092210246005</v>
      </c>
      <c r="K1177" s="3">
        <v>0</v>
      </c>
      <c r="L1177" s="3">
        <f t="shared" si="184"/>
        <v>0</v>
      </c>
      <c r="M1177" s="32"/>
      <c r="N1177" s="11">
        <f t="shared" si="185"/>
        <v>1.1697690778975398</v>
      </c>
      <c r="O1177" s="3">
        <v>0.98673092210246005</v>
      </c>
      <c r="P1177" s="11">
        <f t="shared" si="186"/>
        <v>35.564986918776427</v>
      </c>
      <c r="Q1177" s="12">
        <f t="shared" si="187"/>
        <v>35.564986918776427</v>
      </c>
      <c r="R1177" s="13">
        <f t="shared" si="188"/>
        <v>36.662124742386482</v>
      </c>
      <c r="S1177" s="3" t="s">
        <v>30</v>
      </c>
      <c r="T1177" s="3" t="s">
        <v>35</v>
      </c>
      <c r="U1177" s="10">
        <v>9432009900999</v>
      </c>
      <c r="V1177" s="3">
        <v>0.1</v>
      </c>
      <c r="W1177" s="3">
        <f t="shared" si="189"/>
        <v>0</v>
      </c>
      <c r="Y1177" s="3">
        <v>0</v>
      </c>
      <c r="Z1177" s="3">
        <v>11</v>
      </c>
      <c r="AA1177" s="3">
        <v>38</v>
      </c>
    </row>
    <row r="1178" spans="1:27" x14ac:dyDescent="0.3">
      <c r="A1178" s="3" t="str">
        <f t="shared" si="180"/>
        <v>West9420019901210</v>
      </c>
      <c r="B1178" s="3" t="str">
        <f t="shared" si="181"/>
        <v>Mah9420019901210</v>
      </c>
      <c r="C1178" s="10">
        <v>9420019901210</v>
      </c>
      <c r="D1178" s="10" t="str">
        <f t="shared" si="182"/>
        <v>9420019901</v>
      </c>
      <c r="E1178" s="3" t="s">
        <v>1</v>
      </c>
      <c r="F1178" s="3" t="s">
        <v>63</v>
      </c>
      <c r="H1178" s="3">
        <v>0.68300000000000016</v>
      </c>
      <c r="I1178" s="10">
        <f t="shared" si="183"/>
        <v>21.057560417629535</v>
      </c>
      <c r="J1178" s="3">
        <v>0.97304719035001019</v>
      </c>
      <c r="K1178" s="3">
        <v>0</v>
      </c>
      <c r="L1178" s="3">
        <f t="shared" si="184"/>
        <v>0</v>
      </c>
      <c r="M1178" s="32"/>
      <c r="N1178" s="11">
        <f t="shared" si="185"/>
        <v>-0.29004719035001003</v>
      </c>
      <c r="O1178" s="3">
        <v>0.97304719035001019</v>
      </c>
      <c r="P1178" s="11">
        <f t="shared" si="186"/>
        <v>-8.9424395823704668</v>
      </c>
      <c r="Q1178" s="12">
        <f t="shared" si="187"/>
        <v>-8.9424395823704668</v>
      </c>
      <c r="R1178" s="13">
        <f t="shared" si="188"/>
        <v>7.9005308736412605</v>
      </c>
      <c r="S1178" s="3" t="s">
        <v>31</v>
      </c>
      <c r="T1178" s="3" t="s">
        <v>28</v>
      </c>
      <c r="U1178" s="10">
        <v>0</v>
      </c>
      <c r="V1178" s="3">
        <v>0</v>
      </c>
      <c r="W1178" s="3">
        <f t="shared" si="189"/>
        <v>0</v>
      </c>
      <c r="Y1178" s="3">
        <v>0</v>
      </c>
      <c r="Z1178" s="3">
        <v>3130</v>
      </c>
      <c r="AA1178" s="3">
        <v>38</v>
      </c>
    </row>
    <row r="1179" spans="1:27" ht="15.6" x14ac:dyDescent="0.3">
      <c r="A1179" s="3" t="str">
        <f t="shared" si="180"/>
        <v>West9420019900210</v>
      </c>
      <c r="B1179" s="3" t="str">
        <f t="shared" si="181"/>
        <v>Mah9420019900210</v>
      </c>
      <c r="C1179" s="10">
        <v>9420019900210</v>
      </c>
      <c r="D1179" s="10" t="str">
        <f t="shared" si="182"/>
        <v>9420019900</v>
      </c>
      <c r="E1179" s="3" t="s">
        <v>1</v>
      </c>
      <c r="F1179" s="3" t="s">
        <v>63</v>
      </c>
      <c r="H1179" s="3">
        <v>1.4589999999999999</v>
      </c>
      <c r="I1179" s="10">
        <f t="shared" si="183"/>
        <v>52.115190263553465</v>
      </c>
      <c r="J1179" s="3">
        <v>0.83987029076645925</v>
      </c>
      <c r="K1179" s="3">
        <v>0</v>
      </c>
      <c r="L1179" s="3">
        <f t="shared" si="184"/>
        <v>0</v>
      </c>
      <c r="N1179" s="11">
        <f t="shared" si="185"/>
        <v>0.6191297092335406</v>
      </c>
      <c r="O1179" s="3">
        <v>0.83987029076645925</v>
      </c>
      <c r="P1179" s="11">
        <f t="shared" si="186"/>
        <v>22.115190263553465</v>
      </c>
      <c r="Q1179" s="12">
        <f t="shared" si="187"/>
        <v>22.115190263553465</v>
      </c>
      <c r="R1179" s="13">
        <f t="shared" si="188"/>
        <v>173.10614674349301</v>
      </c>
      <c r="S1179" s="3" t="s">
        <v>31</v>
      </c>
      <c r="T1179" s="3" t="s">
        <v>28</v>
      </c>
      <c r="U1179" s="10">
        <v>0</v>
      </c>
      <c r="V1179" s="3">
        <v>0</v>
      </c>
      <c r="W1179" s="3">
        <f t="shared" si="189"/>
        <v>0</v>
      </c>
      <c r="Y1179">
        <v>10</v>
      </c>
      <c r="Z1179" s="3">
        <v>72</v>
      </c>
      <c r="AA1179" s="3">
        <v>38</v>
      </c>
    </row>
    <row r="1180" spans="1:27" x14ac:dyDescent="0.3">
      <c r="A1180" s="3" t="str">
        <f t="shared" si="180"/>
        <v>West9410029902195</v>
      </c>
      <c r="B1180" s="3" t="str">
        <f t="shared" si="181"/>
        <v>Mah9410029902195</v>
      </c>
      <c r="C1180" s="10">
        <v>9410029902195</v>
      </c>
      <c r="D1180" s="10" t="str">
        <f t="shared" si="182"/>
        <v>9410029902</v>
      </c>
      <c r="E1180" s="3" t="s">
        <v>1</v>
      </c>
      <c r="F1180" s="3" t="s">
        <v>63</v>
      </c>
      <c r="H1180" s="3">
        <v>0.96899999999999997</v>
      </c>
      <c r="I1180" s="10">
        <f t="shared" si="183"/>
        <v>46.107108198436393</v>
      </c>
      <c r="J1180" s="3">
        <v>0.63048846774098566</v>
      </c>
      <c r="K1180" s="3">
        <v>0</v>
      </c>
      <c r="L1180" s="3">
        <f t="shared" si="184"/>
        <v>0</v>
      </c>
      <c r="N1180" s="11">
        <f t="shared" si="185"/>
        <v>0.33851153225901431</v>
      </c>
      <c r="O1180" s="3">
        <v>0.63048846774098566</v>
      </c>
      <c r="P1180" s="11">
        <f t="shared" si="186"/>
        <v>16.107108198436393</v>
      </c>
      <c r="Q1180" s="12">
        <f t="shared" si="187"/>
        <v>16.107108198436393</v>
      </c>
      <c r="R1180" s="13">
        <f t="shared" si="188"/>
        <v>72.106187171666605</v>
      </c>
      <c r="S1180" s="3" t="s">
        <v>31</v>
      </c>
      <c r="T1180" s="3" t="s">
        <v>32</v>
      </c>
      <c r="U1180" s="10">
        <v>0</v>
      </c>
      <c r="V1180" s="3">
        <v>0</v>
      </c>
      <c r="W1180" s="3">
        <f t="shared" si="189"/>
        <v>0</v>
      </c>
      <c r="AA1180" s="3">
        <v>38</v>
      </c>
    </row>
    <row r="1181" spans="1:27" x14ac:dyDescent="0.3">
      <c r="A1181" s="3" t="str">
        <f t="shared" si="180"/>
        <v>West9410029902838</v>
      </c>
      <c r="B1181" s="3" t="str">
        <f t="shared" si="181"/>
        <v>Mah9410029902838</v>
      </c>
      <c r="C1181" s="10">
        <v>9410029902838</v>
      </c>
      <c r="D1181" s="10" t="str">
        <f t="shared" si="182"/>
        <v>9410029902</v>
      </c>
      <c r="E1181" s="3" t="s">
        <v>1</v>
      </c>
      <c r="F1181" s="3" t="s">
        <v>63</v>
      </c>
      <c r="H1181" s="3">
        <v>1.2083999999999997</v>
      </c>
      <c r="I1181" s="10">
        <f t="shared" si="183"/>
        <v>94.799982303231531</v>
      </c>
      <c r="J1181" s="3">
        <v>0.38240513467653081</v>
      </c>
      <c r="K1181" s="3">
        <v>0</v>
      </c>
      <c r="L1181" s="3">
        <f t="shared" si="184"/>
        <v>0</v>
      </c>
      <c r="N1181" s="11">
        <f t="shared" si="185"/>
        <v>0.82599486532346889</v>
      </c>
      <c r="O1181" s="3">
        <v>0.38240513467653081</v>
      </c>
      <c r="P1181" s="11">
        <f t="shared" si="186"/>
        <v>64.799982303231531</v>
      </c>
      <c r="Q1181" s="12">
        <f t="shared" si="187"/>
        <v>64.799982303231531</v>
      </c>
      <c r="R1181" s="13">
        <f t="shared" si="188"/>
        <v>29.473018002408558</v>
      </c>
      <c r="S1181" s="3" t="s">
        <v>31</v>
      </c>
      <c r="T1181" s="3" t="s">
        <v>32</v>
      </c>
      <c r="U1181" s="10">
        <v>0</v>
      </c>
      <c r="V1181" s="3">
        <v>0</v>
      </c>
      <c r="W1181" s="3">
        <f t="shared" si="189"/>
        <v>0</v>
      </c>
      <c r="AA1181" s="3">
        <v>38</v>
      </c>
    </row>
    <row r="1182" spans="1:27" x14ac:dyDescent="0.3">
      <c r="A1182" s="3" t="str">
        <f t="shared" si="180"/>
        <v>West9320039900840</v>
      </c>
      <c r="B1182" s="3" t="str">
        <f t="shared" si="181"/>
        <v>Mah9320039900840</v>
      </c>
      <c r="C1182" s="10">
        <v>9320039900840</v>
      </c>
      <c r="D1182" s="10" t="str">
        <f t="shared" si="182"/>
        <v>9320039900</v>
      </c>
      <c r="E1182" s="3" t="s">
        <v>1</v>
      </c>
      <c r="F1182" s="3" t="s">
        <v>63</v>
      </c>
      <c r="H1182" s="3">
        <v>1.4960000000000004</v>
      </c>
      <c r="I1182" s="10">
        <f t="shared" si="183"/>
        <v>122.11683351852295</v>
      </c>
      <c r="J1182" s="3">
        <v>0.36751689924217135</v>
      </c>
      <c r="K1182" s="3">
        <v>0</v>
      </c>
      <c r="L1182" s="3">
        <f t="shared" si="184"/>
        <v>0</v>
      </c>
      <c r="N1182" s="11">
        <f t="shared" si="185"/>
        <v>1.1284831007578291</v>
      </c>
      <c r="O1182" s="3">
        <v>0.36751689924217135</v>
      </c>
      <c r="P1182" s="11">
        <f t="shared" si="186"/>
        <v>92.116833518522952</v>
      </c>
      <c r="Q1182" s="12">
        <f t="shared" si="187"/>
        <v>92.116833518522952</v>
      </c>
      <c r="R1182" s="13">
        <f t="shared" si="188"/>
        <v>-11.770542147540164</v>
      </c>
      <c r="S1182" s="3" t="s">
        <v>30</v>
      </c>
      <c r="T1182" s="3" t="s">
        <v>28</v>
      </c>
      <c r="U1182" s="10">
        <v>0</v>
      </c>
      <c r="V1182" s="3">
        <v>0</v>
      </c>
      <c r="W1182" s="3">
        <f t="shared" si="189"/>
        <v>0</v>
      </c>
      <c r="AA1182" s="3">
        <v>38</v>
      </c>
    </row>
    <row r="1183" spans="1:27" x14ac:dyDescent="0.3">
      <c r="A1183" s="3" t="str">
        <f t="shared" si="180"/>
        <v>West9420019902838</v>
      </c>
      <c r="B1183" s="3" t="str">
        <f t="shared" si="181"/>
        <v>Mah9420019902838</v>
      </c>
      <c r="C1183" s="10">
        <v>9420019902838</v>
      </c>
      <c r="D1183" s="10" t="str">
        <f t="shared" si="182"/>
        <v>9420019902</v>
      </c>
      <c r="E1183" s="3" t="s">
        <v>1</v>
      </c>
      <c r="F1183" s="3" t="s">
        <v>63</v>
      </c>
      <c r="H1183" s="3">
        <v>1.2692000000000001</v>
      </c>
      <c r="I1183" s="10">
        <f t="shared" si="183"/>
        <v>156.11654637480632</v>
      </c>
      <c r="J1183" s="3">
        <v>0.24389471125364715</v>
      </c>
      <c r="K1183" s="3">
        <v>0</v>
      </c>
      <c r="L1183" s="3">
        <f t="shared" si="184"/>
        <v>0</v>
      </c>
      <c r="N1183" s="11">
        <f t="shared" si="185"/>
        <v>1.025305288746353</v>
      </c>
      <c r="O1183" s="3">
        <v>0.24389471125364715</v>
      </c>
      <c r="P1183" s="11">
        <f t="shared" si="186"/>
        <v>126.11654637480632</v>
      </c>
      <c r="Q1183" s="12">
        <f t="shared" si="187"/>
        <v>126.11654637480633</v>
      </c>
      <c r="R1183" s="13">
        <f t="shared" si="188"/>
        <v>94.982382273186985</v>
      </c>
      <c r="S1183" s="3" t="s">
        <v>31</v>
      </c>
      <c r="T1183" s="3" t="s">
        <v>28</v>
      </c>
      <c r="U1183" s="10">
        <v>0</v>
      </c>
      <c r="V1183" s="3">
        <v>0</v>
      </c>
      <c r="W1183" s="3">
        <f t="shared" si="189"/>
        <v>0</v>
      </c>
      <c r="AA1183" s="3">
        <v>38</v>
      </c>
    </row>
    <row r="1184" spans="1:27" x14ac:dyDescent="0.3">
      <c r="A1184" s="3" t="str">
        <f t="shared" si="180"/>
        <v>West9410029902295</v>
      </c>
      <c r="B1184" s="3" t="str">
        <f t="shared" si="181"/>
        <v>Mah9410029902295</v>
      </c>
      <c r="C1184" s="10">
        <v>9410029902295</v>
      </c>
      <c r="D1184" s="10" t="str">
        <f t="shared" si="182"/>
        <v>9410029902</v>
      </c>
      <c r="E1184" s="3" t="s">
        <v>1</v>
      </c>
      <c r="F1184" s="3" t="s">
        <v>63</v>
      </c>
      <c r="H1184" s="3">
        <v>0.7599999999999999</v>
      </c>
      <c r="I1184" s="10">
        <f t="shared" si="183"/>
        <v>158.32781621513311</v>
      </c>
      <c r="J1184" s="3">
        <v>0.14400501784866249</v>
      </c>
      <c r="K1184" s="3">
        <v>0</v>
      </c>
      <c r="L1184" s="3">
        <f t="shared" si="184"/>
        <v>0</v>
      </c>
      <c r="N1184" s="11">
        <f t="shared" si="185"/>
        <v>0.61599498215133741</v>
      </c>
      <c r="O1184" s="3">
        <v>0.14400501784866249</v>
      </c>
      <c r="P1184" s="11">
        <f t="shared" si="186"/>
        <v>128.32781621513311</v>
      </c>
      <c r="Q1184" s="12">
        <f t="shared" si="187"/>
        <v>128.32781621513311</v>
      </c>
      <c r="R1184" s="13">
        <f t="shared" si="188"/>
        <v>107.29403852358182</v>
      </c>
      <c r="S1184" s="3" t="s">
        <v>31</v>
      </c>
      <c r="T1184" s="3" t="s">
        <v>32</v>
      </c>
      <c r="U1184" s="10">
        <v>9410029900999</v>
      </c>
      <c r="V1184" s="3">
        <v>0.1</v>
      </c>
      <c r="W1184" s="3">
        <f t="shared" si="189"/>
        <v>0</v>
      </c>
      <c r="AA1184" s="3">
        <v>38</v>
      </c>
    </row>
    <row r="1185" spans="1:27" x14ac:dyDescent="0.3">
      <c r="A1185" s="3" t="str">
        <f t="shared" si="180"/>
        <v>West9420019902195</v>
      </c>
      <c r="B1185" s="3" t="str">
        <f t="shared" si="181"/>
        <v>Mah9420019902195</v>
      </c>
      <c r="C1185" s="10">
        <v>9420019902195</v>
      </c>
      <c r="D1185" s="10" t="str">
        <f t="shared" si="182"/>
        <v>9420019902</v>
      </c>
      <c r="E1185" s="3" t="s">
        <v>1</v>
      </c>
      <c r="F1185" s="3" t="s">
        <v>63</v>
      </c>
      <c r="H1185" s="3">
        <v>0.10069999999999998</v>
      </c>
      <c r="I1185" s="10">
        <f t="shared" si="183"/>
        <v>23.291347800173568</v>
      </c>
      <c r="J1185" s="3">
        <v>0.12970481682376006</v>
      </c>
      <c r="K1185" s="3">
        <v>0</v>
      </c>
      <c r="L1185" s="3">
        <f t="shared" si="184"/>
        <v>0</v>
      </c>
      <c r="N1185" s="11">
        <f t="shared" si="185"/>
        <v>-2.9004816823760077E-2</v>
      </c>
      <c r="O1185" s="3">
        <v>0.12970481682376006</v>
      </c>
      <c r="P1185" s="11">
        <f t="shared" si="186"/>
        <v>-6.7086521998264317</v>
      </c>
      <c r="Q1185" s="12">
        <f t="shared" si="187"/>
        <v>-6.7086521998264317</v>
      </c>
      <c r="R1185" s="13">
        <f t="shared" si="188"/>
        <v>45.855734013861159</v>
      </c>
      <c r="S1185" s="3" t="s">
        <v>31</v>
      </c>
      <c r="T1185" s="3" t="s">
        <v>28</v>
      </c>
      <c r="U1185" s="10">
        <v>0</v>
      </c>
      <c r="V1185" s="3">
        <v>0</v>
      </c>
      <c r="W1185" s="3">
        <f t="shared" si="189"/>
        <v>0</v>
      </c>
      <c r="AA1185" s="3">
        <v>38</v>
      </c>
    </row>
    <row r="1186" spans="1:27" x14ac:dyDescent="0.3">
      <c r="A1186" s="3" t="str">
        <f t="shared" si="180"/>
        <v>West9410029902319</v>
      </c>
      <c r="B1186" s="3" t="str">
        <f t="shared" si="181"/>
        <v>Mah9410029902319</v>
      </c>
      <c r="C1186" s="10">
        <v>9410029902319</v>
      </c>
      <c r="D1186" s="10" t="str">
        <f t="shared" si="182"/>
        <v>9410029902</v>
      </c>
      <c r="E1186" s="3" t="s">
        <v>1</v>
      </c>
      <c r="F1186" s="3" t="s">
        <v>63</v>
      </c>
      <c r="H1186" s="3">
        <v>0.70299999999999996</v>
      </c>
      <c r="I1186" s="10">
        <f t="shared" si="183"/>
        <v>235.17068113677064</v>
      </c>
      <c r="J1186" s="3">
        <v>8.9679546353545955E-2</v>
      </c>
      <c r="K1186" s="3">
        <v>0</v>
      </c>
      <c r="L1186" s="3">
        <f t="shared" si="184"/>
        <v>0</v>
      </c>
      <c r="N1186" s="11">
        <f t="shared" si="185"/>
        <v>0.61332045364645404</v>
      </c>
      <c r="O1186" s="3">
        <v>8.9679546353545955E-2</v>
      </c>
      <c r="P1186" s="11">
        <f t="shared" si="186"/>
        <v>205.17068113677064</v>
      </c>
      <c r="Q1186" s="12">
        <f t="shared" si="187"/>
        <v>205.17068113677067</v>
      </c>
      <c r="R1186" s="13">
        <f t="shared" si="188"/>
        <v>110.66043314697285</v>
      </c>
      <c r="S1186" s="3" t="s">
        <v>31</v>
      </c>
      <c r="T1186" s="3" t="s">
        <v>32</v>
      </c>
      <c r="U1186" s="10">
        <v>9410029900999</v>
      </c>
      <c r="V1186" s="3">
        <v>0.1</v>
      </c>
      <c r="W1186" s="3">
        <f t="shared" si="189"/>
        <v>0</v>
      </c>
      <c r="AA1186" s="3">
        <v>38</v>
      </c>
    </row>
    <row r="1187" spans="1:27" x14ac:dyDescent="0.3">
      <c r="A1187" s="3" t="str">
        <f t="shared" si="180"/>
        <v>West9420019902295</v>
      </c>
      <c r="B1187" s="3" t="str">
        <f t="shared" si="181"/>
        <v>Mah9420019902295</v>
      </c>
      <c r="C1187" s="10">
        <v>9420019902295</v>
      </c>
      <c r="D1187" s="10" t="str">
        <f t="shared" si="182"/>
        <v>9420019902</v>
      </c>
      <c r="E1187" s="3" t="s">
        <v>1</v>
      </c>
      <c r="F1187" s="3" t="s">
        <v>63</v>
      </c>
      <c r="H1187" s="3">
        <v>0.55100000000000005</v>
      </c>
      <c r="I1187" s="10">
        <f t="shared" si="183"/>
        <v>191.99423901388343</v>
      </c>
      <c r="J1187" s="3">
        <v>8.6096333332192784E-2</v>
      </c>
      <c r="K1187" s="3">
        <v>0</v>
      </c>
      <c r="L1187" s="3">
        <f t="shared" si="184"/>
        <v>0</v>
      </c>
      <c r="N1187" s="11">
        <f t="shared" si="185"/>
        <v>0.46490366666780725</v>
      </c>
      <c r="O1187" s="3">
        <v>8.6096333332192784E-2</v>
      </c>
      <c r="P1187" s="11">
        <f t="shared" si="186"/>
        <v>161.99423901388343</v>
      </c>
      <c r="Q1187" s="12">
        <f t="shared" si="187"/>
        <v>161.99423901388346</v>
      </c>
      <c r="R1187" s="13">
        <f t="shared" si="188"/>
        <v>39.953658255764203</v>
      </c>
      <c r="S1187" s="3" t="s">
        <v>31</v>
      </c>
      <c r="T1187" s="3" t="s">
        <v>28</v>
      </c>
      <c r="U1187" s="10">
        <v>9420019900999</v>
      </c>
      <c r="V1187" s="3">
        <v>0.1</v>
      </c>
      <c r="W1187" s="3">
        <f t="shared" si="189"/>
        <v>0</v>
      </c>
      <c r="AA1187" s="3">
        <v>38</v>
      </c>
    </row>
    <row r="1188" spans="1:27" x14ac:dyDescent="0.3">
      <c r="A1188" s="3" t="str">
        <f t="shared" si="180"/>
        <v>West9320039900210</v>
      </c>
      <c r="B1188" s="3" t="str">
        <f t="shared" si="181"/>
        <v>Mah9320039900210</v>
      </c>
      <c r="C1188" s="10">
        <v>9320039900210</v>
      </c>
      <c r="D1188" s="10" t="str">
        <f t="shared" si="182"/>
        <v>9320039900</v>
      </c>
      <c r="E1188" s="3" t="s">
        <v>1</v>
      </c>
      <c r="F1188" s="3" t="s">
        <v>63</v>
      </c>
      <c r="H1188" s="3">
        <v>2.4400000000000004</v>
      </c>
      <c r="I1188" s="10">
        <f t="shared" si="183"/>
        <v>909.87612578102255</v>
      </c>
      <c r="J1188" s="3">
        <v>8.0450511806941141E-2</v>
      </c>
      <c r="K1188" s="3">
        <v>0</v>
      </c>
      <c r="L1188" s="3">
        <f t="shared" si="184"/>
        <v>0</v>
      </c>
      <c r="N1188" s="11">
        <f t="shared" si="185"/>
        <v>2.3595494881930592</v>
      </c>
      <c r="O1188" s="3">
        <v>8.0450511806941141E-2</v>
      </c>
      <c r="P1188" s="11">
        <f t="shared" si="186"/>
        <v>879.87612578102255</v>
      </c>
      <c r="Q1188" s="12">
        <f t="shared" si="187"/>
        <v>879.87612578102244</v>
      </c>
      <c r="R1188" s="13">
        <f t="shared" si="188"/>
        <v>42.006413866655983</v>
      </c>
      <c r="S1188" s="3" t="s">
        <v>31</v>
      </c>
      <c r="T1188" s="3" t="s">
        <v>28</v>
      </c>
      <c r="U1188" s="10">
        <v>0</v>
      </c>
      <c r="V1188" s="3">
        <v>0</v>
      </c>
      <c r="W1188" s="3">
        <f t="shared" si="189"/>
        <v>0</v>
      </c>
      <c r="AA1188" s="3">
        <v>38</v>
      </c>
    </row>
    <row r="1189" spans="1:27" x14ac:dyDescent="0.3">
      <c r="A1189" s="3" t="str">
        <f t="shared" si="180"/>
        <v>West9420019902319</v>
      </c>
      <c r="B1189" s="3" t="str">
        <f t="shared" si="181"/>
        <v>Mah9420019902319</v>
      </c>
      <c r="C1189" s="10">
        <v>9420019902319</v>
      </c>
      <c r="D1189" s="10" t="str">
        <f t="shared" si="182"/>
        <v>9420019902</v>
      </c>
      <c r="E1189" s="3" t="s">
        <v>1</v>
      </c>
      <c r="F1189" s="3" t="s">
        <v>63</v>
      </c>
      <c r="H1189" s="3">
        <v>0.874</v>
      </c>
      <c r="I1189" s="10">
        <f t="shared" si="183"/>
        <v>431.58344690381034</v>
      </c>
      <c r="J1189" s="3">
        <v>6.0753025140567574E-2</v>
      </c>
      <c r="K1189" s="3">
        <v>0</v>
      </c>
      <c r="L1189" s="3">
        <f t="shared" si="184"/>
        <v>0</v>
      </c>
      <c r="N1189" s="11">
        <f t="shared" si="185"/>
        <v>0.81324697485943243</v>
      </c>
      <c r="O1189" s="3">
        <v>6.0753025140567574E-2</v>
      </c>
      <c r="P1189" s="11">
        <f t="shared" si="186"/>
        <v>401.58344690381034</v>
      </c>
      <c r="Q1189" s="12">
        <f t="shared" si="187"/>
        <v>401.58344690381034</v>
      </c>
      <c r="R1189" s="13">
        <f t="shared" si="188"/>
        <v>129.12664609594353</v>
      </c>
      <c r="S1189" s="3" t="s">
        <v>31</v>
      </c>
      <c r="T1189" s="3" t="s">
        <v>28</v>
      </c>
      <c r="U1189" s="10">
        <v>9420019900999</v>
      </c>
      <c r="V1189" s="3">
        <v>0.1</v>
      </c>
      <c r="W1189" s="3">
        <f t="shared" si="189"/>
        <v>0</v>
      </c>
      <c r="AA1189" s="3">
        <v>38</v>
      </c>
    </row>
    <row r="1190" spans="1:27" x14ac:dyDescent="0.3">
      <c r="A1190" s="3" t="str">
        <f t="shared" si="180"/>
        <v>West9160309902097</v>
      </c>
      <c r="B1190" s="3" t="str">
        <f t="shared" si="181"/>
        <v>Mah9160309902097</v>
      </c>
      <c r="C1190" s="10">
        <v>9160309902097</v>
      </c>
      <c r="D1190" s="10" t="str">
        <f t="shared" si="182"/>
        <v>9160309902</v>
      </c>
      <c r="E1190" s="3" t="s">
        <v>1</v>
      </c>
      <c r="F1190" s="3" t="s">
        <v>63</v>
      </c>
      <c r="H1190" s="3">
        <v>0</v>
      </c>
      <c r="I1190" s="10">
        <f t="shared" si="183"/>
        <v>0</v>
      </c>
      <c r="J1190" s="3">
        <v>0</v>
      </c>
      <c r="K1190" s="3">
        <v>0</v>
      </c>
      <c r="L1190" s="3">
        <f t="shared" si="184"/>
        <v>0</v>
      </c>
      <c r="N1190" s="11">
        <f t="shared" si="185"/>
        <v>0</v>
      </c>
      <c r="O1190" s="3">
        <v>0</v>
      </c>
      <c r="P1190" s="11">
        <f t="shared" si="186"/>
        <v>9999</v>
      </c>
      <c r="Q1190" s="12">
        <f t="shared" si="187"/>
        <v>9999</v>
      </c>
      <c r="R1190" s="13">
        <f t="shared" si="188"/>
        <v>9999</v>
      </c>
      <c r="S1190" s="3" t="s">
        <v>31</v>
      </c>
      <c r="T1190" s="3" t="s">
        <v>34</v>
      </c>
      <c r="U1190" s="10" t="s">
        <v>72</v>
      </c>
      <c r="V1190" s="3" t="s">
        <v>72</v>
      </c>
      <c r="W1190" s="3">
        <f t="shared" si="189"/>
        <v>0</v>
      </c>
      <c r="AA1190" s="3">
        <v>38</v>
      </c>
    </row>
    <row r="1191" spans="1:27" x14ac:dyDescent="0.3">
      <c r="A1191" s="3" t="str">
        <f t="shared" si="180"/>
        <v>West9100509902195</v>
      </c>
      <c r="B1191" s="3" t="str">
        <f t="shared" si="181"/>
        <v>Mah9100509902195</v>
      </c>
      <c r="C1191" s="10">
        <v>9100509902195</v>
      </c>
      <c r="D1191" s="10" t="str">
        <f t="shared" si="182"/>
        <v>9100509902</v>
      </c>
      <c r="E1191" s="3" t="s">
        <v>1</v>
      </c>
      <c r="F1191" s="3" t="s">
        <v>63</v>
      </c>
      <c r="H1191" s="3">
        <v>0</v>
      </c>
      <c r="I1191" s="10">
        <f t="shared" si="183"/>
        <v>0</v>
      </c>
      <c r="J1191" s="3">
        <v>0</v>
      </c>
      <c r="K1191" s="3">
        <v>0</v>
      </c>
      <c r="L1191" s="3">
        <f t="shared" si="184"/>
        <v>0</v>
      </c>
      <c r="N1191" s="11">
        <f t="shared" si="185"/>
        <v>0</v>
      </c>
      <c r="O1191" s="3">
        <v>0</v>
      </c>
      <c r="P1191" s="11">
        <f t="shared" si="186"/>
        <v>9999</v>
      </c>
      <c r="Q1191" s="12">
        <f t="shared" si="187"/>
        <v>9999</v>
      </c>
      <c r="R1191" s="13">
        <f t="shared" si="188"/>
        <v>9999</v>
      </c>
      <c r="S1191" s="3" t="s">
        <v>31</v>
      </c>
      <c r="T1191" s="3" t="s">
        <v>34</v>
      </c>
      <c r="U1191" s="10" t="s">
        <v>72</v>
      </c>
      <c r="V1191" s="3" t="s">
        <v>72</v>
      </c>
      <c r="W1191" s="3">
        <f t="shared" si="189"/>
        <v>0</v>
      </c>
      <c r="AA1191" s="3">
        <v>38</v>
      </c>
    </row>
    <row r="1192" spans="1:27" x14ac:dyDescent="0.3">
      <c r="A1192" s="3" t="str">
        <f t="shared" si="180"/>
        <v>West9100309902195</v>
      </c>
      <c r="B1192" s="3" t="str">
        <f t="shared" si="181"/>
        <v>Mah9100309902195</v>
      </c>
      <c r="C1192" s="10">
        <v>9100309902195</v>
      </c>
      <c r="D1192" s="10" t="str">
        <f t="shared" si="182"/>
        <v>9100309902</v>
      </c>
      <c r="E1192" s="3" t="s">
        <v>1</v>
      </c>
      <c r="F1192" s="3" t="s">
        <v>63</v>
      </c>
      <c r="H1192" s="3">
        <v>0</v>
      </c>
      <c r="I1192" s="10">
        <f t="shared" si="183"/>
        <v>0</v>
      </c>
      <c r="J1192" s="3">
        <v>0</v>
      </c>
      <c r="K1192" s="3">
        <v>0</v>
      </c>
      <c r="L1192" s="3">
        <f t="shared" si="184"/>
        <v>0</v>
      </c>
      <c r="N1192" s="11">
        <f t="shared" si="185"/>
        <v>0</v>
      </c>
      <c r="O1192" s="3">
        <v>0</v>
      </c>
      <c r="P1192" s="11">
        <f t="shared" si="186"/>
        <v>9999</v>
      </c>
      <c r="Q1192" s="12">
        <f t="shared" si="187"/>
        <v>9999</v>
      </c>
      <c r="R1192" s="13">
        <f t="shared" si="188"/>
        <v>9999</v>
      </c>
      <c r="S1192" s="3" t="s">
        <v>31</v>
      </c>
      <c r="T1192" s="3" t="s">
        <v>34</v>
      </c>
      <c r="U1192" s="10" t="s">
        <v>72</v>
      </c>
      <c r="V1192" s="3" t="s">
        <v>72</v>
      </c>
      <c r="W1192" s="3">
        <f t="shared" si="189"/>
        <v>0</v>
      </c>
      <c r="AA1192" s="3">
        <v>38</v>
      </c>
    </row>
    <row r="1193" spans="1:27" x14ac:dyDescent="0.3">
      <c r="A1193" s="3" t="str">
        <f t="shared" si="180"/>
        <v>North9420029901320</v>
      </c>
      <c r="B1193" s="3" t="str">
        <f t="shared" si="181"/>
        <v>Pan9420029901320</v>
      </c>
      <c r="C1193" s="10">
        <v>9420029901320</v>
      </c>
      <c r="D1193" s="10" t="str">
        <f t="shared" si="182"/>
        <v>9420029901</v>
      </c>
      <c r="E1193" s="3" t="s">
        <v>2</v>
      </c>
      <c r="F1193" s="3" t="s">
        <v>64</v>
      </c>
      <c r="H1193" s="3">
        <v>29.259999999999998</v>
      </c>
      <c r="I1193" s="10">
        <f t="shared" si="183"/>
        <v>26.477065207992915</v>
      </c>
      <c r="J1193" s="3">
        <v>33.153221216338174</v>
      </c>
      <c r="K1193" s="3">
        <v>19</v>
      </c>
      <c r="L1193" s="3">
        <f t="shared" si="184"/>
        <v>0</v>
      </c>
      <c r="N1193" s="11">
        <f t="shared" si="185"/>
        <v>-3.8932212163381763</v>
      </c>
      <c r="O1193" s="3">
        <v>33.153221216338174</v>
      </c>
      <c r="P1193" s="11">
        <f t="shared" si="186"/>
        <v>-3.5229347920070877</v>
      </c>
      <c r="Q1193" s="12">
        <f t="shared" si="187"/>
        <v>-2.0926780230187592</v>
      </c>
      <c r="R1193" s="13">
        <f t="shared" si="188"/>
        <v>11.093100461562916</v>
      </c>
      <c r="S1193" s="3" t="s">
        <v>29</v>
      </c>
      <c r="T1193" s="3" t="s">
        <v>28</v>
      </c>
      <c r="U1193" s="10">
        <v>9420029900999</v>
      </c>
      <c r="V1193" s="3">
        <v>0.1</v>
      </c>
      <c r="W1193" s="3">
        <f t="shared" si="189"/>
        <v>1.9000000000000001</v>
      </c>
      <c r="AA1193" s="3">
        <v>38</v>
      </c>
    </row>
    <row r="1194" spans="1:27" x14ac:dyDescent="0.3">
      <c r="A1194" s="3" t="str">
        <f t="shared" si="180"/>
        <v>North9420029900320</v>
      </c>
      <c r="B1194" s="3" t="str">
        <f t="shared" si="181"/>
        <v>Pan9420029900320</v>
      </c>
      <c r="C1194" s="10">
        <v>9420029900320</v>
      </c>
      <c r="D1194" s="10" t="str">
        <f t="shared" si="182"/>
        <v>9420029900</v>
      </c>
      <c r="E1194" s="3" t="s">
        <v>2</v>
      </c>
      <c r="F1194" s="3" t="s">
        <v>64</v>
      </c>
      <c r="H1194" s="3">
        <v>12.76</v>
      </c>
      <c r="I1194" s="10">
        <f t="shared" si="183"/>
        <v>23.723131143487215</v>
      </c>
      <c r="J1194" s="3">
        <v>16.136149890360965</v>
      </c>
      <c r="K1194" s="3">
        <v>0</v>
      </c>
      <c r="L1194" s="3">
        <f t="shared" si="184"/>
        <v>0</v>
      </c>
      <c r="N1194" s="11">
        <f t="shared" si="185"/>
        <v>-3.3761498903609652</v>
      </c>
      <c r="O1194" s="3">
        <v>16.136149890360965</v>
      </c>
      <c r="P1194" s="11">
        <f t="shared" si="186"/>
        <v>-6.2768688565127864</v>
      </c>
      <c r="Q1194" s="12">
        <f t="shared" si="187"/>
        <v>-3.8866152962590395</v>
      </c>
      <c r="R1194" s="13">
        <f t="shared" si="188"/>
        <v>11.93731564960561</v>
      </c>
      <c r="S1194" s="3" t="s">
        <v>29</v>
      </c>
      <c r="T1194" s="3" t="s">
        <v>28</v>
      </c>
      <c r="U1194" s="10">
        <v>9420029900999</v>
      </c>
      <c r="V1194" s="3">
        <v>0.1</v>
      </c>
      <c r="W1194" s="3">
        <f t="shared" si="189"/>
        <v>0</v>
      </c>
      <c r="AA1194" s="3">
        <v>38</v>
      </c>
    </row>
    <row r="1195" spans="1:27" x14ac:dyDescent="0.3">
      <c r="A1195" s="3" t="str">
        <f t="shared" si="180"/>
        <v>North9420029901310</v>
      </c>
      <c r="B1195" s="3" t="str">
        <f t="shared" si="181"/>
        <v>Pan9420029901310</v>
      </c>
      <c r="C1195" s="10">
        <v>9420029901310</v>
      </c>
      <c r="D1195" s="10" t="str">
        <f t="shared" si="182"/>
        <v>9420029901</v>
      </c>
      <c r="E1195" s="3" t="s">
        <v>2</v>
      </c>
      <c r="F1195" s="3" t="s">
        <v>64</v>
      </c>
      <c r="H1195" s="3">
        <v>6.4899999999999984</v>
      </c>
      <c r="I1195" s="10">
        <f t="shared" si="183"/>
        <v>23.334068400193956</v>
      </c>
      <c r="J1195" s="3">
        <v>8.3440228536563978</v>
      </c>
      <c r="K1195" s="3">
        <v>0</v>
      </c>
      <c r="L1195" s="3">
        <f t="shared" si="184"/>
        <v>0</v>
      </c>
      <c r="N1195" s="11">
        <f t="shared" si="185"/>
        <v>-1.8540228536563994</v>
      </c>
      <c r="O1195" s="3">
        <v>8.3440228536563978</v>
      </c>
      <c r="P1195" s="11">
        <f t="shared" si="186"/>
        <v>-6.6659315998060436</v>
      </c>
      <c r="Q1195" s="12">
        <f t="shared" si="187"/>
        <v>-9.5304312202220061</v>
      </c>
      <c r="R1195" s="13">
        <f t="shared" si="188"/>
        <v>13.253004494118244</v>
      </c>
      <c r="S1195" s="3" t="s">
        <v>29</v>
      </c>
      <c r="T1195" s="3" t="s">
        <v>28</v>
      </c>
      <c r="U1195" s="10">
        <v>9420029900999</v>
      </c>
      <c r="V1195" s="3">
        <v>0.1</v>
      </c>
      <c r="W1195" s="3">
        <f t="shared" si="189"/>
        <v>0</v>
      </c>
      <c r="AA1195" s="3">
        <v>38</v>
      </c>
    </row>
    <row r="1196" spans="1:27" x14ac:dyDescent="0.3">
      <c r="A1196" s="3" t="str">
        <f t="shared" si="180"/>
        <v>North9420029900310</v>
      </c>
      <c r="B1196" s="3" t="str">
        <f t="shared" si="181"/>
        <v>Pan9420029900310</v>
      </c>
      <c r="C1196" s="10">
        <v>9420029900310</v>
      </c>
      <c r="D1196" s="10" t="str">
        <f t="shared" si="182"/>
        <v>9420029900</v>
      </c>
      <c r="E1196" s="3" t="s">
        <v>2</v>
      </c>
      <c r="F1196" s="3" t="s">
        <v>64</v>
      </c>
      <c r="H1196" s="3">
        <v>4.6900000000000004</v>
      </c>
      <c r="I1196" s="10">
        <f t="shared" si="183"/>
        <v>37.21754249974272</v>
      </c>
      <c r="J1196" s="3">
        <v>3.7804752960508514</v>
      </c>
      <c r="K1196" s="3">
        <v>0</v>
      </c>
      <c r="L1196" s="3">
        <f t="shared" si="184"/>
        <v>0</v>
      </c>
      <c r="N1196" s="11">
        <f t="shared" si="185"/>
        <v>0.90952470394914897</v>
      </c>
      <c r="O1196" s="3">
        <v>3.7804752960508514</v>
      </c>
      <c r="P1196" s="11">
        <f t="shared" si="186"/>
        <v>7.2175424997427218</v>
      </c>
      <c r="Q1196" s="12">
        <f t="shared" si="187"/>
        <v>4.105035435650473</v>
      </c>
      <c r="R1196" s="13">
        <f t="shared" si="188"/>
        <v>-2.0199706511833333</v>
      </c>
      <c r="S1196" s="3" t="s">
        <v>30</v>
      </c>
      <c r="T1196" s="3" t="s">
        <v>28</v>
      </c>
      <c r="U1196" s="10">
        <v>9420029900999</v>
      </c>
      <c r="V1196" s="3">
        <v>0.1</v>
      </c>
      <c r="W1196" s="3">
        <f t="shared" si="189"/>
        <v>0</v>
      </c>
      <c r="AA1196" s="3">
        <v>38</v>
      </c>
    </row>
    <row r="1197" spans="1:27" x14ac:dyDescent="0.3">
      <c r="A1197" s="3" t="str">
        <f t="shared" si="180"/>
        <v>North9420029901840</v>
      </c>
      <c r="B1197" s="3" t="str">
        <f t="shared" si="181"/>
        <v>Pan9420029901840</v>
      </c>
      <c r="C1197" s="10">
        <v>9420029901840</v>
      </c>
      <c r="D1197" s="10" t="str">
        <f t="shared" si="182"/>
        <v>9420029901</v>
      </c>
      <c r="E1197" s="3" t="s">
        <v>2</v>
      </c>
      <c r="F1197" s="3" t="s">
        <v>64</v>
      </c>
      <c r="H1197" s="3">
        <v>5.8480000000000008</v>
      </c>
      <c r="I1197" s="10">
        <f t="shared" si="183"/>
        <v>48.237340616590217</v>
      </c>
      <c r="J1197" s="3">
        <v>3.6370164224945092</v>
      </c>
      <c r="K1197" s="3">
        <v>12</v>
      </c>
      <c r="L1197" s="3">
        <f t="shared" si="184"/>
        <v>0</v>
      </c>
      <c r="N1197" s="11">
        <f t="shared" si="185"/>
        <v>2.2109835775054916</v>
      </c>
      <c r="O1197" s="3">
        <v>3.6370164224945092</v>
      </c>
      <c r="P1197" s="11">
        <f t="shared" si="186"/>
        <v>18.237340616590213</v>
      </c>
      <c r="Q1197" s="12">
        <f t="shared" si="187"/>
        <v>10.761539732996177</v>
      </c>
      <c r="R1197" s="13">
        <f t="shared" si="188"/>
        <v>17.827850782230005</v>
      </c>
      <c r="S1197" s="3" t="s">
        <v>30</v>
      </c>
      <c r="T1197" s="3" t="s">
        <v>28</v>
      </c>
      <c r="U1197" s="10">
        <v>0</v>
      </c>
      <c r="V1197" s="3">
        <v>0</v>
      </c>
      <c r="W1197" s="3">
        <f t="shared" si="189"/>
        <v>0</v>
      </c>
      <c r="AA1197" s="3">
        <v>38</v>
      </c>
    </row>
    <row r="1198" spans="1:27" x14ac:dyDescent="0.3">
      <c r="A1198" s="3" t="str">
        <f t="shared" si="180"/>
        <v>North9420029901210</v>
      </c>
      <c r="B1198" s="3" t="str">
        <f t="shared" si="181"/>
        <v>Pan9420029901210</v>
      </c>
      <c r="C1198" s="10">
        <v>9420029901210</v>
      </c>
      <c r="D1198" s="10" t="str">
        <f t="shared" si="182"/>
        <v>9420029901</v>
      </c>
      <c r="E1198" s="3" t="s">
        <v>2</v>
      </c>
      <c r="F1198" s="3" t="s">
        <v>64</v>
      </c>
      <c r="H1198" s="3">
        <v>1.3330000000000002</v>
      </c>
      <c r="I1198" s="10">
        <f t="shared" si="183"/>
        <v>28.30141475432119</v>
      </c>
      <c r="J1198" s="3">
        <v>1.4130035670352539</v>
      </c>
      <c r="K1198" s="3">
        <v>0</v>
      </c>
      <c r="L1198" s="3">
        <f t="shared" si="184"/>
        <v>0</v>
      </c>
      <c r="N1198" s="11">
        <f t="shared" si="185"/>
        <v>-8.0003567035253687E-2</v>
      </c>
      <c r="O1198" s="3">
        <v>1.4130035670352539</v>
      </c>
      <c r="P1198" s="11">
        <f t="shared" si="186"/>
        <v>-1.6985852456788093</v>
      </c>
      <c r="Q1198" s="12">
        <f t="shared" si="187"/>
        <v>-3.1746517422170006</v>
      </c>
      <c r="R1198" s="13">
        <f t="shared" si="188"/>
        <v>2.2986753983757411</v>
      </c>
      <c r="S1198" s="3" t="s">
        <v>30</v>
      </c>
      <c r="T1198" s="3" t="s">
        <v>28</v>
      </c>
      <c r="U1198" s="10">
        <v>0</v>
      </c>
      <c r="V1198" s="3">
        <v>0</v>
      </c>
      <c r="W1198" s="3">
        <f t="shared" si="189"/>
        <v>0</v>
      </c>
      <c r="AA1198" s="3">
        <v>38</v>
      </c>
    </row>
    <row r="1199" spans="1:27" x14ac:dyDescent="0.3">
      <c r="A1199" s="3" t="str">
        <f t="shared" si="180"/>
        <v>North9420029900840</v>
      </c>
      <c r="B1199" s="3" t="str">
        <f t="shared" si="181"/>
        <v>Pan9420029900840</v>
      </c>
      <c r="C1199" s="10">
        <v>9420029900840</v>
      </c>
      <c r="D1199" s="10" t="str">
        <f t="shared" si="182"/>
        <v>9420029900</v>
      </c>
      <c r="E1199" s="3" t="s">
        <v>2</v>
      </c>
      <c r="F1199" s="3" t="s">
        <v>64</v>
      </c>
      <c r="H1199" s="3">
        <v>1.6560000000000006</v>
      </c>
      <c r="I1199" s="10">
        <f t="shared" si="183"/>
        <v>37.22000811358788</v>
      </c>
      <c r="J1199" s="3">
        <v>1.3347659637361384</v>
      </c>
      <c r="K1199" s="3">
        <v>12</v>
      </c>
      <c r="L1199" s="3">
        <f t="shared" si="184"/>
        <v>0</v>
      </c>
      <c r="N1199" s="11">
        <f t="shared" si="185"/>
        <v>0.32123403626386215</v>
      </c>
      <c r="O1199" s="3">
        <v>1.3347659637361384</v>
      </c>
      <c r="P1199" s="11">
        <f t="shared" si="186"/>
        <v>7.2200081135878786</v>
      </c>
      <c r="Q1199" s="12">
        <f t="shared" si="187"/>
        <v>2.2387416841244487</v>
      </c>
      <c r="R1199" s="13">
        <f t="shared" si="188"/>
        <v>9.7377292402598545</v>
      </c>
      <c r="S1199" s="3" t="s">
        <v>31</v>
      </c>
      <c r="T1199" s="3" t="s">
        <v>28</v>
      </c>
      <c r="U1199" s="10">
        <v>0</v>
      </c>
      <c r="V1199" s="3">
        <v>0</v>
      </c>
      <c r="W1199" s="3">
        <f t="shared" si="189"/>
        <v>0</v>
      </c>
      <c r="AA1199" s="3">
        <v>38</v>
      </c>
    </row>
    <row r="1200" spans="1:27" x14ac:dyDescent="0.3">
      <c r="A1200" s="3" t="str">
        <f t="shared" si="180"/>
        <v>North9410029902195</v>
      </c>
      <c r="B1200" s="3" t="str">
        <f t="shared" si="181"/>
        <v>Pan9410029902195</v>
      </c>
      <c r="C1200" s="10">
        <v>9410029902195</v>
      </c>
      <c r="D1200" s="10" t="str">
        <f t="shared" si="182"/>
        <v>9410029902</v>
      </c>
      <c r="E1200" s="3" t="s">
        <v>2</v>
      </c>
      <c r="F1200" s="3" t="s">
        <v>64</v>
      </c>
      <c r="H1200" s="3">
        <v>1.6795999999999995</v>
      </c>
      <c r="I1200" s="10">
        <f t="shared" si="183"/>
        <v>45.581936493292524</v>
      </c>
      <c r="J1200" s="3">
        <v>1.1054378965978044</v>
      </c>
      <c r="K1200" s="3">
        <v>0</v>
      </c>
      <c r="L1200" s="3">
        <f t="shared" si="184"/>
        <v>0</v>
      </c>
      <c r="N1200" s="11">
        <f t="shared" si="185"/>
        <v>0.57416210340219509</v>
      </c>
      <c r="O1200" s="3">
        <v>1.1054378965978044</v>
      </c>
      <c r="P1200" s="11">
        <f t="shared" si="186"/>
        <v>15.58193649329252</v>
      </c>
      <c r="Q1200" s="12">
        <f t="shared" si="187"/>
        <v>15.58193649329252</v>
      </c>
      <c r="R1200" s="13">
        <f t="shared" si="188"/>
        <v>72.106187171666605</v>
      </c>
      <c r="S1200" s="3" t="s">
        <v>31</v>
      </c>
      <c r="T1200" s="3" t="s">
        <v>32</v>
      </c>
      <c r="U1200" s="10">
        <v>0</v>
      </c>
      <c r="V1200" s="3">
        <v>0</v>
      </c>
      <c r="W1200" s="3">
        <f t="shared" si="189"/>
        <v>0</v>
      </c>
      <c r="AA1200" s="3">
        <v>38</v>
      </c>
    </row>
    <row r="1201" spans="1:27" x14ac:dyDescent="0.3">
      <c r="A1201" s="3" t="str">
        <f t="shared" si="180"/>
        <v>North9410029902838</v>
      </c>
      <c r="B1201" s="3" t="str">
        <f t="shared" si="181"/>
        <v>Pan9410029902838</v>
      </c>
      <c r="C1201" s="10">
        <v>9410029902838</v>
      </c>
      <c r="D1201" s="10" t="str">
        <f t="shared" si="182"/>
        <v>9410029902</v>
      </c>
      <c r="E1201" s="3" t="s">
        <v>2</v>
      </c>
      <c r="F1201" s="3" t="s">
        <v>64</v>
      </c>
      <c r="H1201" s="3">
        <v>2.9070000000000005</v>
      </c>
      <c r="I1201" s="10">
        <f t="shared" si="183"/>
        <v>92.405215536392546</v>
      </c>
      <c r="J1201" s="3">
        <v>0.94377789709990489</v>
      </c>
      <c r="K1201" s="3">
        <v>0</v>
      </c>
      <c r="L1201" s="3">
        <f t="shared" si="184"/>
        <v>0</v>
      </c>
      <c r="N1201" s="11">
        <f t="shared" si="185"/>
        <v>1.9632221029000956</v>
      </c>
      <c r="O1201" s="3">
        <v>0.94377789709990489</v>
      </c>
      <c r="P1201" s="11">
        <f t="shared" si="186"/>
        <v>62.405215536392539</v>
      </c>
      <c r="Q1201" s="12">
        <f t="shared" si="187"/>
        <v>62.405215536392539</v>
      </c>
      <c r="R1201" s="13">
        <f t="shared" si="188"/>
        <v>29.473018002408558</v>
      </c>
      <c r="S1201" s="3" t="s">
        <v>31</v>
      </c>
      <c r="T1201" s="3" t="s">
        <v>32</v>
      </c>
      <c r="U1201" s="10">
        <v>0</v>
      </c>
      <c r="V1201" s="3">
        <v>0</v>
      </c>
      <c r="W1201" s="3">
        <f t="shared" si="189"/>
        <v>0</v>
      </c>
      <c r="AA1201" s="3">
        <v>38</v>
      </c>
    </row>
    <row r="1202" spans="1:27" x14ac:dyDescent="0.3">
      <c r="A1202" s="3" t="str">
        <f t="shared" si="180"/>
        <v>North9310039900320</v>
      </c>
      <c r="B1202" s="3" t="str">
        <f t="shared" si="181"/>
        <v>Pan9310039900320</v>
      </c>
      <c r="C1202" s="10">
        <v>9310039900320</v>
      </c>
      <c r="D1202" s="10" t="str">
        <f t="shared" si="182"/>
        <v>9310039900</v>
      </c>
      <c r="E1202" s="3" t="s">
        <v>2</v>
      </c>
      <c r="F1202" s="3" t="s">
        <v>64</v>
      </c>
      <c r="H1202" s="3">
        <v>29.6</v>
      </c>
      <c r="I1202" s="10">
        <f t="shared" si="183"/>
        <v>1033.4726020674689</v>
      </c>
      <c r="J1202" s="3">
        <v>0.85923903374269439</v>
      </c>
      <c r="K1202" s="3">
        <v>0</v>
      </c>
      <c r="L1202" s="3">
        <f t="shared" si="184"/>
        <v>0</v>
      </c>
      <c r="N1202" s="11">
        <f t="shared" si="185"/>
        <v>28.740760966257309</v>
      </c>
      <c r="O1202" s="3">
        <v>0.85923903374269439</v>
      </c>
      <c r="P1202" s="11">
        <f t="shared" si="186"/>
        <v>1003.472602067469</v>
      </c>
      <c r="Q1202" s="12">
        <f t="shared" si="187"/>
        <v>339.25151164159587</v>
      </c>
      <c r="R1202" s="13">
        <f t="shared" si="188"/>
        <v>114.55890058849035</v>
      </c>
      <c r="S1202" s="3" t="s">
        <v>30</v>
      </c>
      <c r="T1202" s="3" t="s">
        <v>32</v>
      </c>
      <c r="U1202" s="10">
        <v>9310039900999</v>
      </c>
      <c r="V1202" s="3">
        <v>0.1</v>
      </c>
      <c r="W1202" s="3">
        <f t="shared" si="189"/>
        <v>0</v>
      </c>
      <c r="AA1202" s="3">
        <v>38</v>
      </c>
    </row>
    <row r="1203" spans="1:27" x14ac:dyDescent="0.3">
      <c r="A1203" s="3" t="str">
        <f t="shared" si="180"/>
        <v>North9410029902295</v>
      </c>
      <c r="B1203" s="3" t="str">
        <f t="shared" si="181"/>
        <v>Pan9410029902295</v>
      </c>
      <c r="C1203" s="10">
        <v>9410029902295</v>
      </c>
      <c r="D1203" s="10" t="str">
        <f t="shared" si="182"/>
        <v>9410029902</v>
      </c>
      <c r="E1203" s="3" t="s">
        <v>2</v>
      </c>
      <c r="F1203" s="3" t="s">
        <v>64</v>
      </c>
      <c r="H1203" s="3">
        <v>1.9284999999999997</v>
      </c>
      <c r="I1203" s="10">
        <f t="shared" si="183"/>
        <v>111.08248936057113</v>
      </c>
      <c r="J1203" s="3">
        <v>0.52082916338149421</v>
      </c>
      <c r="K1203" s="3">
        <v>0</v>
      </c>
      <c r="L1203" s="3">
        <f t="shared" si="184"/>
        <v>0</v>
      </c>
      <c r="N1203" s="11">
        <f t="shared" si="185"/>
        <v>1.4076708366185056</v>
      </c>
      <c r="O1203" s="3">
        <v>0.52082916338149421</v>
      </c>
      <c r="P1203" s="11">
        <f t="shared" si="186"/>
        <v>81.082489360571131</v>
      </c>
      <c r="Q1203" s="12">
        <f t="shared" si="187"/>
        <v>81.082489360571117</v>
      </c>
      <c r="R1203" s="13">
        <f t="shared" si="188"/>
        <v>107.29403852358182</v>
      </c>
      <c r="S1203" s="3" t="s">
        <v>31</v>
      </c>
      <c r="T1203" s="3" t="s">
        <v>32</v>
      </c>
      <c r="U1203" s="10">
        <v>9410029900999</v>
      </c>
      <c r="V1203" s="3">
        <v>0.1</v>
      </c>
      <c r="W1203" s="3">
        <f t="shared" si="189"/>
        <v>0</v>
      </c>
      <c r="AA1203" s="3">
        <v>38</v>
      </c>
    </row>
    <row r="1204" spans="1:27" x14ac:dyDescent="0.3">
      <c r="A1204" s="3" t="str">
        <f t="shared" si="180"/>
        <v>North9420029900210</v>
      </c>
      <c r="B1204" s="3" t="str">
        <f t="shared" si="181"/>
        <v>Pan9420029900210</v>
      </c>
      <c r="C1204" s="10">
        <v>9420029900210</v>
      </c>
      <c r="D1204" s="10" t="str">
        <f t="shared" si="182"/>
        <v>9420029900</v>
      </c>
      <c r="E1204" s="3" t="s">
        <v>2</v>
      </c>
      <c r="F1204" s="3" t="s">
        <v>64</v>
      </c>
      <c r="H1204" s="3">
        <v>1.1310000000000002</v>
      </c>
      <c r="I1204" s="10">
        <f t="shared" si="183"/>
        <v>71.838861226498068</v>
      </c>
      <c r="J1204" s="3">
        <v>0.47230704135221985</v>
      </c>
      <c r="K1204" s="3">
        <v>0</v>
      </c>
      <c r="L1204" s="3">
        <f t="shared" si="184"/>
        <v>0</v>
      </c>
      <c r="N1204" s="11">
        <f t="shared" si="185"/>
        <v>0.65869295864778032</v>
      </c>
      <c r="O1204" s="3">
        <v>0.47230704135221985</v>
      </c>
      <c r="P1204" s="11">
        <f t="shared" si="186"/>
        <v>41.838861226498068</v>
      </c>
      <c r="Q1204" s="12">
        <f t="shared" si="187"/>
        <v>34.324968003427507</v>
      </c>
      <c r="R1204" s="13">
        <f t="shared" si="188"/>
        <v>61.100952524328754</v>
      </c>
      <c r="S1204" s="3" t="s">
        <v>31</v>
      </c>
      <c r="T1204" s="3" t="s">
        <v>28</v>
      </c>
      <c r="U1204" s="10">
        <v>0</v>
      </c>
      <c r="V1204" s="3">
        <v>0</v>
      </c>
      <c r="W1204" s="3">
        <f t="shared" si="189"/>
        <v>0</v>
      </c>
      <c r="AA1204" s="3">
        <v>38</v>
      </c>
    </row>
    <row r="1205" spans="1:27" x14ac:dyDescent="0.3">
      <c r="A1205" s="3" t="str">
        <f t="shared" si="180"/>
        <v>North9310039900310</v>
      </c>
      <c r="B1205" s="3" t="str">
        <f t="shared" si="181"/>
        <v>Pan9310039900310</v>
      </c>
      <c r="C1205" s="10">
        <v>9310039900310</v>
      </c>
      <c r="D1205" s="10" t="str">
        <f t="shared" si="182"/>
        <v>9310039900</v>
      </c>
      <c r="E1205" s="3" t="s">
        <v>2</v>
      </c>
      <c r="F1205" s="3" t="s">
        <v>64</v>
      </c>
      <c r="H1205" s="3">
        <v>1.6000000000000003</v>
      </c>
      <c r="I1205" s="10">
        <f t="shared" si="183"/>
        <v>215.00475812793806</v>
      </c>
      <c r="J1205" s="3">
        <v>0.22325087322689727</v>
      </c>
      <c r="K1205" s="3">
        <v>0</v>
      </c>
      <c r="L1205" s="3">
        <f t="shared" si="184"/>
        <v>0</v>
      </c>
      <c r="N1205" s="11">
        <f t="shared" si="185"/>
        <v>1.3767491267731031</v>
      </c>
      <c r="O1205" s="3">
        <v>0.22325087322689727</v>
      </c>
      <c r="P1205" s="11">
        <f t="shared" si="186"/>
        <v>185.00475812793806</v>
      </c>
      <c r="Q1205" s="12">
        <f t="shared" si="187"/>
        <v>127.67576436554653</v>
      </c>
      <c r="R1205" s="13">
        <f t="shared" si="188"/>
        <v>107.62903162347897</v>
      </c>
      <c r="S1205" s="3" t="s">
        <v>31</v>
      </c>
      <c r="T1205" s="3" t="s">
        <v>32</v>
      </c>
      <c r="U1205" s="10">
        <v>9310039900999</v>
      </c>
      <c r="V1205" s="3">
        <v>0.1</v>
      </c>
      <c r="W1205" s="3">
        <f t="shared" si="189"/>
        <v>0</v>
      </c>
      <c r="AA1205" s="3">
        <v>38</v>
      </c>
    </row>
    <row r="1206" spans="1:27" x14ac:dyDescent="0.3">
      <c r="A1206" s="3" t="str">
        <f t="shared" si="180"/>
        <v>North9410029902319</v>
      </c>
      <c r="B1206" s="3" t="str">
        <f t="shared" si="181"/>
        <v>Pan9410029902319</v>
      </c>
      <c r="C1206" s="10">
        <v>9410029902319</v>
      </c>
      <c r="D1206" s="10" t="str">
        <f t="shared" si="182"/>
        <v>9410029902</v>
      </c>
      <c r="E1206" s="3" t="s">
        <v>2</v>
      </c>
      <c r="F1206" s="3" t="s">
        <v>64</v>
      </c>
      <c r="H1206" s="3">
        <v>14.497</v>
      </c>
      <c r="I1206" s="10">
        <f t="shared" si="183"/>
        <v>2750.2870194859165</v>
      </c>
      <c r="J1206" s="3">
        <v>0.15813258649684256</v>
      </c>
      <c r="K1206" s="3">
        <v>0</v>
      </c>
      <c r="L1206" s="3">
        <f t="shared" si="184"/>
        <v>0</v>
      </c>
      <c r="N1206" s="11">
        <f t="shared" si="185"/>
        <v>14.338867413503158</v>
      </c>
      <c r="O1206" s="3">
        <v>0.15813258649684256</v>
      </c>
      <c r="P1206" s="11">
        <f t="shared" si="186"/>
        <v>2720.2870194859165</v>
      </c>
      <c r="Q1206" s="12">
        <f t="shared" si="187"/>
        <v>2720.2870194859165</v>
      </c>
      <c r="R1206" s="13">
        <f t="shared" si="188"/>
        <v>110.66043314697285</v>
      </c>
      <c r="S1206" s="3" t="s">
        <v>31</v>
      </c>
      <c r="T1206" s="3" t="s">
        <v>32</v>
      </c>
      <c r="U1206" s="10">
        <v>9410029900999</v>
      </c>
      <c r="V1206" s="3">
        <v>0.1</v>
      </c>
      <c r="W1206" s="3">
        <f t="shared" si="189"/>
        <v>0</v>
      </c>
      <c r="AA1206" s="3">
        <v>38</v>
      </c>
    </row>
    <row r="1207" spans="1:27" x14ac:dyDescent="0.3">
      <c r="A1207" s="3" t="str">
        <f t="shared" si="180"/>
        <v>North9310039900840</v>
      </c>
      <c r="B1207" s="3" t="str">
        <f t="shared" si="181"/>
        <v>Pan9310039900840</v>
      </c>
      <c r="C1207" s="10">
        <v>9310039900840</v>
      </c>
      <c r="D1207" s="10" t="str">
        <f t="shared" si="182"/>
        <v>9310039900</v>
      </c>
      <c r="E1207" s="3" t="s">
        <v>2</v>
      </c>
      <c r="F1207" s="3" t="s">
        <v>64</v>
      </c>
      <c r="H1207" s="3">
        <v>0.52</v>
      </c>
      <c r="I1207" s="10">
        <f t="shared" si="183"/>
        <v>414.76213944534959</v>
      </c>
      <c r="J1207" s="3">
        <v>3.7611919016671741E-2</v>
      </c>
      <c r="K1207" s="3">
        <v>0</v>
      </c>
      <c r="L1207" s="3">
        <f t="shared" si="184"/>
        <v>0</v>
      </c>
      <c r="N1207" s="11">
        <f t="shared" si="185"/>
        <v>0.4823880809833283</v>
      </c>
      <c r="O1207" s="3">
        <v>3.7611919016671741E-2</v>
      </c>
      <c r="P1207" s="11">
        <f t="shared" si="186"/>
        <v>384.76213944534959</v>
      </c>
      <c r="Q1207" s="12">
        <f t="shared" si="187"/>
        <v>489.55400214640548</v>
      </c>
      <c r="R1207" s="13">
        <f t="shared" si="188"/>
        <v>282.75963411080329</v>
      </c>
      <c r="S1207" s="3" t="s">
        <v>31</v>
      </c>
      <c r="T1207" s="3" t="s">
        <v>32</v>
      </c>
      <c r="U1207" s="10">
        <v>0</v>
      </c>
      <c r="V1207" s="3">
        <v>0</v>
      </c>
      <c r="W1207" s="3">
        <f t="shared" si="189"/>
        <v>0</v>
      </c>
      <c r="AA1207" s="3">
        <v>38</v>
      </c>
    </row>
    <row r="1208" spans="1:27" x14ac:dyDescent="0.3">
      <c r="A1208" s="3" t="str">
        <f t="shared" si="180"/>
        <v>North9310039900210</v>
      </c>
      <c r="B1208" s="3" t="str">
        <f t="shared" si="181"/>
        <v>Pan9310039900210</v>
      </c>
      <c r="C1208" s="10">
        <v>9310039900210</v>
      </c>
      <c r="D1208" s="10" t="str">
        <f t="shared" si="182"/>
        <v>9310039900</v>
      </c>
      <c r="E1208" s="3" t="s">
        <v>2</v>
      </c>
      <c r="F1208" s="3" t="s">
        <v>64</v>
      </c>
      <c r="H1208" s="3">
        <v>2.0129999999999995</v>
      </c>
      <c r="I1208" s="10">
        <f t="shared" si="183"/>
        <v>0</v>
      </c>
      <c r="J1208" s="3">
        <v>0</v>
      </c>
      <c r="K1208" s="3">
        <v>0</v>
      </c>
      <c r="L1208" s="3">
        <f t="shared" si="184"/>
        <v>0</v>
      </c>
      <c r="N1208" s="11">
        <f t="shared" si="185"/>
        <v>2.0129999999999995</v>
      </c>
      <c r="O1208" s="3">
        <v>0</v>
      </c>
      <c r="P1208" s="11">
        <f t="shared" si="186"/>
        <v>9999</v>
      </c>
      <c r="Q1208" s="12">
        <f t="shared" si="187"/>
        <v>6095.8926275806052</v>
      </c>
      <c r="R1208" s="13">
        <f t="shared" si="188"/>
        <v>1630.2267212502918</v>
      </c>
      <c r="S1208" s="3" t="s">
        <v>31</v>
      </c>
      <c r="T1208" s="3" t="s">
        <v>32</v>
      </c>
      <c r="U1208" s="10">
        <v>0</v>
      </c>
      <c r="V1208" s="3">
        <v>0</v>
      </c>
      <c r="W1208" s="3">
        <f t="shared" si="189"/>
        <v>0</v>
      </c>
      <c r="AA1208" s="3">
        <v>38</v>
      </c>
    </row>
    <row r="1209" spans="1:27" x14ac:dyDescent="0.3">
      <c r="A1209" s="3" t="str">
        <f t="shared" si="180"/>
        <v>North9330209902219</v>
      </c>
      <c r="B1209" s="3" t="str">
        <f t="shared" si="181"/>
        <v>Lud9330209902219</v>
      </c>
      <c r="C1209" s="10">
        <v>9330209902219</v>
      </c>
      <c r="D1209" s="10" t="str">
        <f t="shared" si="182"/>
        <v>9330209902</v>
      </c>
      <c r="E1209" s="3" t="s">
        <v>3</v>
      </c>
      <c r="F1209" s="3" t="s">
        <v>64</v>
      </c>
      <c r="H1209" s="3">
        <v>5.3819999999999997</v>
      </c>
      <c r="I1209" s="10">
        <f t="shared" si="183"/>
        <v>55.658362429179761</v>
      </c>
      <c r="J1209" s="3">
        <v>2.9009117939005709</v>
      </c>
      <c r="K1209" s="3">
        <v>0</v>
      </c>
      <c r="L1209" s="3">
        <f t="shared" si="184"/>
        <v>0</v>
      </c>
      <c r="N1209" s="11">
        <f t="shared" si="185"/>
        <v>2.4810882060994288</v>
      </c>
      <c r="O1209" s="3">
        <v>2.9009117939005709</v>
      </c>
      <c r="P1209" s="11">
        <f t="shared" si="186"/>
        <v>25.658362429179761</v>
      </c>
      <c r="Q1209" s="12">
        <f t="shared" si="187"/>
        <v>50.291061049778023</v>
      </c>
      <c r="R1209" s="13">
        <f t="shared" si="188"/>
        <v>25.495735371468772</v>
      </c>
      <c r="S1209" s="3" t="s">
        <v>30</v>
      </c>
      <c r="T1209" s="3" t="s">
        <v>35</v>
      </c>
      <c r="U1209" s="10">
        <v>9330209900999</v>
      </c>
      <c r="V1209" s="3">
        <v>0.1</v>
      </c>
      <c r="W1209" s="3">
        <f t="shared" si="189"/>
        <v>0</v>
      </c>
      <c r="AA1209" s="3">
        <v>38</v>
      </c>
    </row>
    <row r="1210" spans="1:27" x14ac:dyDescent="0.3">
      <c r="A1210" s="3" t="str">
        <f t="shared" si="180"/>
        <v>North9310039900320</v>
      </c>
      <c r="B1210" s="3" t="str">
        <f t="shared" si="181"/>
        <v>Lud9310039900320</v>
      </c>
      <c r="C1210" s="10">
        <v>9310039900320</v>
      </c>
      <c r="D1210" s="10" t="str">
        <f t="shared" si="182"/>
        <v>9310039900</v>
      </c>
      <c r="E1210" s="3" t="s">
        <v>3</v>
      </c>
      <c r="F1210" s="3" t="s">
        <v>64</v>
      </c>
      <c r="H1210" s="3">
        <v>5.8</v>
      </c>
      <c r="I1210" s="10">
        <f t="shared" si="183"/>
        <v>86.273174593292254</v>
      </c>
      <c r="J1210" s="3">
        <v>2.0168493951946043</v>
      </c>
      <c r="K1210" s="3">
        <v>0</v>
      </c>
      <c r="L1210" s="3">
        <f t="shared" si="184"/>
        <v>0</v>
      </c>
      <c r="N1210" s="11">
        <f t="shared" si="185"/>
        <v>3.7831506048053956</v>
      </c>
      <c r="O1210" s="3">
        <v>2.0168493951946043</v>
      </c>
      <c r="P1210" s="11">
        <f t="shared" si="186"/>
        <v>56.273174593292261</v>
      </c>
      <c r="Q1210" s="12">
        <f t="shared" si="187"/>
        <v>339.25151164159587</v>
      </c>
      <c r="R1210" s="13">
        <f t="shared" si="188"/>
        <v>114.55890058849035</v>
      </c>
      <c r="S1210" s="3" t="s">
        <v>30</v>
      </c>
      <c r="T1210" s="3" t="s">
        <v>32</v>
      </c>
      <c r="U1210" s="10">
        <v>9310039900999</v>
      </c>
      <c r="V1210" s="3">
        <v>0.1</v>
      </c>
      <c r="W1210" s="3">
        <f t="shared" si="189"/>
        <v>0</v>
      </c>
      <c r="AA1210" s="3">
        <v>38</v>
      </c>
    </row>
    <row r="1211" spans="1:27" x14ac:dyDescent="0.3">
      <c r="A1211" s="3" t="str">
        <f t="shared" si="180"/>
        <v>North9310029900320</v>
      </c>
      <c r="B1211" s="3" t="str">
        <f t="shared" si="181"/>
        <v>Lud9310029900320</v>
      </c>
      <c r="C1211" s="10">
        <v>9310029900320</v>
      </c>
      <c r="D1211" s="10" t="str">
        <f t="shared" si="182"/>
        <v>9310029900</v>
      </c>
      <c r="E1211" s="3" t="s">
        <v>3</v>
      </c>
      <c r="F1211" s="3" t="s">
        <v>64</v>
      </c>
      <c r="H1211" s="3">
        <v>1.4800000000000002</v>
      </c>
      <c r="I1211" s="10">
        <f t="shared" si="183"/>
        <v>30.533455443309354</v>
      </c>
      <c r="J1211" s="3">
        <v>1.4541426561574826</v>
      </c>
      <c r="K1211" s="3">
        <v>0</v>
      </c>
      <c r="L1211" s="3">
        <f t="shared" si="184"/>
        <v>0</v>
      </c>
      <c r="N1211" s="11">
        <f t="shared" si="185"/>
        <v>2.5857343842517588E-2</v>
      </c>
      <c r="O1211" s="3">
        <v>1.4541426561574826</v>
      </c>
      <c r="P1211" s="11">
        <f t="shared" si="186"/>
        <v>0.53345544330935146</v>
      </c>
      <c r="Q1211" s="12">
        <f t="shared" si="187"/>
        <v>81.402153793422599</v>
      </c>
      <c r="R1211" s="13">
        <f t="shared" si="188"/>
        <v>63.892856759683227</v>
      </c>
      <c r="S1211" s="3" t="s">
        <v>31</v>
      </c>
      <c r="T1211" s="3" t="s">
        <v>32</v>
      </c>
      <c r="U1211" s="10">
        <v>9310029900999</v>
      </c>
      <c r="V1211" s="3">
        <v>0.1</v>
      </c>
      <c r="W1211" s="3">
        <f t="shared" si="189"/>
        <v>0</v>
      </c>
      <c r="AA1211" s="3">
        <v>38</v>
      </c>
    </row>
    <row r="1212" spans="1:27" x14ac:dyDescent="0.3">
      <c r="A1212" s="3" t="str">
        <f t="shared" si="180"/>
        <v>North9330209902097</v>
      </c>
      <c r="B1212" s="3" t="str">
        <f t="shared" si="181"/>
        <v>Lud9330209902097</v>
      </c>
      <c r="C1212" s="10">
        <v>9330209902097</v>
      </c>
      <c r="D1212" s="10" t="str">
        <f t="shared" si="182"/>
        <v>9330209902</v>
      </c>
      <c r="E1212" s="3" t="s">
        <v>3</v>
      </c>
      <c r="F1212" s="3" t="s">
        <v>64</v>
      </c>
      <c r="H1212" s="3">
        <v>0.64544999999999997</v>
      </c>
      <c r="I1212" s="10">
        <f t="shared" si="183"/>
        <v>19.79570057443615</v>
      </c>
      <c r="J1212" s="3">
        <v>0.97816694727165709</v>
      </c>
      <c r="K1212" s="3">
        <v>0</v>
      </c>
      <c r="L1212" s="3">
        <f t="shared" si="184"/>
        <v>0</v>
      </c>
      <c r="N1212" s="11">
        <f t="shared" si="185"/>
        <v>-0.33271694727165713</v>
      </c>
      <c r="O1212" s="3">
        <v>0.97816694727165709</v>
      </c>
      <c r="P1212" s="11">
        <f t="shared" si="186"/>
        <v>-10.204299425563848</v>
      </c>
      <c r="Q1212" s="12">
        <f t="shared" si="187"/>
        <v>4.4767410849816001</v>
      </c>
      <c r="R1212" s="13">
        <f t="shared" si="188"/>
        <v>23.62392331129497</v>
      </c>
      <c r="S1212" s="3" t="s">
        <v>30</v>
      </c>
      <c r="T1212" s="3" t="s">
        <v>35</v>
      </c>
      <c r="U1212" s="10">
        <v>0</v>
      </c>
      <c r="V1212" s="3">
        <v>0</v>
      </c>
      <c r="W1212" s="3">
        <f t="shared" si="189"/>
        <v>0</v>
      </c>
      <c r="AA1212" s="3">
        <v>38</v>
      </c>
    </row>
    <row r="1213" spans="1:27" x14ac:dyDescent="0.3">
      <c r="A1213" s="3" t="str">
        <f t="shared" si="180"/>
        <v>North9330209902839</v>
      </c>
      <c r="B1213" s="3" t="str">
        <f t="shared" si="181"/>
        <v>Lud9330209902839</v>
      </c>
      <c r="C1213" s="10">
        <v>9330209902839</v>
      </c>
      <c r="D1213" s="10" t="str">
        <f t="shared" si="182"/>
        <v>9330209902</v>
      </c>
      <c r="E1213" s="3" t="s">
        <v>3</v>
      </c>
      <c r="F1213" s="3" t="s">
        <v>64</v>
      </c>
      <c r="H1213" s="3">
        <v>0.65519999999999989</v>
      </c>
      <c r="I1213" s="10">
        <f t="shared" si="183"/>
        <v>20.929287646922798</v>
      </c>
      <c r="J1213" s="3">
        <v>0.93916239919852162</v>
      </c>
      <c r="K1213" s="3">
        <v>0</v>
      </c>
      <c r="L1213" s="3">
        <f t="shared" si="184"/>
        <v>0</v>
      </c>
      <c r="N1213" s="11">
        <f t="shared" si="185"/>
        <v>-0.28396239919852173</v>
      </c>
      <c r="O1213" s="3">
        <v>0.93916239919852162</v>
      </c>
      <c r="P1213" s="11">
        <f t="shared" si="186"/>
        <v>-9.0707123530772016</v>
      </c>
      <c r="Q1213" s="12">
        <f t="shared" si="187"/>
        <v>83.548911427565344</v>
      </c>
      <c r="R1213" s="13">
        <f t="shared" si="188"/>
        <v>43.473852368581014</v>
      </c>
      <c r="S1213" s="3" t="s">
        <v>30</v>
      </c>
      <c r="T1213" s="3" t="s">
        <v>35</v>
      </c>
      <c r="U1213" s="10">
        <v>0</v>
      </c>
      <c r="V1213" s="3">
        <v>0</v>
      </c>
      <c r="W1213" s="3">
        <f t="shared" si="189"/>
        <v>0</v>
      </c>
      <c r="AA1213" s="3">
        <v>38</v>
      </c>
    </row>
    <row r="1214" spans="1:27" x14ac:dyDescent="0.3">
      <c r="A1214" s="3" t="str">
        <f t="shared" si="180"/>
        <v>North9330209902297</v>
      </c>
      <c r="B1214" s="3" t="str">
        <f t="shared" si="181"/>
        <v>Lud9330209902297</v>
      </c>
      <c r="C1214" s="10">
        <v>9330209902297</v>
      </c>
      <c r="D1214" s="10" t="str">
        <f t="shared" si="182"/>
        <v>9330209902</v>
      </c>
      <c r="E1214" s="3" t="s">
        <v>3</v>
      </c>
      <c r="F1214" s="3" t="s">
        <v>64</v>
      </c>
      <c r="H1214" s="3">
        <v>0.66300000000000003</v>
      </c>
      <c r="I1214" s="10">
        <f t="shared" si="183"/>
        <v>34.494747802429522</v>
      </c>
      <c r="J1214" s="3">
        <v>0.57660952078620831</v>
      </c>
      <c r="K1214" s="3">
        <v>0</v>
      </c>
      <c r="L1214" s="3">
        <f t="shared" si="184"/>
        <v>0</v>
      </c>
      <c r="N1214" s="11">
        <f t="shared" si="185"/>
        <v>8.6390479213791727E-2</v>
      </c>
      <c r="O1214" s="3">
        <v>0.57660952078620831</v>
      </c>
      <c r="P1214" s="11">
        <f t="shared" si="186"/>
        <v>4.4947478024295258</v>
      </c>
      <c r="Q1214" s="12">
        <f t="shared" si="187"/>
        <v>16.298487677401869</v>
      </c>
      <c r="R1214" s="13">
        <f t="shared" si="188"/>
        <v>19.916688006569078</v>
      </c>
      <c r="S1214" s="3" t="s">
        <v>30</v>
      </c>
      <c r="T1214" s="3" t="s">
        <v>35</v>
      </c>
      <c r="U1214" s="10">
        <v>9330209900999</v>
      </c>
      <c r="V1214" s="3">
        <v>0.1</v>
      </c>
      <c r="W1214" s="3">
        <f t="shared" si="189"/>
        <v>0</v>
      </c>
      <c r="AA1214" s="3">
        <v>38</v>
      </c>
    </row>
    <row r="1215" spans="1:27" x14ac:dyDescent="0.3">
      <c r="A1215" s="3" t="str">
        <f t="shared" si="180"/>
        <v>North9160309902219</v>
      </c>
      <c r="B1215" s="3" t="str">
        <f t="shared" si="181"/>
        <v>Lud9160309902219</v>
      </c>
      <c r="C1215" s="10">
        <v>9160309902219</v>
      </c>
      <c r="D1215" s="10" t="str">
        <f t="shared" si="182"/>
        <v>9160309902</v>
      </c>
      <c r="E1215" s="3" t="s">
        <v>3</v>
      </c>
      <c r="F1215" s="3" t="s">
        <v>64</v>
      </c>
      <c r="H1215" s="3">
        <v>1.5795000000000001</v>
      </c>
      <c r="I1215" s="10">
        <f t="shared" si="183"/>
        <v>186.68172178397879</v>
      </c>
      <c r="J1215" s="3">
        <v>0.25382774246550061</v>
      </c>
      <c r="K1215" s="3">
        <v>0</v>
      </c>
      <c r="L1215" s="3">
        <f t="shared" si="184"/>
        <v>0</v>
      </c>
      <c r="N1215" s="11">
        <f t="shared" si="185"/>
        <v>1.3256722575344995</v>
      </c>
      <c r="O1215" s="3">
        <v>0.25382774246550061</v>
      </c>
      <c r="P1215" s="11">
        <f t="shared" si="186"/>
        <v>156.68172178397879</v>
      </c>
      <c r="Q1215" s="12">
        <f t="shared" si="187"/>
        <v>71.421968054622667</v>
      </c>
      <c r="R1215" s="13">
        <f t="shared" si="188"/>
        <v>96.414129400234444</v>
      </c>
      <c r="S1215" s="3" t="s">
        <v>31</v>
      </c>
      <c r="T1215" s="3" t="s">
        <v>34</v>
      </c>
      <c r="U1215" s="10">
        <v>0</v>
      </c>
      <c r="V1215" s="3">
        <v>0</v>
      </c>
      <c r="W1215" s="3">
        <f t="shared" si="189"/>
        <v>0</v>
      </c>
      <c r="AA1215" s="3">
        <v>38</v>
      </c>
    </row>
    <row r="1216" spans="1:27" x14ac:dyDescent="0.3">
      <c r="A1216" s="3" t="str">
        <f t="shared" si="180"/>
        <v>North9310039900310</v>
      </c>
      <c r="B1216" s="3" t="str">
        <f t="shared" si="181"/>
        <v>Lud9310039900310</v>
      </c>
      <c r="C1216" s="10">
        <v>9310039900310</v>
      </c>
      <c r="D1216" s="10" t="str">
        <f t="shared" si="182"/>
        <v>9310039900</v>
      </c>
      <c r="E1216" s="3" t="s">
        <v>3</v>
      </c>
      <c r="F1216" s="3" t="s">
        <v>64</v>
      </c>
      <c r="H1216" s="3">
        <v>0.49999999999999994</v>
      </c>
      <c r="I1216" s="10">
        <f t="shared" si="183"/>
        <v>85.08068321647194</v>
      </c>
      <c r="J1216" s="3">
        <v>0.17630323867798869</v>
      </c>
      <c r="K1216" s="3">
        <v>0</v>
      </c>
      <c r="L1216" s="3">
        <f t="shared" si="184"/>
        <v>0</v>
      </c>
      <c r="N1216" s="11">
        <f t="shared" si="185"/>
        <v>0.32369676132201125</v>
      </c>
      <c r="O1216" s="3">
        <v>0.17630323867798869</v>
      </c>
      <c r="P1216" s="11">
        <f t="shared" si="186"/>
        <v>55.080683216471932</v>
      </c>
      <c r="Q1216" s="12">
        <f t="shared" si="187"/>
        <v>127.67576436554653</v>
      </c>
      <c r="R1216" s="13">
        <f t="shared" si="188"/>
        <v>107.62903162347897</v>
      </c>
      <c r="S1216" s="3" t="s">
        <v>31</v>
      </c>
      <c r="T1216" s="3" t="s">
        <v>32</v>
      </c>
      <c r="U1216" s="10">
        <v>9310039900999</v>
      </c>
      <c r="V1216" s="3">
        <v>0.1</v>
      </c>
      <c r="W1216" s="3">
        <f t="shared" si="189"/>
        <v>0</v>
      </c>
      <c r="AA1216" s="3">
        <v>38</v>
      </c>
    </row>
    <row r="1217" spans="1:27" x14ac:dyDescent="0.3">
      <c r="A1217" s="3" t="str">
        <f t="shared" si="180"/>
        <v>North9310029900310</v>
      </c>
      <c r="B1217" s="3" t="str">
        <f t="shared" si="181"/>
        <v>Lud9310029900310</v>
      </c>
      <c r="C1217" s="10">
        <v>9310029900310</v>
      </c>
      <c r="D1217" s="10" t="str">
        <f t="shared" si="182"/>
        <v>9310029900</v>
      </c>
      <c r="E1217" s="3" t="s">
        <v>3</v>
      </c>
      <c r="F1217" s="3" t="s">
        <v>64</v>
      </c>
      <c r="H1217" s="3">
        <v>0.89</v>
      </c>
      <c r="I1217" s="10">
        <f t="shared" si="183"/>
        <v>210.49639417168243</v>
      </c>
      <c r="J1217" s="3">
        <v>0.12684302790585231</v>
      </c>
      <c r="K1217" s="3">
        <v>0</v>
      </c>
      <c r="L1217" s="3">
        <f t="shared" si="184"/>
        <v>0</v>
      </c>
      <c r="N1217" s="11">
        <f t="shared" si="185"/>
        <v>0.76315697209414768</v>
      </c>
      <c r="O1217" s="3">
        <v>0.12684302790585231</v>
      </c>
      <c r="P1217" s="11">
        <f t="shared" si="186"/>
        <v>180.49639417168243</v>
      </c>
      <c r="Q1217" s="12">
        <f t="shared" si="187"/>
        <v>152.10797666409491</v>
      </c>
      <c r="R1217" s="13">
        <f t="shared" si="188"/>
        <v>309.77333263500134</v>
      </c>
      <c r="S1217" s="3" t="s">
        <v>31</v>
      </c>
      <c r="T1217" s="3" t="s">
        <v>32</v>
      </c>
      <c r="U1217" s="10">
        <v>9310029900999</v>
      </c>
      <c r="V1217" s="3">
        <v>0.1</v>
      </c>
      <c r="W1217" s="3">
        <f t="shared" si="189"/>
        <v>0</v>
      </c>
      <c r="AA1217" s="3">
        <v>38</v>
      </c>
    </row>
    <row r="1218" spans="1:27" x14ac:dyDescent="0.3">
      <c r="A1218" s="3" t="str">
        <f t="shared" si="180"/>
        <v>North9310039900840</v>
      </c>
      <c r="B1218" s="3" t="str">
        <f t="shared" si="181"/>
        <v>Lud9310039900840</v>
      </c>
      <c r="C1218" s="10">
        <v>9310039900840</v>
      </c>
      <c r="D1218" s="10" t="str">
        <f t="shared" si="182"/>
        <v>9310039900</v>
      </c>
      <c r="E1218" s="3" t="s">
        <v>3</v>
      </c>
      <c r="F1218" s="3" t="s">
        <v>64</v>
      </c>
      <c r="H1218" s="3">
        <v>1.1319999999999999</v>
      </c>
      <c r="I1218" s="10">
        <f t="shared" si="183"/>
        <v>587.77116398117209</v>
      </c>
      <c r="J1218" s="3">
        <v>5.7777587743463754E-2</v>
      </c>
      <c r="K1218" s="3">
        <v>0</v>
      </c>
      <c r="L1218" s="3">
        <f t="shared" si="184"/>
        <v>0</v>
      </c>
      <c r="N1218" s="11">
        <f t="shared" si="185"/>
        <v>1.0742224122565363</v>
      </c>
      <c r="O1218" s="3">
        <v>5.7777587743463754E-2</v>
      </c>
      <c r="P1218" s="11">
        <f t="shared" si="186"/>
        <v>557.77116398117221</v>
      </c>
      <c r="Q1218" s="12">
        <f t="shared" si="187"/>
        <v>489.55400214640548</v>
      </c>
      <c r="R1218" s="13">
        <f t="shared" si="188"/>
        <v>282.75963411080329</v>
      </c>
      <c r="S1218" s="3" t="s">
        <v>31</v>
      </c>
      <c r="T1218" s="3" t="s">
        <v>32</v>
      </c>
      <c r="U1218" s="10">
        <v>0</v>
      </c>
      <c r="V1218" s="3">
        <v>0</v>
      </c>
      <c r="W1218" s="3">
        <f t="shared" si="189"/>
        <v>0</v>
      </c>
      <c r="AA1218" s="3">
        <v>38</v>
      </c>
    </row>
    <row r="1219" spans="1:27" x14ac:dyDescent="0.3">
      <c r="A1219" s="3" t="str">
        <f t="shared" si="180"/>
        <v>North9100509902319</v>
      </c>
      <c r="B1219" s="3" t="str">
        <f t="shared" si="181"/>
        <v>Lud9100509902319</v>
      </c>
      <c r="C1219" s="10">
        <v>9100509902319</v>
      </c>
      <c r="D1219" s="10" t="str">
        <f t="shared" si="182"/>
        <v>9100509902</v>
      </c>
      <c r="E1219" s="3" t="s">
        <v>3</v>
      </c>
      <c r="F1219" s="3" t="s">
        <v>64</v>
      </c>
      <c r="H1219" s="3">
        <v>14.706</v>
      </c>
      <c r="I1219" s="10">
        <f t="shared" si="183"/>
        <v>8405.033900589071</v>
      </c>
      <c r="J1219" s="3">
        <v>5.2489972701844738E-2</v>
      </c>
      <c r="K1219" s="3">
        <v>0</v>
      </c>
      <c r="L1219" s="3">
        <f t="shared" si="184"/>
        <v>0</v>
      </c>
      <c r="N1219" s="11">
        <f t="shared" si="185"/>
        <v>14.653510027298156</v>
      </c>
      <c r="O1219" s="3">
        <v>5.2489972701844738E-2</v>
      </c>
      <c r="P1219" s="11">
        <f t="shared" si="186"/>
        <v>8375.0339005890728</v>
      </c>
      <c r="Q1219" s="12">
        <f t="shared" si="187"/>
        <v>3527.4526540349302</v>
      </c>
      <c r="R1219" s="13">
        <f t="shared" si="188"/>
        <v>1010.5867835272217</v>
      </c>
      <c r="S1219" s="3" t="s">
        <v>31</v>
      </c>
      <c r="T1219" s="3" t="s">
        <v>34</v>
      </c>
      <c r="U1219" s="10">
        <v>0</v>
      </c>
      <c r="V1219" s="3">
        <v>0</v>
      </c>
      <c r="W1219" s="3">
        <f t="shared" si="189"/>
        <v>0</v>
      </c>
      <c r="AA1219" s="3">
        <v>38</v>
      </c>
    </row>
    <row r="1220" spans="1:27" x14ac:dyDescent="0.3">
      <c r="A1220" s="3" t="str">
        <f t="shared" ref="A1220:A1283" si="190">_xlfn.CONCAT(F1220,C1220)</f>
        <v>North9310029900840</v>
      </c>
      <c r="B1220" s="3" t="str">
        <f t="shared" ref="B1220:B1283" si="191">_xlfn.CONCAT(E1220,C1220)</f>
        <v>Lud9310029900840</v>
      </c>
      <c r="C1220" s="10">
        <v>9310029900840</v>
      </c>
      <c r="D1220" s="10" t="str">
        <f t="shared" ref="D1220:D1283" si="192">LEFT(C1220,10)</f>
        <v>9310029900</v>
      </c>
      <c r="E1220" s="3" t="s">
        <v>3</v>
      </c>
      <c r="F1220" s="3" t="s">
        <v>64</v>
      </c>
      <c r="H1220" s="3">
        <v>0.56000000000000005</v>
      </c>
      <c r="I1220" s="10">
        <f t="shared" ref="I1220:I1283" si="193">IFERROR(H1220/J1220*30,0)</f>
        <v>1249.0082696901748</v>
      </c>
      <c r="J1220" s="3">
        <v>1.3450671550931654E-2</v>
      </c>
      <c r="K1220" s="3">
        <v>0</v>
      </c>
      <c r="L1220" s="3">
        <f t="shared" ref="L1220:L1283" si="194">M1220*G1220</f>
        <v>0</v>
      </c>
      <c r="N1220" s="11">
        <f t="shared" ref="N1220:N1283" si="195">H1220-J1220+L1220</f>
        <v>0.54654932844906845</v>
      </c>
      <c r="O1220" s="3">
        <v>1.3450671550931654E-2</v>
      </c>
      <c r="P1220" s="11">
        <f t="shared" ref="P1220:P1283" si="196">IF(O1220=0,9999,N1220/O1220*30)</f>
        <v>1219.0082696901748</v>
      </c>
      <c r="Q1220" s="12">
        <f t="shared" ref="Q1220:Q1283" si="197">IF(SUMIF($A:$A,$A1220,$O:$O)=0,9999,SUMIF($A:$A,$A1220,$N:$N)*30/SUMIF($A:$A,$A1220,$O:$O))</f>
        <v>2008.9538006113701</v>
      </c>
      <c r="R1220" s="13">
        <f t="shared" ref="R1220:R1283" si="198">IF(SUMIF($C:$C,$C1220,$O:$O)=0,9999,SUMIF($C:$C,$C1220,$N:$N)*30/SUMIF($C:$C,$C1220,$O:$O))</f>
        <v>1357.0266447416436</v>
      </c>
      <c r="S1220" s="3" t="s">
        <v>31</v>
      </c>
      <c r="T1220" s="3" t="s">
        <v>32</v>
      </c>
      <c r="U1220" s="10">
        <v>0</v>
      </c>
      <c r="V1220" s="3">
        <v>0</v>
      </c>
      <c r="W1220" s="3">
        <f t="shared" ref="W1220:W1283" si="199">IFERROR(K1220*V1220,0)</f>
        <v>0</v>
      </c>
      <c r="AA1220" s="3">
        <v>38</v>
      </c>
    </row>
    <row r="1221" spans="1:27" x14ac:dyDescent="0.3">
      <c r="A1221" s="3" t="str">
        <f t="shared" si="190"/>
        <v>North9310039900210</v>
      </c>
      <c r="B1221" s="3" t="str">
        <f t="shared" si="191"/>
        <v>Lud9310039900210</v>
      </c>
      <c r="C1221" s="10">
        <v>9310039900210</v>
      </c>
      <c r="D1221" s="10" t="str">
        <f t="shared" si="192"/>
        <v>9310039900</v>
      </c>
      <c r="E1221" s="3" t="s">
        <v>3</v>
      </c>
      <c r="F1221" s="3" t="s">
        <v>64</v>
      </c>
      <c r="H1221" s="3">
        <v>0.46599999999999997</v>
      </c>
      <c r="I1221" s="10">
        <f t="shared" si="193"/>
        <v>1151.5393160357253</v>
      </c>
      <c r="J1221" s="3">
        <v>1.2140271552453261E-2</v>
      </c>
      <c r="K1221" s="3">
        <v>0</v>
      </c>
      <c r="L1221" s="3">
        <f t="shared" si="194"/>
        <v>0</v>
      </c>
      <c r="N1221" s="11">
        <f t="shared" si="195"/>
        <v>0.45385972844754668</v>
      </c>
      <c r="O1221" s="3">
        <v>1.2140271552453261E-2</v>
      </c>
      <c r="P1221" s="11">
        <f t="shared" si="196"/>
        <v>1121.5393160357251</v>
      </c>
      <c r="Q1221" s="12">
        <f t="shared" si="197"/>
        <v>6095.8926275806052</v>
      </c>
      <c r="R1221" s="13">
        <f t="shared" si="198"/>
        <v>1630.2267212502918</v>
      </c>
      <c r="S1221" s="3" t="s">
        <v>31</v>
      </c>
      <c r="T1221" s="3" t="s">
        <v>32</v>
      </c>
      <c r="U1221" s="10">
        <v>0</v>
      </c>
      <c r="V1221" s="3">
        <v>0</v>
      </c>
      <c r="W1221" s="3">
        <f t="shared" si="199"/>
        <v>0</v>
      </c>
      <c r="AA1221" s="3">
        <v>38</v>
      </c>
    </row>
    <row r="1222" spans="1:27" x14ac:dyDescent="0.3">
      <c r="A1222" s="3" t="str">
        <f t="shared" si="190"/>
        <v>North9100509902195</v>
      </c>
      <c r="B1222" s="3" t="str">
        <f t="shared" si="191"/>
        <v>Lud9100509902195</v>
      </c>
      <c r="C1222" s="10">
        <v>9100509902195</v>
      </c>
      <c r="D1222" s="10" t="str">
        <f t="shared" si="192"/>
        <v>9100509902</v>
      </c>
      <c r="E1222" s="3" t="s">
        <v>3</v>
      </c>
      <c r="F1222" s="3" t="s">
        <v>64</v>
      </c>
      <c r="H1222" s="3">
        <v>0</v>
      </c>
      <c r="I1222" s="10">
        <f t="shared" si="193"/>
        <v>0</v>
      </c>
      <c r="J1222" s="3">
        <v>0</v>
      </c>
      <c r="K1222" s="3">
        <v>0</v>
      </c>
      <c r="L1222" s="3">
        <f t="shared" si="194"/>
        <v>0</v>
      </c>
      <c r="N1222" s="11">
        <f t="shared" si="195"/>
        <v>0</v>
      </c>
      <c r="O1222" s="3">
        <v>0</v>
      </c>
      <c r="P1222" s="11">
        <f t="shared" si="196"/>
        <v>9999</v>
      </c>
      <c r="Q1222" s="12">
        <f t="shared" si="197"/>
        <v>9999</v>
      </c>
      <c r="R1222" s="13">
        <f t="shared" si="198"/>
        <v>9999</v>
      </c>
      <c r="S1222" s="3" t="s">
        <v>31</v>
      </c>
      <c r="T1222" s="3" t="s">
        <v>34</v>
      </c>
      <c r="U1222" s="10" t="s">
        <v>72</v>
      </c>
      <c r="V1222" s="3" t="s">
        <v>72</v>
      </c>
      <c r="W1222" s="3">
        <f t="shared" si="199"/>
        <v>0</v>
      </c>
      <c r="AA1222" s="3">
        <v>38</v>
      </c>
    </row>
    <row r="1223" spans="1:27" x14ac:dyDescent="0.3">
      <c r="A1223" s="3" t="str">
        <f t="shared" si="190"/>
        <v>North9160309902097</v>
      </c>
      <c r="B1223" s="3" t="str">
        <f t="shared" si="191"/>
        <v>Lud9160309902097</v>
      </c>
      <c r="C1223" s="10">
        <v>9160309902097</v>
      </c>
      <c r="D1223" s="10" t="str">
        <f t="shared" si="192"/>
        <v>9160309902</v>
      </c>
      <c r="E1223" s="3" t="s">
        <v>3</v>
      </c>
      <c r="F1223" s="3" t="s">
        <v>64</v>
      </c>
      <c r="H1223" s="3">
        <v>0</v>
      </c>
      <c r="I1223" s="10">
        <f t="shared" si="193"/>
        <v>0</v>
      </c>
      <c r="J1223" s="3">
        <v>0</v>
      </c>
      <c r="K1223" s="3">
        <v>0</v>
      </c>
      <c r="L1223" s="3">
        <f t="shared" si="194"/>
        <v>0</v>
      </c>
      <c r="N1223" s="11">
        <f t="shared" si="195"/>
        <v>0</v>
      </c>
      <c r="O1223" s="3">
        <v>0</v>
      </c>
      <c r="P1223" s="11">
        <f t="shared" si="196"/>
        <v>9999</v>
      </c>
      <c r="Q1223" s="12">
        <f t="shared" si="197"/>
        <v>9999</v>
      </c>
      <c r="R1223" s="13">
        <f t="shared" si="198"/>
        <v>9999</v>
      </c>
      <c r="S1223" s="3" t="s">
        <v>31</v>
      </c>
      <c r="T1223" s="3" t="s">
        <v>34</v>
      </c>
      <c r="U1223" s="10" t="s">
        <v>72</v>
      </c>
      <c r="V1223" s="3" t="s">
        <v>72</v>
      </c>
      <c r="W1223" s="3">
        <f t="shared" si="199"/>
        <v>0</v>
      </c>
      <c r="AA1223" s="3">
        <v>38</v>
      </c>
    </row>
    <row r="1224" spans="1:27" x14ac:dyDescent="0.3">
      <c r="A1224" s="3" t="str">
        <f t="shared" si="190"/>
        <v>North9310029900210</v>
      </c>
      <c r="B1224" s="3" t="str">
        <f t="shared" si="191"/>
        <v>Lud9310029900210</v>
      </c>
      <c r="C1224" s="10">
        <v>9310029900210</v>
      </c>
      <c r="D1224" s="10" t="str">
        <f t="shared" si="192"/>
        <v>9310029900</v>
      </c>
      <c r="E1224" s="3" t="s">
        <v>3</v>
      </c>
      <c r="F1224" s="3" t="s">
        <v>64</v>
      </c>
      <c r="H1224" s="3">
        <v>0.6120000000000001</v>
      </c>
      <c r="I1224" s="10">
        <f t="shared" si="193"/>
        <v>0</v>
      </c>
      <c r="J1224" s="3">
        <v>0</v>
      </c>
      <c r="K1224" s="3">
        <v>0</v>
      </c>
      <c r="L1224" s="3">
        <f t="shared" si="194"/>
        <v>0</v>
      </c>
      <c r="N1224" s="11">
        <f t="shared" si="195"/>
        <v>0.6120000000000001</v>
      </c>
      <c r="O1224" s="3">
        <v>0</v>
      </c>
      <c r="P1224" s="11">
        <f t="shared" si="196"/>
        <v>9999</v>
      </c>
      <c r="Q1224" s="12">
        <f t="shared" si="197"/>
        <v>7086.3886608432467</v>
      </c>
      <c r="R1224" s="13">
        <f t="shared" si="198"/>
        <v>2174.2698828132511</v>
      </c>
      <c r="S1224" s="3" t="s">
        <v>31</v>
      </c>
      <c r="T1224" s="3" t="s">
        <v>32</v>
      </c>
      <c r="U1224" s="10">
        <v>0</v>
      </c>
      <c r="V1224" s="3">
        <v>0</v>
      </c>
      <c r="W1224" s="3">
        <f t="shared" si="199"/>
        <v>0</v>
      </c>
      <c r="AA1224" s="3">
        <v>38</v>
      </c>
    </row>
    <row r="1225" spans="1:27" x14ac:dyDescent="0.3">
      <c r="A1225" s="3" t="str">
        <f t="shared" si="190"/>
        <v>South9320039900320</v>
      </c>
      <c r="B1225" s="3" t="str">
        <f t="shared" si="191"/>
        <v>CMR9320039900320</v>
      </c>
      <c r="C1225" s="10">
        <v>9320039900320</v>
      </c>
      <c r="D1225" s="10" t="str">
        <f t="shared" si="192"/>
        <v>9320039900</v>
      </c>
      <c r="E1225" s="3" t="s">
        <v>5</v>
      </c>
      <c r="F1225" s="3" t="s">
        <v>65</v>
      </c>
      <c r="H1225" s="3">
        <v>59.027999999999999</v>
      </c>
      <c r="I1225" s="10">
        <f t="shared" si="193"/>
        <v>27.251178613845045</v>
      </c>
      <c r="J1225" s="3">
        <v>64.982143528291999</v>
      </c>
      <c r="K1225" s="3">
        <v>57</v>
      </c>
      <c r="L1225" s="3">
        <f t="shared" si="194"/>
        <v>0</v>
      </c>
      <c r="N1225" s="11">
        <f t="shared" si="195"/>
        <v>-5.9541435282920006</v>
      </c>
      <c r="O1225" s="3">
        <v>64.982143528291999</v>
      </c>
      <c r="P1225" s="11">
        <f t="shared" si="196"/>
        <v>-2.7488213861549577</v>
      </c>
      <c r="Q1225" s="12">
        <f t="shared" si="197"/>
        <v>-1.8778314965372009</v>
      </c>
      <c r="R1225" s="13">
        <f t="shared" si="198"/>
        <v>-10.513995057186442</v>
      </c>
      <c r="S1225" s="3" t="s">
        <v>29</v>
      </c>
      <c r="T1225" s="3" t="s">
        <v>28</v>
      </c>
      <c r="U1225" s="10">
        <v>9320039900999</v>
      </c>
      <c r="V1225" s="3">
        <v>0.1</v>
      </c>
      <c r="W1225" s="3">
        <f t="shared" si="199"/>
        <v>5.7</v>
      </c>
      <c r="AA1225" s="3">
        <v>38</v>
      </c>
    </row>
    <row r="1226" spans="1:27" x14ac:dyDescent="0.3">
      <c r="A1226" s="3" t="str">
        <f t="shared" si="190"/>
        <v>South9320099901320</v>
      </c>
      <c r="B1226" s="3" t="str">
        <f t="shared" si="191"/>
        <v>CMR9320099901320</v>
      </c>
      <c r="C1226" s="10">
        <v>9320099901320</v>
      </c>
      <c r="D1226" s="10" t="str">
        <f t="shared" si="192"/>
        <v>9320099901</v>
      </c>
      <c r="E1226" s="3" t="s">
        <v>5</v>
      </c>
      <c r="F1226" s="3" t="s">
        <v>65</v>
      </c>
      <c r="H1226" s="3">
        <v>14.540000000000001</v>
      </c>
      <c r="I1226" s="10">
        <f t="shared" si="193"/>
        <v>16.611071464912563</v>
      </c>
      <c r="J1226" s="3">
        <v>26.259594447075969</v>
      </c>
      <c r="K1226" s="3">
        <v>38</v>
      </c>
      <c r="L1226" s="3">
        <f t="shared" si="194"/>
        <v>0</v>
      </c>
      <c r="N1226" s="11">
        <f t="shared" si="195"/>
        <v>-11.719594447075968</v>
      </c>
      <c r="O1226" s="3">
        <v>26.259594447075969</v>
      </c>
      <c r="P1226" s="11">
        <f t="shared" si="196"/>
        <v>-13.388928535087437</v>
      </c>
      <c r="Q1226" s="12">
        <f t="shared" si="197"/>
        <v>-2.7655988889725833</v>
      </c>
      <c r="R1226" s="13">
        <f t="shared" si="198"/>
        <v>2.6817619389753564</v>
      </c>
      <c r="S1226" s="3" t="s">
        <v>31</v>
      </c>
      <c r="T1226" s="3" t="s">
        <v>28</v>
      </c>
      <c r="U1226" s="10">
        <v>9320099900999</v>
      </c>
      <c r="V1226" s="3">
        <v>0.1</v>
      </c>
      <c r="W1226" s="3">
        <f t="shared" si="199"/>
        <v>3.8000000000000003</v>
      </c>
      <c r="AA1226" s="3">
        <v>38</v>
      </c>
    </row>
    <row r="1227" spans="1:27" x14ac:dyDescent="0.3">
      <c r="A1227" s="3" t="str">
        <f t="shared" si="190"/>
        <v>South9320039900310</v>
      </c>
      <c r="B1227" s="3" t="str">
        <f t="shared" si="191"/>
        <v>CMR9320039900310</v>
      </c>
      <c r="C1227" s="10">
        <v>9320039900310</v>
      </c>
      <c r="D1227" s="10" t="str">
        <f t="shared" si="192"/>
        <v>9320039900</v>
      </c>
      <c r="E1227" s="3" t="s">
        <v>5</v>
      </c>
      <c r="F1227" s="3" t="s">
        <v>65</v>
      </c>
      <c r="H1227" s="3">
        <v>24.27</v>
      </c>
      <c r="I1227" s="10">
        <f t="shared" si="193"/>
        <v>50.819019021730533</v>
      </c>
      <c r="J1227" s="3">
        <v>14.327313159836081</v>
      </c>
      <c r="K1227" s="3">
        <v>0</v>
      </c>
      <c r="L1227" s="3">
        <f t="shared" si="194"/>
        <v>0</v>
      </c>
      <c r="N1227" s="11">
        <f t="shared" si="195"/>
        <v>9.942686840163919</v>
      </c>
      <c r="O1227" s="3">
        <v>14.327313159836081</v>
      </c>
      <c r="P1227" s="11">
        <f t="shared" si="196"/>
        <v>20.819019021730536</v>
      </c>
      <c r="Q1227" s="12">
        <f t="shared" si="197"/>
        <v>22.264117151835126</v>
      </c>
      <c r="R1227" s="13">
        <f t="shared" si="198"/>
        <v>11.051869163953389</v>
      </c>
      <c r="S1227" s="3" t="s">
        <v>30</v>
      </c>
      <c r="T1227" s="3" t="s">
        <v>28</v>
      </c>
      <c r="U1227" s="10">
        <v>9320039900999</v>
      </c>
      <c r="V1227" s="3">
        <v>0.1</v>
      </c>
      <c r="W1227" s="3">
        <f t="shared" si="199"/>
        <v>0</v>
      </c>
      <c r="AA1227" s="3">
        <v>38</v>
      </c>
    </row>
    <row r="1228" spans="1:27" x14ac:dyDescent="0.3">
      <c r="A1228" s="3" t="str">
        <f t="shared" si="190"/>
        <v>South9161109900320</v>
      </c>
      <c r="B1228" s="3" t="str">
        <f t="shared" si="191"/>
        <v>CMR9161109900320</v>
      </c>
      <c r="C1228" s="10">
        <v>9161109900320</v>
      </c>
      <c r="D1228" s="10" t="str">
        <f t="shared" si="192"/>
        <v>9161109900</v>
      </c>
      <c r="E1228" s="3" t="s">
        <v>5</v>
      </c>
      <c r="F1228" s="3" t="s">
        <v>65</v>
      </c>
      <c r="H1228" s="3">
        <v>28.08</v>
      </c>
      <c r="I1228" s="10">
        <f t="shared" si="193"/>
        <v>70.918324220247385</v>
      </c>
      <c r="J1228" s="3">
        <v>11.878453266659287</v>
      </c>
      <c r="K1228" s="3">
        <v>0</v>
      </c>
      <c r="L1228" s="3">
        <f t="shared" si="194"/>
        <v>0</v>
      </c>
      <c r="N1228" s="11">
        <f t="shared" si="195"/>
        <v>16.201546733340713</v>
      </c>
      <c r="O1228" s="3">
        <v>11.878453266659287</v>
      </c>
      <c r="P1228" s="11">
        <f t="shared" si="196"/>
        <v>40.918324220247385</v>
      </c>
      <c r="Q1228" s="12">
        <f t="shared" si="197"/>
        <v>23.60322884417506</v>
      </c>
      <c r="R1228" s="13">
        <f t="shared" si="198"/>
        <v>29.817154882232217</v>
      </c>
      <c r="S1228" s="3" t="s">
        <v>29</v>
      </c>
      <c r="T1228" s="3" t="s">
        <v>34</v>
      </c>
      <c r="U1228" s="10">
        <v>0</v>
      </c>
      <c r="V1228" s="3">
        <v>0</v>
      </c>
      <c r="W1228" s="3">
        <f t="shared" si="199"/>
        <v>0</v>
      </c>
      <c r="AA1228" s="3">
        <v>38</v>
      </c>
    </row>
    <row r="1229" spans="1:27" x14ac:dyDescent="0.3">
      <c r="A1229" s="3" t="str">
        <f t="shared" si="190"/>
        <v>South9100509901320</v>
      </c>
      <c r="B1229" s="3" t="str">
        <f t="shared" si="191"/>
        <v>CMR9100509901320</v>
      </c>
      <c r="C1229" s="10">
        <v>9100509901320</v>
      </c>
      <c r="D1229" s="10" t="str">
        <f t="shared" si="192"/>
        <v>9100509901</v>
      </c>
      <c r="E1229" s="3" t="s">
        <v>5</v>
      </c>
      <c r="F1229" s="3" t="s">
        <v>65</v>
      </c>
      <c r="H1229" s="3">
        <v>19.459999999999997</v>
      </c>
      <c r="I1229" s="10">
        <f t="shared" si="193"/>
        <v>119.62956133154714</v>
      </c>
      <c r="J1229" s="3">
        <v>4.8800647055958724</v>
      </c>
      <c r="K1229" s="3">
        <v>0</v>
      </c>
      <c r="L1229" s="3">
        <f t="shared" si="194"/>
        <v>0</v>
      </c>
      <c r="N1229" s="11">
        <f t="shared" si="195"/>
        <v>14.579935294404125</v>
      </c>
      <c r="O1229" s="3">
        <v>4.8800647055958724</v>
      </c>
      <c r="P1229" s="11">
        <f t="shared" si="196"/>
        <v>89.629561331547137</v>
      </c>
      <c r="Q1229" s="12">
        <f t="shared" si="197"/>
        <v>46.169553680661949</v>
      </c>
      <c r="R1229" s="13">
        <f t="shared" si="198"/>
        <v>43.827287758389929</v>
      </c>
      <c r="S1229" s="3" t="s">
        <v>30</v>
      </c>
      <c r="T1229" s="3" t="s">
        <v>34</v>
      </c>
      <c r="U1229" s="10">
        <v>0</v>
      </c>
      <c r="V1229" s="3">
        <v>0</v>
      </c>
      <c r="W1229" s="3">
        <f t="shared" si="199"/>
        <v>0</v>
      </c>
      <c r="AA1229" s="3">
        <v>38</v>
      </c>
    </row>
    <row r="1230" spans="1:27" x14ac:dyDescent="0.3">
      <c r="A1230" s="3" t="str">
        <f t="shared" si="190"/>
        <v>South9320039900840</v>
      </c>
      <c r="B1230" s="3" t="str">
        <f t="shared" si="191"/>
        <v>CMR9320039900840</v>
      </c>
      <c r="C1230" s="10">
        <v>9320039900840</v>
      </c>
      <c r="D1230" s="10" t="str">
        <f t="shared" si="192"/>
        <v>9320039900</v>
      </c>
      <c r="E1230" s="3" t="s">
        <v>5</v>
      </c>
      <c r="F1230" s="3" t="s">
        <v>65</v>
      </c>
      <c r="H1230" s="3">
        <v>2.1560000000000001</v>
      </c>
      <c r="I1230" s="10">
        <f t="shared" si="193"/>
        <v>14.075654800685305</v>
      </c>
      <c r="J1230" s="3">
        <v>4.5951681052060831</v>
      </c>
      <c r="K1230" s="3">
        <v>0</v>
      </c>
      <c r="L1230" s="3">
        <f t="shared" si="194"/>
        <v>0</v>
      </c>
      <c r="N1230" s="11">
        <f t="shared" si="195"/>
        <v>-2.439168105206083</v>
      </c>
      <c r="O1230" s="3">
        <v>4.5951681052060831</v>
      </c>
      <c r="P1230" s="11">
        <f t="shared" si="196"/>
        <v>-15.924345199314695</v>
      </c>
      <c r="Q1230" s="12">
        <f t="shared" si="197"/>
        <v>-1.0167303828280296</v>
      </c>
      <c r="R1230" s="13">
        <f t="shared" si="198"/>
        <v>-11.770542147540164</v>
      </c>
      <c r="S1230" s="3" t="s">
        <v>30</v>
      </c>
      <c r="T1230" s="3" t="s">
        <v>28</v>
      </c>
      <c r="U1230" s="10">
        <v>0</v>
      </c>
      <c r="V1230" s="3">
        <v>0</v>
      </c>
      <c r="W1230" s="3">
        <f t="shared" si="199"/>
        <v>0</v>
      </c>
      <c r="AA1230" s="3">
        <v>38</v>
      </c>
    </row>
    <row r="1231" spans="1:27" x14ac:dyDescent="0.3">
      <c r="A1231" s="3" t="str">
        <f t="shared" si="190"/>
        <v>South9432009902838</v>
      </c>
      <c r="B1231" s="3" t="str">
        <f t="shared" si="191"/>
        <v>CMR9432009902838</v>
      </c>
      <c r="C1231" s="10">
        <v>9432009902838</v>
      </c>
      <c r="D1231" s="10" t="str">
        <f t="shared" si="192"/>
        <v>9432009902</v>
      </c>
      <c r="E1231" s="3" t="s">
        <v>5</v>
      </c>
      <c r="F1231" s="3" t="s">
        <v>65</v>
      </c>
      <c r="H1231" s="3">
        <v>3.8873999999999995</v>
      </c>
      <c r="I1231" s="10">
        <f t="shared" si="193"/>
        <v>27.694044215614944</v>
      </c>
      <c r="J1231" s="3">
        <v>4.2110859321241394</v>
      </c>
      <c r="K1231" s="3">
        <v>0</v>
      </c>
      <c r="L1231" s="3">
        <f t="shared" si="194"/>
        <v>0</v>
      </c>
      <c r="N1231" s="11">
        <f t="shared" si="195"/>
        <v>-0.32368593212413987</v>
      </c>
      <c r="O1231" s="3">
        <v>4.2110859321241394</v>
      </c>
      <c r="P1231" s="11">
        <f t="shared" si="196"/>
        <v>-2.3059557843850564</v>
      </c>
      <c r="Q1231" s="12">
        <f t="shared" si="197"/>
        <v>5.4538940412850421</v>
      </c>
      <c r="R1231" s="13">
        <f t="shared" si="198"/>
        <v>19.801120837885417</v>
      </c>
      <c r="S1231" s="3" t="s">
        <v>30</v>
      </c>
      <c r="T1231" s="3" t="s">
        <v>35</v>
      </c>
      <c r="U1231" s="10">
        <v>0</v>
      </c>
      <c r="V1231" s="3">
        <v>0</v>
      </c>
      <c r="W1231" s="3">
        <f t="shared" si="199"/>
        <v>0</v>
      </c>
      <c r="AA1231" s="3">
        <v>38</v>
      </c>
    </row>
    <row r="1232" spans="1:27" x14ac:dyDescent="0.3">
      <c r="A1232" s="3" t="str">
        <f t="shared" si="190"/>
        <v>South9432009902195</v>
      </c>
      <c r="B1232" s="3" t="str">
        <f t="shared" si="191"/>
        <v>CMR9432009902195</v>
      </c>
      <c r="C1232" s="10">
        <v>9432009902195</v>
      </c>
      <c r="D1232" s="10" t="str">
        <f t="shared" si="192"/>
        <v>9432009902</v>
      </c>
      <c r="E1232" s="3" t="s">
        <v>5</v>
      </c>
      <c r="F1232" s="3" t="s">
        <v>65</v>
      </c>
      <c r="H1232" s="3">
        <v>3.2328499999999996</v>
      </c>
      <c r="I1232" s="10">
        <f t="shared" si="193"/>
        <v>29.657889315561114</v>
      </c>
      <c r="J1232" s="3">
        <v>3.2701416802817773</v>
      </c>
      <c r="K1232" s="3">
        <v>0</v>
      </c>
      <c r="L1232" s="3">
        <f t="shared" si="194"/>
        <v>0</v>
      </c>
      <c r="N1232" s="11">
        <f t="shared" si="195"/>
        <v>-3.7291680281777762E-2</v>
      </c>
      <c r="O1232" s="3">
        <v>3.2701416802817773</v>
      </c>
      <c r="P1232" s="11">
        <f t="shared" si="196"/>
        <v>-0.34211068443888765</v>
      </c>
      <c r="Q1232" s="12">
        <f t="shared" si="197"/>
        <v>11.284169797860137</v>
      </c>
      <c r="R1232" s="13">
        <f t="shared" si="198"/>
        <v>34.173467301071753</v>
      </c>
      <c r="S1232" s="3" t="s">
        <v>30</v>
      </c>
      <c r="T1232" s="3" t="s">
        <v>35</v>
      </c>
      <c r="U1232" s="10">
        <v>0</v>
      </c>
      <c r="V1232" s="3">
        <v>0</v>
      </c>
      <c r="W1232" s="3">
        <f t="shared" si="199"/>
        <v>0</v>
      </c>
      <c r="AA1232" s="3">
        <v>38</v>
      </c>
    </row>
    <row r="1233" spans="1:27" x14ac:dyDescent="0.3">
      <c r="A1233" s="3" t="str">
        <f t="shared" si="190"/>
        <v>South9320099901310</v>
      </c>
      <c r="B1233" s="3" t="str">
        <f t="shared" si="191"/>
        <v>CMR9320099901310</v>
      </c>
      <c r="C1233" s="10">
        <v>9320099901310</v>
      </c>
      <c r="D1233" s="10" t="str">
        <f t="shared" si="192"/>
        <v>9320099901</v>
      </c>
      <c r="E1233" s="3" t="s">
        <v>5</v>
      </c>
      <c r="F1233" s="3" t="s">
        <v>65</v>
      </c>
      <c r="H1233" s="3">
        <v>11.22</v>
      </c>
      <c r="I1233" s="10">
        <f t="shared" si="193"/>
        <v>115.59067712384046</v>
      </c>
      <c r="J1233" s="3">
        <v>2.9119995519999997</v>
      </c>
      <c r="K1233" s="3">
        <v>0</v>
      </c>
      <c r="L1233" s="3">
        <f t="shared" si="194"/>
        <v>0</v>
      </c>
      <c r="N1233" s="11">
        <f t="shared" si="195"/>
        <v>8.3080004480000014</v>
      </c>
      <c r="O1233" s="3">
        <v>2.9119995519999997</v>
      </c>
      <c r="P1233" s="11">
        <f t="shared" si="196"/>
        <v>85.590677123840464</v>
      </c>
      <c r="Q1233" s="12">
        <f t="shared" si="197"/>
        <v>36.519982533524903</v>
      </c>
      <c r="R1233" s="13">
        <f t="shared" si="198"/>
        <v>10.747191543098038</v>
      </c>
      <c r="S1233" s="3" t="s">
        <v>31</v>
      </c>
      <c r="T1233" s="3" t="s">
        <v>28</v>
      </c>
      <c r="U1233" s="10">
        <v>9320099900999</v>
      </c>
      <c r="V1233" s="3">
        <v>0.1</v>
      </c>
      <c r="W1233" s="3">
        <f t="shared" si="199"/>
        <v>0</v>
      </c>
      <c r="AA1233" s="3">
        <v>38</v>
      </c>
    </row>
    <row r="1234" spans="1:27" x14ac:dyDescent="0.3">
      <c r="A1234" s="3" t="str">
        <f t="shared" si="190"/>
        <v>South9310029901320</v>
      </c>
      <c r="B1234" s="3" t="str">
        <f t="shared" si="191"/>
        <v>CMR9310029901320</v>
      </c>
      <c r="C1234" s="10">
        <v>9310029901320</v>
      </c>
      <c r="D1234" s="10" t="str">
        <f t="shared" si="192"/>
        <v>9310029901</v>
      </c>
      <c r="E1234" s="3" t="s">
        <v>5</v>
      </c>
      <c r="F1234" s="3" t="s">
        <v>65</v>
      </c>
      <c r="H1234" s="3">
        <v>4.620000000000001</v>
      </c>
      <c r="I1234" s="10">
        <f t="shared" si="193"/>
        <v>47.728185402580273</v>
      </c>
      <c r="J1234" s="3">
        <v>2.9039444686809119</v>
      </c>
      <c r="K1234" s="3">
        <v>0</v>
      </c>
      <c r="L1234" s="3">
        <f t="shared" si="194"/>
        <v>0</v>
      </c>
      <c r="N1234" s="11">
        <f t="shared" si="195"/>
        <v>1.7160555313190891</v>
      </c>
      <c r="O1234" s="3">
        <v>2.9039444686809119</v>
      </c>
      <c r="P1234" s="11">
        <f t="shared" si="196"/>
        <v>17.728185402580273</v>
      </c>
      <c r="Q1234" s="12">
        <f t="shared" si="197"/>
        <v>91.817307075481864</v>
      </c>
      <c r="R1234" s="13">
        <f t="shared" si="198"/>
        <v>68.274718392050673</v>
      </c>
      <c r="S1234" s="3" t="s">
        <v>31</v>
      </c>
      <c r="T1234" s="3" t="s">
        <v>32</v>
      </c>
      <c r="U1234" s="10">
        <v>9310029900999</v>
      </c>
      <c r="V1234" s="3">
        <v>0.1</v>
      </c>
      <c r="W1234" s="3">
        <f t="shared" si="199"/>
        <v>0</v>
      </c>
      <c r="AA1234" s="3">
        <v>38</v>
      </c>
    </row>
    <row r="1235" spans="1:27" x14ac:dyDescent="0.3">
      <c r="A1235" s="3" t="str">
        <f t="shared" si="190"/>
        <v>South9432009902295</v>
      </c>
      <c r="B1235" s="3" t="str">
        <f t="shared" si="191"/>
        <v>CMR9432009902295</v>
      </c>
      <c r="C1235" s="10">
        <v>9432009902295</v>
      </c>
      <c r="D1235" s="10" t="str">
        <f t="shared" si="192"/>
        <v>9432009902</v>
      </c>
      <c r="E1235" s="3" t="s">
        <v>5</v>
      </c>
      <c r="F1235" s="3" t="s">
        <v>65</v>
      </c>
      <c r="H1235" s="3">
        <v>3.1349999999999998</v>
      </c>
      <c r="I1235" s="10">
        <f t="shared" si="193"/>
        <v>43.580422303383791</v>
      </c>
      <c r="J1235" s="3">
        <v>2.1580791334529472</v>
      </c>
      <c r="K1235" s="3">
        <v>0</v>
      </c>
      <c r="L1235" s="3">
        <f t="shared" si="194"/>
        <v>0</v>
      </c>
      <c r="N1235" s="11">
        <f t="shared" si="195"/>
        <v>0.97692086654705257</v>
      </c>
      <c r="O1235" s="3">
        <v>2.1580791334529472</v>
      </c>
      <c r="P1235" s="11">
        <f t="shared" si="196"/>
        <v>13.580422303383793</v>
      </c>
      <c r="Q1235" s="12">
        <f t="shared" si="197"/>
        <v>33.854365863811488</v>
      </c>
      <c r="R1235" s="13">
        <f t="shared" si="198"/>
        <v>36.662124742386482</v>
      </c>
      <c r="S1235" s="3" t="s">
        <v>30</v>
      </c>
      <c r="T1235" s="3" t="s">
        <v>35</v>
      </c>
      <c r="U1235" s="10">
        <v>9432009900999</v>
      </c>
      <c r="V1235" s="3">
        <v>0.1</v>
      </c>
      <c r="W1235" s="3">
        <f t="shared" si="199"/>
        <v>0</v>
      </c>
      <c r="AA1235" s="3">
        <v>38</v>
      </c>
    </row>
    <row r="1236" spans="1:27" x14ac:dyDescent="0.3">
      <c r="A1236" s="3" t="str">
        <f t="shared" si="190"/>
        <v>South9432009902319</v>
      </c>
      <c r="B1236" s="3" t="str">
        <f t="shared" si="191"/>
        <v>CMR9432009902319</v>
      </c>
      <c r="C1236" s="10">
        <v>9432009902319</v>
      </c>
      <c r="D1236" s="10" t="str">
        <f t="shared" si="192"/>
        <v>9432009902</v>
      </c>
      <c r="E1236" s="3" t="s">
        <v>5</v>
      </c>
      <c r="F1236" s="3" t="s">
        <v>65</v>
      </c>
      <c r="H1236" s="3">
        <v>2.1470000000000002</v>
      </c>
      <c r="I1236" s="10">
        <f t="shared" si="193"/>
        <v>30.547650433949759</v>
      </c>
      <c r="J1236" s="3">
        <v>2.1085091352366869</v>
      </c>
      <c r="K1236" s="3">
        <v>0</v>
      </c>
      <c r="L1236" s="3">
        <f t="shared" si="194"/>
        <v>0</v>
      </c>
      <c r="N1236" s="11">
        <f t="shared" si="195"/>
        <v>3.8490864763313315E-2</v>
      </c>
      <c r="O1236" s="3">
        <v>2.1085091352366869</v>
      </c>
      <c r="P1236" s="11">
        <f t="shared" si="196"/>
        <v>0.54765043394975754</v>
      </c>
      <c r="Q1236" s="12">
        <f t="shared" si="197"/>
        <v>5.5914419500024772</v>
      </c>
      <c r="R1236" s="13">
        <f t="shared" si="198"/>
        <v>18.627692690008107</v>
      </c>
      <c r="S1236" s="3" t="s">
        <v>30</v>
      </c>
      <c r="T1236" s="3" t="s">
        <v>35</v>
      </c>
      <c r="U1236" s="10">
        <v>9432009900999</v>
      </c>
      <c r="V1236" s="3">
        <v>0.1</v>
      </c>
      <c r="W1236" s="3">
        <f t="shared" si="199"/>
        <v>0</v>
      </c>
      <c r="AA1236" s="3">
        <v>38</v>
      </c>
    </row>
    <row r="1237" spans="1:27" x14ac:dyDescent="0.3">
      <c r="A1237" s="3" t="str">
        <f t="shared" si="190"/>
        <v>South9320099901210</v>
      </c>
      <c r="B1237" s="3" t="str">
        <f t="shared" si="191"/>
        <v>CMR9320099901210</v>
      </c>
      <c r="C1237" s="10">
        <v>9320099901210</v>
      </c>
      <c r="D1237" s="10" t="str">
        <f t="shared" si="192"/>
        <v>9320099901</v>
      </c>
      <c r="E1237" s="3" t="s">
        <v>5</v>
      </c>
      <c r="F1237" s="3" t="s">
        <v>65</v>
      </c>
      <c r="H1237" s="3">
        <v>0.93599999999999994</v>
      </c>
      <c r="I1237" s="10">
        <f t="shared" si="193"/>
        <v>19.976490431025841</v>
      </c>
      <c r="J1237" s="3">
        <v>1.4056523140014852</v>
      </c>
      <c r="K1237" s="3">
        <v>12</v>
      </c>
      <c r="L1237" s="3">
        <f t="shared" si="194"/>
        <v>0</v>
      </c>
      <c r="N1237" s="11">
        <f t="shared" si="195"/>
        <v>-0.46965231400148522</v>
      </c>
      <c r="O1237" s="3">
        <v>1.4056523140014852</v>
      </c>
      <c r="P1237" s="11">
        <f t="shared" si="196"/>
        <v>-10.023509568974159</v>
      </c>
      <c r="Q1237" s="12">
        <f t="shared" si="197"/>
        <v>-2.7102469030518339</v>
      </c>
      <c r="R1237" s="13">
        <f t="shared" si="198"/>
        <v>29.724229731147283</v>
      </c>
      <c r="S1237" s="3" t="s">
        <v>31</v>
      </c>
      <c r="T1237" s="3" t="s">
        <v>28</v>
      </c>
      <c r="U1237" s="10">
        <v>0</v>
      </c>
      <c r="V1237" s="3">
        <v>0</v>
      </c>
      <c r="W1237" s="3">
        <f t="shared" si="199"/>
        <v>0</v>
      </c>
      <c r="AA1237" s="3">
        <v>38</v>
      </c>
    </row>
    <row r="1238" spans="1:27" x14ac:dyDescent="0.3">
      <c r="A1238" s="3" t="str">
        <f t="shared" si="190"/>
        <v>South9320039900210</v>
      </c>
      <c r="B1238" s="3" t="str">
        <f t="shared" si="191"/>
        <v>CMR9320039900210</v>
      </c>
      <c r="C1238" s="10">
        <v>9320039900210</v>
      </c>
      <c r="D1238" s="10" t="str">
        <f t="shared" si="192"/>
        <v>9320039900</v>
      </c>
      <c r="E1238" s="3" t="s">
        <v>5</v>
      </c>
      <c r="F1238" s="3" t="s">
        <v>65</v>
      </c>
      <c r="H1238" s="3">
        <v>0.71600000000000008</v>
      </c>
      <c r="I1238" s="10">
        <f t="shared" si="193"/>
        <v>39.797016073485857</v>
      </c>
      <c r="J1238" s="3">
        <v>0.53973895832634344</v>
      </c>
      <c r="K1238" s="3">
        <v>0</v>
      </c>
      <c r="L1238" s="3">
        <f t="shared" si="194"/>
        <v>0</v>
      </c>
      <c r="N1238" s="11">
        <f t="shared" si="195"/>
        <v>0.17626104167365664</v>
      </c>
      <c r="O1238" s="3">
        <v>0.53973895832634344</v>
      </c>
      <c r="P1238" s="11">
        <f t="shared" si="196"/>
        <v>9.7970160734858567</v>
      </c>
      <c r="Q1238" s="12">
        <f t="shared" si="197"/>
        <v>54.1738844287337</v>
      </c>
      <c r="R1238" s="13">
        <f t="shared" si="198"/>
        <v>42.006413866655983</v>
      </c>
      <c r="S1238" s="3" t="s">
        <v>31</v>
      </c>
      <c r="T1238" s="3" t="s">
        <v>28</v>
      </c>
      <c r="U1238" s="10">
        <v>0</v>
      </c>
      <c r="V1238" s="3">
        <v>0</v>
      </c>
      <c r="W1238" s="3">
        <f t="shared" si="199"/>
        <v>0</v>
      </c>
      <c r="AA1238" s="3">
        <v>38</v>
      </c>
    </row>
    <row r="1239" spans="1:27" x14ac:dyDescent="0.3">
      <c r="A1239" s="3" t="str">
        <f t="shared" si="190"/>
        <v>South9310029901310</v>
      </c>
      <c r="B1239" s="3" t="str">
        <f t="shared" si="191"/>
        <v>CMR9310029901310</v>
      </c>
      <c r="C1239" s="10">
        <v>9310029901310</v>
      </c>
      <c r="D1239" s="10" t="str">
        <f t="shared" si="192"/>
        <v>9310029901</v>
      </c>
      <c r="E1239" s="3" t="s">
        <v>5</v>
      </c>
      <c r="F1239" s="3" t="s">
        <v>65</v>
      </c>
      <c r="H1239" s="3">
        <v>1.91</v>
      </c>
      <c r="I1239" s="10">
        <f t="shared" si="193"/>
        <v>156.31507191021882</v>
      </c>
      <c r="J1239" s="3">
        <v>0.36656733928325769</v>
      </c>
      <c r="K1239" s="3">
        <v>0</v>
      </c>
      <c r="L1239" s="3">
        <f t="shared" si="194"/>
        <v>0</v>
      </c>
      <c r="N1239" s="11">
        <f t="shared" si="195"/>
        <v>1.5434326607167423</v>
      </c>
      <c r="O1239" s="3">
        <v>0.36656733928325769</v>
      </c>
      <c r="P1239" s="11">
        <f t="shared" si="196"/>
        <v>126.3150719102188</v>
      </c>
      <c r="Q1239" s="12">
        <f t="shared" si="197"/>
        <v>531.09982569668034</v>
      </c>
      <c r="R1239" s="13">
        <f t="shared" si="198"/>
        <v>236.16131981271428</v>
      </c>
      <c r="S1239" s="3" t="s">
        <v>31</v>
      </c>
      <c r="T1239" s="3" t="s">
        <v>32</v>
      </c>
      <c r="U1239" s="10">
        <v>9310029900999</v>
      </c>
      <c r="V1239" s="3">
        <v>0.1</v>
      </c>
      <c r="W1239" s="3">
        <f t="shared" si="199"/>
        <v>0</v>
      </c>
      <c r="AA1239" s="3">
        <v>38</v>
      </c>
    </row>
    <row r="1240" spans="1:27" x14ac:dyDescent="0.3">
      <c r="A1240" s="3" t="str">
        <f t="shared" si="190"/>
        <v>South9310029901840</v>
      </c>
      <c r="B1240" s="3" t="str">
        <f t="shared" si="191"/>
        <v>CMR9310029901840</v>
      </c>
      <c r="C1240" s="10">
        <v>9310029901840</v>
      </c>
      <c r="D1240" s="10" t="str">
        <f t="shared" si="192"/>
        <v>9310029901</v>
      </c>
      <c r="E1240" s="3" t="s">
        <v>5</v>
      </c>
      <c r="F1240" s="3" t="s">
        <v>65</v>
      </c>
      <c r="H1240" s="3">
        <v>0.72000000000000008</v>
      </c>
      <c r="I1240" s="10">
        <f t="shared" si="193"/>
        <v>434.88360080858183</v>
      </c>
      <c r="J1240" s="3">
        <v>4.966846291706329E-2</v>
      </c>
      <c r="K1240" s="3">
        <v>0</v>
      </c>
      <c r="L1240" s="3">
        <f t="shared" si="194"/>
        <v>0</v>
      </c>
      <c r="N1240" s="11">
        <f t="shared" si="195"/>
        <v>0.6703315370829368</v>
      </c>
      <c r="O1240" s="3">
        <v>4.966846291706329E-2</v>
      </c>
      <c r="P1240" s="11">
        <f t="shared" si="196"/>
        <v>404.88360080858189</v>
      </c>
      <c r="Q1240" s="12">
        <f t="shared" si="197"/>
        <v>531.268959629145</v>
      </c>
      <c r="R1240" s="13">
        <f t="shared" si="198"/>
        <v>419.68149637672144</v>
      </c>
      <c r="S1240" s="3" t="s">
        <v>31</v>
      </c>
      <c r="T1240" s="3" t="s">
        <v>32</v>
      </c>
      <c r="U1240" s="10">
        <v>0</v>
      </c>
      <c r="V1240" s="3">
        <v>0</v>
      </c>
      <c r="W1240" s="3">
        <f t="shared" si="199"/>
        <v>0</v>
      </c>
      <c r="AA1240" s="3">
        <v>38</v>
      </c>
    </row>
    <row r="1241" spans="1:27" x14ac:dyDescent="0.3">
      <c r="A1241" s="3" t="str">
        <f t="shared" si="190"/>
        <v>South9310029901210</v>
      </c>
      <c r="B1241" s="3" t="str">
        <f t="shared" si="191"/>
        <v>CMR9310029901210</v>
      </c>
      <c r="C1241" s="10">
        <v>9310029901210</v>
      </c>
      <c r="D1241" s="10" t="str">
        <f t="shared" si="192"/>
        <v>9310029901</v>
      </c>
      <c r="E1241" s="3" t="s">
        <v>5</v>
      </c>
      <c r="F1241" s="3" t="s">
        <v>65</v>
      </c>
      <c r="H1241" s="3">
        <v>0.54800000000000004</v>
      </c>
      <c r="I1241" s="10">
        <f t="shared" si="193"/>
        <v>1674.4528185596032</v>
      </c>
      <c r="J1241" s="3">
        <v>9.8181327164189713E-3</v>
      </c>
      <c r="K1241" s="3">
        <v>0</v>
      </c>
      <c r="L1241" s="3">
        <f t="shared" si="194"/>
        <v>0</v>
      </c>
      <c r="N1241" s="11">
        <f t="shared" si="195"/>
        <v>0.53818186728358108</v>
      </c>
      <c r="O1241" s="3">
        <v>9.8181327164189713E-3</v>
      </c>
      <c r="P1241" s="11">
        <f t="shared" si="196"/>
        <v>1644.4528185596034</v>
      </c>
      <c r="Q1241" s="12">
        <f t="shared" si="197"/>
        <v>1433.7932228107884</v>
      </c>
      <c r="R1241" s="13">
        <f t="shared" si="198"/>
        <v>839.82980335981051</v>
      </c>
      <c r="S1241" s="3" t="s">
        <v>31</v>
      </c>
      <c r="T1241" s="3" t="s">
        <v>32</v>
      </c>
      <c r="U1241" s="10">
        <v>0</v>
      </c>
      <c r="V1241" s="3">
        <v>0</v>
      </c>
      <c r="W1241" s="3">
        <f t="shared" si="199"/>
        <v>0</v>
      </c>
      <c r="AA1241" s="3">
        <v>38</v>
      </c>
    </row>
    <row r="1242" spans="1:27" x14ac:dyDescent="0.3">
      <c r="A1242" s="3" t="str">
        <f t="shared" si="190"/>
        <v>South9320099901840</v>
      </c>
      <c r="B1242" s="3" t="str">
        <f t="shared" si="191"/>
        <v>CMR9320099901840</v>
      </c>
      <c r="C1242" s="10">
        <v>9320099901840</v>
      </c>
      <c r="D1242" s="10" t="str">
        <f t="shared" si="192"/>
        <v>9320099901</v>
      </c>
      <c r="E1242" s="3" t="s">
        <v>5</v>
      </c>
      <c r="F1242" s="3" t="s">
        <v>65</v>
      </c>
      <c r="H1242" s="3">
        <v>0</v>
      </c>
      <c r="I1242" s="10">
        <f t="shared" si="193"/>
        <v>0</v>
      </c>
      <c r="J1242" s="3">
        <v>0</v>
      </c>
      <c r="K1242" s="3">
        <v>0</v>
      </c>
      <c r="L1242" s="3">
        <f t="shared" si="194"/>
        <v>0</v>
      </c>
      <c r="N1242" s="11">
        <f t="shared" si="195"/>
        <v>0</v>
      </c>
      <c r="O1242" s="3">
        <v>0</v>
      </c>
      <c r="P1242" s="11">
        <f t="shared" si="196"/>
        <v>9999</v>
      </c>
      <c r="Q1242" s="12">
        <f t="shared" si="197"/>
        <v>9999</v>
      </c>
      <c r="R1242" s="13">
        <f t="shared" si="198"/>
        <v>-29.999999999999996</v>
      </c>
      <c r="S1242" s="3" t="s">
        <v>31</v>
      </c>
      <c r="T1242" s="3" t="s">
        <v>28</v>
      </c>
      <c r="U1242" s="10">
        <v>0</v>
      </c>
      <c r="V1242" s="3">
        <v>0</v>
      </c>
      <c r="W1242" s="3">
        <f t="shared" si="199"/>
        <v>0</v>
      </c>
      <c r="AA1242" s="3">
        <v>38</v>
      </c>
    </row>
    <row r="1243" spans="1:27" x14ac:dyDescent="0.3">
      <c r="A1243" s="3" t="str">
        <f t="shared" si="190"/>
        <v>South9100509901210</v>
      </c>
      <c r="B1243" s="3" t="str">
        <f t="shared" si="191"/>
        <v>CMR9100509901210</v>
      </c>
      <c r="C1243" s="10">
        <v>9100509901210</v>
      </c>
      <c r="D1243" s="10" t="str">
        <f t="shared" si="192"/>
        <v>9100509901</v>
      </c>
      <c r="E1243" s="3" t="s">
        <v>5</v>
      </c>
      <c r="F1243" s="3" t="s">
        <v>65</v>
      </c>
      <c r="H1243" s="3">
        <v>0</v>
      </c>
      <c r="I1243" s="10">
        <f t="shared" si="193"/>
        <v>0</v>
      </c>
      <c r="J1243" s="3">
        <v>0</v>
      </c>
      <c r="K1243" s="3">
        <v>0</v>
      </c>
      <c r="L1243" s="3">
        <f t="shared" si="194"/>
        <v>0</v>
      </c>
      <c r="N1243" s="11">
        <f t="shared" si="195"/>
        <v>0</v>
      </c>
      <c r="O1243" s="3">
        <v>0</v>
      </c>
      <c r="P1243" s="11">
        <f t="shared" si="196"/>
        <v>9999</v>
      </c>
      <c r="Q1243" s="12">
        <f t="shared" si="197"/>
        <v>9999</v>
      </c>
      <c r="R1243" s="13">
        <f t="shared" si="198"/>
        <v>9999</v>
      </c>
      <c r="S1243" s="3" t="s">
        <v>31</v>
      </c>
      <c r="T1243" s="3" t="s">
        <v>34</v>
      </c>
      <c r="U1243" s="10" t="s">
        <v>72</v>
      </c>
      <c r="V1243" s="3" t="s">
        <v>72</v>
      </c>
      <c r="W1243" s="3">
        <f t="shared" si="199"/>
        <v>0</v>
      </c>
      <c r="AA1243" s="3">
        <v>38</v>
      </c>
    </row>
    <row r="1244" spans="1:27" x14ac:dyDescent="0.3">
      <c r="A1244" s="3" t="str">
        <f t="shared" si="190"/>
        <v>South9161109900210</v>
      </c>
      <c r="B1244" s="3" t="str">
        <f t="shared" si="191"/>
        <v>CMR9161109900210</v>
      </c>
      <c r="C1244" s="10">
        <v>9161109900210</v>
      </c>
      <c r="D1244" s="10" t="str">
        <f t="shared" si="192"/>
        <v>9161109900</v>
      </c>
      <c r="E1244" s="3" t="s">
        <v>5</v>
      </c>
      <c r="F1244" s="3" t="s">
        <v>65</v>
      </c>
      <c r="H1244" s="3">
        <v>1.3699999999999997</v>
      </c>
      <c r="I1244" s="10">
        <f t="shared" si="193"/>
        <v>0</v>
      </c>
      <c r="J1244" s="3">
        <v>0</v>
      </c>
      <c r="K1244" s="3">
        <v>0</v>
      </c>
      <c r="L1244" s="3">
        <f t="shared" si="194"/>
        <v>0</v>
      </c>
      <c r="N1244" s="11">
        <f t="shared" si="195"/>
        <v>1.3699999999999997</v>
      </c>
      <c r="O1244" s="3">
        <v>0</v>
      </c>
      <c r="P1244" s="11">
        <f t="shared" si="196"/>
        <v>9999</v>
      </c>
      <c r="Q1244" s="12">
        <f t="shared" si="197"/>
        <v>9999</v>
      </c>
      <c r="R1244" s="13">
        <f t="shared" si="198"/>
        <v>9999</v>
      </c>
      <c r="S1244" s="3" t="s">
        <v>31</v>
      </c>
      <c r="T1244" s="3" t="s">
        <v>34</v>
      </c>
      <c r="U1244" s="10" t="s">
        <v>72</v>
      </c>
      <c r="V1244" s="3" t="s">
        <v>72</v>
      </c>
      <c r="W1244" s="3">
        <f t="shared" si="199"/>
        <v>0</v>
      </c>
      <c r="AA1244" s="3">
        <v>38</v>
      </c>
    </row>
    <row r="1245" spans="1:27" x14ac:dyDescent="0.3">
      <c r="A1245" s="3" t="str">
        <f t="shared" si="190"/>
        <v>East9420029901320</v>
      </c>
      <c r="B1245" s="3" t="str">
        <f t="shared" si="191"/>
        <v>KGP9420029901320</v>
      </c>
      <c r="C1245" s="10">
        <v>9420029901320</v>
      </c>
      <c r="D1245" s="10" t="str">
        <f t="shared" si="192"/>
        <v>9420029901</v>
      </c>
      <c r="E1245" s="3" t="s">
        <v>6</v>
      </c>
      <c r="F1245" s="3" t="s">
        <v>66</v>
      </c>
      <c r="H1245" s="3">
        <v>31.323999999999998</v>
      </c>
      <c r="I1245" s="10">
        <f t="shared" si="193"/>
        <v>42.253512474829904</v>
      </c>
      <c r="J1245" s="3">
        <v>22.240044553923987</v>
      </c>
      <c r="K1245" s="3">
        <v>12</v>
      </c>
      <c r="L1245" s="3">
        <f t="shared" si="194"/>
        <v>0</v>
      </c>
      <c r="N1245" s="11">
        <f t="shared" si="195"/>
        <v>9.0839554460760112</v>
      </c>
      <c r="O1245" s="3">
        <v>22.240044553923987</v>
      </c>
      <c r="P1245" s="11">
        <f t="shared" si="196"/>
        <v>12.2535124748299</v>
      </c>
      <c r="Q1245" s="12">
        <f t="shared" si="197"/>
        <v>12.2535124748299</v>
      </c>
      <c r="R1245" s="13">
        <f t="shared" si="198"/>
        <v>11.093100461562916</v>
      </c>
      <c r="S1245" s="3" t="s">
        <v>29</v>
      </c>
      <c r="T1245" s="3" t="s">
        <v>28</v>
      </c>
      <c r="U1245" s="10">
        <v>9420029900999</v>
      </c>
      <c r="V1245" s="3">
        <v>0.1</v>
      </c>
      <c r="W1245" s="3">
        <f t="shared" si="199"/>
        <v>1.2000000000000002</v>
      </c>
      <c r="AA1245" s="3">
        <v>38</v>
      </c>
    </row>
    <row r="1246" spans="1:27" x14ac:dyDescent="0.3">
      <c r="A1246" s="3" t="str">
        <f t="shared" si="190"/>
        <v>East9420029901310</v>
      </c>
      <c r="B1246" s="3" t="str">
        <f t="shared" si="191"/>
        <v>KGP9420029901310</v>
      </c>
      <c r="C1246" s="10">
        <v>9420029901310</v>
      </c>
      <c r="D1246" s="10" t="str">
        <f t="shared" si="192"/>
        <v>9420029901</v>
      </c>
      <c r="E1246" s="3" t="s">
        <v>6</v>
      </c>
      <c r="F1246" s="3" t="s">
        <v>66</v>
      </c>
      <c r="H1246" s="3">
        <v>24.169999999999998</v>
      </c>
      <c r="I1246" s="10">
        <f t="shared" si="193"/>
        <v>65.554544281671284</v>
      </c>
      <c r="J1246" s="3">
        <v>11.061018087234789</v>
      </c>
      <c r="K1246" s="3">
        <v>0</v>
      </c>
      <c r="L1246" s="3">
        <f t="shared" si="194"/>
        <v>0</v>
      </c>
      <c r="N1246" s="11">
        <f t="shared" si="195"/>
        <v>13.108981912765209</v>
      </c>
      <c r="O1246" s="3">
        <v>11.061018087234789</v>
      </c>
      <c r="P1246" s="11">
        <f t="shared" si="196"/>
        <v>35.554544281671284</v>
      </c>
      <c r="Q1246" s="12">
        <f t="shared" si="197"/>
        <v>35.554544281671276</v>
      </c>
      <c r="R1246" s="13">
        <f t="shared" si="198"/>
        <v>13.253004494118244</v>
      </c>
      <c r="S1246" s="3" t="s">
        <v>29</v>
      </c>
      <c r="T1246" s="3" t="s">
        <v>28</v>
      </c>
      <c r="U1246" s="10">
        <v>9420029900999</v>
      </c>
      <c r="V1246" s="3">
        <v>0.1</v>
      </c>
      <c r="W1246" s="3">
        <f t="shared" si="199"/>
        <v>0</v>
      </c>
      <c r="AA1246" s="3">
        <v>38</v>
      </c>
    </row>
    <row r="1247" spans="1:27" x14ac:dyDescent="0.3">
      <c r="A1247" s="3" t="str">
        <f t="shared" si="190"/>
        <v>East9420029901840</v>
      </c>
      <c r="B1247" s="3" t="str">
        <f t="shared" si="191"/>
        <v>KGP9420029901840</v>
      </c>
      <c r="C1247" s="10">
        <v>9420029901840</v>
      </c>
      <c r="D1247" s="10" t="str">
        <f t="shared" si="192"/>
        <v>9420029901</v>
      </c>
      <c r="E1247" s="3" t="s">
        <v>6</v>
      </c>
      <c r="F1247" s="3" t="s">
        <v>66</v>
      </c>
      <c r="H1247" s="3">
        <v>22.818000000000005</v>
      </c>
      <c r="I1247" s="10">
        <f t="shared" si="193"/>
        <v>79.959693274855994</v>
      </c>
      <c r="J1247" s="3">
        <v>8.5610633553450555</v>
      </c>
      <c r="K1247" s="3">
        <v>0</v>
      </c>
      <c r="L1247" s="3">
        <f t="shared" si="194"/>
        <v>0</v>
      </c>
      <c r="N1247" s="11">
        <f t="shared" si="195"/>
        <v>14.256936644654949</v>
      </c>
      <c r="O1247" s="3">
        <v>8.5610633553450555</v>
      </c>
      <c r="P1247" s="11">
        <f t="shared" si="196"/>
        <v>49.959693274855994</v>
      </c>
      <c r="Q1247" s="12">
        <f t="shared" si="197"/>
        <v>49.959693274855994</v>
      </c>
      <c r="R1247" s="13">
        <f t="shared" si="198"/>
        <v>17.827850782230005</v>
      </c>
      <c r="S1247" s="3" t="s">
        <v>30</v>
      </c>
      <c r="T1247" s="3" t="s">
        <v>28</v>
      </c>
      <c r="U1247" s="10">
        <v>0</v>
      </c>
      <c r="V1247" s="3">
        <v>0</v>
      </c>
      <c r="W1247" s="3">
        <f t="shared" si="199"/>
        <v>0</v>
      </c>
      <c r="AA1247" s="3">
        <v>38</v>
      </c>
    </row>
    <row r="1248" spans="1:27" x14ac:dyDescent="0.3">
      <c r="A1248" s="3" t="str">
        <f t="shared" si="190"/>
        <v>East9420029901210</v>
      </c>
      <c r="B1248" s="3" t="str">
        <f t="shared" si="191"/>
        <v>KGP9420029901210</v>
      </c>
      <c r="C1248" s="10">
        <v>9420029901210</v>
      </c>
      <c r="D1248" s="10" t="str">
        <f t="shared" si="192"/>
        <v>9420029901</v>
      </c>
      <c r="E1248" s="3" t="s">
        <v>6</v>
      </c>
      <c r="F1248" s="3" t="s">
        <v>66</v>
      </c>
      <c r="H1248" s="3">
        <v>2.4539999999999997</v>
      </c>
      <c r="I1248" s="10">
        <f t="shared" si="193"/>
        <v>18.091871096848742</v>
      </c>
      <c r="J1248" s="3">
        <v>4.0692308499159706</v>
      </c>
      <c r="K1248" s="3">
        <v>9.5</v>
      </c>
      <c r="L1248" s="3">
        <f t="shared" si="194"/>
        <v>0</v>
      </c>
      <c r="N1248" s="11">
        <f t="shared" si="195"/>
        <v>-1.6152308499159709</v>
      </c>
      <c r="O1248" s="3">
        <v>4.0692308499159706</v>
      </c>
      <c r="P1248" s="11">
        <f t="shared" si="196"/>
        <v>-11.908128903151256</v>
      </c>
      <c r="Q1248" s="12">
        <f t="shared" si="197"/>
        <v>-11.908128903151258</v>
      </c>
      <c r="R1248" s="13">
        <f t="shared" si="198"/>
        <v>2.2986753983757411</v>
      </c>
      <c r="S1248" s="3" t="s">
        <v>30</v>
      </c>
      <c r="T1248" s="3" t="s">
        <v>28</v>
      </c>
      <c r="U1248" s="10">
        <v>0</v>
      </c>
      <c r="V1248" s="3">
        <v>0</v>
      </c>
      <c r="W1248" s="3">
        <f t="shared" si="199"/>
        <v>0</v>
      </c>
      <c r="AA1248" s="3">
        <v>38</v>
      </c>
    </row>
    <row r="1249" spans="1:27" x14ac:dyDescent="0.3">
      <c r="A1249" s="3" t="str">
        <f t="shared" si="190"/>
        <v>East9420029900320</v>
      </c>
      <c r="B1249" s="3" t="str">
        <f t="shared" si="191"/>
        <v>KGP9420029900320</v>
      </c>
      <c r="C1249" s="10">
        <v>9420029900320</v>
      </c>
      <c r="D1249" s="10" t="str">
        <f t="shared" si="192"/>
        <v>9420029900</v>
      </c>
      <c r="E1249" s="3" t="s">
        <v>6</v>
      </c>
      <c r="F1249" s="3" t="s">
        <v>66</v>
      </c>
      <c r="H1249" s="3">
        <v>11.385999999999999</v>
      </c>
      <c r="I1249" s="10">
        <f t="shared" si="193"/>
        <v>99.545023021049872</v>
      </c>
      <c r="J1249" s="3">
        <v>3.431412135268372</v>
      </c>
      <c r="K1249" s="3">
        <v>0</v>
      </c>
      <c r="L1249" s="3">
        <f t="shared" si="194"/>
        <v>0</v>
      </c>
      <c r="N1249" s="11">
        <f t="shared" si="195"/>
        <v>7.9545878647316268</v>
      </c>
      <c r="O1249" s="3">
        <v>3.431412135268372</v>
      </c>
      <c r="P1249" s="11">
        <f t="shared" si="196"/>
        <v>69.545023021049857</v>
      </c>
      <c r="Q1249" s="12">
        <f t="shared" si="197"/>
        <v>69.545023021049872</v>
      </c>
      <c r="R1249" s="13">
        <f t="shared" si="198"/>
        <v>11.93731564960561</v>
      </c>
      <c r="S1249" s="3" t="s">
        <v>29</v>
      </c>
      <c r="T1249" s="3" t="s">
        <v>28</v>
      </c>
      <c r="U1249" s="10">
        <v>9420029900999</v>
      </c>
      <c r="V1249" s="3">
        <v>0.1</v>
      </c>
      <c r="W1249" s="3">
        <f t="shared" si="199"/>
        <v>0</v>
      </c>
      <c r="AA1249" s="3">
        <v>38</v>
      </c>
    </row>
    <row r="1250" spans="1:27" x14ac:dyDescent="0.3">
      <c r="A1250" s="3" t="str">
        <f t="shared" si="190"/>
        <v>East9420029900310</v>
      </c>
      <c r="B1250" s="3" t="str">
        <f t="shared" si="191"/>
        <v>KGP9420029900310</v>
      </c>
      <c r="C1250" s="10">
        <v>9420029900310</v>
      </c>
      <c r="D1250" s="10" t="str">
        <f t="shared" si="192"/>
        <v>9420029900</v>
      </c>
      <c r="E1250" s="3" t="s">
        <v>6</v>
      </c>
      <c r="F1250" s="3" t="s">
        <v>66</v>
      </c>
      <c r="H1250" s="3">
        <v>3.2300000000000004</v>
      </c>
      <c r="I1250" s="10">
        <f t="shared" si="193"/>
        <v>53.037494990249002</v>
      </c>
      <c r="J1250" s="3">
        <v>1.8270093641831155</v>
      </c>
      <c r="K1250" s="3">
        <v>0</v>
      </c>
      <c r="L1250" s="3">
        <f t="shared" si="194"/>
        <v>0</v>
      </c>
      <c r="N1250" s="11">
        <f t="shared" si="195"/>
        <v>1.4029906358168849</v>
      </c>
      <c r="O1250" s="3">
        <v>1.8270093641831155</v>
      </c>
      <c r="P1250" s="11">
        <f t="shared" si="196"/>
        <v>23.037494990249005</v>
      </c>
      <c r="Q1250" s="12">
        <f t="shared" si="197"/>
        <v>23.037494990249005</v>
      </c>
      <c r="R1250" s="13">
        <f t="shared" si="198"/>
        <v>-2.0199706511833333</v>
      </c>
      <c r="S1250" s="3" t="s">
        <v>30</v>
      </c>
      <c r="T1250" s="3" t="s">
        <v>28</v>
      </c>
      <c r="U1250" s="10">
        <v>9420029900999</v>
      </c>
      <c r="V1250" s="3">
        <v>0.1</v>
      </c>
      <c r="W1250" s="3">
        <f t="shared" si="199"/>
        <v>0</v>
      </c>
      <c r="AA1250" s="3">
        <v>38</v>
      </c>
    </row>
    <row r="1251" spans="1:27" x14ac:dyDescent="0.3">
      <c r="A1251" s="3" t="str">
        <f t="shared" si="190"/>
        <v>East9160309902219</v>
      </c>
      <c r="B1251" s="3" t="str">
        <f t="shared" si="191"/>
        <v>KGP9160309902219</v>
      </c>
      <c r="C1251" s="10">
        <v>9160309902219</v>
      </c>
      <c r="D1251" s="10" t="str">
        <f t="shared" si="192"/>
        <v>9160309902</v>
      </c>
      <c r="E1251" s="3" t="s">
        <v>6</v>
      </c>
      <c r="F1251" s="3" t="s">
        <v>66</v>
      </c>
      <c r="H1251" s="3">
        <v>12.206999999999999</v>
      </c>
      <c r="I1251" s="10">
        <f t="shared" si="193"/>
        <v>212.4096776407271</v>
      </c>
      <c r="J1251" s="3">
        <v>1.7240739879065823</v>
      </c>
      <c r="K1251" s="3">
        <v>0</v>
      </c>
      <c r="L1251" s="3">
        <f t="shared" si="194"/>
        <v>0</v>
      </c>
      <c r="N1251" s="11">
        <f t="shared" si="195"/>
        <v>10.482926012093417</v>
      </c>
      <c r="O1251" s="3">
        <v>1.7240739879065823</v>
      </c>
      <c r="P1251" s="11">
        <f t="shared" si="196"/>
        <v>182.40967764072712</v>
      </c>
      <c r="Q1251" s="12">
        <f t="shared" si="197"/>
        <v>182.4096776407271</v>
      </c>
      <c r="R1251" s="13">
        <f t="shared" si="198"/>
        <v>96.414129400234444</v>
      </c>
      <c r="S1251" s="3" t="s">
        <v>31</v>
      </c>
      <c r="T1251" s="3" t="s">
        <v>34</v>
      </c>
      <c r="U1251" s="10">
        <v>0</v>
      </c>
      <c r="V1251" s="3">
        <v>0</v>
      </c>
      <c r="W1251" s="3">
        <f t="shared" si="199"/>
        <v>0</v>
      </c>
      <c r="AA1251" s="3">
        <v>38</v>
      </c>
    </row>
    <row r="1252" spans="1:27" x14ac:dyDescent="0.3">
      <c r="A1252" s="3" t="str">
        <f t="shared" si="190"/>
        <v>East9410019902195</v>
      </c>
      <c r="B1252" s="3" t="str">
        <f t="shared" si="191"/>
        <v>KGP9410019902195</v>
      </c>
      <c r="C1252" s="10">
        <v>9410019902195</v>
      </c>
      <c r="D1252" s="10" t="str">
        <f t="shared" si="192"/>
        <v>9410019902</v>
      </c>
      <c r="E1252" s="3" t="s">
        <v>6</v>
      </c>
      <c r="F1252" s="3" t="s">
        <v>66</v>
      </c>
      <c r="H1252" s="3">
        <v>5.0995999999999997</v>
      </c>
      <c r="I1252" s="10">
        <f t="shared" si="193"/>
        <v>110.91661643958865</v>
      </c>
      <c r="J1252" s="3">
        <v>1.3793064097237924</v>
      </c>
      <c r="K1252" s="3">
        <v>0</v>
      </c>
      <c r="L1252" s="3">
        <f t="shared" si="194"/>
        <v>0</v>
      </c>
      <c r="N1252" s="11">
        <f t="shared" si="195"/>
        <v>3.7202935902762073</v>
      </c>
      <c r="O1252" s="3">
        <v>1.3793064097237924</v>
      </c>
      <c r="P1252" s="11">
        <f t="shared" si="196"/>
        <v>80.916616439588651</v>
      </c>
      <c r="Q1252" s="12">
        <f t="shared" si="197"/>
        <v>80.916616439588651</v>
      </c>
      <c r="R1252" s="13">
        <f t="shared" si="198"/>
        <v>42.341008548262515</v>
      </c>
      <c r="S1252" s="3" t="s">
        <v>31</v>
      </c>
      <c r="T1252" s="3" t="s">
        <v>32</v>
      </c>
      <c r="U1252" s="10">
        <v>0</v>
      </c>
      <c r="V1252" s="3">
        <v>0</v>
      </c>
      <c r="W1252" s="3">
        <f t="shared" si="199"/>
        <v>0</v>
      </c>
      <c r="AA1252" s="3">
        <v>38</v>
      </c>
    </row>
    <row r="1253" spans="1:27" x14ac:dyDescent="0.3">
      <c r="A1253" s="3" t="str">
        <f t="shared" si="190"/>
        <v>East9410019902838</v>
      </c>
      <c r="B1253" s="3" t="str">
        <f t="shared" si="191"/>
        <v>KGP9410019902838</v>
      </c>
      <c r="C1253" s="10">
        <v>9410019902838</v>
      </c>
      <c r="D1253" s="10" t="str">
        <f t="shared" si="192"/>
        <v>9410019902</v>
      </c>
      <c r="E1253" s="3" t="s">
        <v>6</v>
      </c>
      <c r="F1253" s="3" t="s">
        <v>66</v>
      </c>
      <c r="H1253" s="3">
        <v>2.5308000000000006</v>
      </c>
      <c r="I1253" s="10">
        <f t="shared" si="193"/>
        <v>57.85573218400291</v>
      </c>
      <c r="J1253" s="3">
        <v>1.3122986631390861</v>
      </c>
      <c r="K1253" s="3">
        <v>0</v>
      </c>
      <c r="L1253" s="3">
        <f t="shared" si="194"/>
        <v>0</v>
      </c>
      <c r="N1253" s="11">
        <f t="shared" si="195"/>
        <v>1.2185013368609146</v>
      </c>
      <c r="O1253" s="3">
        <v>1.3122986631390861</v>
      </c>
      <c r="P1253" s="11">
        <f t="shared" si="196"/>
        <v>27.855732184002914</v>
      </c>
      <c r="Q1253" s="12">
        <f t="shared" si="197"/>
        <v>27.855732184002914</v>
      </c>
      <c r="R1253" s="13">
        <f t="shared" si="198"/>
        <v>24.377359140430364</v>
      </c>
      <c r="S1253" s="3" t="s">
        <v>31</v>
      </c>
      <c r="T1253" s="3" t="s">
        <v>32</v>
      </c>
      <c r="U1253" s="10">
        <v>0</v>
      </c>
      <c r="V1253" s="3">
        <v>0</v>
      </c>
      <c r="W1253" s="3">
        <f t="shared" si="199"/>
        <v>0</v>
      </c>
      <c r="AA1253" s="3">
        <v>38</v>
      </c>
    </row>
    <row r="1254" spans="1:27" x14ac:dyDescent="0.3">
      <c r="A1254" s="3" t="str">
        <f t="shared" si="190"/>
        <v>East9310039900320</v>
      </c>
      <c r="B1254" s="3" t="str">
        <f t="shared" si="191"/>
        <v>KGP9310039900320</v>
      </c>
      <c r="C1254" s="10">
        <v>9310039900320</v>
      </c>
      <c r="D1254" s="10" t="str">
        <f t="shared" si="192"/>
        <v>9310039900</v>
      </c>
      <c r="E1254" s="3" t="s">
        <v>6</v>
      </c>
      <c r="F1254" s="3" t="s">
        <v>66</v>
      </c>
      <c r="H1254" s="3">
        <v>13.919999999999998</v>
      </c>
      <c r="I1254" s="10">
        <f t="shared" si="193"/>
        <v>338.39231664624469</v>
      </c>
      <c r="J1254" s="3">
        <v>1.234070572697308</v>
      </c>
      <c r="K1254" s="3">
        <v>0</v>
      </c>
      <c r="L1254" s="3">
        <f t="shared" si="194"/>
        <v>0</v>
      </c>
      <c r="N1254" s="11">
        <f t="shared" si="195"/>
        <v>12.685929427302691</v>
      </c>
      <c r="O1254" s="3">
        <v>1.234070572697308</v>
      </c>
      <c r="P1254" s="11">
        <f t="shared" si="196"/>
        <v>308.39231664624469</v>
      </c>
      <c r="Q1254" s="12">
        <f t="shared" si="197"/>
        <v>308.39231664624469</v>
      </c>
      <c r="R1254" s="13">
        <f t="shared" si="198"/>
        <v>114.55890058849035</v>
      </c>
      <c r="S1254" s="3" t="s">
        <v>30</v>
      </c>
      <c r="T1254" s="3" t="s">
        <v>32</v>
      </c>
      <c r="U1254" s="10">
        <v>9310039900999</v>
      </c>
      <c r="V1254" s="3">
        <v>0.1</v>
      </c>
      <c r="W1254" s="3">
        <f t="shared" si="199"/>
        <v>0</v>
      </c>
      <c r="AA1254" s="3">
        <v>38</v>
      </c>
    </row>
    <row r="1255" spans="1:27" x14ac:dyDescent="0.3">
      <c r="A1255" s="3" t="str">
        <f t="shared" si="190"/>
        <v>East9420029900840</v>
      </c>
      <c r="B1255" s="3" t="str">
        <f t="shared" si="191"/>
        <v>KGP9420029900840</v>
      </c>
      <c r="C1255" s="10">
        <v>9420029900840</v>
      </c>
      <c r="D1255" s="10" t="str">
        <f t="shared" si="192"/>
        <v>9420029900</v>
      </c>
      <c r="E1255" s="3" t="s">
        <v>6</v>
      </c>
      <c r="F1255" s="3" t="s">
        <v>66</v>
      </c>
      <c r="H1255" s="3">
        <v>1.3280000000000003</v>
      </c>
      <c r="I1255" s="10">
        <f t="shared" si="193"/>
        <v>39.548362591666049</v>
      </c>
      <c r="J1255" s="3">
        <v>1.0073741967864789</v>
      </c>
      <c r="K1255" s="3">
        <v>0</v>
      </c>
      <c r="L1255" s="3">
        <f t="shared" si="194"/>
        <v>0</v>
      </c>
      <c r="N1255" s="11">
        <f t="shared" si="195"/>
        <v>0.32062580321352141</v>
      </c>
      <c r="O1255" s="3">
        <v>1.0073741967864789</v>
      </c>
      <c r="P1255" s="11">
        <f t="shared" si="196"/>
        <v>9.5483625916660433</v>
      </c>
      <c r="Q1255" s="12">
        <f t="shared" si="197"/>
        <v>9.5483625916660433</v>
      </c>
      <c r="R1255" s="13">
        <f t="shared" si="198"/>
        <v>9.7377292402598545</v>
      </c>
      <c r="S1255" s="3" t="s">
        <v>31</v>
      </c>
      <c r="T1255" s="3" t="s">
        <v>28</v>
      </c>
      <c r="U1255" s="10">
        <v>0</v>
      </c>
      <c r="V1255" s="3">
        <v>0</v>
      </c>
      <c r="W1255" s="3">
        <f t="shared" si="199"/>
        <v>0</v>
      </c>
      <c r="AA1255" s="3">
        <v>38</v>
      </c>
    </row>
    <row r="1256" spans="1:27" x14ac:dyDescent="0.3">
      <c r="A1256" s="3" t="str">
        <f t="shared" si="190"/>
        <v>East9410019902319</v>
      </c>
      <c r="B1256" s="3" t="str">
        <f t="shared" si="191"/>
        <v>KGP9410019902319</v>
      </c>
      <c r="C1256" s="10">
        <v>9410019902319</v>
      </c>
      <c r="D1256" s="10" t="str">
        <f t="shared" si="192"/>
        <v>9410019902</v>
      </c>
      <c r="E1256" s="3" t="s">
        <v>6</v>
      </c>
      <c r="F1256" s="3" t="s">
        <v>66</v>
      </c>
      <c r="H1256" s="3">
        <v>12.236000000000001</v>
      </c>
      <c r="I1256" s="10">
        <f t="shared" si="193"/>
        <v>376.01378246142377</v>
      </c>
      <c r="J1256" s="3">
        <v>0.97624081116670158</v>
      </c>
      <c r="K1256" s="3">
        <v>0</v>
      </c>
      <c r="L1256" s="3">
        <f t="shared" si="194"/>
        <v>0</v>
      </c>
      <c r="N1256" s="11">
        <f t="shared" si="195"/>
        <v>11.2597591888333</v>
      </c>
      <c r="O1256" s="3">
        <v>0.97624081116670158</v>
      </c>
      <c r="P1256" s="11">
        <f t="shared" si="196"/>
        <v>346.01378246142383</v>
      </c>
      <c r="Q1256" s="12">
        <f t="shared" si="197"/>
        <v>346.01378246142383</v>
      </c>
      <c r="R1256" s="13">
        <f t="shared" si="198"/>
        <v>817.45792202059476</v>
      </c>
      <c r="S1256" s="3" t="s">
        <v>31</v>
      </c>
      <c r="T1256" s="3" t="s">
        <v>32</v>
      </c>
      <c r="U1256" s="10">
        <v>9410019900999</v>
      </c>
      <c r="V1256" s="3">
        <v>0.1</v>
      </c>
      <c r="W1256" s="3">
        <f t="shared" si="199"/>
        <v>0</v>
      </c>
      <c r="AA1256" s="3">
        <v>38</v>
      </c>
    </row>
    <row r="1257" spans="1:27" x14ac:dyDescent="0.3">
      <c r="A1257" s="3" t="str">
        <f t="shared" si="190"/>
        <v>East9410019902295</v>
      </c>
      <c r="B1257" s="3" t="str">
        <f t="shared" si="191"/>
        <v>KGP9410019902295</v>
      </c>
      <c r="C1257" s="10">
        <v>9410019902295</v>
      </c>
      <c r="D1257" s="10" t="str">
        <f t="shared" si="192"/>
        <v>9410019902</v>
      </c>
      <c r="E1257" s="3" t="s">
        <v>6</v>
      </c>
      <c r="F1257" s="3" t="s">
        <v>66</v>
      </c>
      <c r="H1257" s="3">
        <v>2.5175000000000005</v>
      </c>
      <c r="I1257" s="10">
        <f t="shared" si="193"/>
        <v>128.94403054068266</v>
      </c>
      <c r="J1257" s="3">
        <v>0.58571924332837888</v>
      </c>
      <c r="K1257" s="3">
        <v>0</v>
      </c>
      <c r="L1257" s="3">
        <f t="shared" si="194"/>
        <v>0</v>
      </c>
      <c r="N1257" s="11">
        <f t="shared" si="195"/>
        <v>1.9317807566716216</v>
      </c>
      <c r="O1257" s="3">
        <v>0.58571924332837888</v>
      </c>
      <c r="P1257" s="11">
        <f t="shared" si="196"/>
        <v>98.944030540682647</v>
      </c>
      <c r="Q1257" s="12">
        <f t="shared" si="197"/>
        <v>98.944030540682647</v>
      </c>
      <c r="R1257" s="13">
        <f t="shared" si="198"/>
        <v>173.07710804149639</v>
      </c>
      <c r="S1257" s="3" t="s">
        <v>31</v>
      </c>
      <c r="T1257" s="3" t="s">
        <v>32</v>
      </c>
      <c r="U1257" s="10">
        <v>9410019900999</v>
      </c>
      <c r="V1257" s="3">
        <v>0.1</v>
      </c>
      <c r="W1257" s="3">
        <f t="shared" si="199"/>
        <v>0</v>
      </c>
      <c r="AA1257" s="3">
        <v>38</v>
      </c>
    </row>
    <row r="1258" spans="1:27" x14ac:dyDescent="0.3">
      <c r="A1258" s="3" t="str">
        <f t="shared" si="190"/>
        <v>East9420029900210</v>
      </c>
      <c r="B1258" s="3" t="str">
        <f t="shared" si="191"/>
        <v>KGP9420029900210</v>
      </c>
      <c r="C1258" s="10">
        <v>9420029900210</v>
      </c>
      <c r="D1258" s="10" t="str">
        <f t="shared" si="192"/>
        <v>9420029900</v>
      </c>
      <c r="E1258" s="3" t="s">
        <v>6</v>
      </c>
      <c r="F1258" s="3" t="s">
        <v>66</v>
      </c>
      <c r="H1258" s="3">
        <v>1.5100000000000002</v>
      </c>
      <c r="I1258" s="10">
        <f t="shared" si="193"/>
        <v>85.324073662996824</v>
      </c>
      <c r="J1258" s="3">
        <v>0.53091698573746859</v>
      </c>
      <c r="K1258" s="3">
        <v>0</v>
      </c>
      <c r="L1258" s="3">
        <f t="shared" si="194"/>
        <v>0</v>
      </c>
      <c r="N1258" s="11">
        <f t="shared" si="195"/>
        <v>0.97908301426253164</v>
      </c>
      <c r="O1258" s="3">
        <v>0.53091698573746859</v>
      </c>
      <c r="P1258" s="11">
        <f t="shared" si="196"/>
        <v>55.324073662996831</v>
      </c>
      <c r="Q1258" s="12">
        <f t="shared" si="197"/>
        <v>55.324073662996831</v>
      </c>
      <c r="R1258" s="13">
        <f t="shared" si="198"/>
        <v>61.100952524328754</v>
      </c>
      <c r="S1258" s="3" t="s">
        <v>31</v>
      </c>
      <c r="T1258" s="3" t="s">
        <v>28</v>
      </c>
      <c r="U1258" s="10">
        <v>0</v>
      </c>
      <c r="V1258" s="3">
        <v>0</v>
      </c>
      <c r="W1258" s="3">
        <f t="shared" si="199"/>
        <v>0</v>
      </c>
      <c r="AA1258" s="3">
        <v>38</v>
      </c>
    </row>
    <row r="1259" spans="1:27" x14ac:dyDescent="0.3">
      <c r="A1259" s="3" t="str">
        <f t="shared" si="190"/>
        <v>East9310039900310</v>
      </c>
      <c r="B1259" s="3" t="str">
        <f t="shared" si="191"/>
        <v>KGP9310039900310</v>
      </c>
      <c r="C1259" s="10">
        <v>9310039900310</v>
      </c>
      <c r="D1259" s="10" t="str">
        <f t="shared" si="192"/>
        <v>9310039900</v>
      </c>
      <c r="E1259" s="3" t="s">
        <v>6</v>
      </c>
      <c r="F1259" s="3" t="s">
        <v>66</v>
      </c>
      <c r="H1259" s="3">
        <v>1.8100000000000005</v>
      </c>
      <c r="I1259" s="10">
        <f t="shared" si="193"/>
        <v>205.24114641591959</v>
      </c>
      <c r="J1259" s="3">
        <v>0.26456683247111418</v>
      </c>
      <c r="K1259" s="3">
        <v>0</v>
      </c>
      <c r="L1259" s="3">
        <f t="shared" si="194"/>
        <v>0</v>
      </c>
      <c r="N1259" s="11">
        <f t="shared" si="195"/>
        <v>1.5454331675288864</v>
      </c>
      <c r="O1259" s="3">
        <v>0.26456683247111418</v>
      </c>
      <c r="P1259" s="11">
        <f t="shared" si="196"/>
        <v>175.24114641591959</v>
      </c>
      <c r="Q1259" s="12">
        <f t="shared" si="197"/>
        <v>175.24114641591959</v>
      </c>
      <c r="R1259" s="13">
        <f t="shared" si="198"/>
        <v>107.62903162347897</v>
      </c>
      <c r="S1259" s="3" t="s">
        <v>31</v>
      </c>
      <c r="T1259" s="3" t="s">
        <v>32</v>
      </c>
      <c r="U1259" s="10">
        <v>9310039900999</v>
      </c>
      <c r="V1259" s="3">
        <v>0.1</v>
      </c>
      <c r="W1259" s="3">
        <f t="shared" si="199"/>
        <v>0</v>
      </c>
      <c r="AA1259" s="3">
        <v>38</v>
      </c>
    </row>
    <row r="1260" spans="1:27" x14ac:dyDescent="0.3">
      <c r="A1260" s="3" t="str">
        <f t="shared" si="190"/>
        <v>East9310039900840</v>
      </c>
      <c r="B1260" s="3" t="str">
        <f t="shared" si="191"/>
        <v>KGP9310039900840</v>
      </c>
      <c r="C1260" s="10">
        <v>9310039900840</v>
      </c>
      <c r="D1260" s="10" t="str">
        <f t="shared" si="192"/>
        <v>9310039900</v>
      </c>
      <c r="E1260" s="3" t="s">
        <v>6</v>
      </c>
      <c r="F1260" s="3" t="s">
        <v>66</v>
      </c>
      <c r="H1260" s="3">
        <v>0.54400000000000004</v>
      </c>
      <c r="I1260" s="10">
        <f t="shared" si="193"/>
        <v>316.50267481514936</v>
      </c>
      <c r="J1260" s="3">
        <v>5.1563545267134178E-2</v>
      </c>
      <c r="K1260" s="3">
        <v>0</v>
      </c>
      <c r="L1260" s="3">
        <f t="shared" si="194"/>
        <v>0</v>
      </c>
      <c r="N1260" s="11">
        <f t="shared" si="195"/>
        <v>0.49243645473286585</v>
      </c>
      <c r="O1260" s="3">
        <v>5.1563545267134178E-2</v>
      </c>
      <c r="P1260" s="11">
        <f t="shared" si="196"/>
        <v>286.50267481514936</v>
      </c>
      <c r="Q1260" s="12">
        <f t="shared" si="197"/>
        <v>286.50267481514931</v>
      </c>
      <c r="R1260" s="13">
        <f t="shared" si="198"/>
        <v>282.75963411080329</v>
      </c>
      <c r="S1260" s="3" t="s">
        <v>31</v>
      </c>
      <c r="T1260" s="3" t="s">
        <v>32</v>
      </c>
      <c r="U1260" s="10">
        <v>0</v>
      </c>
      <c r="V1260" s="3">
        <v>0</v>
      </c>
      <c r="W1260" s="3">
        <f t="shared" si="199"/>
        <v>0</v>
      </c>
      <c r="AA1260" s="3">
        <v>38</v>
      </c>
    </row>
    <row r="1261" spans="1:27" x14ac:dyDescent="0.3">
      <c r="A1261" s="3" t="str">
        <f t="shared" si="190"/>
        <v>East9310039900210</v>
      </c>
      <c r="B1261" s="3" t="str">
        <f t="shared" si="191"/>
        <v>KGP9310039900210</v>
      </c>
      <c r="C1261" s="10">
        <v>9310039900210</v>
      </c>
      <c r="D1261" s="10" t="str">
        <f t="shared" si="192"/>
        <v>9310039900</v>
      </c>
      <c r="E1261" s="3" t="s">
        <v>6</v>
      </c>
      <c r="F1261" s="3" t="s">
        <v>66</v>
      </c>
      <c r="H1261" s="3">
        <v>7.7159999999999993</v>
      </c>
      <c r="I1261" s="10">
        <f t="shared" si="193"/>
        <v>6406.0973994119959</v>
      </c>
      <c r="J1261" s="3">
        <v>3.6134324155178643E-2</v>
      </c>
      <c r="K1261" s="3">
        <v>0</v>
      </c>
      <c r="L1261" s="3">
        <f t="shared" si="194"/>
        <v>0</v>
      </c>
      <c r="N1261" s="11">
        <f t="shared" si="195"/>
        <v>7.6798656758448205</v>
      </c>
      <c r="O1261" s="3">
        <v>3.6134324155178643E-2</v>
      </c>
      <c r="P1261" s="11">
        <f t="shared" si="196"/>
        <v>6376.0973994119959</v>
      </c>
      <c r="Q1261" s="12">
        <f t="shared" si="197"/>
        <v>6376.0973994119959</v>
      </c>
      <c r="R1261" s="13">
        <f t="shared" si="198"/>
        <v>1630.2267212502918</v>
      </c>
      <c r="S1261" s="3" t="s">
        <v>31</v>
      </c>
      <c r="T1261" s="3" t="s">
        <v>32</v>
      </c>
      <c r="U1261" s="10">
        <v>0</v>
      </c>
      <c r="V1261" s="3">
        <v>0</v>
      </c>
      <c r="W1261" s="3">
        <f t="shared" si="199"/>
        <v>0</v>
      </c>
      <c r="AA1261" s="3">
        <v>38</v>
      </c>
    </row>
    <row r="1262" spans="1:27" x14ac:dyDescent="0.3">
      <c r="A1262" s="3" t="str">
        <f t="shared" si="190"/>
        <v>East9160309902097</v>
      </c>
      <c r="B1262" s="3" t="str">
        <f t="shared" si="191"/>
        <v>KGP9160309902097</v>
      </c>
      <c r="C1262" s="10">
        <v>9160309902097</v>
      </c>
      <c r="D1262" s="10" t="str">
        <f t="shared" si="192"/>
        <v>9160309902</v>
      </c>
      <c r="E1262" s="3" t="s">
        <v>6</v>
      </c>
      <c r="F1262" s="3" t="s">
        <v>66</v>
      </c>
      <c r="H1262" s="3">
        <v>0</v>
      </c>
      <c r="I1262" s="10">
        <f t="shared" si="193"/>
        <v>0</v>
      </c>
      <c r="J1262" s="3">
        <v>0</v>
      </c>
      <c r="K1262" s="3">
        <v>0</v>
      </c>
      <c r="L1262" s="3">
        <f t="shared" si="194"/>
        <v>0</v>
      </c>
      <c r="N1262" s="11">
        <f t="shared" si="195"/>
        <v>0</v>
      </c>
      <c r="O1262" s="3">
        <v>0</v>
      </c>
      <c r="P1262" s="11">
        <f t="shared" si="196"/>
        <v>9999</v>
      </c>
      <c r="Q1262" s="12">
        <f t="shared" si="197"/>
        <v>9999</v>
      </c>
      <c r="R1262" s="13">
        <f t="shared" si="198"/>
        <v>9999</v>
      </c>
      <c r="S1262" s="3" t="s">
        <v>31</v>
      </c>
      <c r="T1262" s="3" t="s">
        <v>34</v>
      </c>
      <c r="U1262" s="10" t="s">
        <v>72</v>
      </c>
      <c r="V1262" s="3" t="s">
        <v>72</v>
      </c>
      <c r="W1262" s="3">
        <f t="shared" si="199"/>
        <v>0</v>
      </c>
      <c r="AA1262" s="3">
        <v>38</v>
      </c>
    </row>
    <row r="1263" spans="1:27" x14ac:dyDescent="0.3">
      <c r="A1263" s="3" t="str">
        <f t="shared" si="190"/>
        <v>North9330219913820</v>
      </c>
      <c r="B1263" s="3" t="str">
        <f t="shared" si="191"/>
        <v>Pan9330219913820</v>
      </c>
      <c r="C1263" s="10">
        <v>9330219913820</v>
      </c>
      <c r="D1263" s="10" t="str">
        <f t="shared" si="192"/>
        <v>9330219913</v>
      </c>
      <c r="E1263" s="3" t="s">
        <v>2</v>
      </c>
      <c r="F1263" s="3" t="s">
        <v>64</v>
      </c>
      <c r="H1263" s="3">
        <v>231.84800000000001</v>
      </c>
      <c r="I1263" s="10">
        <f t="shared" si="193"/>
        <v>21.898503727571025</v>
      </c>
      <c r="J1263" s="3">
        <v>317.62170084903312</v>
      </c>
      <c r="K1263" s="3">
        <v>273</v>
      </c>
      <c r="L1263" s="3">
        <f t="shared" si="194"/>
        <v>0</v>
      </c>
      <c r="N1263" s="11">
        <f t="shared" si="195"/>
        <v>-85.773700849033105</v>
      </c>
      <c r="O1263" s="3">
        <v>317.62170084903312</v>
      </c>
      <c r="P1263" s="11">
        <f t="shared" si="196"/>
        <v>-8.1014962724289763</v>
      </c>
      <c r="Q1263" s="12">
        <f t="shared" si="197"/>
        <v>0.18098069608027934</v>
      </c>
      <c r="R1263" s="13">
        <f t="shared" si="198"/>
        <v>-4.4253318049699377</v>
      </c>
      <c r="S1263" s="3" t="s">
        <v>29</v>
      </c>
      <c r="T1263" s="3" t="s">
        <v>35</v>
      </c>
      <c r="U1263" s="10">
        <v>0</v>
      </c>
      <c r="V1263" s="3">
        <v>0</v>
      </c>
      <c r="W1263" s="3">
        <f t="shared" si="199"/>
        <v>0</v>
      </c>
      <c r="AA1263" s="3">
        <v>39</v>
      </c>
    </row>
    <row r="1264" spans="1:27" x14ac:dyDescent="0.3">
      <c r="A1264" s="3" t="str">
        <f t="shared" si="190"/>
        <v>North9330219913810</v>
      </c>
      <c r="B1264" s="3" t="str">
        <f t="shared" si="191"/>
        <v>Pan9330219913810</v>
      </c>
      <c r="C1264" s="10">
        <v>9330219913810</v>
      </c>
      <c r="D1264" s="10" t="str">
        <f t="shared" si="192"/>
        <v>9330219913</v>
      </c>
      <c r="E1264" s="3" t="s">
        <v>2</v>
      </c>
      <c r="F1264" s="3" t="s">
        <v>64</v>
      </c>
      <c r="H1264" s="3">
        <v>93.72999999999999</v>
      </c>
      <c r="I1264" s="10">
        <f t="shared" si="193"/>
        <v>49.623545763819607</v>
      </c>
      <c r="J1264" s="3">
        <v>56.664632821344021</v>
      </c>
      <c r="K1264" s="3">
        <v>19.5</v>
      </c>
      <c r="L1264" s="3">
        <f t="shared" si="194"/>
        <v>0</v>
      </c>
      <c r="N1264" s="11">
        <f t="shared" si="195"/>
        <v>37.065367178655968</v>
      </c>
      <c r="O1264" s="3">
        <v>56.664632821344021</v>
      </c>
      <c r="P1264" s="11">
        <f t="shared" si="196"/>
        <v>19.623545763819607</v>
      </c>
      <c r="Q1264" s="12">
        <f t="shared" si="197"/>
        <v>18.997634452011827</v>
      </c>
      <c r="R1264" s="13">
        <f t="shared" si="198"/>
        <v>5.561298658189922</v>
      </c>
      <c r="S1264" s="3" t="s">
        <v>29</v>
      </c>
      <c r="T1264" s="3" t="s">
        <v>35</v>
      </c>
      <c r="U1264" s="10">
        <v>0</v>
      </c>
      <c r="V1264" s="3">
        <v>0</v>
      </c>
      <c r="W1264" s="3">
        <f t="shared" si="199"/>
        <v>0</v>
      </c>
      <c r="AA1264" s="3">
        <v>39</v>
      </c>
    </row>
    <row r="1265" spans="1:27" x14ac:dyDescent="0.3">
      <c r="A1265" s="3" t="str">
        <f t="shared" si="190"/>
        <v>North9330219913840</v>
      </c>
      <c r="B1265" s="3" t="str">
        <f t="shared" si="191"/>
        <v>Pan9330219913840</v>
      </c>
      <c r="C1265" s="10">
        <v>9330219913840</v>
      </c>
      <c r="D1265" s="10" t="str">
        <f t="shared" si="192"/>
        <v>9330219913</v>
      </c>
      <c r="E1265" s="3" t="s">
        <v>2</v>
      </c>
      <c r="F1265" s="3" t="s">
        <v>64</v>
      </c>
      <c r="H1265" s="3">
        <v>14.628000000000002</v>
      </c>
      <c r="I1265" s="10">
        <f t="shared" si="193"/>
        <v>26.861721185850168</v>
      </c>
      <c r="J1265" s="3">
        <v>16.337002270396802</v>
      </c>
      <c r="K1265" s="3">
        <v>19.5</v>
      </c>
      <c r="L1265" s="3">
        <f t="shared" si="194"/>
        <v>0</v>
      </c>
      <c r="N1265" s="11">
        <f t="shared" si="195"/>
        <v>-1.7090022703968</v>
      </c>
      <c r="O1265" s="3">
        <v>16.337002270396802</v>
      </c>
      <c r="P1265" s="11">
        <f t="shared" si="196"/>
        <v>-3.1382788141498326</v>
      </c>
      <c r="Q1265" s="12">
        <f t="shared" si="197"/>
        <v>5.6698758463198971</v>
      </c>
      <c r="R1265" s="13">
        <f t="shared" si="198"/>
        <v>13.994224541941199</v>
      </c>
      <c r="S1265" s="3" t="s">
        <v>30</v>
      </c>
      <c r="T1265" s="3" t="s">
        <v>35</v>
      </c>
      <c r="U1265" s="10">
        <v>0</v>
      </c>
      <c r="V1265" s="3">
        <v>0</v>
      </c>
      <c r="W1265" s="3">
        <f t="shared" si="199"/>
        <v>0</v>
      </c>
      <c r="AA1265" s="3">
        <v>39</v>
      </c>
    </row>
    <row r="1266" spans="1:27" x14ac:dyDescent="0.3">
      <c r="A1266" s="3" t="str">
        <f t="shared" si="190"/>
        <v>North9330219913210</v>
      </c>
      <c r="B1266" s="3" t="str">
        <f t="shared" si="191"/>
        <v>Pan9330219913210</v>
      </c>
      <c r="C1266" s="10">
        <v>9330219913210</v>
      </c>
      <c r="D1266" s="10" t="str">
        <f t="shared" si="192"/>
        <v>9330219913</v>
      </c>
      <c r="E1266" s="3" t="s">
        <v>2</v>
      </c>
      <c r="F1266" s="3" t="s">
        <v>64</v>
      </c>
      <c r="H1266" s="3">
        <v>6.444</v>
      </c>
      <c r="I1266" s="10">
        <f t="shared" si="193"/>
        <v>45.389515885313742</v>
      </c>
      <c r="J1266" s="3">
        <v>4.2591333313284077</v>
      </c>
      <c r="K1266" s="3">
        <v>0</v>
      </c>
      <c r="L1266" s="3">
        <f t="shared" si="194"/>
        <v>0</v>
      </c>
      <c r="N1266" s="11">
        <f t="shared" si="195"/>
        <v>2.1848666686715923</v>
      </c>
      <c r="O1266" s="3">
        <v>4.2591333313284077</v>
      </c>
      <c r="P1266" s="11">
        <f t="shared" si="196"/>
        <v>15.389515885313742</v>
      </c>
      <c r="Q1266" s="12">
        <f t="shared" si="197"/>
        <v>18.633289733745965</v>
      </c>
      <c r="R1266" s="13">
        <f t="shared" si="198"/>
        <v>24.081536979765296</v>
      </c>
      <c r="S1266" s="3" t="s">
        <v>30</v>
      </c>
      <c r="T1266" s="3" t="s">
        <v>35</v>
      </c>
      <c r="U1266" s="10">
        <v>0</v>
      </c>
      <c r="V1266" s="3">
        <v>0</v>
      </c>
      <c r="W1266" s="3">
        <f t="shared" si="199"/>
        <v>0</v>
      </c>
      <c r="AA1266" s="3">
        <v>39</v>
      </c>
    </row>
    <row r="1267" spans="1:27" x14ac:dyDescent="0.3">
      <c r="A1267" s="3" t="str">
        <f t="shared" si="190"/>
        <v>North9160909900320</v>
      </c>
      <c r="B1267" s="3" t="str">
        <f t="shared" si="191"/>
        <v>Pan9160909900320</v>
      </c>
      <c r="C1267" s="10">
        <v>9160909900320</v>
      </c>
      <c r="D1267" s="10" t="str">
        <f t="shared" si="192"/>
        <v>9160909900</v>
      </c>
      <c r="E1267" s="3" t="s">
        <v>2</v>
      </c>
      <c r="F1267" s="3" t="s">
        <v>64</v>
      </c>
      <c r="H1267" s="3">
        <v>1.3200000000000003</v>
      </c>
      <c r="I1267" s="10">
        <f t="shared" si="193"/>
        <v>33.683894795591115</v>
      </c>
      <c r="J1267" s="3">
        <v>1.1756360195372433</v>
      </c>
      <c r="K1267" s="3">
        <v>0</v>
      </c>
      <c r="L1267" s="3">
        <f t="shared" si="194"/>
        <v>0</v>
      </c>
      <c r="N1267" s="11">
        <f t="shared" si="195"/>
        <v>0.144363980462757</v>
      </c>
      <c r="O1267" s="3">
        <v>1.1756360195372433</v>
      </c>
      <c r="P1267" s="11">
        <f t="shared" si="196"/>
        <v>3.6838947955911197</v>
      </c>
      <c r="Q1267" s="12">
        <f t="shared" si="197"/>
        <v>29.480732712599508</v>
      </c>
      <c r="R1267" s="13">
        <f t="shared" si="198"/>
        <v>88.356551732675399</v>
      </c>
      <c r="S1267" s="3" t="s">
        <v>31</v>
      </c>
      <c r="T1267" s="3" t="s">
        <v>34</v>
      </c>
      <c r="U1267" s="10">
        <v>0</v>
      </c>
      <c r="V1267" s="3">
        <v>0</v>
      </c>
      <c r="W1267" s="3">
        <f t="shared" si="199"/>
        <v>0</v>
      </c>
      <c r="AA1267" s="3">
        <v>39</v>
      </c>
    </row>
    <row r="1268" spans="1:27" x14ac:dyDescent="0.3">
      <c r="A1268" s="3" t="str">
        <f t="shared" si="190"/>
        <v>North9160909900210</v>
      </c>
      <c r="B1268" s="3" t="str">
        <f t="shared" si="191"/>
        <v>Pan9160909900210</v>
      </c>
      <c r="C1268" s="10">
        <v>9160909900210</v>
      </c>
      <c r="D1268" s="10" t="str">
        <f t="shared" si="192"/>
        <v>9160909900</v>
      </c>
      <c r="E1268" s="3" t="s">
        <v>2</v>
      </c>
      <c r="F1268" s="3" t="s">
        <v>64</v>
      </c>
      <c r="H1268" s="3">
        <v>0</v>
      </c>
      <c r="I1268" s="10">
        <f t="shared" si="193"/>
        <v>0</v>
      </c>
      <c r="J1268" s="3">
        <v>0</v>
      </c>
      <c r="K1268" s="3">
        <v>0</v>
      </c>
      <c r="L1268" s="3">
        <f t="shared" si="194"/>
        <v>0</v>
      </c>
      <c r="N1268" s="11">
        <f t="shared" si="195"/>
        <v>0</v>
      </c>
      <c r="O1268" s="3">
        <v>0</v>
      </c>
      <c r="P1268" s="11">
        <f t="shared" si="196"/>
        <v>9999</v>
      </c>
      <c r="Q1268" s="12">
        <f t="shared" si="197"/>
        <v>9999</v>
      </c>
      <c r="R1268" s="13">
        <f t="shared" si="198"/>
        <v>9999</v>
      </c>
      <c r="S1268" s="3" t="s">
        <v>31</v>
      </c>
      <c r="T1268" s="3" t="s">
        <v>34</v>
      </c>
      <c r="U1268" s="10" t="s">
        <v>72</v>
      </c>
      <c r="V1268" s="3" t="s">
        <v>72</v>
      </c>
      <c r="W1268" s="3">
        <f t="shared" si="199"/>
        <v>0</v>
      </c>
      <c r="AA1268" s="3">
        <v>39</v>
      </c>
    </row>
    <row r="1269" spans="1:27" x14ac:dyDescent="0.3">
      <c r="A1269" s="3" t="str">
        <f t="shared" si="190"/>
        <v>North9160909900320</v>
      </c>
      <c r="B1269" s="3" t="str">
        <f t="shared" si="191"/>
        <v>Lud9160909900320</v>
      </c>
      <c r="C1269" s="10">
        <v>9160909900320</v>
      </c>
      <c r="D1269" s="10" t="str">
        <f t="shared" si="192"/>
        <v>9160909900</v>
      </c>
      <c r="E1269" s="3" t="s">
        <v>3</v>
      </c>
      <c r="F1269" s="3" t="s">
        <v>64</v>
      </c>
      <c r="H1269" s="3">
        <v>1.6400000000000001</v>
      </c>
      <c r="I1269" s="10">
        <f t="shared" si="193"/>
        <v>155.06593181324587</v>
      </c>
      <c r="J1269" s="3">
        <v>0.31728439267533098</v>
      </c>
      <c r="K1269" s="3">
        <v>0</v>
      </c>
      <c r="L1269" s="3">
        <f t="shared" si="194"/>
        <v>0</v>
      </c>
      <c r="N1269" s="11">
        <f t="shared" si="195"/>
        <v>1.3227156073246691</v>
      </c>
      <c r="O1269" s="3">
        <v>0.31728439267533098</v>
      </c>
      <c r="P1269" s="11">
        <f t="shared" si="196"/>
        <v>125.06593181324588</v>
      </c>
      <c r="Q1269" s="12">
        <f t="shared" si="197"/>
        <v>29.480732712599508</v>
      </c>
      <c r="R1269" s="13">
        <f t="shared" si="198"/>
        <v>88.356551732675399</v>
      </c>
      <c r="S1269" s="3" t="s">
        <v>31</v>
      </c>
      <c r="T1269" s="3" t="s">
        <v>34</v>
      </c>
      <c r="U1269" s="10">
        <v>0</v>
      </c>
      <c r="V1269" s="3">
        <v>0</v>
      </c>
      <c r="W1269" s="3">
        <f t="shared" si="199"/>
        <v>0</v>
      </c>
      <c r="AA1269" s="3">
        <v>39</v>
      </c>
    </row>
    <row r="1270" spans="1:27" x14ac:dyDescent="0.3">
      <c r="A1270" s="3" t="str">
        <f t="shared" si="190"/>
        <v>North9160909900210</v>
      </c>
      <c r="B1270" s="3" t="str">
        <f t="shared" si="191"/>
        <v>Lud9160909900210</v>
      </c>
      <c r="C1270" s="10">
        <v>9160909900210</v>
      </c>
      <c r="D1270" s="10" t="str">
        <f t="shared" si="192"/>
        <v>9160909900</v>
      </c>
      <c r="E1270" s="3" t="s">
        <v>3</v>
      </c>
      <c r="F1270" s="3" t="s">
        <v>64</v>
      </c>
      <c r="H1270" s="3">
        <v>0</v>
      </c>
      <c r="I1270" s="10">
        <f t="shared" si="193"/>
        <v>0</v>
      </c>
      <c r="J1270" s="3">
        <v>0</v>
      </c>
      <c r="K1270" s="3">
        <v>0</v>
      </c>
      <c r="L1270" s="3">
        <f t="shared" si="194"/>
        <v>0</v>
      </c>
      <c r="N1270" s="11">
        <f t="shared" si="195"/>
        <v>0</v>
      </c>
      <c r="O1270" s="3">
        <v>0</v>
      </c>
      <c r="P1270" s="11">
        <f t="shared" si="196"/>
        <v>9999</v>
      </c>
      <c r="Q1270" s="12">
        <f t="shared" si="197"/>
        <v>9999</v>
      </c>
      <c r="R1270" s="13">
        <f t="shared" si="198"/>
        <v>9999</v>
      </c>
      <c r="S1270" s="3" t="s">
        <v>31</v>
      </c>
      <c r="T1270" s="3" t="s">
        <v>34</v>
      </c>
      <c r="U1270" s="10" t="s">
        <v>72</v>
      </c>
      <c r="V1270" s="3" t="s">
        <v>72</v>
      </c>
      <c r="W1270" s="3">
        <f t="shared" si="199"/>
        <v>0</v>
      </c>
      <c r="AA1270" s="3">
        <v>39</v>
      </c>
    </row>
    <row r="1271" spans="1:27" x14ac:dyDescent="0.3">
      <c r="A1271" s="3" t="str">
        <f t="shared" si="190"/>
        <v>South9320099900320</v>
      </c>
      <c r="B1271" s="3" t="str">
        <f t="shared" si="191"/>
        <v>CMR9320099900320</v>
      </c>
      <c r="C1271" s="10">
        <v>9320099900320</v>
      </c>
      <c r="D1271" s="10" t="str">
        <f t="shared" si="192"/>
        <v>9320099900</v>
      </c>
      <c r="E1271" s="3" t="s">
        <v>5</v>
      </c>
      <c r="F1271" s="3" t="s">
        <v>65</v>
      </c>
      <c r="H1271" s="3">
        <v>45.199999999999996</v>
      </c>
      <c r="I1271" s="10">
        <f t="shared" si="193"/>
        <v>63.096383577702554</v>
      </c>
      <c r="J1271" s="3">
        <v>21.490930590817456</v>
      </c>
      <c r="K1271" s="3">
        <v>0</v>
      </c>
      <c r="L1271" s="3">
        <f t="shared" si="194"/>
        <v>0</v>
      </c>
      <c r="N1271" s="11">
        <f t="shared" si="195"/>
        <v>23.70906940918254</v>
      </c>
      <c r="O1271" s="3">
        <v>21.490930590817456</v>
      </c>
      <c r="P1271" s="11">
        <f t="shared" si="196"/>
        <v>33.096383577702547</v>
      </c>
      <c r="Q1271" s="12">
        <f t="shared" si="197"/>
        <v>32.110213037844652</v>
      </c>
      <c r="R1271" s="13">
        <f t="shared" si="198"/>
        <v>17.971452330671681</v>
      </c>
      <c r="S1271" s="3" t="s">
        <v>31</v>
      </c>
      <c r="T1271" s="3" t="s">
        <v>28</v>
      </c>
      <c r="U1271" s="10">
        <v>9320099900999</v>
      </c>
      <c r="V1271" s="3">
        <v>0.1</v>
      </c>
      <c r="W1271" s="3">
        <f t="shared" si="199"/>
        <v>0</v>
      </c>
      <c r="AA1271" s="3">
        <v>39</v>
      </c>
    </row>
    <row r="1272" spans="1:27" x14ac:dyDescent="0.3">
      <c r="A1272" s="3" t="str">
        <f t="shared" si="190"/>
        <v>South9420019900320</v>
      </c>
      <c r="B1272" s="3" t="str">
        <f t="shared" si="191"/>
        <v>CMR9420019900320</v>
      </c>
      <c r="C1272" s="10">
        <v>9420019900320</v>
      </c>
      <c r="D1272" s="10" t="str">
        <f t="shared" si="192"/>
        <v>9420019900</v>
      </c>
      <c r="E1272" s="3" t="s">
        <v>5</v>
      </c>
      <c r="F1272" s="3" t="s">
        <v>65</v>
      </c>
      <c r="H1272" s="3">
        <v>16.559999999999999</v>
      </c>
      <c r="I1272" s="10">
        <f t="shared" si="193"/>
        <v>23.521279991803905</v>
      </c>
      <c r="J1272" s="3">
        <v>21.121299528474307</v>
      </c>
      <c r="K1272" s="3">
        <v>19.5</v>
      </c>
      <c r="L1272" s="3">
        <f t="shared" si="194"/>
        <v>0</v>
      </c>
      <c r="N1272" s="11">
        <f t="shared" si="195"/>
        <v>-4.5612995284743079</v>
      </c>
      <c r="O1272" s="3">
        <v>21.121299528474307</v>
      </c>
      <c r="P1272" s="11">
        <f t="shared" si="196"/>
        <v>-6.4787200081960945</v>
      </c>
      <c r="Q1272" s="12">
        <f t="shared" si="197"/>
        <v>-3.5407690578816235</v>
      </c>
      <c r="R1272" s="13">
        <f t="shared" si="198"/>
        <v>28.338406312816389</v>
      </c>
      <c r="S1272" s="3" t="s">
        <v>30</v>
      </c>
      <c r="T1272" s="3" t="s">
        <v>28</v>
      </c>
      <c r="U1272" s="10">
        <v>9420019900999</v>
      </c>
      <c r="V1272" s="3">
        <v>0.1</v>
      </c>
      <c r="W1272" s="3">
        <f t="shared" si="199"/>
        <v>1.9500000000000002</v>
      </c>
      <c r="AA1272" s="3">
        <v>39</v>
      </c>
    </row>
    <row r="1273" spans="1:27" x14ac:dyDescent="0.3">
      <c r="A1273" s="3" t="str">
        <f t="shared" si="190"/>
        <v>South9420019900310</v>
      </c>
      <c r="B1273" s="3" t="str">
        <f t="shared" si="191"/>
        <v>CMR9420019900310</v>
      </c>
      <c r="C1273" s="10">
        <v>9420019900310</v>
      </c>
      <c r="D1273" s="10" t="str">
        <f t="shared" si="192"/>
        <v>9420019900</v>
      </c>
      <c r="E1273" s="3" t="s">
        <v>5</v>
      </c>
      <c r="F1273" s="3" t="s">
        <v>65</v>
      </c>
      <c r="H1273" s="3">
        <v>2.7399999999999998</v>
      </c>
      <c r="I1273" s="10">
        <f t="shared" si="193"/>
        <v>13.07718360683277</v>
      </c>
      <c r="J1273" s="3">
        <v>6.2857571225849309</v>
      </c>
      <c r="K1273" s="3">
        <v>9.75</v>
      </c>
      <c r="L1273" s="3">
        <f t="shared" si="194"/>
        <v>0</v>
      </c>
      <c r="N1273" s="11">
        <f t="shared" si="195"/>
        <v>-3.5457571225849311</v>
      </c>
      <c r="O1273" s="3">
        <v>6.2857571225849309</v>
      </c>
      <c r="P1273" s="11">
        <f t="shared" si="196"/>
        <v>-16.922816393167228</v>
      </c>
      <c r="Q1273" s="12">
        <f t="shared" si="197"/>
        <v>-13.616308650683449</v>
      </c>
      <c r="R1273" s="13">
        <f t="shared" si="198"/>
        <v>-4.0605572829131411</v>
      </c>
      <c r="S1273" s="3" t="s">
        <v>31</v>
      </c>
      <c r="T1273" s="3" t="s">
        <v>28</v>
      </c>
      <c r="U1273" s="10">
        <v>9420019900999</v>
      </c>
      <c r="V1273" s="3">
        <v>0.1</v>
      </c>
      <c r="W1273" s="3">
        <f t="shared" si="199"/>
        <v>0.97500000000000009</v>
      </c>
      <c r="AA1273" s="3">
        <v>39</v>
      </c>
    </row>
    <row r="1274" spans="1:27" x14ac:dyDescent="0.3">
      <c r="A1274" s="3" t="str">
        <f t="shared" si="190"/>
        <v>South9420019900840</v>
      </c>
      <c r="B1274" s="3" t="str">
        <f t="shared" si="191"/>
        <v>CMR9420019900840</v>
      </c>
      <c r="C1274" s="10">
        <v>9420019900840</v>
      </c>
      <c r="D1274" s="10" t="str">
        <f t="shared" si="192"/>
        <v>9420019900</v>
      </c>
      <c r="E1274" s="3" t="s">
        <v>5</v>
      </c>
      <c r="F1274" s="3" t="s">
        <v>65</v>
      </c>
      <c r="H1274" s="3">
        <v>5.6000000000000001E-2</v>
      </c>
      <c r="I1274" s="10">
        <f t="shared" si="193"/>
        <v>0.77597544614325431</v>
      </c>
      <c r="J1274" s="3">
        <v>2.1650169581394874</v>
      </c>
      <c r="K1274" s="3">
        <v>9.75</v>
      </c>
      <c r="L1274" s="3">
        <f t="shared" si="194"/>
        <v>0</v>
      </c>
      <c r="N1274" s="11">
        <f t="shared" si="195"/>
        <v>-2.1090169581394873</v>
      </c>
      <c r="O1274" s="3">
        <v>2.1650169581394874</v>
      </c>
      <c r="P1274" s="11">
        <f t="shared" si="196"/>
        <v>-29.224024553856744</v>
      </c>
      <c r="Q1274" s="12">
        <f t="shared" si="197"/>
        <v>-25.321132965767433</v>
      </c>
      <c r="R1274" s="13">
        <f t="shared" si="198"/>
        <v>-16.802681825879457</v>
      </c>
      <c r="S1274" s="3" t="s">
        <v>31</v>
      </c>
      <c r="T1274" s="3" t="s">
        <v>28</v>
      </c>
      <c r="U1274" s="10">
        <v>0</v>
      </c>
      <c r="V1274" s="3">
        <v>0</v>
      </c>
      <c r="W1274" s="3">
        <f t="shared" si="199"/>
        <v>0</v>
      </c>
      <c r="AA1274" s="3">
        <v>39</v>
      </c>
    </row>
    <row r="1275" spans="1:27" x14ac:dyDescent="0.3">
      <c r="A1275" s="3" t="str">
        <f t="shared" si="190"/>
        <v>South9320099900210</v>
      </c>
      <c r="B1275" s="3" t="str">
        <f t="shared" si="191"/>
        <v>CMR9320099900210</v>
      </c>
      <c r="C1275" s="10">
        <v>9320099900210</v>
      </c>
      <c r="D1275" s="10" t="str">
        <f t="shared" si="192"/>
        <v>9320099900</v>
      </c>
      <c r="E1275" s="3" t="s">
        <v>5</v>
      </c>
      <c r="F1275" s="3" t="s">
        <v>65</v>
      </c>
      <c r="H1275" s="3">
        <v>0.8340000000000003</v>
      </c>
      <c r="I1275" s="10">
        <f t="shared" si="193"/>
        <v>29.052067407220285</v>
      </c>
      <c r="J1275" s="3">
        <v>0.8612123760177498</v>
      </c>
      <c r="K1275" s="3">
        <v>0</v>
      </c>
      <c r="L1275" s="3">
        <f t="shared" si="194"/>
        <v>0</v>
      </c>
      <c r="N1275" s="11">
        <f t="shared" si="195"/>
        <v>-2.7212376017749507E-2</v>
      </c>
      <c r="O1275" s="3">
        <v>0.8612123760177498</v>
      </c>
      <c r="P1275" s="11">
        <f t="shared" si="196"/>
        <v>-0.94793259277971575</v>
      </c>
      <c r="Q1275" s="12">
        <f t="shared" si="197"/>
        <v>-0.88064217246184828</v>
      </c>
      <c r="R1275" s="13">
        <f t="shared" si="198"/>
        <v>28.658286020871561</v>
      </c>
      <c r="S1275" s="3" t="s">
        <v>31</v>
      </c>
      <c r="T1275" s="3" t="s">
        <v>28</v>
      </c>
      <c r="U1275" s="10">
        <v>0</v>
      </c>
      <c r="V1275" s="3">
        <v>0</v>
      </c>
      <c r="W1275" s="3">
        <f t="shared" si="199"/>
        <v>0</v>
      </c>
      <c r="AA1275" s="3">
        <v>39</v>
      </c>
    </row>
    <row r="1276" spans="1:27" x14ac:dyDescent="0.3">
      <c r="A1276" s="3" t="str">
        <f t="shared" si="190"/>
        <v>South9420019900210</v>
      </c>
      <c r="B1276" s="3" t="str">
        <f t="shared" si="191"/>
        <v>CMR9420019900210</v>
      </c>
      <c r="C1276" s="10">
        <v>9420019900210</v>
      </c>
      <c r="D1276" s="10" t="str">
        <f t="shared" si="192"/>
        <v>9420019900</v>
      </c>
      <c r="E1276" s="3" t="s">
        <v>5</v>
      </c>
      <c r="F1276" s="3" t="s">
        <v>65</v>
      </c>
      <c r="H1276" s="3">
        <v>1.0490000000000002</v>
      </c>
      <c r="I1276" s="10">
        <f t="shared" si="193"/>
        <v>42.755138820632979</v>
      </c>
      <c r="J1276" s="3">
        <v>0.73605187278243767</v>
      </c>
      <c r="K1276" s="3">
        <v>0</v>
      </c>
      <c r="L1276" s="3">
        <f t="shared" si="194"/>
        <v>0</v>
      </c>
      <c r="N1276" s="11">
        <f t="shared" si="195"/>
        <v>0.31294812721756249</v>
      </c>
      <c r="O1276" s="3">
        <v>0.73605187278243767</v>
      </c>
      <c r="P1276" s="11">
        <f t="shared" si="196"/>
        <v>12.755138820632975</v>
      </c>
      <c r="Q1276" s="12">
        <f t="shared" si="197"/>
        <v>38.386524505088943</v>
      </c>
      <c r="R1276" s="13">
        <f t="shared" si="198"/>
        <v>173.10614674349301</v>
      </c>
      <c r="S1276" s="3" t="s">
        <v>31</v>
      </c>
      <c r="T1276" s="3" t="s">
        <v>28</v>
      </c>
      <c r="U1276" s="10">
        <v>0</v>
      </c>
      <c r="V1276" s="3">
        <v>0</v>
      </c>
      <c r="W1276" s="3">
        <f t="shared" si="199"/>
        <v>0</v>
      </c>
      <c r="AA1276" s="3">
        <v>39</v>
      </c>
    </row>
    <row r="1277" spans="1:27" x14ac:dyDescent="0.3">
      <c r="A1277" s="3" t="str">
        <f t="shared" si="190"/>
        <v>South9410029902838</v>
      </c>
      <c r="B1277" s="3" t="str">
        <f t="shared" si="191"/>
        <v>CMR9410029902838</v>
      </c>
      <c r="C1277" s="10">
        <v>9410029902838</v>
      </c>
      <c r="D1277" s="10" t="str">
        <f t="shared" si="192"/>
        <v>9410029902</v>
      </c>
      <c r="E1277" s="3" t="s">
        <v>5</v>
      </c>
      <c r="F1277" s="3" t="s">
        <v>65</v>
      </c>
      <c r="H1277" s="3">
        <v>0.59659999999999991</v>
      </c>
      <c r="I1277" s="10">
        <f t="shared" si="193"/>
        <v>72.800830135644773</v>
      </c>
      <c r="J1277" s="3">
        <v>0.24584884494657391</v>
      </c>
      <c r="K1277" s="3">
        <v>0</v>
      </c>
      <c r="L1277" s="3">
        <f t="shared" si="194"/>
        <v>0</v>
      </c>
      <c r="N1277" s="11">
        <f t="shared" si="195"/>
        <v>0.35075115505342602</v>
      </c>
      <c r="O1277" s="3">
        <v>0.24584884494657391</v>
      </c>
      <c r="P1277" s="11">
        <f t="shared" si="196"/>
        <v>42.800830135644773</v>
      </c>
      <c r="Q1277" s="12">
        <f t="shared" si="197"/>
        <v>45.188210280104727</v>
      </c>
      <c r="R1277" s="13">
        <f t="shared" si="198"/>
        <v>29.473018002408558</v>
      </c>
      <c r="S1277" s="3" t="s">
        <v>31</v>
      </c>
      <c r="T1277" s="3" t="s">
        <v>32</v>
      </c>
      <c r="U1277" s="10">
        <v>0</v>
      </c>
      <c r="V1277" s="3">
        <v>0</v>
      </c>
      <c r="W1277" s="3">
        <f t="shared" si="199"/>
        <v>0</v>
      </c>
      <c r="AA1277" s="3">
        <v>39</v>
      </c>
    </row>
    <row r="1278" spans="1:27" x14ac:dyDescent="0.3">
      <c r="A1278" s="3" t="str">
        <f t="shared" si="190"/>
        <v>South9410029902195</v>
      </c>
      <c r="B1278" s="3" t="str">
        <f t="shared" si="191"/>
        <v>CMR9410029902195</v>
      </c>
      <c r="C1278" s="10">
        <v>9410029902195</v>
      </c>
      <c r="D1278" s="10" t="str">
        <f t="shared" si="192"/>
        <v>9410029902</v>
      </c>
      <c r="E1278" s="3" t="s">
        <v>5</v>
      </c>
      <c r="F1278" s="3" t="s">
        <v>65</v>
      </c>
      <c r="H1278" s="3">
        <v>0.50824999999999998</v>
      </c>
      <c r="I1278" s="10">
        <f t="shared" si="193"/>
        <v>74.668183533977867</v>
      </c>
      <c r="J1278" s="3">
        <v>0.20420344085458569</v>
      </c>
      <c r="K1278" s="3">
        <v>0</v>
      </c>
      <c r="L1278" s="3">
        <f t="shared" si="194"/>
        <v>0</v>
      </c>
      <c r="N1278" s="11">
        <f t="shared" si="195"/>
        <v>0.30404655914541429</v>
      </c>
      <c r="O1278" s="3">
        <v>0.20420344085458569</v>
      </c>
      <c r="P1278" s="11">
        <f t="shared" si="196"/>
        <v>44.668183533977874</v>
      </c>
      <c r="Q1278" s="12">
        <f t="shared" si="197"/>
        <v>20.92625528081032</v>
      </c>
      <c r="R1278" s="13">
        <f t="shared" si="198"/>
        <v>72.106187171666605</v>
      </c>
      <c r="S1278" s="3" t="s">
        <v>31</v>
      </c>
      <c r="T1278" s="3" t="s">
        <v>32</v>
      </c>
      <c r="U1278" s="10">
        <v>0</v>
      </c>
      <c r="V1278" s="3">
        <v>0</v>
      </c>
      <c r="W1278" s="3">
        <f t="shared" si="199"/>
        <v>0</v>
      </c>
      <c r="AA1278" s="3">
        <v>39</v>
      </c>
    </row>
    <row r="1279" spans="1:27" x14ac:dyDescent="0.3">
      <c r="A1279" s="3" t="str">
        <f t="shared" si="190"/>
        <v>South9410029902295</v>
      </c>
      <c r="B1279" s="3" t="str">
        <f t="shared" si="191"/>
        <v>CMR9410029902295</v>
      </c>
      <c r="C1279" s="10">
        <v>9410029902295</v>
      </c>
      <c r="D1279" s="10" t="str">
        <f t="shared" si="192"/>
        <v>9410029902</v>
      </c>
      <c r="E1279" s="3" t="s">
        <v>5</v>
      </c>
      <c r="F1279" s="3" t="s">
        <v>65</v>
      </c>
      <c r="H1279" s="3">
        <v>0.72200000000000009</v>
      </c>
      <c r="I1279" s="10">
        <f t="shared" si="193"/>
        <v>698.67265467622678</v>
      </c>
      <c r="J1279" s="3">
        <v>3.1001642693512174E-2</v>
      </c>
      <c r="K1279" s="3">
        <v>0</v>
      </c>
      <c r="L1279" s="3">
        <f t="shared" si="194"/>
        <v>0</v>
      </c>
      <c r="N1279" s="11">
        <f t="shared" si="195"/>
        <v>0.69099835730648795</v>
      </c>
      <c r="O1279" s="3">
        <v>3.1001642693512174E-2</v>
      </c>
      <c r="P1279" s="11">
        <f t="shared" si="196"/>
        <v>668.6726546762269</v>
      </c>
      <c r="Q1279" s="12">
        <f t="shared" si="197"/>
        <v>205.02189477218349</v>
      </c>
      <c r="R1279" s="13">
        <f t="shared" si="198"/>
        <v>107.29403852358182</v>
      </c>
      <c r="S1279" s="3" t="s">
        <v>31</v>
      </c>
      <c r="T1279" s="3" t="s">
        <v>32</v>
      </c>
      <c r="U1279" s="10">
        <v>9410029900999</v>
      </c>
      <c r="V1279" s="3">
        <v>0.1</v>
      </c>
      <c r="W1279" s="3">
        <f t="shared" si="199"/>
        <v>0</v>
      </c>
      <c r="AA1279" s="3">
        <v>39</v>
      </c>
    </row>
    <row r="1280" spans="1:27" x14ac:dyDescent="0.3">
      <c r="A1280" s="3" t="str">
        <f t="shared" si="190"/>
        <v>South9410029902319</v>
      </c>
      <c r="B1280" s="3" t="str">
        <f t="shared" si="191"/>
        <v>CMR9410029902319</v>
      </c>
      <c r="C1280" s="10">
        <v>9410029902319</v>
      </c>
      <c r="D1280" s="10" t="str">
        <f t="shared" si="192"/>
        <v>9410029902</v>
      </c>
      <c r="E1280" s="3" t="s">
        <v>5</v>
      </c>
      <c r="F1280" s="3" t="s">
        <v>65</v>
      </c>
      <c r="H1280" s="3">
        <v>0.30399999999999999</v>
      </c>
      <c r="I1280" s="10">
        <f t="shared" si="193"/>
        <v>401.16937768533563</v>
      </c>
      <c r="J1280" s="3">
        <v>2.2733539764726099E-2</v>
      </c>
      <c r="K1280" s="3">
        <v>0</v>
      </c>
      <c r="L1280" s="3">
        <f t="shared" si="194"/>
        <v>0</v>
      </c>
      <c r="N1280" s="11">
        <f t="shared" si="195"/>
        <v>0.28126646023527391</v>
      </c>
      <c r="O1280" s="3">
        <v>2.2733539764726099E-2</v>
      </c>
      <c r="P1280" s="11">
        <f t="shared" si="196"/>
        <v>371.16937768533563</v>
      </c>
      <c r="Q1280" s="12">
        <f t="shared" si="197"/>
        <v>344.52313658738717</v>
      </c>
      <c r="R1280" s="13">
        <f t="shared" si="198"/>
        <v>110.66043314697285</v>
      </c>
      <c r="S1280" s="3" t="s">
        <v>31</v>
      </c>
      <c r="T1280" s="3" t="s">
        <v>32</v>
      </c>
      <c r="U1280" s="10">
        <v>9410029900999</v>
      </c>
      <c r="V1280" s="3">
        <v>0.1</v>
      </c>
      <c r="W1280" s="3">
        <f t="shared" si="199"/>
        <v>0</v>
      </c>
      <c r="AA1280" s="3">
        <v>39</v>
      </c>
    </row>
    <row r="1281" spans="1:27" x14ac:dyDescent="0.3">
      <c r="A1281" s="3" t="str">
        <f t="shared" si="190"/>
        <v>South9320099900310</v>
      </c>
      <c r="B1281" s="3" t="str">
        <f t="shared" si="191"/>
        <v>CMR9320099900310</v>
      </c>
      <c r="C1281" s="10">
        <v>9320099900310</v>
      </c>
      <c r="D1281" s="10" t="str">
        <f t="shared" si="192"/>
        <v>9320099900</v>
      </c>
      <c r="E1281" s="3" t="s">
        <v>5</v>
      </c>
      <c r="F1281" s="3" t="s">
        <v>65</v>
      </c>
      <c r="H1281" s="3">
        <v>0</v>
      </c>
      <c r="I1281" s="10">
        <f t="shared" si="193"/>
        <v>0</v>
      </c>
      <c r="J1281" s="3">
        <v>0</v>
      </c>
      <c r="K1281" s="3">
        <v>0</v>
      </c>
      <c r="L1281" s="3">
        <f t="shared" si="194"/>
        <v>0</v>
      </c>
      <c r="N1281" s="11">
        <f t="shared" si="195"/>
        <v>0</v>
      </c>
      <c r="O1281" s="3">
        <v>0</v>
      </c>
      <c r="P1281" s="11">
        <f t="shared" si="196"/>
        <v>9999</v>
      </c>
      <c r="Q1281" s="12">
        <f t="shared" si="197"/>
        <v>9999</v>
      </c>
      <c r="R1281" s="13">
        <f t="shared" si="198"/>
        <v>124.33472921467568</v>
      </c>
      <c r="S1281" s="3" t="s">
        <v>31</v>
      </c>
      <c r="T1281" s="3" t="s">
        <v>28</v>
      </c>
      <c r="U1281" s="10">
        <v>9320099900999</v>
      </c>
      <c r="V1281" s="3">
        <v>0.1</v>
      </c>
      <c r="W1281" s="3">
        <f t="shared" si="199"/>
        <v>0</v>
      </c>
      <c r="AA1281" s="3">
        <v>39</v>
      </c>
    </row>
    <row r="1282" spans="1:27" x14ac:dyDescent="0.3">
      <c r="A1282" s="3" t="str">
        <f t="shared" si="190"/>
        <v>South9320099900840</v>
      </c>
      <c r="B1282" s="3" t="str">
        <f t="shared" si="191"/>
        <v>CMR9320099900840</v>
      </c>
      <c r="C1282" s="10">
        <v>9320099900840</v>
      </c>
      <c r="D1282" s="10" t="str">
        <f t="shared" si="192"/>
        <v>9320099900</v>
      </c>
      <c r="E1282" s="3" t="s">
        <v>5</v>
      </c>
      <c r="F1282" s="3" t="s">
        <v>65</v>
      </c>
      <c r="H1282" s="3">
        <v>0</v>
      </c>
      <c r="I1282" s="10">
        <f t="shared" si="193"/>
        <v>0</v>
      </c>
      <c r="J1282" s="3">
        <v>0</v>
      </c>
      <c r="K1282" s="3">
        <v>0</v>
      </c>
      <c r="L1282" s="3">
        <f t="shared" si="194"/>
        <v>0</v>
      </c>
      <c r="N1282" s="11">
        <f t="shared" si="195"/>
        <v>0</v>
      </c>
      <c r="O1282" s="3">
        <v>0</v>
      </c>
      <c r="P1282" s="11">
        <f t="shared" si="196"/>
        <v>9999</v>
      </c>
      <c r="Q1282" s="12">
        <f t="shared" si="197"/>
        <v>9999</v>
      </c>
      <c r="R1282" s="13">
        <f t="shared" si="198"/>
        <v>-29.999999999999996</v>
      </c>
      <c r="S1282" s="3" t="s">
        <v>31</v>
      </c>
      <c r="T1282" s="3" t="s">
        <v>28</v>
      </c>
      <c r="U1282" s="10">
        <v>0</v>
      </c>
      <c r="V1282" s="3">
        <v>0</v>
      </c>
      <c r="W1282" s="3">
        <f t="shared" si="199"/>
        <v>0</v>
      </c>
      <c r="AA1282" s="3">
        <v>39</v>
      </c>
    </row>
    <row r="1283" spans="1:27" x14ac:dyDescent="0.3">
      <c r="A1283" s="3" t="str">
        <f t="shared" si="190"/>
        <v>East9160909900320</v>
      </c>
      <c r="B1283" s="3" t="str">
        <f t="shared" si="191"/>
        <v>KGP9160909900320</v>
      </c>
      <c r="C1283" s="10">
        <v>9160909900320</v>
      </c>
      <c r="D1283" s="10" t="str">
        <f t="shared" si="192"/>
        <v>9160909900</v>
      </c>
      <c r="E1283" s="3" t="s">
        <v>6</v>
      </c>
      <c r="F1283" s="3" t="s">
        <v>66</v>
      </c>
      <c r="H1283" s="3">
        <v>2.1</v>
      </c>
      <c r="I1283" s="10">
        <f t="shared" si="193"/>
        <v>169.68652328494542</v>
      </c>
      <c r="J1283" s="3">
        <v>0.37127285526504361</v>
      </c>
      <c r="K1283" s="3">
        <v>0</v>
      </c>
      <c r="L1283" s="3">
        <f t="shared" si="194"/>
        <v>0</v>
      </c>
      <c r="N1283" s="11">
        <f t="shared" si="195"/>
        <v>1.7287271447349566</v>
      </c>
      <c r="O1283" s="3">
        <v>0.37127285526504361</v>
      </c>
      <c r="P1283" s="11">
        <f t="shared" si="196"/>
        <v>139.68652328494545</v>
      </c>
      <c r="Q1283" s="12">
        <f t="shared" si="197"/>
        <v>139.68652328494545</v>
      </c>
      <c r="R1283" s="13">
        <f t="shared" si="198"/>
        <v>88.356551732675399</v>
      </c>
      <c r="S1283" s="3" t="s">
        <v>31</v>
      </c>
      <c r="T1283" s="3" t="s">
        <v>34</v>
      </c>
      <c r="U1283" s="10">
        <v>0</v>
      </c>
      <c r="V1283" s="3">
        <v>0</v>
      </c>
      <c r="W1283" s="3">
        <f t="shared" si="199"/>
        <v>0</v>
      </c>
      <c r="AA1283" s="3">
        <v>39</v>
      </c>
    </row>
    <row r="1284" spans="1:27" x14ac:dyDescent="0.3">
      <c r="A1284" s="3" t="str">
        <f t="shared" ref="A1284:A1347" si="200">_xlfn.CONCAT(F1284,C1284)</f>
        <v>East9160909900210</v>
      </c>
      <c r="B1284" s="3" t="str">
        <f t="shared" ref="B1284:B1347" si="201">_xlfn.CONCAT(E1284,C1284)</f>
        <v>KGP9160909900210</v>
      </c>
      <c r="C1284" s="10">
        <v>9160909900210</v>
      </c>
      <c r="D1284" s="10" t="str">
        <f t="shared" ref="D1284:D1347" si="202">LEFT(C1284,10)</f>
        <v>9160909900</v>
      </c>
      <c r="E1284" s="3" t="s">
        <v>6</v>
      </c>
      <c r="F1284" s="3" t="s">
        <v>66</v>
      </c>
      <c r="H1284" s="3">
        <v>0</v>
      </c>
      <c r="I1284" s="10">
        <f t="shared" ref="I1284:I1347" si="203">IFERROR(H1284/J1284*30,0)</f>
        <v>0</v>
      </c>
      <c r="J1284" s="3">
        <v>0</v>
      </c>
      <c r="K1284" s="3">
        <v>0</v>
      </c>
      <c r="L1284" s="3">
        <f t="shared" ref="L1284:L1347" si="204">M1284*G1284</f>
        <v>0</v>
      </c>
      <c r="N1284" s="11">
        <f t="shared" ref="N1284:N1347" si="205">H1284-J1284+L1284</f>
        <v>0</v>
      </c>
      <c r="O1284" s="3">
        <v>0</v>
      </c>
      <c r="P1284" s="11">
        <f t="shared" ref="P1284:P1347" si="206">IF(O1284=0,9999,N1284/O1284*30)</f>
        <v>9999</v>
      </c>
      <c r="Q1284" s="12">
        <f t="shared" ref="Q1284:Q1347" si="207">IF(SUMIF($A:$A,$A1284,$O:$O)=0,9999,SUMIF($A:$A,$A1284,$N:$N)*30/SUMIF($A:$A,$A1284,$O:$O))</f>
        <v>9999</v>
      </c>
      <c r="R1284" s="13">
        <f t="shared" ref="R1284:R1347" si="208">IF(SUMIF($C:$C,$C1284,$O:$O)=0,9999,SUMIF($C:$C,$C1284,$N:$N)*30/SUMIF($C:$C,$C1284,$O:$O))</f>
        <v>9999</v>
      </c>
      <c r="S1284" s="3" t="s">
        <v>31</v>
      </c>
      <c r="T1284" s="3" t="s">
        <v>34</v>
      </c>
      <c r="U1284" s="10" t="s">
        <v>72</v>
      </c>
      <c r="V1284" s="3" t="s">
        <v>72</v>
      </c>
      <c r="W1284" s="3">
        <f t="shared" ref="W1284:W1347" si="209">IFERROR(K1284*V1284,0)</f>
        <v>0</v>
      </c>
      <c r="AA1284" s="3">
        <v>39</v>
      </c>
    </row>
    <row r="1285" spans="1:27" x14ac:dyDescent="0.3">
      <c r="A1285" s="3" t="str">
        <f t="shared" si="200"/>
        <v>West9100509900320</v>
      </c>
      <c r="B1285" s="3" t="str">
        <f t="shared" si="201"/>
        <v>Mah9100509900320</v>
      </c>
      <c r="C1285" s="14">
        <v>9100509900320</v>
      </c>
      <c r="D1285" s="10" t="str">
        <f t="shared" si="202"/>
        <v>9100509900</v>
      </c>
      <c r="E1285" s="3" t="s">
        <v>1</v>
      </c>
      <c r="F1285" s="3" t="s">
        <v>63</v>
      </c>
      <c r="H1285" s="3">
        <v>50.339999999999996</v>
      </c>
      <c r="I1285" s="10">
        <f t="shared" si="203"/>
        <v>56.840428802861581</v>
      </c>
      <c r="J1285" s="3">
        <v>26.56911694381817</v>
      </c>
      <c r="K1285" s="3">
        <v>40</v>
      </c>
      <c r="L1285" s="3">
        <f t="shared" si="204"/>
        <v>0</v>
      </c>
      <c r="M1285" s="32"/>
      <c r="N1285" s="11">
        <f t="shared" si="205"/>
        <v>23.770883056181827</v>
      </c>
      <c r="O1285" s="3">
        <v>26.56911694381817</v>
      </c>
      <c r="P1285" s="11">
        <f t="shared" si="206"/>
        <v>26.840428802861581</v>
      </c>
      <c r="Q1285" s="12">
        <f t="shared" si="207"/>
        <v>26.840428802861577</v>
      </c>
      <c r="R1285" s="13">
        <f t="shared" si="208"/>
        <v>28.679587677970176</v>
      </c>
      <c r="S1285" s="3" t="s">
        <v>30</v>
      </c>
      <c r="T1285" s="3" t="s">
        <v>34</v>
      </c>
      <c r="U1285" s="10">
        <v>0</v>
      </c>
      <c r="V1285" s="3">
        <v>0</v>
      </c>
      <c r="W1285" s="3">
        <f t="shared" si="209"/>
        <v>0</v>
      </c>
      <c r="Y1285" s="3">
        <v>0</v>
      </c>
      <c r="Z1285" s="3">
        <v>46</v>
      </c>
      <c r="AA1285" s="3">
        <v>40</v>
      </c>
    </row>
    <row r="1286" spans="1:27" x14ac:dyDescent="0.3">
      <c r="A1286" s="3" t="str">
        <f t="shared" si="200"/>
        <v>West9310019900320</v>
      </c>
      <c r="B1286" s="3" t="str">
        <f t="shared" si="201"/>
        <v>Mah9310019900320</v>
      </c>
      <c r="C1286" s="10">
        <v>9310019900320</v>
      </c>
      <c r="D1286" s="10" t="str">
        <f t="shared" si="202"/>
        <v>9310019900</v>
      </c>
      <c r="E1286" s="3" t="s">
        <v>1</v>
      </c>
      <c r="F1286" s="3" t="s">
        <v>63</v>
      </c>
      <c r="H1286" s="3">
        <v>21.479999999999997</v>
      </c>
      <c r="I1286" s="10">
        <f t="shared" si="203"/>
        <v>132.02950835231155</v>
      </c>
      <c r="J1286" s="3">
        <v>4.8807271044323164</v>
      </c>
      <c r="K1286" s="3">
        <v>0</v>
      </c>
      <c r="L1286" s="3">
        <f t="shared" si="204"/>
        <v>0</v>
      </c>
      <c r="M1286" s="32"/>
      <c r="N1286" s="11">
        <f t="shared" si="205"/>
        <v>16.59927289556768</v>
      </c>
      <c r="O1286" s="3">
        <v>4.8807271044323164</v>
      </c>
      <c r="P1286" s="11">
        <f t="shared" si="206"/>
        <v>102.02950835231155</v>
      </c>
      <c r="Q1286" s="12">
        <f t="shared" si="207"/>
        <v>102.02950835231155</v>
      </c>
      <c r="R1286" s="13">
        <f t="shared" si="208"/>
        <v>58.026355506911308</v>
      </c>
      <c r="S1286" s="3" t="s">
        <v>29</v>
      </c>
      <c r="T1286" s="3" t="s">
        <v>32</v>
      </c>
      <c r="U1286" s="10">
        <v>9310019900999</v>
      </c>
      <c r="V1286" s="3">
        <v>0.1</v>
      </c>
      <c r="W1286" s="3">
        <f t="shared" si="209"/>
        <v>0</v>
      </c>
      <c r="Y1286" s="3">
        <v>0</v>
      </c>
      <c r="Z1286" s="3">
        <v>300</v>
      </c>
      <c r="AA1286" s="3">
        <v>40</v>
      </c>
    </row>
    <row r="1287" spans="1:27" x14ac:dyDescent="0.3">
      <c r="A1287" s="3" t="str">
        <f t="shared" si="200"/>
        <v>West9310099900320</v>
      </c>
      <c r="B1287" s="3" t="str">
        <f t="shared" si="201"/>
        <v>Mah9310099900320</v>
      </c>
      <c r="C1287" s="10">
        <v>9310099900320</v>
      </c>
      <c r="D1287" s="10" t="str">
        <f t="shared" si="202"/>
        <v>9310099900</v>
      </c>
      <c r="E1287" s="3" t="s">
        <v>1</v>
      </c>
      <c r="F1287" s="3" t="s">
        <v>63</v>
      </c>
      <c r="H1287" s="3">
        <v>0</v>
      </c>
      <c r="I1287" s="10">
        <f t="shared" si="203"/>
        <v>0</v>
      </c>
      <c r="J1287" s="3">
        <v>1.6798914650000001</v>
      </c>
      <c r="K1287" s="3">
        <v>0</v>
      </c>
      <c r="L1287" s="3">
        <f t="shared" si="204"/>
        <v>0</v>
      </c>
      <c r="M1287" s="32"/>
      <c r="N1287" s="11">
        <f t="shared" si="205"/>
        <v>-1.6798914650000001</v>
      </c>
      <c r="O1287" s="3">
        <v>1.6798914650000001</v>
      </c>
      <c r="P1287" s="11">
        <f t="shared" si="206"/>
        <v>-30</v>
      </c>
      <c r="Q1287" s="12">
        <f t="shared" si="207"/>
        <v>-30</v>
      </c>
      <c r="R1287" s="13">
        <f t="shared" si="208"/>
        <v>-30.000000000000004</v>
      </c>
      <c r="S1287" s="3">
        <v>0</v>
      </c>
      <c r="T1287" s="3" t="s">
        <v>32</v>
      </c>
      <c r="U1287" s="10">
        <v>9310099900999</v>
      </c>
      <c r="V1287" s="3">
        <v>0.1</v>
      </c>
      <c r="W1287" s="3">
        <f t="shared" si="209"/>
        <v>0</v>
      </c>
      <c r="Y1287" s="3">
        <v>0</v>
      </c>
      <c r="Z1287" s="3">
        <v>256</v>
      </c>
      <c r="AA1287" s="3">
        <v>40</v>
      </c>
    </row>
    <row r="1288" spans="1:27" x14ac:dyDescent="0.3">
      <c r="A1288" s="3" t="str">
        <f t="shared" si="200"/>
        <v>West9310039900320</v>
      </c>
      <c r="B1288" s="3" t="str">
        <f t="shared" si="201"/>
        <v>Mah9310039900320</v>
      </c>
      <c r="C1288" s="10">
        <v>9310039900320</v>
      </c>
      <c r="D1288" s="10" t="str">
        <f t="shared" si="202"/>
        <v>9310039900</v>
      </c>
      <c r="E1288" s="3" t="s">
        <v>1</v>
      </c>
      <c r="F1288" s="3" t="s">
        <v>63</v>
      </c>
      <c r="H1288" s="3">
        <v>20.04</v>
      </c>
      <c r="I1288" s="10">
        <f t="shared" si="203"/>
        <v>443.66108257752774</v>
      </c>
      <c r="J1288" s="3">
        <v>1.3550884303559418</v>
      </c>
      <c r="K1288" s="3">
        <v>0</v>
      </c>
      <c r="L1288" s="3">
        <f t="shared" si="204"/>
        <v>0</v>
      </c>
      <c r="M1288" s="32"/>
      <c r="N1288" s="11">
        <f t="shared" si="205"/>
        <v>18.684911569644058</v>
      </c>
      <c r="O1288" s="3">
        <v>1.3550884303559418</v>
      </c>
      <c r="P1288" s="11">
        <f t="shared" si="206"/>
        <v>413.66108257752774</v>
      </c>
      <c r="Q1288" s="12">
        <f t="shared" si="207"/>
        <v>413.66108257752779</v>
      </c>
      <c r="R1288" s="13">
        <f t="shared" si="208"/>
        <v>114.55890058849035</v>
      </c>
      <c r="S1288" s="3" t="s">
        <v>30</v>
      </c>
      <c r="T1288" s="3" t="s">
        <v>32</v>
      </c>
      <c r="U1288" s="10">
        <v>9310039900999</v>
      </c>
      <c r="V1288" s="3">
        <v>0.1</v>
      </c>
      <c r="W1288" s="3">
        <f t="shared" si="209"/>
        <v>0</v>
      </c>
      <c r="Y1288" s="3">
        <v>0</v>
      </c>
      <c r="Z1288" s="3">
        <v>176</v>
      </c>
      <c r="AA1288" s="3">
        <v>40</v>
      </c>
    </row>
    <row r="1289" spans="1:27" x14ac:dyDescent="0.3">
      <c r="A1289" s="3" t="str">
        <f t="shared" si="200"/>
        <v>West9420049901320</v>
      </c>
      <c r="B1289" s="3" t="str">
        <f t="shared" si="201"/>
        <v>Mah9420049901320</v>
      </c>
      <c r="C1289" s="10">
        <v>9420049901320</v>
      </c>
      <c r="D1289" s="10" t="str">
        <f t="shared" si="202"/>
        <v>9420049901</v>
      </c>
      <c r="E1289" s="3" t="s">
        <v>1</v>
      </c>
      <c r="F1289" s="3" t="s">
        <v>63</v>
      </c>
      <c r="H1289" s="3">
        <v>0.14000000000000001</v>
      </c>
      <c r="I1289" s="10">
        <f t="shared" si="203"/>
        <v>3.3112161761419467</v>
      </c>
      <c r="J1289" s="3">
        <v>1.2684161276638897</v>
      </c>
      <c r="K1289" s="3">
        <v>0</v>
      </c>
      <c r="L1289" s="3">
        <f t="shared" si="204"/>
        <v>0</v>
      </c>
      <c r="M1289" s="32"/>
      <c r="N1289" s="11">
        <f t="shared" si="205"/>
        <v>-1.1284161276638898</v>
      </c>
      <c r="O1289" s="3">
        <v>1.2684161276638897</v>
      </c>
      <c r="P1289" s="11">
        <f t="shared" si="206"/>
        <v>-26.688783823858053</v>
      </c>
      <c r="Q1289" s="12">
        <f t="shared" si="207"/>
        <v>-26.688783823858056</v>
      </c>
      <c r="R1289" s="13">
        <f t="shared" si="208"/>
        <v>68.696520476184929</v>
      </c>
      <c r="S1289" s="3" t="s">
        <v>31</v>
      </c>
      <c r="T1289" s="3" t="s">
        <v>28</v>
      </c>
      <c r="U1289" s="10">
        <v>9420049900999</v>
      </c>
      <c r="V1289" s="3">
        <v>0.1</v>
      </c>
      <c r="W1289" s="3">
        <f t="shared" si="209"/>
        <v>0</v>
      </c>
      <c r="Y1289" s="3">
        <v>2.0463630789890889E-12</v>
      </c>
      <c r="Z1289" s="3">
        <v>1395</v>
      </c>
      <c r="AA1289" s="3">
        <v>40</v>
      </c>
    </row>
    <row r="1290" spans="1:27" x14ac:dyDescent="0.3">
      <c r="A1290" s="3" t="str">
        <f t="shared" si="200"/>
        <v>West9420029902195</v>
      </c>
      <c r="B1290" s="3" t="str">
        <f t="shared" si="201"/>
        <v>Mah9420029902195</v>
      </c>
      <c r="C1290" s="10">
        <v>9420029902195</v>
      </c>
      <c r="D1290" s="10" t="str">
        <f t="shared" si="202"/>
        <v>9420029902</v>
      </c>
      <c r="E1290" s="3" t="s">
        <v>1</v>
      </c>
      <c r="F1290" s="3" t="s">
        <v>63</v>
      </c>
      <c r="H1290" s="3">
        <v>0.76760000000000006</v>
      </c>
      <c r="I1290" s="10">
        <f t="shared" si="203"/>
        <v>24.534422971711233</v>
      </c>
      <c r="J1290" s="3">
        <v>0.93859961681396886</v>
      </c>
      <c r="K1290" s="3">
        <v>0</v>
      </c>
      <c r="L1290" s="3">
        <f t="shared" si="204"/>
        <v>0</v>
      </c>
      <c r="M1290" s="32"/>
      <c r="N1290" s="11">
        <f t="shared" si="205"/>
        <v>-0.1709996168139688</v>
      </c>
      <c r="O1290" s="3">
        <v>0.93859961681396886</v>
      </c>
      <c r="P1290" s="11">
        <f t="shared" si="206"/>
        <v>-5.465577028288763</v>
      </c>
      <c r="Q1290" s="12">
        <f t="shared" si="207"/>
        <v>-5.465577028288763</v>
      </c>
      <c r="R1290" s="13">
        <f t="shared" si="208"/>
        <v>54.081869668543256</v>
      </c>
      <c r="S1290" s="3" t="s">
        <v>31</v>
      </c>
      <c r="T1290" s="3" t="s">
        <v>28</v>
      </c>
      <c r="U1290" s="10">
        <v>0</v>
      </c>
      <c r="V1290" s="3">
        <v>0</v>
      </c>
      <c r="W1290" s="3">
        <f t="shared" si="209"/>
        <v>0</v>
      </c>
      <c r="Y1290" s="3">
        <v>-9.0949470177292824E-13</v>
      </c>
      <c r="Z1290" s="3">
        <v>1826</v>
      </c>
      <c r="AA1290" s="3">
        <v>40</v>
      </c>
    </row>
    <row r="1291" spans="1:27" ht="15.6" x14ac:dyDescent="0.3">
      <c r="A1291" s="3" t="str">
        <f t="shared" si="200"/>
        <v>West9420029902838</v>
      </c>
      <c r="B1291" s="3" t="str">
        <f t="shared" si="201"/>
        <v>Mah9420029902838</v>
      </c>
      <c r="C1291" s="10">
        <v>9420029902838</v>
      </c>
      <c r="D1291" s="10" t="str">
        <f t="shared" si="202"/>
        <v>9420029902</v>
      </c>
      <c r="E1291" s="3" t="s">
        <v>1</v>
      </c>
      <c r="F1291" s="3" t="s">
        <v>63</v>
      </c>
      <c r="H1291" s="3">
        <v>1.2881999999999998</v>
      </c>
      <c r="I1291" s="10">
        <f t="shared" si="203"/>
        <v>50.111483675080258</v>
      </c>
      <c r="J1291" s="3">
        <v>0.77120047473705333</v>
      </c>
      <c r="K1291" s="3">
        <v>0</v>
      </c>
      <c r="L1291" s="3">
        <f t="shared" si="204"/>
        <v>0</v>
      </c>
      <c r="N1291" s="11">
        <f t="shared" si="205"/>
        <v>0.51699952526294646</v>
      </c>
      <c r="O1291" s="3">
        <v>0.77120047473705333</v>
      </c>
      <c r="P1291" s="11">
        <f t="shared" si="206"/>
        <v>20.111483675080262</v>
      </c>
      <c r="Q1291" s="12">
        <f t="shared" si="207"/>
        <v>20.111483675080258</v>
      </c>
      <c r="R1291" s="13">
        <f t="shared" si="208"/>
        <v>45.116201366682233</v>
      </c>
      <c r="S1291" s="3" t="s">
        <v>31</v>
      </c>
      <c r="T1291" s="3" t="s">
        <v>28</v>
      </c>
      <c r="U1291" s="10">
        <v>0</v>
      </c>
      <c r="V1291" s="3">
        <v>0</v>
      </c>
      <c r="W1291" s="3">
        <f t="shared" si="209"/>
        <v>0</v>
      </c>
      <c r="Y1291">
        <v>-91</v>
      </c>
      <c r="Z1291" s="3">
        <v>390</v>
      </c>
      <c r="AA1291" s="3">
        <v>40</v>
      </c>
    </row>
    <row r="1292" spans="1:27" x14ac:dyDescent="0.3">
      <c r="A1292" s="3" t="str">
        <f t="shared" si="200"/>
        <v>West9420049901310</v>
      </c>
      <c r="B1292" s="3" t="str">
        <f t="shared" si="201"/>
        <v>Mah9420049901310</v>
      </c>
      <c r="C1292" s="10">
        <v>9420049901310</v>
      </c>
      <c r="D1292" s="10" t="str">
        <f t="shared" si="202"/>
        <v>9420049901</v>
      </c>
      <c r="E1292" s="3" t="s">
        <v>1</v>
      </c>
      <c r="F1292" s="3" t="s">
        <v>63</v>
      </c>
      <c r="H1292" s="3">
        <v>1.4500000000000002</v>
      </c>
      <c r="I1292" s="10">
        <f t="shared" si="203"/>
        <v>94.593622486310309</v>
      </c>
      <c r="J1292" s="3">
        <v>0.45986186866133999</v>
      </c>
      <c r="K1292" s="3">
        <v>0</v>
      </c>
      <c r="L1292" s="3">
        <f t="shared" si="204"/>
        <v>0</v>
      </c>
      <c r="N1292" s="11">
        <f t="shared" si="205"/>
        <v>0.99013813133866013</v>
      </c>
      <c r="O1292" s="3">
        <v>0.45986186866133999</v>
      </c>
      <c r="P1292" s="11">
        <f t="shared" si="206"/>
        <v>64.593622486310309</v>
      </c>
      <c r="Q1292" s="12">
        <f t="shared" si="207"/>
        <v>64.593622486310295</v>
      </c>
      <c r="R1292" s="13">
        <f t="shared" si="208"/>
        <v>170.13190436797507</v>
      </c>
      <c r="S1292" s="3" t="s">
        <v>31</v>
      </c>
      <c r="T1292" s="3" t="s">
        <v>28</v>
      </c>
      <c r="U1292" s="10">
        <v>9420049900999</v>
      </c>
      <c r="V1292" s="3">
        <v>0.1</v>
      </c>
      <c r="W1292" s="3">
        <f t="shared" si="209"/>
        <v>0</v>
      </c>
      <c r="AA1292" s="3">
        <v>40</v>
      </c>
    </row>
    <row r="1293" spans="1:27" x14ac:dyDescent="0.3">
      <c r="A1293" s="3" t="str">
        <f t="shared" si="200"/>
        <v>West9420029902319</v>
      </c>
      <c r="B1293" s="3" t="str">
        <f t="shared" si="201"/>
        <v>Mah9420029902319</v>
      </c>
      <c r="C1293" s="10">
        <v>9420029902319</v>
      </c>
      <c r="D1293" s="10" t="str">
        <f t="shared" si="202"/>
        <v>9420029902</v>
      </c>
      <c r="E1293" s="3" t="s">
        <v>1</v>
      </c>
      <c r="F1293" s="3" t="s">
        <v>63</v>
      </c>
      <c r="H1293" s="3">
        <v>1.2160000000000002</v>
      </c>
      <c r="I1293" s="10">
        <f t="shared" si="203"/>
        <v>82.145612452073095</v>
      </c>
      <c r="J1293" s="3">
        <v>0.44408945178032289</v>
      </c>
      <c r="K1293" s="3">
        <v>0</v>
      </c>
      <c r="L1293" s="3">
        <f t="shared" si="204"/>
        <v>0</v>
      </c>
      <c r="N1293" s="11">
        <f t="shared" si="205"/>
        <v>0.77191054821967731</v>
      </c>
      <c r="O1293" s="3">
        <v>0.44408945178032289</v>
      </c>
      <c r="P1293" s="11">
        <f t="shared" si="206"/>
        <v>52.145612452073095</v>
      </c>
      <c r="Q1293" s="12">
        <f t="shared" si="207"/>
        <v>52.145612452073095</v>
      </c>
      <c r="R1293" s="13">
        <f t="shared" si="208"/>
        <v>100.81020277708481</v>
      </c>
      <c r="S1293" s="3" t="s">
        <v>31</v>
      </c>
      <c r="T1293" s="3" t="s">
        <v>28</v>
      </c>
      <c r="U1293" s="10">
        <v>9420029900999</v>
      </c>
      <c r="V1293" s="3">
        <v>0.1</v>
      </c>
      <c r="W1293" s="3">
        <f t="shared" si="209"/>
        <v>0</v>
      </c>
      <c r="AA1293" s="3">
        <v>40</v>
      </c>
    </row>
    <row r="1294" spans="1:27" x14ac:dyDescent="0.3">
      <c r="A1294" s="3" t="str">
        <f t="shared" si="200"/>
        <v>West9310019900310</v>
      </c>
      <c r="B1294" s="3" t="str">
        <f t="shared" si="201"/>
        <v>Mah9310019900310</v>
      </c>
      <c r="C1294" s="10">
        <v>9310019900310</v>
      </c>
      <c r="D1294" s="10" t="str">
        <f t="shared" si="202"/>
        <v>9310019900</v>
      </c>
      <c r="E1294" s="3" t="s">
        <v>1</v>
      </c>
      <c r="F1294" s="3" t="s">
        <v>63</v>
      </c>
      <c r="H1294" s="3">
        <v>1.6500000000000004</v>
      </c>
      <c r="I1294" s="10">
        <f t="shared" si="203"/>
        <v>124.0532185683869</v>
      </c>
      <c r="J1294" s="3">
        <v>0.39902229519915372</v>
      </c>
      <c r="K1294" s="3">
        <v>0</v>
      </c>
      <c r="L1294" s="3">
        <f t="shared" si="204"/>
        <v>0</v>
      </c>
      <c r="N1294" s="11">
        <f t="shared" si="205"/>
        <v>1.2509777048008466</v>
      </c>
      <c r="O1294" s="3">
        <v>0.39902229519915372</v>
      </c>
      <c r="P1294" s="11">
        <f t="shared" si="206"/>
        <v>94.053218568386882</v>
      </c>
      <c r="Q1294" s="12">
        <f t="shared" si="207"/>
        <v>94.053218568386882</v>
      </c>
      <c r="R1294" s="13">
        <f t="shared" si="208"/>
        <v>95.847265885842234</v>
      </c>
      <c r="S1294" s="3" t="s">
        <v>30</v>
      </c>
      <c r="T1294" s="3" t="s">
        <v>32</v>
      </c>
      <c r="U1294" s="10">
        <v>9310019900999</v>
      </c>
      <c r="V1294" s="3">
        <v>0.1</v>
      </c>
      <c r="W1294" s="3">
        <f t="shared" si="209"/>
        <v>0</v>
      </c>
      <c r="AA1294" s="3">
        <v>40</v>
      </c>
    </row>
    <row r="1295" spans="1:27" x14ac:dyDescent="0.3">
      <c r="A1295" s="3" t="str">
        <f t="shared" si="200"/>
        <v>West9310099900840</v>
      </c>
      <c r="B1295" s="3" t="str">
        <f t="shared" si="201"/>
        <v>Mah9310099900840</v>
      </c>
      <c r="C1295" s="10">
        <v>9310099900840</v>
      </c>
      <c r="D1295" s="10" t="str">
        <f t="shared" si="202"/>
        <v>9310099900</v>
      </c>
      <c r="E1295" s="3" t="s">
        <v>1</v>
      </c>
      <c r="F1295" s="3" t="s">
        <v>63</v>
      </c>
      <c r="H1295" s="3">
        <v>0</v>
      </c>
      <c r="I1295" s="10">
        <f t="shared" si="203"/>
        <v>0</v>
      </c>
      <c r="J1295" s="3">
        <v>0.36240355199999996</v>
      </c>
      <c r="K1295" s="3">
        <v>0</v>
      </c>
      <c r="L1295" s="3">
        <f t="shared" si="204"/>
        <v>0</v>
      </c>
      <c r="N1295" s="11">
        <f t="shared" si="205"/>
        <v>-0.36240355199999996</v>
      </c>
      <c r="O1295" s="3">
        <v>0.36240355199999996</v>
      </c>
      <c r="P1295" s="11">
        <f t="shared" si="206"/>
        <v>-30</v>
      </c>
      <c r="Q1295" s="12">
        <f t="shared" si="207"/>
        <v>-30</v>
      </c>
      <c r="R1295" s="13">
        <f t="shared" si="208"/>
        <v>-30</v>
      </c>
      <c r="S1295" s="3">
        <v>0</v>
      </c>
      <c r="T1295" s="3" t="s">
        <v>32</v>
      </c>
      <c r="U1295" s="10">
        <v>0</v>
      </c>
      <c r="V1295" s="3">
        <v>0</v>
      </c>
      <c r="W1295" s="3">
        <f t="shared" si="209"/>
        <v>0</v>
      </c>
      <c r="AA1295" s="3">
        <v>40</v>
      </c>
    </row>
    <row r="1296" spans="1:27" x14ac:dyDescent="0.3">
      <c r="A1296" s="3" t="str">
        <f t="shared" si="200"/>
        <v>West9310099900310</v>
      </c>
      <c r="B1296" s="3" t="str">
        <f t="shared" si="201"/>
        <v>Mah9310099900310</v>
      </c>
      <c r="C1296" s="10">
        <v>9310099900310</v>
      </c>
      <c r="D1296" s="10" t="str">
        <f t="shared" si="202"/>
        <v>9310099900</v>
      </c>
      <c r="E1296" s="3" t="s">
        <v>1</v>
      </c>
      <c r="F1296" s="3" t="s">
        <v>63</v>
      </c>
      <c r="H1296" s="3">
        <v>0</v>
      </c>
      <c r="I1296" s="10">
        <f t="shared" si="203"/>
        <v>0</v>
      </c>
      <c r="J1296" s="3">
        <v>0.33031573749999993</v>
      </c>
      <c r="K1296" s="3">
        <v>0</v>
      </c>
      <c r="L1296" s="3">
        <f t="shared" si="204"/>
        <v>0</v>
      </c>
      <c r="N1296" s="11">
        <f t="shared" si="205"/>
        <v>-0.33031573749999993</v>
      </c>
      <c r="O1296" s="3">
        <v>0.33031573749999993</v>
      </c>
      <c r="P1296" s="11">
        <f t="shared" si="206"/>
        <v>-30</v>
      </c>
      <c r="Q1296" s="12">
        <f t="shared" si="207"/>
        <v>-29.999999999999996</v>
      </c>
      <c r="R1296" s="13">
        <f t="shared" si="208"/>
        <v>-30</v>
      </c>
      <c r="S1296" s="3">
        <v>0</v>
      </c>
      <c r="T1296" s="3" t="s">
        <v>32</v>
      </c>
      <c r="U1296" s="10">
        <v>9310099900999</v>
      </c>
      <c r="V1296" s="3">
        <v>0.1</v>
      </c>
      <c r="W1296" s="3">
        <f t="shared" si="209"/>
        <v>0</v>
      </c>
      <c r="AA1296" s="3">
        <v>40</v>
      </c>
    </row>
    <row r="1297" spans="1:27" x14ac:dyDescent="0.3">
      <c r="A1297" s="3" t="str">
        <f t="shared" si="200"/>
        <v>West9420029902295</v>
      </c>
      <c r="B1297" s="3" t="str">
        <f t="shared" si="201"/>
        <v>Mah9420029902295</v>
      </c>
      <c r="C1297" s="10">
        <v>9420029902295</v>
      </c>
      <c r="D1297" s="10" t="str">
        <f t="shared" si="202"/>
        <v>9420029902</v>
      </c>
      <c r="E1297" s="3" t="s">
        <v>1</v>
      </c>
      <c r="F1297" s="3" t="s">
        <v>63</v>
      </c>
      <c r="H1297" s="3">
        <v>0.98799999999999999</v>
      </c>
      <c r="I1297" s="10">
        <f t="shared" si="203"/>
        <v>91.015469630765935</v>
      </c>
      <c r="J1297" s="3">
        <v>0.32565892501839927</v>
      </c>
      <c r="K1297" s="3">
        <v>0</v>
      </c>
      <c r="L1297" s="3">
        <f t="shared" si="204"/>
        <v>0</v>
      </c>
      <c r="N1297" s="11">
        <f t="shared" si="205"/>
        <v>0.66234107498160077</v>
      </c>
      <c r="O1297" s="3">
        <v>0.32565892501839927</v>
      </c>
      <c r="P1297" s="11">
        <f t="shared" si="206"/>
        <v>61.015469630765942</v>
      </c>
      <c r="Q1297" s="12">
        <f t="shared" si="207"/>
        <v>61.015469630765942</v>
      </c>
      <c r="R1297" s="13">
        <f t="shared" si="208"/>
        <v>62.065240679388516</v>
      </c>
      <c r="S1297" s="3" t="s">
        <v>31</v>
      </c>
      <c r="T1297" s="3" t="s">
        <v>28</v>
      </c>
      <c r="U1297" s="10">
        <v>9420029900999</v>
      </c>
      <c r="V1297" s="3">
        <v>0.1</v>
      </c>
      <c r="W1297" s="3">
        <f t="shared" si="209"/>
        <v>0</v>
      </c>
      <c r="AA1297" s="3">
        <v>40</v>
      </c>
    </row>
    <row r="1298" spans="1:27" x14ac:dyDescent="0.3">
      <c r="A1298" s="3" t="str">
        <f t="shared" si="200"/>
        <v>West9420049901840</v>
      </c>
      <c r="B1298" s="3" t="str">
        <f t="shared" si="201"/>
        <v>Mah9420049901840</v>
      </c>
      <c r="C1298" s="10">
        <v>9420049901840</v>
      </c>
      <c r="D1298" s="10" t="str">
        <f t="shared" si="202"/>
        <v>9420049901</v>
      </c>
      <c r="E1298" s="3" t="s">
        <v>1</v>
      </c>
      <c r="F1298" s="3" t="s">
        <v>63</v>
      </c>
      <c r="H1298" s="3">
        <v>1.512</v>
      </c>
      <c r="I1298" s="10">
        <f t="shared" si="203"/>
        <v>205.59848540324566</v>
      </c>
      <c r="J1298" s="3">
        <v>0.22062419336910119</v>
      </c>
      <c r="K1298" s="3">
        <v>0</v>
      </c>
      <c r="L1298" s="3">
        <f t="shared" si="204"/>
        <v>0</v>
      </c>
      <c r="N1298" s="11">
        <f t="shared" si="205"/>
        <v>1.2913758066308989</v>
      </c>
      <c r="O1298" s="3">
        <v>0.22062419336910119</v>
      </c>
      <c r="P1298" s="11">
        <f t="shared" si="206"/>
        <v>175.59848540324566</v>
      </c>
      <c r="Q1298" s="12">
        <f t="shared" si="207"/>
        <v>175.59848540324566</v>
      </c>
      <c r="R1298" s="13">
        <f t="shared" si="208"/>
        <v>99.630784822686721</v>
      </c>
      <c r="S1298" s="3" t="s">
        <v>31</v>
      </c>
      <c r="T1298" s="3" t="s">
        <v>28</v>
      </c>
      <c r="U1298" s="10">
        <v>0</v>
      </c>
      <c r="V1298" s="3">
        <v>0</v>
      </c>
      <c r="W1298" s="3">
        <f t="shared" si="209"/>
        <v>0</v>
      </c>
      <c r="AA1298" s="3">
        <v>40</v>
      </c>
    </row>
    <row r="1299" spans="1:27" x14ac:dyDescent="0.3">
      <c r="A1299" s="3" t="str">
        <f t="shared" si="200"/>
        <v>West9420049901210</v>
      </c>
      <c r="B1299" s="3" t="str">
        <f t="shared" si="201"/>
        <v>Mah9420049901210</v>
      </c>
      <c r="C1299" s="10">
        <v>9420049901210</v>
      </c>
      <c r="D1299" s="10" t="str">
        <f t="shared" si="202"/>
        <v>9420049901</v>
      </c>
      <c r="E1299" s="3" t="s">
        <v>1</v>
      </c>
      <c r="F1299" s="3" t="s">
        <v>63</v>
      </c>
      <c r="H1299" s="3">
        <v>1.1990000000000003</v>
      </c>
      <c r="I1299" s="10">
        <f t="shared" si="203"/>
        <v>223.27697618903207</v>
      </c>
      <c r="J1299" s="3">
        <v>0.1611003544294996</v>
      </c>
      <c r="K1299" s="3">
        <v>0</v>
      </c>
      <c r="L1299" s="3">
        <f t="shared" si="204"/>
        <v>0</v>
      </c>
      <c r="N1299" s="11">
        <f t="shared" si="205"/>
        <v>1.0378996455705007</v>
      </c>
      <c r="O1299" s="3">
        <v>0.1611003544294996</v>
      </c>
      <c r="P1299" s="11">
        <f t="shared" si="206"/>
        <v>193.27697618903207</v>
      </c>
      <c r="Q1299" s="12">
        <f t="shared" si="207"/>
        <v>193.27697618903207</v>
      </c>
      <c r="R1299" s="13">
        <f t="shared" si="208"/>
        <v>1134.7604804875584</v>
      </c>
      <c r="S1299" s="3" t="s">
        <v>31</v>
      </c>
      <c r="T1299" s="3" t="s">
        <v>28</v>
      </c>
      <c r="U1299" s="10">
        <v>0</v>
      </c>
      <c r="V1299" s="3">
        <v>0</v>
      </c>
      <c r="W1299" s="3">
        <f t="shared" si="209"/>
        <v>0</v>
      </c>
      <c r="AA1299" s="3">
        <v>40</v>
      </c>
    </row>
    <row r="1300" spans="1:27" x14ac:dyDescent="0.3">
      <c r="A1300" s="3" t="str">
        <f t="shared" si="200"/>
        <v>West9310019900840</v>
      </c>
      <c r="B1300" s="3" t="str">
        <f t="shared" si="201"/>
        <v>Mah9310019900840</v>
      </c>
      <c r="C1300" s="10">
        <v>9310019900840</v>
      </c>
      <c r="D1300" s="10" t="str">
        <f t="shared" si="202"/>
        <v>9310019900</v>
      </c>
      <c r="E1300" s="3" t="s">
        <v>1</v>
      </c>
      <c r="F1300" s="3" t="s">
        <v>63</v>
      </c>
      <c r="H1300" s="3">
        <v>1.5080000000000002</v>
      </c>
      <c r="I1300" s="10">
        <f t="shared" si="203"/>
        <v>306.89682786832714</v>
      </c>
      <c r="J1300" s="3">
        <v>0.14741110331518331</v>
      </c>
      <c r="K1300" s="3">
        <v>0</v>
      </c>
      <c r="L1300" s="3">
        <f t="shared" si="204"/>
        <v>0</v>
      </c>
      <c r="N1300" s="11">
        <f t="shared" si="205"/>
        <v>1.360588896684817</v>
      </c>
      <c r="O1300" s="3">
        <v>0.14741110331518331</v>
      </c>
      <c r="P1300" s="11">
        <f t="shared" si="206"/>
        <v>276.89682786832719</v>
      </c>
      <c r="Q1300" s="12">
        <f t="shared" si="207"/>
        <v>276.89682786832719</v>
      </c>
      <c r="R1300" s="13">
        <f t="shared" si="208"/>
        <v>82.350057663911571</v>
      </c>
      <c r="S1300" s="3" t="s">
        <v>31</v>
      </c>
      <c r="T1300" s="3" t="s">
        <v>32</v>
      </c>
      <c r="U1300" s="10">
        <v>0</v>
      </c>
      <c r="V1300" s="3">
        <v>0</v>
      </c>
      <c r="W1300" s="3">
        <f t="shared" si="209"/>
        <v>0</v>
      </c>
      <c r="AA1300" s="3">
        <v>40</v>
      </c>
    </row>
    <row r="1301" spans="1:27" x14ac:dyDescent="0.3">
      <c r="A1301" s="3" t="str">
        <f t="shared" si="200"/>
        <v>West9310039900310</v>
      </c>
      <c r="B1301" s="3" t="str">
        <f t="shared" si="201"/>
        <v>Mah9310039900310</v>
      </c>
      <c r="C1301" s="10">
        <v>9310039900310</v>
      </c>
      <c r="D1301" s="10" t="str">
        <f t="shared" si="202"/>
        <v>9310039900</v>
      </c>
      <c r="E1301" s="3" t="s">
        <v>1</v>
      </c>
      <c r="F1301" s="3" t="s">
        <v>63</v>
      </c>
      <c r="H1301" s="3">
        <v>1.2800000000000002</v>
      </c>
      <c r="I1301" s="10">
        <f t="shared" si="203"/>
        <v>341.70083992470796</v>
      </c>
      <c r="J1301" s="3">
        <v>0.1123790038340592</v>
      </c>
      <c r="K1301" s="3">
        <v>0</v>
      </c>
      <c r="L1301" s="3">
        <f t="shared" si="204"/>
        <v>0</v>
      </c>
      <c r="N1301" s="11">
        <f t="shared" si="205"/>
        <v>1.1676209961659409</v>
      </c>
      <c r="O1301" s="3">
        <v>0.1123790038340592</v>
      </c>
      <c r="P1301" s="11">
        <f t="shared" si="206"/>
        <v>311.70083992470791</v>
      </c>
      <c r="Q1301" s="12">
        <f t="shared" si="207"/>
        <v>311.70083992470796</v>
      </c>
      <c r="R1301" s="13">
        <f t="shared" si="208"/>
        <v>107.62903162347897</v>
      </c>
      <c r="S1301" s="3" t="s">
        <v>31</v>
      </c>
      <c r="T1301" s="3" t="s">
        <v>32</v>
      </c>
      <c r="U1301" s="10">
        <v>9310039900999</v>
      </c>
      <c r="V1301" s="3">
        <v>0.1</v>
      </c>
      <c r="W1301" s="3">
        <f t="shared" si="209"/>
        <v>0</v>
      </c>
      <c r="AA1301" s="3">
        <v>40</v>
      </c>
    </row>
    <row r="1302" spans="1:27" x14ac:dyDescent="0.3">
      <c r="A1302" s="3" t="str">
        <f t="shared" si="200"/>
        <v>West9310039900840</v>
      </c>
      <c r="B1302" s="3" t="str">
        <f t="shared" si="201"/>
        <v>Mah9310039900840</v>
      </c>
      <c r="C1302" s="10">
        <v>9310039900840</v>
      </c>
      <c r="D1302" s="10" t="str">
        <f t="shared" si="202"/>
        <v>9310039900</v>
      </c>
      <c r="E1302" s="3" t="s">
        <v>1</v>
      </c>
      <c r="F1302" s="3" t="s">
        <v>63</v>
      </c>
      <c r="H1302" s="3">
        <v>0.42000000000000004</v>
      </c>
      <c r="I1302" s="10">
        <f t="shared" si="203"/>
        <v>533.5899378264927</v>
      </c>
      <c r="J1302" s="3">
        <v>2.3613638689148481E-2</v>
      </c>
      <c r="K1302" s="3">
        <v>0</v>
      </c>
      <c r="L1302" s="3">
        <f t="shared" si="204"/>
        <v>0</v>
      </c>
      <c r="N1302" s="11">
        <f t="shared" si="205"/>
        <v>0.39638636131085159</v>
      </c>
      <c r="O1302" s="3">
        <v>2.3613638689148481E-2</v>
      </c>
      <c r="P1302" s="11">
        <f t="shared" si="206"/>
        <v>503.58993782649276</v>
      </c>
      <c r="Q1302" s="12">
        <f t="shared" si="207"/>
        <v>503.58993782649281</v>
      </c>
      <c r="R1302" s="13">
        <f t="shared" si="208"/>
        <v>282.75963411080329</v>
      </c>
      <c r="S1302" s="3" t="s">
        <v>31</v>
      </c>
      <c r="T1302" s="3" t="s">
        <v>32</v>
      </c>
      <c r="U1302" s="10">
        <v>0</v>
      </c>
      <c r="V1302" s="3">
        <v>0</v>
      </c>
      <c r="W1302" s="3">
        <f t="shared" si="209"/>
        <v>0</v>
      </c>
      <c r="AA1302" s="3">
        <v>40</v>
      </c>
    </row>
    <row r="1303" spans="1:27" x14ac:dyDescent="0.3">
      <c r="A1303" s="3" t="str">
        <f t="shared" si="200"/>
        <v>West9310019900210</v>
      </c>
      <c r="B1303" s="3" t="str">
        <f t="shared" si="201"/>
        <v>Mah9310019900210</v>
      </c>
      <c r="C1303" s="10">
        <v>9310019900210</v>
      </c>
      <c r="D1303" s="10" t="str">
        <f t="shared" si="202"/>
        <v>9310019900</v>
      </c>
      <c r="E1303" s="3" t="s">
        <v>1</v>
      </c>
      <c r="F1303" s="3" t="s">
        <v>63</v>
      </c>
      <c r="H1303" s="3">
        <v>0.24600000000000002</v>
      </c>
      <c r="I1303" s="10">
        <f t="shared" si="203"/>
        <v>596.27286749369989</v>
      </c>
      <c r="J1303" s="3">
        <v>1.2376883809957991E-2</v>
      </c>
      <c r="K1303" s="3">
        <v>0</v>
      </c>
      <c r="L1303" s="3">
        <f t="shared" si="204"/>
        <v>0</v>
      </c>
      <c r="N1303" s="11">
        <f t="shared" si="205"/>
        <v>0.23362311619004203</v>
      </c>
      <c r="O1303" s="3">
        <v>1.2376883809957991E-2</v>
      </c>
      <c r="P1303" s="11">
        <f t="shared" si="206"/>
        <v>566.27286749369989</v>
      </c>
      <c r="Q1303" s="12">
        <f t="shared" si="207"/>
        <v>566.27286749369989</v>
      </c>
      <c r="R1303" s="13">
        <f t="shared" si="208"/>
        <v>154.09203418238798</v>
      </c>
      <c r="S1303" s="3" t="s">
        <v>31</v>
      </c>
      <c r="T1303" s="3" t="s">
        <v>32</v>
      </c>
      <c r="U1303" s="10">
        <v>0</v>
      </c>
      <c r="V1303" s="3">
        <v>0</v>
      </c>
      <c r="W1303" s="3">
        <f t="shared" si="209"/>
        <v>0</v>
      </c>
      <c r="AA1303" s="3">
        <v>40</v>
      </c>
    </row>
    <row r="1304" spans="1:27" x14ac:dyDescent="0.3">
      <c r="A1304" s="3" t="str">
        <f t="shared" si="200"/>
        <v>West9310039900210</v>
      </c>
      <c r="B1304" s="3" t="str">
        <f t="shared" si="201"/>
        <v>Mah9310039900210</v>
      </c>
      <c r="C1304" s="10">
        <v>9310039900210</v>
      </c>
      <c r="D1304" s="10" t="str">
        <f t="shared" si="202"/>
        <v>9310039900</v>
      </c>
      <c r="E1304" s="3" t="s">
        <v>1</v>
      </c>
      <c r="F1304" s="3" t="s">
        <v>63</v>
      </c>
      <c r="H1304" s="3">
        <v>1.103</v>
      </c>
      <c r="I1304" s="10">
        <f t="shared" si="203"/>
        <v>0</v>
      </c>
      <c r="J1304" s="3">
        <v>0</v>
      </c>
      <c r="K1304" s="3">
        <v>0</v>
      </c>
      <c r="L1304" s="3">
        <f t="shared" si="204"/>
        <v>0</v>
      </c>
      <c r="N1304" s="11">
        <f t="shared" si="205"/>
        <v>1.103</v>
      </c>
      <c r="O1304" s="3">
        <v>0</v>
      </c>
      <c r="P1304" s="11">
        <f t="shared" si="206"/>
        <v>9999</v>
      </c>
      <c r="Q1304" s="12">
        <f t="shared" si="207"/>
        <v>9999</v>
      </c>
      <c r="R1304" s="13">
        <f t="shared" si="208"/>
        <v>1630.2267212502918</v>
      </c>
      <c r="S1304" s="3" t="s">
        <v>31</v>
      </c>
      <c r="T1304" s="3" t="s">
        <v>32</v>
      </c>
      <c r="U1304" s="10">
        <v>0</v>
      </c>
      <c r="V1304" s="3">
        <v>0</v>
      </c>
      <c r="W1304" s="3">
        <f t="shared" si="209"/>
        <v>0</v>
      </c>
      <c r="AA1304" s="3">
        <v>40</v>
      </c>
    </row>
    <row r="1305" spans="1:27" x14ac:dyDescent="0.3">
      <c r="A1305" s="3" t="str">
        <f t="shared" si="200"/>
        <v>West9100509900210</v>
      </c>
      <c r="B1305" s="3" t="str">
        <f t="shared" si="201"/>
        <v>Mah9100509900210</v>
      </c>
      <c r="C1305" s="10">
        <v>9100509900210</v>
      </c>
      <c r="D1305" s="10" t="str">
        <f t="shared" si="202"/>
        <v>9100509900</v>
      </c>
      <c r="E1305" s="3" t="s">
        <v>1</v>
      </c>
      <c r="F1305" s="3" t="s">
        <v>63</v>
      </c>
      <c r="H1305" s="3">
        <v>0</v>
      </c>
      <c r="I1305" s="10">
        <f t="shared" si="203"/>
        <v>0</v>
      </c>
      <c r="J1305" s="3">
        <v>0</v>
      </c>
      <c r="K1305" s="3">
        <v>0</v>
      </c>
      <c r="L1305" s="3">
        <f t="shared" si="204"/>
        <v>0</v>
      </c>
      <c r="N1305" s="11">
        <f t="shared" si="205"/>
        <v>0</v>
      </c>
      <c r="O1305" s="3">
        <v>0</v>
      </c>
      <c r="P1305" s="11">
        <f t="shared" si="206"/>
        <v>9999</v>
      </c>
      <c r="Q1305" s="12">
        <f t="shared" si="207"/>
        <v>9999</v>
      </c>
      <c r="R1305" s="13">
        <f t="shared" si="208"/>
        <v>9999</v>
      </c>
      <c r="S1305" s="3" t="s">
        <v>31</v>
      </c>
      <c r="T1305" s="3" t="s">
        <v>34</v>
      </c>
      <c r="U1305" s="10" t="s">
        <v>72</v>
      </c>
      <c r="V1305" s="3" t="s">
        <v>72</v>
      </c>
      <c r="W1305" s="3">
        <f t="shared" si="209"/>
        <v>0</v>
      </c>
      <c r="AA1305" s="3">
        <v>40</v>
      </c>
    </row>
    <row r="1306" spans="1:27" x14ac:dyDescent="0.3">
      <c r="A1306" s="3" t="str">
        <f t="shared" si="200"/>
        <v>North9330209901320</v>
      </c>
      <c r="B1306" s="3" t="str">
        <f t="shared" si="201"/>
        <v>Pan9330209901320</v>
      </c>
      <c r="C1306" s="10">
        <v>9330209901320</v>
      </c>
      <c r="D1306" s="10" t="str">
        <f t="shared" si="202"/>
        <v>9330209901</v>
      </c>
      <c r="E1306" s="3" t="s">
        <v>2</v>
      </c>
      <c r="F1306" s="3" t="s">
        <v>64</v>
      </c>
      <c r="H1306" s="3">
        <v>78.340000000000018</v>
      </c>
      <c r="I1306" s="10">
        <f t="shared" si="203"/>
        <v>46.227301520861381</v>
      </c>
      <c r="J1306" s="3">
        <v>50.840086327327718</v>
      </c>
      <c r="K1306" s="3">
        <v>0</v>
      </c>
      <c r="L1306" s="3">
        <f t="shared" si="204"/>
        <v>0</v>
      </c>
      <c r="N1306" s="11">
        <f t="shared" si="205"/>
        <v>27.499913672672299</v>
      </c>
      <c r="O1306" s="3">
        <v>50.840086327327718</v>
      </c>
      <c r="P1306" s="11">
        <f t="shared" si="206"/>
        <v>16.227301520861381</v>
      </c>
      <c r="Q1306" s="12">
        <f t="shared" si="207"/>
        <v>5.1401043514491214</v>
      </c>
      <c r="R1306" s="13">
        <f t="shared" si="208"/>
        <v>-2.7737615488561329</v>
      </c>
      <c r="S1306" s="3" t="s">
        <v>29</v>
      </c>
      <c r="T1306" s="3" t="s">
        <v>35</v>
      </c>
      <c r="U1306" s="10">
        <v>9330209900999</v>
      </c>
      <c r="V1306" s="3">
        <v>0.1</v>
      </c>
      <c r="W1306" s="3">
        <f t="shared" si="209"/>
        <v>0</v>
      </c>
      <c r="AA1306" s="3">
        <v>40</v>
      </c>
    </row>
    <row r="1307" spans="1:27" x14ac:dyDescent="0.3">
      <c r="A1307" s="3" t="str">
        <f t="shared" si="200"/>
        <v>North9160309901320</v>
      </c>
      <c r="B1307" s="3" t="str">
        <f t="shared" si="201"/>
        <v>Pan9160309901320</v>
      </c>
      <c r="C1307" s="10">
        <v>9160309901320</v>
      </c>
      <c r="D1307" s="10" t="str">
        <f t="shared" si="202"/>
        <v>9160309901</v>
      </c>
      <c r="E1307" s="3" t="s">
        <v>2</v>
      </c>
      <c r="F1307" s="3" t="s">
        <v>64</v>
      </c>
      <c r="H1307" s="3">
        <v>36.22</v>
      </c>
      <c r="I1307" s="10">
        <f t="shared" si="203"/>
        <v>55.139294220182187</v>
      </c>
      <c r="J1307" s="3">
        <v>19.706454632171926</v>
      </c>
      <c r="K1307" s="3">
        <v>0</v>
      </c>
      <c r="L1307" s="3">
        <f t="shared" si="204"/>
        <v>0</v>
      </c>
      <c r="N1307" s="11">
        <f t="shared" si="205"/>
        <v>16.513545367828073</v>
      </c>
      <c r="O1307" s="3">
        <v>19.706454632171926</v>
      </c>
      <c r="P1307" s="11">
        <f t="shared" si="206"/>
        <v>25.139294220182187</v>
      </c>
      <c r="Q1307" s="12">
        <f t="shared" si="207"/>
        <v>29.355655850065993</v>
      </c>
      <c r="R1307" s="13">
        <f t="shared" si="208"/>
        <v>53.861568355379056</v>
      </c>
      <c r="S1307" s="3" t="s">
        <v>29</v>
      </c>
      <c r="T1307" s="3" t="s">
        <v>34</v>
      </c>
      <c r="U1307" s="10">
        <v>0</v>
      </c>
      <c r="V1307" s="3">
        <v>0</v>
      </c>
      <c r="W1307" s="3">
        <f t="shared" si="209"/>
        <v>0</v>
      </c>
      <c r="AA1307" s="3">
        <v>40</v>
      </c>
    </row>
    <row r="1308" spans="1:27" x14ac:dyDescent="0.3">
      <c r="A1308" s="3" t="str">
        <f t="shared" si="200"/>
        <v>North9310019900320</v>
      </c>
      <c r="B1308" s="3" t="str">
        <f t="shared" si="201"/>
        <v>Pan9310019900320</v>
      </c>
      <c r="C1308" s="10">
        <v>9310019900320</v>
      </c>
      <c r="D1308" s="10" t="str">
        <f t="shared" si="202"/>
        <v>9310019900</v>
      </c>
      <c r="E1308" s="3" t="s">
        <v>2</v>
      </c>
      <c r="F1308" s="3" t="s">
        <v>64</v>
      </c>
      <c r="H1308" s="3">
        <v>18.338000000000001</v>
      </c>
      <c r="I1308" s="10">
        <f t="shared" si="203"/>
        <v>35.345801974960708</v>
      </c>
      <c r="J1308" s="3">
        <v>15.564507501901476</v>
      </c>
      <c r="K1308" s="3">
        <v>0</v>
      </c>
      <c r="L1308" s="3">
        <f t="shared" si="204"/>
        <v>0</v>
      </c>
      <c r="N1308" s="11">
        <f t="shared" si="205"/>
        <v>2.7734924980985252</v>
      </c>
      <c r="O1308" s="3">
        <v>15.564507501901476</v>
      </c>
      <c r="P1308" s="11">
        <f t="shared" si="206"/>
        <v>5.3458019749607137</v>
      </c>
      <c r="Q1308" s="12">
        <f t="shared" si="207"/>
        <v>38.108702280162824</v>
      </c>
      <c r="R1308" s="13">
        <f t="shared" si="208"/>
        <v>58.026355506911308</v>
      </c>
      <c r="S1308" s="3" t="s">
        <v>29</v>
      </c>
      <c r="T1308" s="3" t="s">
        <v>32</v>
      </c>
      <c r="U1308" s="10">
        <v>9310019900999</v>
      </c>
      <c r="V1308" s="3">
        <v>0.1</v>
      </c>
      <c r="W1308" s="3">
        <f t="shared" si="209"/>
        <v>0</v>
      </c>
      <c r="AA1308" s="3">
        <v>40</v>
      </c>
    </row>
    <row r="1309" spans="1:27" x14ac:dyDescent="0.3">
      <c r="A1309" s="3" t="str">
        <f t="shared" si="200"/>
        <v>North9310099900320</v>
      </c>
      <c r="B1309" s="3" t="str">
        <f t="shared" si="201"/>
        <v>Pan9310099900320</v>
      </c>
      <c r="C1309" s="10">
        <v>9310099900320</v>
      </c>
      <c r="D1309" s="10" t="str">
        <f t="shared" si="202"/>
        <v>9310099900</v>
      </c>
      <c r="E1309" s="3" t="s">
        <v>2</v>
      </c>
      <c r="F1309" s="3" t="s">
        <v>64</v>
      </c>
      <c r="H1309" s="3">
        <v>0</v>
      </c>
      <c r="I1309" s="10">
        <f t="shared" si="203"/>
        <v>0</v>
      </c>
      <c r="J1309" s="3">
        <v>13.231504685000004</v>
      </c>
      <c r="K1309" s="3">
        <v>40</v>
      </c>
      <c r="L1309" s="3">
        <f t="shared" si="204"/>
        <v>0</v>
      </c>
      <c r="N1309" s="11">
        <f t="shared" si="205"/>
        <v>-13.231504685000004</v>
      </c>
      <c r="O1309" s="3">
        <v>13.231504685000004</v>
      </c>
      <c r="P1309" s="11">
        <f t="shared" si="206"/>
        <v>-30</v>
      </c>
      <c r="Q1309" s="12">
        <f t="shared" si="207"/>
        <v>-29.999999999999996</v>
      </c>
      <c r="R1309" s="13">
        <f t="shared" si="208"/>
        <v>-30.000000000000004</v>
      </c>
      <c r="S1309" s="3">
        <v>0</v>
      </c>
      <c r="T1309" s="3" t="s">
        <v>32</v>
      </c>
      <c r="U1309" s="10">
        <v>9310099900999</v>
      </c>
      <c r="V1309" s="3">
        <v>0.1</v>
      </c>
      <c r="W1309" s="3">
        <f t="shared" si="209"/>
        <v>4</v>
      </c>
      <c r="AA1309" s="3">
        <v>40</v>
      </c>
    </row>
    <row r="1310" spans="1:27" x14ac:dyDescent="0.3">
      <c r="A1310" s="3" t="str">
        <f t="shared" si="200"/>
        <v>North9330209901310</v>
      </c>
      <c r="B1310" s="3" t="str">
        <f t="shared" si="201"/>
        <v>Pan9330209901310</v>
      </c>
      <c r="C1310" s="10">
        <v>9330209901310</v>
      </c>
      <c r="D1310" s="10" t="str">
        <f t="shared" si="202"/>
        <v>9330209901</v>
      </c>
      <c r="E1310" s="3" t="s">
        <v>2</v>
      </c>
      <c r="F1310" s="3" t="s">
        <v>64</v>
      </c>
      <c r="H1310" s="3">
        <v>20.589999999999993</v>
      </c>
      <c r="I1310" s="10">
        <f t="shared" si="203"/>
        <v>58.369735018720483</v>
      </c>
      <c r="J1310" s="3">
        <v>10.582539047023078</v>
      </c>
      <c r="K1310" s="3">
        <v>0</v>
      </c>
      <c r="L1310" s="3">
        <f t="shared" si="204"/>
        <v>0</v>
      </c>
      <c r="N1310" s="11">
        <f t="shared" si="205"/>
        <v>10.007460952976915</v>
      </c>
      <c r="O1310" s="3">
        <v>10.582539047023078</v>
      </c>
      <c r="P1310" s="11">
        <f t="shared" si="206"/>
        <v>28.36973501872048</v>
      </c>
      <c r="Q1310" s="12">
        <f t="shared" si="207"/>
        <v>28.715156278195018</v>
      </c>
      <c r="R1310" s="13">
        <f t="shared" si="208"/>
        <v>0.86876647360711279</v>
      </c>
      <c r="S1310" s="3" t="s">
        <v>29</v>
      </c>
      <c r="T1310" s="3" t="s">
        <v>35</v>
      </c>
      <c r="U1310" s="10">
        <v>9330209900999</v>
      </c>
      <c r="V1310" s="3">
        <v>0.1</v>
      </c>
      <c r="W1310" s="3">
        <f t="shared" si="209"/>
        <v>0</v>
      </c>
      <c r="AA1310" s="3">
        <v>40</v>
      </c>
    </row>
    <row r="1311" spans="1:27" x14ac:dyDescent="0.3">
      <c r="A1311" s="3" t="str">
        <f t="shared" si="200"/>
        <v>North9330209901840</v>
      </c>
      <c r="B1311" s="3" t="str">
        <f t="shared" si="201"/>
        <v>Pan9330209901840</v>
      </c>
      <c r="C1311" s="10">
        <v>9330209901840</v>
      </c>
      <c r="D1311" s="10" t="str">
        <f t="shared" si="202"/>
        <v>9330209901</v>
      </c>
      <c r="E1311" s="3" t="s">
        <v>2</v>
      </c>
      <c r="F1311" s="3" t="s">
        <v>64</v>
      </c>
      <c r="H1311" s="3">
        <v>7.8960000000000008</v>
      </c>
      <c r="I1311" s="10">
        <f t="shared" si="203"/>
        <v>59.383627195402255</v>
      </c>
      <c r="J1311" s="3">
        <v>3.9889782956595874</v>
      </c>
      <c r="K1311" s="3">
        <v>0</v>
      </c>
      <c r="L1311" s="3">
        <f t="shared" si="204"/>
        <v>0</v>
      </c>
      <c r="N1311" s="11">
        <f t="shared" si="205"/>
        <v>3.9070217043404134</v>
      </c>
      <c r="O1311" s="3">
        <v>3.9889782956595874</v>
      </c>
      <c r="P1311" s="11">
        <f t="shared" si="206"/>
        <v>29.383627195402259</v>
      </c>
      <c r="Q1311" s="12">
        <f t="shared" si="207"/>
        <v>16.117906588059959</v>
      </c>
      <c r="R1311" s="13">
        <f t="shared" si="208"/>
        <v>-2.4217967524396196</v>
      </c>
      <c r="S1311" s="3" t="s">
        <v>30</v>
      </c>
      <c r="T1311" s="3" t="s">
        <v>35</v>
      </c>
      <c r="U1311" s="10">
        <v>0</v>
      </c>
      <c r="V1311" s="3">
        <v>0</v>
      </c>
      <c r="W1311" s="3">
        <f t="shared" si="209"/>
        <v>0</v>
      </c>
      <c r="AA1311" s="3">
        <v>40</v>
      </c>
    </row>
    <row r="1312" spans="1:27" x14ac:dyDescent="0.3">
      <c r="A1312" s="3" t="str">
        <f t="shared" si="200"/>
        <v>North9310019900310</v>
      </c>
      <c r="B1312" s="3" t="str">
        <f t="shared" si="201"/>
        <v>Pan9310019900310</v>
      </c>
      <c r="C1312" s="10">
        <v>9310019900310</v>
      </c>
      <c r="D1312" s="10" t="str">
        <f t="shared" si="202"/>
        <v>9310019900</v>
      </c>
      <c r="E1312" s="3" t="s">
        <v>2</v>
      </c>
      <c r="F1312" s="3" t="s">
        <v>64</v>
      </c>
      <c r="H1312" s="3">
        <v>13.060000000000002</v>
      </c>
      <c r="I1312" s="10">
        <f t="shared" si="203"/>
        <v>133.59186658227566</v>
      </c>
      <c r="J1312" s="3">
        <v>2.9328132769123405</v>
      </c>
      <c r="K1312" s="3">
        <v>0</v>
      </c>
      <c r="L1312" s="3">
        <f t="shared" si="204"/>
        <v>0</v>
      </c>
      <c r="N1312" s="11">
        <f t="shared" si="205"/>
        <v>10.127186723087661</v>
      </c>
      <c r="O1312" s="3">
        <v>2.9328132769123405</v>
      </c>
      <c r="P1312" s="11">
        <f t="shared" si="206"/>
        <v>103.59186658227564</v>
      </c>
      <c r="Q1312" s="12">
        <f t="shared" si="207"/>
        <v>167.05613445125715</v>
      </c>
      <c r="R1312" s="13">
        <f t="shared" si="208"/>
        <v>95.847265885842234</v>
      </c>
      <c r="S1312" s="3" t="s">
        <v>30</v>
      </c>
      <c r="T1312" s="3" t="s">
        <v>32</v>
      </c>
      <c r="U1312" s="10">
        <v>9310019900999</v>
      </c>
      <c r="V1312" s="3">
        <v>0.1</v>
      </c>
      <c r="W1312" s="3">
        <f t="shared" si="209"/>
        <v>0</v>
      </c>
      <c r="AA1312" s="3">
        <v>40</v>
      </c>
    </row>
    <row r="1313" spans="1:27" x14ac:dyDescent="0.3">
      <c r="A1313" s="3" t="str">
        <f t="shared" si="200"/>
        <v>North9310099900310</v>
      </c>
      <c r="B1313" s="3" t="str">
        <f t="shared" si="201"/>
        <v>Pan9310099900310</v>
      </c>
      <c r="C1313" s="10">
        <v>9310099900310</v>
      </c>
      <c r="D1313" s="10" t="str">
        <f t="shared" si="202"/>
        <v>9310099900</v>
      </c>
      <c r="E1313" s="3" t="s">
        <v>2</v>
      </c>
      <c r="F1313" s="3" t="s">
        <v>64</v>
      </c>
      <c r="H1313" s="3">
        <v>0</v>
      </c>
      <c r="I1313" s="10">
        <f t="shared" si="203"/>
        <v>0</v>
      </c>
      <c r="J1313" s="3">
        <v>2.8690281199999998</v>
      </c>
      <c r="K1313" s="3">
        <v>20</v>
      </c>
      <c r="L1313" s="3">
        <f t="shared" si="204"/>
        <v>0</v>
      </c>
      <c r="N1313" s="11">
        <f t="shared" si="205"/>
        <v>-2.8690281199999998</v>
      </c>
      <c r="O1313" s="3">
        <v>2.8690281199999998</v>
      </c>
      <c r="P1313" s="11">
        <f t="shared" si="206"/>
        <v>-30</v>
      </c>
      <c r="Q1313" s="12">
        <f t="shared" si="207"/>
        <v>-30</v>
      </c>
      <c r="R1313" s="13">
        <f t="shared" si="208"/>
        <v>-30</v>
      </c>
      <c r="S1313" s="3">
        <v>0</v>
      </c>
      <c r="T1313" s="3" t="s">
        <v>32</v>
      </c>
      <c r="U1313" s="10">
        <v>9310099900999</v>
      </c>
      <c r="V1313" s="3">
        <v>0.1</v>
      </c>
      <c r="W1313" s="3">
        <f t="shared" si="209"/>
        <v>2</v>
      </c>
      <c r="AA1313" s="3">
        <v>40</v>
      </c>
    </row>
    <row r="1314" spans="1:27" x14ac:dyDescent="0.3">
      <c r="A1314" s="3" t="str">
        <f t="shared" si="200"/>
        <v>North9330209901210</v>
      </c>
      <c r="B1314" s="3" t="str">
        <f t="shared" si="201"/>
        <v>Pan9330209901210</v>
      </c>
      <c r="C1314" s="10">
        <v>9330209901210</v>
      </c>
      <c r="D1314" s="10" t="str">
        <f t="shared" si="202"/>
        <v>9330209901</v>
      </c>
      <c r="E1314" s="3" t="s">
        <v>2</v>
      </c>
      <c r="F1314" s="3" t="s">
        <v>64</v>
      </c>
      <c r="H1314" s="3">
        <v>14.201000000000001</v>
      </c>
      <c r="I1314" s="10">
        <f t="shared" si="203"/>
        <v>235.74046839492453</v>
      </c>
      <c r="J1314" s="3">
        <v>1.8071992598500002</v>
      </c>
      <c r="K1314" s="3">
        <v>0</v>
      </c>
      <c r="L1314" s="3">
        <f t="shared" si="204"/>
        <v>0</v>
      </c>
      <c r="N1314" s="11">
        <f t="shared" si="205"/>
        <v>12.393800740150001</v>
      </c>
      <c r="O1314" s="3">
        <v>1.8071992598500002</v>
      </c>
      <c r="P1314" s="11">
        <f t="shared" si="206"/>
        <v>205.74046839492456</v>
      </c>
      <c r="Q1314" s="12">
        <f t="shared" si="207"/>
        <v>120.04661035475279</v>
      </c>
      <c r="R1314" s="13">
        <f t="shared" si="208"/>
        <v>19.010581716110313</v>
      </c>
      <c r="S1314" s="3" t="s">
        <v>30</v>
      </c>
      <c r="T1314" s="3" t="s">
        <v>35</v>
      </c>
      <c r="U1314" s="10">
        <v>0</v>
      </c>
      <c r="V1314" s="3">
        <v>0</v>
      </c>
      <c r="W1314" s="3">
        <f t="shared" si="209"/>
        <v>0</v>
      </c>
      <c r="AA1314" s="3">
        <v>40</v>
      </c>
    </row>
    <row r="1315" spans="1:27" x14ac:dyDescent="0.3">
      <c r="A1315" s="3" t="str">
        <f t="shared" si="200"/>
        <v>North9310099900840</v>
      </c>
      <c r="B1315" s="3" t="str">
        <f t="shared" si="201"/>
        <v>Pan9310099900840</v>
      </c>
      <c r="C1315" s="10">
        <v>9310099900840</v>
      </c>
      <c r="D1315" s="10" t="str">
        <f t="shared" si="202"/>
        <v>9310099900</v>
      </c>
      <c r="E1315" s="3" t="s">
        <v>2</v>
      </c>
      <c r="F1315" s="3" t="s">
        <v>64</v>
      </c>
      <c r="H1315" s="3">
        <v>0</v>
      </c>
      <c r="I1315" s="10">
        <f t="shared" si="203"/>
        <v>0</v>
      </c>
      <c r="J1315" s="3">
        <v>1.147611248</v>
      </c>
      <c r="K1315" s="3">
        <v>20</v>
      </c>
      <c r="L1315" s="3">
        <f t="shared" si="204"/>
        <v>0</v>
      </c>
      <c r="N1315" s="11">
        <f t="shared" si="205"/>
        <v>-1.147611248</v>
      </c>
      <c r="O1315" s="3">
        <v>1.147611248</v>
      </c>
      <c r="P1315" s="11">
        <f t="shared" si="206"/>
        <v>-30</v>
      </c>
      <c r="Q1315" s="12">
        <f t="shared" si="207"/>
        <v>-30</v>
      </c>
      <c r="R1315" s="13">
        <f t="shared" si="208"/>
        <v>-30</v>
      </c>
      <c r="S1315" s="3">
        <v>0</v>
      </c>
      <c r="T1315" s="3" t="s">
        <v>32</v>
      </c>
      <c r="U1315" s="10">
        <v>0</v>
      </c>
      <c r="V1315" s="3">
        <v>0</v>
      </c>
      <c r="W1315" s="3">
        <f t="shared" si="209"/>
        <v>0</v>
      </c>
      <c r="AA1315" s="3">
        <v>40</v>
      </c>
    </row>
    <row r="1316" spans="1:27" x14ac:dyDescent="0.3">
      <c r="A1316" s="3" t="str">
        <f t="shared" si="200"/>
        <v>North9310019900840</v>
      </c>
      <c r="B1316" s="3" t="str">
        <f t="shared" si="201"/>
        <v>Pan9310019900840</v>
      </c>
      <c r="C1316" s="10">
        <v>9310019900840</v>
      </c>
      <c r="D1316" s="10" t="str">
        <f t="shared" si="202"/>
        <v>9310019900</v>
      </c>
      <c r="E1316" s="3" t="s">
        <v>2</v>
      </c>
      <c r="F1316" s="3" t="s">
        <v>64</v>
      </c>
      <c r="H1316" s="3">
        <v>1.8200000000000005</v>
      </c>
      <c r="I1316" s="10">
        <f t="shared" si="203"/>
        <v>58.652939764219681</v>
      </c>
      <c r="J1316" s="3">
        <v>0.93089963127999775</v>
      </c>
      <c r="K1316" s="3">
        <v>0</v>
      </c>
      <c r="L1316" s="3">
        <f t="shared" si="204"/>
        <v>0</v>
      </c>
      <c r="N1316" s="11">
        <f t="shared" si="205"/>
        <v>0.88910036872000275</v>
      </c>
      <c r="O1316" s="3">
        <v>0.93089963127999775</v>
      </c>
      <c r="P1316" s="11">
        <f t="shared" si="206"/>
        <v>28.652939764219678</v>
      </c>
      <c r="Q1316" s="12">
        <f t="shared" si="207"/>
        <v>28.565154469129912</v>
      </c>
      <c r="R1316" s="13">
        <f t="shared" si="208"/>
        <v>82.350057663911571</v>
      </c>
      <c r="S1316" s="3" t="s">
        <v>31</v>
      </c>
      <c r="T1316" s="3" t="s">
        <v>32</v>
      </c>
      <c r="U1316" s="10">
        <v>0</v>
      </c>
      <c r="V1316" s="3">
        <v>0</v>
      </c>
      <c r="W1316" s="3">
        <f t="shared" si="209"/>
        <v>0</v>
      </c>
      <c r="AA1316" s="3">
        <v>40</v>
      </c>
    </row>
    <row r="1317" spans="1:27" x14ac:dyDescent="0.3">
      <c r="A1317" s="3" t="str">
        <f t="shared" si="200"/>
        <v>North9310019900210</v>
      </c>
      <c r="B1317" s="3" t="str">
        <f t="shared" si="201"/>
        <v>Pan9310019900210</v>
      </c>
      <c r="C1317" s="10">
        <v>9310019900210</v>
      </c>
      <c r="D1317" s="10" t="str">
        <f t="shared" si="202"/>
        <v>9310019900</v>
      </c>
      <c r="E1317" s="3" t="s">
        <v>2</v>
      </c>
      <c r="F1317" s="3" t="s">
        <v>64</v>
      </c>
      <c r="H1317" s="3">
        <v>0.54000000000000015</v>
      </c>
      <c r="I1317" s="10">
        <f t="shared" si="203"/>
        <v>231.99481649942751</v>
      </c>
      <c r="J1317" s="3">
        <v>6.9829146376811313E-2</v>
      </c>
      <c r="K1317" s="3">
        <v>0</v>
      </c>
      <c r="L1317" s="3">
        <f t="shared" si="204"/>
        <v>0</v>
      </c>
      <c r="N1317" s="11">
        <f t="shared" si="205"/>
        <v>0.47017085362318883</v>
      </c>
      <c r="O1317" s="3">
        <v>6.9829146376811313E-2</v>
      </c>
      <c r="P1317" s="11">
        <f t="shared" si="206"/>
        <v>201.99481649942751</v>
      </c>
      <c r="Q1317" s="12">
        <f t="shared" si="207"/>
        <v>406.32883592951566</v>
      </c>
      <c r="R1317" s="13">
        <f t="shared" si="208"/>
        <v>154.09203418238798</v>
      </c>
      <c r="S1317" s="3" t="s">
        <v>31</v>
      </c>
      <c r="T1317" s="3" t="s">
        <v>32</v>
      </c>
      <c r="U1317" s="10">
        <v>0</v>
      </c>
      <c r="V1317" s="3">
        <v>0</v>
      </c>
      <c r="W1317" s="3">
        <f t="shared" si="209"/>
        <v>0</v>
      </c>
      <c r="AA1317" s="3">
        <v>40</v>
      </c>
    </row>
    <row r="1318" spans="1:27" x14ac:dyDescent="0.3">
      <c r="A1318" s="3" t="str">
        <f t="shared" si="200"/>
        <v>North9160309901210</v>
      </c>
      <c r="B1318" s="3" t="str">
        <f t="shared" si="201"/>
        <v>Pan9160309901210</v>
      </c>
      <c r="C1318" s="10">
        <v>9160309901210</v>
      </c>
      <c r="D1318" s="10" t="str">
        <f t="shared" si="202"/>
        <v>9160309901</v>
      </c>
      <c r="E1318" s="3" t="s">
        <v>2</v>
      </c>
      <c r="F1318" s="3" t="s">
        <v>64</v>
      </c>
      <c r="H1318" s="3">
        <v>6.8790000000000004</v>
      </c>
      <c r="I1318" s="10">
        <f t="shared" si="203"/>
        <v>0</v>
      </c>
      <c r="J1318" s="3">
        <v>0</v>
      </c>
      <c r="K1318" s="3">
        <v>0</v>
      </c>
      <c r="L1318" s="3">
        <f t="shared" si="204"/>
        <v>0</v>
      </c>
      <c r="N1318" s="11">
        <f t="shared" si="205"/>
        <v>6.8790000000000004</v>
      </c>
      <c r="O1318" s="3">
        <v>0</v>
      </c>
      <c r="P1318" s="11">
        <f t="shared" si="206"/>
        <v>9999</v>
      </c>
      <c r="Q1318" s="12">
        <f t="shared" si="207"/>
        <v>9999</v>
      </c>
      <c r="R1318" s="13">
        <f t="shared" si="208"/>
        <v>9999</v>
      </c>
      <c r="S1318" s="3" t="s">
        <v>31</v>
      </c>
      <c r="T1318" s="3" t="s">
        <v>34</v>
      </c>
      <c r="U1318" s="10">
        <v>0</v>
      </c>
      <c r="V1318" s="3">
        <v>0</v>
      </c>
      <c r="W1318" s="3">
        <f t="shared" si="209"/>
        <v>0</v>
      </c>
      <c r="AA1318" s="3">
        <v>40</v>
      </c>
    </row>
    <row r="1319" spans="1:27" x14ac:dyDescent="0.3">
      <c r="A1319" s="3" t="str">
        <f t="shared" si="200"/>
        <v>North9330219913820</v>
      </c>
      <c r="B1319" s="3" t="str">
        <f t="shared" si="201"/>
        <v>Lud9330219913820</v>
      </c>
      <c r="C1319" s="10">
        <v>9330219913820</v>
      </c>
      <c r="D1319" s="10" t="str">
        <f t="shared" si="202"/>
        <v>9330219913</v>
      </c>
      <c r="E1319" s="3" t="s">
        <v>3</v>
      </c>
      <c r="F1319" s="3" t="s">
        <v>64</v>
      </c>
      <c r="H1319" s="3">
        <v>357.54600000000005</v>
      </c>
      <c r="I1319" s="10">
        <f t="shared" si="203"/>
        <v>39.988295567925519</v>
      </c>
      <c r="J1319" s="3">
        <v>268.23798933314868</v>
      </c>
      <c r="K1319" s="3">
        <v>140</v>
      </c>
      <c r="L1319" s="3">
        <f t="shared" si="204"/>
        <v>0</v>
      </c>
      <c r="N1319" s="11">
        <f t="shared" si="205"/>
        <v>89.308010666851374</v>
      </c>
      <c r="O1319" s="3">
        <v>268.23798933314868</v>
      </c>
      <c r="P1319" s="11">
        <f t="shared" si="206"/>
        <v>9.9882955679255172</v>
      </c>
      <c r="Q1319" s="12">
        <f t="shared" si="207"/>
        <v>0.18098069608027934</v>
      </c>
      <c r="R1319" s="13">
        <f t="shared" si="208"/>
        <v>-4.4253318049699377</v>
      </c>
      <c r="S1319" s="3" t="s">
        <v>29</v>
      </c>
      <c r="T1319" s="3" t="s">
        <v>35</v>
      </c>
      <c r="U1319" s="10">
        <v>0</v>
      </c>
      <c r="V1319" s="3">
        <v>0</v>
      </c>
      <c r="W1319" s="3">
        <f t="shared" si="209"/>
        <v>0</v>
      </c>
      <c r="AA1319" s="3">
        <v>40</v>
      </c>
    </row>
    <row r="1320" spans="1:27" x14ac:dyDescent="0.3">
      <c r="A1320" s="3" t="str">
        <f t="shared" si="200"/>
        <v>North9330219913810</v>
      </c>
      <c r="B1320" s="3" t="str">
        <f t="shared" si="201"/>
        <v>Lud9330219913810</v>
      </c>
      <c r="C1320" s="10">
        <v>9330219913810</v>
      </c>
      <c r="D1320" s="10" t="str">
        <f t="shared" si="202"/>
        <v>9330219913</v>
      </c>
      <c r="E1320" s="3" t="s">
        <v>3</v>
      </c>
      <c r="F1320" s="3" t="s">
        <v>64</v>
      </c>
      <c r="H1320" s="3">
        <v>61.66</v>
      </c>
      <c r="I1320" s="10">
        <f t="shared" si="203"/>
        <v>48.075854795586572</v>
      </c>
      <c r="J1320" s="3">
        <v>38.476694961850455</v>
      </c>
      <c r="K1320" s="3">
        <v>20</v>
      </c>
      <c r="L1320" s="3">
        <f t="shared" si="204"/>
        <v>0</v>
      </c>
      <c r="N1320" s="11">
        <f t="shared" si="205"/>
        <v>23.183305038149541</v>
      </c>
      <c r="O1320" s="3">
        <v>38.476694961850455</v>
      </c>
      <c r="P1320" s="11">
        <f t="shared" si="206"/>
        <v>18.075854795586572</v>
      </c>
      <c r="Q1320" s="12">
        <f t="shared" si="207"/>
        <v>18.997634452011827</v>
      </c>
      <c r="R1320" s="13">
        <f t="shared" si="208"/>
        <v>5.561298658189922</v>
      </c>
      <c r="S1320" s="3" t="s">
        <v>29</v>
      </c>
      <c r="T1320" s="3" t="s">
        <v>35</v>
      </c>
      <c r="U1320" s="10">
        <v>0</v>
      </c>
      <c r="V1320" s="3">
        <v>0</v>
      </c>
      <c r="W1320" s="3">
        <f t="shared" si="209"/>
        <v>0</v>
      </c>
      <c r="AA1320" s="3">
        <v>40</v>
      </c>
    </row>
    <row r="1321" spans="1:27" x14ac:dyDescent="0.3">
      <c r="A1321" s="3" t="str">
        <f t="shared" si="200"/>
        <v>North9420029901320</v>
      </c>
      <c r="B1321" s="3" t="str">
        <f t="shared" si="201"/>
        <v>Lud9420029901320</v>
      </c>
      <c r="C1321" s="10">
        <v>9420029901320</v>
      </c>
      <c r="D1321" s="10" t="str">
        <f t="shared" si="202"/>
        <v>9420029901</v>
      </c>
      <c r="E1321" s="3" t="s">
        <v>3</v>
      </c>
      <c r="F1321" s="3" t="s">
        <v>64</v>
      </c>
      <c r="H1321" s="3">
        <v>11.933999999999999</v>
      </c>
      <c r="I1321" s="10">
        <f t="shared" si="203"/>
        <v>32.167748952570172</v>
      </c>
      <c r="J1321" s="3">
        <v>11.129780965646169</v>
      </c>
      <c r="K1321" s="3">
        <v>40</v>
      </c>
      <c r="L1321" s="3">
        <f t="shared" si="204"/>
        <v>0</v>
      </c>
      <c r="N1321" s="11">
        <f t="shared" si="205"/>
        <v>0.8042190343538298</v>
      </c>
      <c r="O1321" s="3">
        <v>11.129780965646169</v>
      </c>
      <c r="P1321" s="11">
        <f t="shared" si="206"/>
        <v>2.1677489525701694</v>
      </c>
      <c r="Q1321" s="12">
        <f t="shared" si="207"/>
        <v>-2.0926780230187592</v>
      </c>
      <c r="R1321" s="13">
        <f t="shared" si="208"/>
        <v>11.093100461562916</v>
      </c>
      <c r="S1321" s="3" t="s">
        <v>29</v>
      </c>
      <c r="T1321" s="3" t="s">
        <v>28</v>
      </c>
      <c r="U1321" s="10">
        <v>9420029900999</v>
      </c>
      <c r="V1321" s="3">
        <v>0.1</v>
      </c>
      <c r="W1321" s="3">
        <f t="shared" si="209"/>
        <v>4</v>
      </c>
      <c r="AA1321" s="3">
        <v>40</v>
      </c>
    </row>
    <row r="1322" spans="1:27" x14ac:dyDescent="0.3">
      <c r="A1322" s="3" t="str">
        <f t="shared" si="200"/>
        <v>North9420029900320</v>
      </c>
      <c r="B1322" s="3" t="str">
        <f t="shared" si="201"/>
        <v>Lud9420029900320</v>
      </c>
      <c r="C1322" s="10">
        <v>9420029900320</v>
      </c>
      <c r="D1322" s="10" t="str">
        <f t="shared" si="202"/>
        <v>9420029900</v>
      </c>
      <c r="E1322" s="3" t="s">
        <v>3</v>
      </c>
      <c r="F1322" s="3" t="s">
        <v>64</v>
      </c>
      <c r="H1322" s="3">
        <v>10.174000000000001</v>
      </c>
      <c r="I1322" s="10">
        <f t="shared" si="203"/>
        <v>29.890538259359431</v>
      </c>
      <c r="J1322" s="3">
        <v>10.211258069413603</v>
      </c>
      <c r="K1322" s="3">
        <v>20</v>
      </c>
      <c r="L1322" s="3">
        <f t="shared" si="204"/>
        <v>0</v>
      </c>
      <c r="N1322" s="11">
        <f t="shared" si="205"/>
        <v>-3.7258069413601547E-2</v>
      </c>
      <c r="O1322" s="3">
        <v>10.211258069413603</v>
      </c>
      <c r="P1322" s="11">
        <f t="shared" si="206"/>
        <v>-0.10946174064056678</v>
      </c>
      <c r="Q1322" s="12">
        <f t="shared" si="207"/>
        <v>-3.8866152962590395</v>
      </c>
      <c r="R1322" s="13">
        <f t="shared" si="208"/>
        <v>11.93731564960561</v>
      </c>
      <c r="S1322" s="3" t="s">
        <v>29</v>
      </c>
      <c r="T1322" s="3" t="s">
        <v>28</v>
      </c>
      <c r="U1322" s="10">
        <v>9420029900999</v>
      </c>
      <c r="V1322" s="3">
        <v>0.1</v>
      </c>
      <c r="W1322" s="3">
        <f t="shared" si="209"/>
        <v>2</v>
      </c>
      <c r="AA1322" s="3">
        <v>40</v>
      </c>
    </row>
    <row r="1323" spans="1:27" x14ac:dyDescent="0.3">
      <c r="A1323" s="3" t="str">
        <f t="shared" si="200"/>
        <v>North9330219913840</v>
      </c>
      <c r="B1323" s="3" t="str">
        <f t="shared" si="201"/>
        <v>Lud9330219913840</v>
      </c>
      <c r="C1323" s="10">
        <v>9330219913840</v>
      </c>
      <c r="D1323" s="10" t="str">
        <f t="shared" si="202"/>
        <v>9330219913</v>
      </c>
      <c r="E1323" s="3" t="s">
        <v>3</v>
      </c>
      <c r="F1323" s="3" t="s">
        <v>64</v>
      </c>
      <c r="H1323" s="3">
        <v>16.495999999999999</v>
      </c>
      <c r="I1323" s="10">
        <f t="shared" si="203"/>
        <v>50.29417617151298</v>
      </c>
      <c r="J1323" s="3">
        <v>9.8397078483274552</v>
      </c>
      <c r="K1323" s="3">
        <v>0</v>
      </c>
      <c r="L1323" s="3">
        <f t="shared" si="204"/>
        <v>0</v>
      </c>
      <c r="N1323" s="11">
        <f t="shared" si="205"/>
        <v>6.6562921516725435</v>
      </c>
      <c r="O1323" s="3">
        <v>9.8397078483274552</v>
      </c>
      <c r="P1323" s="11">
        <f t="shared" si="206"/>
        <v>20.29417617151298</v>
      </c>
      <c r="Q1323" s="12">
        <f t="shared" si="207"/>
        <v>5.6698758463198971</v>
      </c>
      <c r="R1323" s="13">
        <f t="shared" si="208"/>
        <v>13.994224541941199</v>
      </c>
      <c r="S1323" s="3" t="s">
        <v>30</v>
      </c>
      <c r="T1323" s="3" t="s">
        <v>35</v>
      </c>
      <c r="U1323" s="10">
        <v>0</v>
      </c>
      <c r="V1323" s="3">
        <v>0</v>
      </c>
      <c r="W1323" s="3">
        <f t="shared" si="209"/>
        <v>0</v>
      </c>
      <c r="AA1323" s="3">
        <v>40</v>
      </c>
    </row>
    <row r="1324" spans="1:27" x14ac:dyDescent="0.3">
      <c r="A1324" s="3" t="str">
        <f t="shared" si="200"/>
        <v>North9100509900320</v>
      </c>
      <c r="B1324" s="3" t="str">
        <f t="shared" si="201"/>
        <v>Lud9100509900320</v>
      </c>
      <c r="C1324" s="10">
        <v>9100509900320</v>
      </c>
      <c r="D1324" s="10" t="str">
        <f t="shared" si="202"/>
        <v>9100509900</v>
      </c>
      <c r="E1324" s="3" t="s">
        <v>3</v>
      </c>
      <c r="F1324" s="3" t="s">
        <v>64</v>
      </c>
      <c r="H1324" s="3">
        <v>5.2399999999999993</v>
      </c>
      <c r="I1324" s="10">
        <f t="shared" si="203"/>
        <v>33.90333813192678</v>
      </c>
      <c r="J1324" s="3">
        <v>4.6367115647519297</v>
      </c>
      <c r="K1324" s="3">
        <v>0</v>
      </c>
      <c r="L1324" s="3">
        <f t="shared" si="204"/>
        <v>0</v>
      </c>
      <c r="N1324" s="11">
        <f t="shared" si="205"/>
        <v>0.60328843524806963</v>
      </c>
      <c r="O1324" s="3">
        <v>4.6367115647519297</v>
      </c>
      <c r="P1324" s="11">
        <f t="shared" si="206"/>
        <v>3.9033381319267786</v>
      </c>
      <c r="Q1324" s="12">
        <f t="shared" si="207"/>
        <v>27.180693130631511</v>
      </c>
      <c r="R1324" s="13">
        <f t="shared" si="208"/>
        <v>28.679587677970176</v>
      </c>
      <c r="S1324" s="3" t="s">
        <v>30</v>
      </c>
      <c r="T1324" s="3" t="s">
        <v>34</v>
      </c>
      <c r="U1324" s="10">
        <v>0</v>
      </c>
      <c r="V1324" s="3">
        <v>0</v>
      </c>
      <c r="W1324" s="3">
        <f t="shared" si="209"/>
        <v>0</v>
      </c>
      <c r="AA1324" s="3">
        <v>40</v>
      </c>
    </row>
    <row r="1325" spans="1:27" x14ac:dyDescent="0.3">
      <c r="A1325" s="3" t="str">
        <f t="shared" si="200"/>
        <v>North9420029901310</v>
      </c>
      <c r="B1325" s="3" t="str">
        <f t="shared" si="201"/>
        <v>Lud9420029901310</v>
      </c>
      <c r="C1325" s="10">
        <v>9420029901310</v>
      </c>
      <c r="D1325" s="10" t="str">
        <f t="shared" si="202"/>
        <v>9420029901</v>
      </c>
      <c r="E1325" s="3" t="s">
        <v>3</v>
      </c>
      <c r="F1325" s="3" t="s">
        <v>64</v>
      </c>
      <c r="H1325" s="3">
        <v>1.05</v>
      </c>
      <c r="I1325" s="10">
        <f t="shared" si="203"/>
        <v>11.638529553033141</v>
      </c>
      <c r="J1325" s="3">
        <v>2.7065274746663097</v>
      </c>
      <c r="K1325" s="3">
        <v>20</v>
      </c>
      <c r="L1325" s="3">
        <f t="shared" si="204"/>
        <v>0</v>
      </c>
      <c r="N1325" s="11">
        <f t="shared" si="205"/>
        <v>-1.6565274746663097</v>
      </c>
      <c r="O1325" s="3">
        <v>2.7065274746663097</v>
      </c>
      <c r="P1325" s="11">
        <f t="shared" si="206"/>
        <v>-18.361470446966859</v>
      </c>
      <c r="Q1325" s="12">
        <f t="shared" si="207"/>
        <v>-9.5304312202220061</v>
      </c>
      <c r="R1325" s="13">
        <f t="shared" si="208"/>
        <v>13.253004494118244</v>
      </c>
      <c r="S1325" s="3" t="s">
        <v>29</v>
      </c>
      <c r="T1325" s="3" t="s">
        <v>28</v>
      </c>
      <c r="U1325" s="10">
        <v>9420029900999</v>
      </c>
      <c r="V1325" s="3">
        <v>0.1</v>
      </c>
      <c r="W1325" s="3">
        <f t="shared" si="209"/>
        <v>2</v>
      </c>
      <c r="AA1325" s="3">
        <v>40</v>
      </c>
    </row>
    <row r="1326" spans="1:27" x14ac:dyDescent="0.3">
      <c r="A1326" s="3" t="str">
        <f t="shared" si="200"/>
        <v>North9330219913210</v>
      </c>
      <c r="B1326" s="3" t="str">
        <f t="shared" si="201"/>
        <v>Lud9330219913210</v>
      </c>
      <c r="C1326" s="10">
        <v>9330219913210</v>
      </c>
      <c r="D1326" s="10" t="str">
        <f t="shared" si="202"/>
        <v>9330219913</v>
      </c>
      <c r="E1326" s="3" t="s">
        <v>3</v>
      </c>
      <c r="F1326" s="3" t="s">
        <v>64</v>
      </c>
      <c r="H1326" s="3">
        <v>4.7629999999999999</v>
      </c>
      <c r="I1326" s="10">
        <f t="shared" si="203"/>
        <v>53.838826960680429</v>
      </c>
      <c r="J1326" s="3">
        <v>2.6540325647205396</v>
      </c>
      <c r="K1326" s="3">
        <v>0</v>
      </c>
      <c r="L1326" s="3">
        <f t="shared" si="204"/>
        <v>0</v>
      </c>
      <c r="N1326" s="11">
        <f t="shared" si="205"/>
        <v>2.1089674352794603</v>
      </c>
      <c r="O1326" s="3">
        <v>2.6540325647205396</v>
      </c>
      <c r="P1326" s="11">
        <f t="shared" si="206"/>
        <v>23.838826960680422</v>
      </c>
      <c r="Q1326" s="12">
        <f t="shared" si="207"/>
        <v>18.633289733745965</v>
      </c>
      <c r="R1326" s="13">
        <f t="shared" si="208"/>
        <v>24.081536979765296</v>
      </c>
      <c r="S1326" s="3" t="s">
        <v>30</v>
      </c>
      <c r="T1326" s="3" t="s">
        <v>35</v>
      </c>
      <c r="U1326" s="10">
        <v>0</v>
      </c>
      <c r="V1326" s="3">
        <v>0</v>
      </c>
      <c r="W1326" s="3">
        <f t="shared" si="209"/>
        <v>0</v>
      </c>
      <c r="AA1326" s="3">
        <v>40</v>
      </c>
    </row>
    <row r="1327" spans="1:27" x14ac:dyDescent="0.3">
      <c r="A1327" s="3" t="str">
        <f t="shared" si="200"/>
        <v>North9420029900310</v>
      </c>
      <c r="B1327" s="3" t="str">
        <f t="shared" si="201"/>
        <v>Lud9420029900310</v>
      </c>
      <c r="C1327" s="10">
        <v>9420029900310</v>
      </c>
      <c r="D1327" s="10" t="str">
        <f t="shared" si="202"/>
        <v>9420029900</v>
      </c>
      <c r="E1327" s="3" t="s">
        <v>3</v>
      </c>
      <c r="F1327" s="3" t="s">
        <v>64</v>
      </c>
      <c r="H1327" s="3">
        <v>1.7200000000000004</v>
      </c>
      <c r="I1327" s="10">
        <f t="shared" si="203"/>
        <v>27.771972841499498</v>
      </c>
      <c r="J1327" s="3">
        <v>1.8579882781281722</v>
      </c>
      <c r="K1327" s="3">
        <v>20</v>
      </c>
      <c r="L1327" s="3">
        <f t="shared" si="204"/>
        <v>0</v>
      </c>
      <c r="N1327" s="11">
        <f t="shared" si="205"/>
        <v>-0.13798827812817183</v>
      </c>
      <c r="O1327" s="3">
        <v>1.8579882781281722</v>
      </c>
      <c r="P1327" s="11">
        <f t="shared" si="206"/>
        <v>-2.2280271585005034</v>
      </c>
      <c r="Q1327" s="12">
        <f t="shared" si="207"/>
        <v>4.105035435650473</v>
      </c>
      <c r="R1327" s="13">
        <f t="shared" si="208"/>
        <v>-2.0199706511833333</v>
      </c>
      <c r="S1327" s="3" t="s">
        <v>30</v>
      </c>
      <c r="T1327" s="3" t="s">
        <v>28</v>
      </c>
      <c r="U1327" s="10">
        <v>9420029900999</v>
      </c>
      <c r="V1327" s="3">
        <v>0.1</v>
      </c>
      <c r="W1327" s="3">
        <f t="shared" si="209"/>
        <v>2</v>
      </c>
      <c r="AA1327" s="3">
        <v>40</v>
      </c>
    </row>
    <row r="1328" spans="1:27" x14ac:dyDescent="0.3">
      <c r="A1328" s="3" t="str">
        <f t="shared" si="200"/>
        <v>North9420029901840</v>
      </c>
      <c r="B1328" s="3" t="str">
        <f t="shared" si="201"/>
        <v>Lud9420029901840</v>
      </c>
      <c r="C1328" s="10">
        <v>9420029901840</v>
      </c>
      <c r="D1328" s="10" t="str">
        <f t="shared" si="202"/>
        <v>9420029901</v>
      </c>
      <c r="E1328" s="3" t="s">
        <v>3</v>
      </c>
      <c r="F1328" s="3" t="s">
        <v>64</v>
      </c>
      <c r="H1328" s="3">
        <v>1.3720000000000001</v>
      </c>
      <c r="I1328" s="10">
        <f t="shared" si="203"/>
        <v>24.546518422740316</v>
      </c>
      <c r="J1328" s="3">
        <v>1.6768162103945734</v>
      </c>
      <c r="K1328" s="3">
        <v>0</v>
      </c>
      <c r="L1328" s="3">
        <f t="shared" si="204"/>
        <v>0</v>
      </c>
      <c r="N1328" s="11">
        <f t="shared" si="205"/>
        <v>-0.30481621039457329</v>
      </c>
      <c r="O1328" s="3">
        <v>1.6768162103945734</v>
      </c>
      <c r="P1328" s="11">
        <f t="shared" si="206"/>
        <v>-5.453481577259681</v>
      </c>
      <c r="Q1328" s="12">
        <f t="shared" si="207"/>
        <v>10.761539732996177</v>
      </c>
      <c r="R1328" s="13">
        <f t="shared" si="208"/>
        <v>17.827850782230005</v>
      </c>
      <c r="S1328" s="3" t="s">
        <v>30</v>
      </c>
      <c r="T1328" s="3" t="s">
        <v>28</v>
      </c>
      <c r="U1328" s="10">
        <v>0</v>
      </c>
      <c r="V1328" s="3">
        <v>0</v>
      </c>
      <c r="W1328" s="3">
        <f t="shared" si="209"/>
        <v>0</v>
      </c>
      <c r="AA1328" s="3">
        <v>40</v>
      </c>
    </row>
    <row r="1329" spans="1:27" x14ac:dyDescent="0.3">
      <c r="A1329" s="3" t="str">
        <f t="shared" si="200"/>
        <v>North9420029900840</v>
      </c>
      <c r="B1329" s="3" t="str">
        <f t="shared" si="201"/>
        <v>Lud9420029900840</v>
      </c>
      <c r="C1329" s="10">
        <v>9420029900840</v>
      </c>
      <c r="D1329" s="10" t="str">
        <f t="shared" si="202"/>
        <v>9420029900</v>
      </c>
      <c r="E1329" s="3" t="s">
        <v>3</v>
      </c>
      <c r="F1329" s="3" t="s">
        <v>64</v>
      </c>
      <c r="H1329" s="3">
        <v>0.68</v>
      </c>
      <c r="I1329" s="10">
        <f t="shared" si="203"/>
        <v>24.314192321458158</v>
      </c>
      <c r="J1329" s="3">
        <v>0.83901614868762309</v>
      </c>
      <c r="K1329" s="3">
        <v>0</v>
      </c>
      <c r="L1329" s="3">
        <f t="shared" si="204"/>
        <v>0</v>
      </c>
      <c r="N1329" s="11">
        <f t="shared" si="205"/>
        <v>-0.15901614868762304</v>
      </c>
      <c r="O1329" s="3">
        <v>0.83901614868762309</v>
      </c>
      <c r="P1329" s="11">
        <f t="shared" si="206"/>
        <v>-5.6858076785418419</v>
      </c>
      <c r="Q1329" s="12">
        <f t="shared" si="207"/>
        <v>2.2387416841244487</v>
      </c>
      <c r="R1329" s="13">
        <f t="shared" si="208"/>
        <v>9.7377292402598545</v>
      </c>
      <c r="S1329" s="3" t="s">
        <v>31</v>
      </c>
      <c r="T1329" s="3" t="s">
        <v>28</v>
      </c>
      <c r="U1329" s="10">
        <v>0</v>
      </c>
      <c r="V1329" s="3">
        <v>0</v>
      </c>
      <c r="W1329" s="3">
        <f t="shared" si="209"/>
        <v>0</v>
      </c>
      <c r="AA1329" s="3">
        <v>40</v>
      </c>
    </row>
    <row r="1330" spans="1:27" x14ac:dyDescent="0.3">
      <c r="A1330" s="3" t="str">
        <f t="shared" si="200"/>
        <v>North9420029901210</v>
      </c>
      <c r="B1330" s="3" t="str">
        <f t="shared" si="201"/>
        <v>Lud9420029901210</v>
      </c>
      <c r="C1330" s="10">
        <v>9420029901210</v>
      </c>
      <c r="D1330" s="10" t="str">
        <f t="shared" si="202"/>
        <v>9420029901</v>
      </c>
      <c r="E1330" s="3" t="s">
        <v>3</v>
      </c>
      <c r="F1330" s="3" t="s">
        <v>64</v>
      </c>
      <c r="H1330" s="3">
        <v>0.52400000000000002</v>
      </c>
      <c r="I1330" s="10">
        <f t="shared" si="203"/>
        <v>23.683133893605135</v>
      </c>
      <c r="J1330" s="3">
        <v>0.66376350657902916</v>
      </c>
      <c r="K1330" s="3">
        <v>0</v>
      </c>
      <c r="L1330" s="3">
        <f t="shared" si="204"/>
        <v>0</v>
      </c>
      <c r="N1330" s="11">
        <f t="shared" si="205"/>
        <v>-0.13976350657902914</v>
      </c>
      <c r="O1330" s="3">
        <v>0.66376350657902916</v>
      </c>
      <c r="P1330" s="11">
        <f t="shared" si="206"/>
        <v>-6.3168661063948646</v>
      </c>
      <c r="Q1330" s="12">
        <f t="shared" si="207"/>
        <v>-3.1746517422170006</v>
      </c>
      <c r="R1330" s="13">
        <f t="shared" si="208"/>
        <v>2.2986753983757411</v>
      </c>
      <c r="S1330" s="3" t="s">
        <v>30</v>
      </c>
      <c r="T1330" s="3" t="s">
        <v>28</v>
      </c>
      <c r="U1330" s="10">
        <v>0</v>
      </c>
      <c r="V1330" s="3">
        <v>0</v>
      </c>
      <c r="W1330" s="3">
        <f t="shared" si="209"/>
        <v>0</v>
      </c>
      <c r="AA1330" s="3">
        <v>40</v>
      </c>
    </row>
    <row r="1331" spans="1:27" x14ac:dyDescent="0.3">
      <c r="A1331" s="3" t="str">
        <f t="shared" si="200"/>
        <v>North9420029902838</v>
      </c>
      <c r="B1331" s="3" t="str">
        <f t="shared" si="201"/>
        <v>Lud9420029902838</v>
      </c>
      <c r="C1331" s="10">
        <v>9420029902838</v>
      </c>
      <c r="D1331" s="10" t="str">
        <f t="shared" si="202"/>
        <v>9420029902</v>
      </c>
      <c r="E1331" s="3" t="s">
        <v>3</v>
      </c>
      <c r="F1331" s="3" t="s">
        <v>64</v>
      </c>
      <c r="H1331" s="3">
        <v>0.50159999999999993</v>
      </c>
      <c r="I1331" s="10">
        <f t="shared" si="203"/>
        <v>25.299756944750463</v>
      </c>
      <c r="J1331" s="3">
        <v>0.59478832278356575</v>
      </c>
      <c r="K1331" s="3">
        <v>0</v>
      </c>
      <c r="L1331" s="3">
        <f t="shared" si="204"/>
        <v>0</v>
      </c>
      <c r="N1331" s="11">
        <f t="shared" si="205"/>
        <v>-9.3188322783565813E-2</v>
      </c>
      <c r="O1331" s="3">
        <v>0.59478832278356575</v>
      </c>
      <c r="P1331" s="11">
        <f t="shared" si="206"/>
        <v>-4.700243055249536</v>
      </c>
      <c r="Q1331" s="12">
        <f t="shared" si="207"/>
        <v>5.989906057353469</v>
      </c>
      <c r="R1331" s="13">
        <f t="shared" si="208"/>
        <v>45.116201366682233</v>
      </c>
      <c r="S1331" s="3" t="s">
        <v>31</v>
      </c>
      <c r="T1331" s="3" t="s">
        <v>28</v>
      </c>
      <c r="U1331" s="10">
        <v>0</v>
      </c>
      <c r="V1331" s="3">
        <v>0</v>
      </c>
      <c r="W1331" s="3">
        <f t="shared" si="209"/>
        <v>0</v>
      </c>
      <c r="AA1331" s="3">
        <v>40</v>
      </c>
    </row>
    <row r="1332" spans="1:27" x14ac:dyDescent="0.3">
      <c r="A1332" s="3" t="str">
        <f t="shared" si="200"/>
        <v>North9420029900210</v>
      </c>
      <c r="B1332" s="3" t="str">
        <f t="shared" si="201"/>
        <v>Lud9420029900210</v>
      </c>
      <c r="C1332" s="10">
        <v>9420029900210</v>
      </c>
      <c r="D1332" s="10" t="str">
        <f t="shared" si="202"/>
        <v>9420029900</v>
      </c>
      <c r="E1332" s="3" t="s">
        <v>3</v>
      </c>
      <c r="F1332" s="3" t="s">
        <v>64</v>
      </c>
      <c r="H1332" s="3">
        <v>0.52900000000000003</v>
      </c>
      <c r="I1332" s="10">
        <f t="shared" si="203"/>
        <v>52.569357641781409</v>
      </c>
      <c r="J1332" s="3">
        <v>0.30188689213479641</v>
      </c>
      <c r="K1332" s="3">
        <v>0</v>
      </c>
      <c r="L1332" s="3">
        <f t="shared" si="204"/>
        <v>0</v>
      </c>
      <c r="N1332" s="11">
        <f t="shared" si="205"/>
        <v>0.22711310786520361</v>
      </c>
      <c r="O1332" s="3">
        <v>0.30188689213479641</v>
      </c>
      <c r="P1332" s="11">
        <f t="shared" si="206"/>
        <v>22.569357641781412</v>
      </c>
      <c r="Q1332" s="12">
        <f t="shared" si="207"/>
        <v>34.324968003427507</v>
      </c>
      <c r="R1332" s="13">
        <f t="shared" si="208"/>
        <v>61.100952524328754</v>
      </c>
      <c r="S1332" s="3" t="s">
        <v>31</v>
      </c>
      <c r="T1332" s="3" t="s">
        <v>28</v>
      </c>
      <c r="U1332" s="10">
        <v>0</v>
      </c>
      <c r="V1332" s="3">
        <v>0</v>
      </c>
      <c r="W1332" s="3">
        <f t="shared" si="209"/>
        <v>0</v>
      </c>
      <c r="AA1332" s="3">
        <v>40</v>
      </c>
    </row>
    <row r="1333" spans="1:27" x14ac:dyDescent="0.3">
      <c r="A1333" s="3" t="str">
        <f t="shared" si="200"/>
        <v>North9420029902195</v>
      </c>
      <c r="B1333" s="3" t="str">
        <f t="shared" si="201"/>
        <v>Lud9420029902195</v>
      </c>
      <c r="C1333" s="10">
        <v>9420029902195</v>
      </c>
      <c r="D1333" s="10" t="str">
        <f t="shared" si="202"/>
        <v>9420029902</v>
      </c>
      <c r="E1333" s="3" t="s">
        <v>3</v>
      </c>
      <c r="F1333" s="3" t="s">
        <v>64</v>
      </c>
      <c r="H1333" s="3">
        <v>0.10259999999999998</v>
      </c>
      <c r="I1333" s="10">
        <f t="shared" si="203"/>
        <v>11.339657217650712</v>
      </c>
      <c r="J1333" s="3">
        <v>0.27143677634355179</v>
      </c>
      <c r="K1333" s="3">
        <v>0</v>
      </c>
      <c r="L1333" s="3">
        <f t="shared" si="204"/>
        <v>0</v>
      </c>
      <c r="N1333" s="11">
        <f t="shared" si="205"/>
        <v>-0.16883677634355182</v>
      </c>
      <c r="O1333" s="3">
        <v>0.27143677634355179</v>
      </c>
      <c r="P1333" s="11">
        <f t="shared" si="206"/>
        <v>-18.660342782349289</v>
      </c>
      <c r="Q1333" s="12">
        <f t="shared" si="207"/>
        <v>-6.0435464963471803</v>
      </c>
      <c r="R1333" s="13">
        <f t="shared" si="208"/>
        <v>54.081869668543256</v>
      </c>
      <c r="S1333" s="3" t="s">
        <v>31</v>
      </c>
      <c r="T1333" s="3" t="s">
        <v>28</v>
      </c>
      <c r="U1333" s="10">
        <v>0</v>
      </c>
      <c r="V1333" s="3">
        <v>0</v>
      </c>
      <c r="W1333" s="3">
        <f t="shared" si="209"/>
        <v>0</v>
      </c>
      <c r="AA1333" s="3">
        <v>40</v>
      </c>
    </row>
    <row r="1334" spans="1:27" x14ac:dyDescent="0.3">
      <c r="A1334" s="3" t="str">
        <f t="shared" si="200"/>
        <v>North9420029902295</v>
      </c>
      <c r="B1334" s="3" t="str">
        <f t="shared" si="201"/>
        <v>Lud9420029902295</v>
      </c>
      <c r="C1334" s="10">
        <v>9420029902295</v>
      </c>
      <c r="D1334" s="10" t="str">
        <f t="shared" si="202"/>
        <v>9420029902</v>
      </c>
      <c r="E1334" s="3" t="s">
        <v>3</v>
      </c>
      <c r="F1334" s="3" t="s">
        <v>64</v>
      </c>
      <c r="H1334" s="3">
        <v>0.58900000000000008</v>
      </c>
      <c r="I1334" s="10">
        <f t="shared" si="203"/>
        <v>70.865830981777151</v>
      </c>
      <c r="J1334" s="3">
        <v>0.24934442671735224</v>
      </c>
      <c r="K1334" s="3">
        <v>0</v>
      </c>
      <c r="L1334" s="3">
        <f t="shared" si="204"/>
        <v>0</v>
      </c>
      <c r="N1334" s="11">
        <f t="shared" si="205"/>
        <v>0.33965557328264784</v>
      </c>
      <c r="O1334" s="3">
        <v>0.24934442671735224</v>
      </c>
      <c r="P1334" s="11">
        <f t="shared" si="206"/>
        <v>40.865830981777151</v>
      </c>
      <c r="Q1334" s="12">
        <f t="shared" si="207"/>
        <v>90.876831154819826</v>
      </c>
      <c r="R1334" s="13">
        <f t="shared" si="208"/>
        <v>62.065240679388516</v>
      </c>
      <c r="S1334" s="3" t="s">
        <v>31</v>
      </c>
      <c r="T1334" s="3" t="s">
        <v>28</v>
      </c>
      <c r="U1334" s="10">
        <v>9420029900999</v>
      </c>
      <c r="V1334" s="3">
        <v>0.1</v>
      </c>
      <c r="W1334" s="3">
        <f t="shared" si="209"/>
        <v>0</v>
      </c>
      <c r="AA1334" s="3">
        <v>40</v>
      </c>
    </row>
    <row r="1335" spans="1:27" x14ac:dyDescent="0.3">
      <c r="A1335" s="3" t="str">
        <f t="shared" si="200"/>
        <v>North9420029902319</v>
      </c>
      <c r="B1335" s="3" t="str">
        <f t="shared" si="201"/>
        <v>Lud9420029902319</v>
      </c>
      <c r="C1335" s="10">
        <v>9420029902319</v>
      </c>
      <c r="D1335" s="10" t="str">
        <f t="shared" si="202"/>
        <v>9420029902</v>
      </c>
      <c r="E1335" s="3" t="s">
        <v>3</v>
      </c>
      <c r="F1335" s="3" t="s">
        <v>64</v>
      </c>
      <c r="H1335" s="3">
        <v>1.3110000000000002</v>
      </c>
      <c r="I1335" s="10">
        <f t="shared" si="203"/>
        <v>262.79653517372776</v>
      </c>
      <c r="J1335" s="3">
        <v>0.14965950739799516</v>
      </c>
      <c r="K1335" s="3">
        <v>0</v>
      </c>
      <c r="L1335" s="3">
        <f t="shared" si="204"/>
        <v>0</v>
      </c>
      <c r="N1335" s="11">
        <f t="shared" si="205"/>
        <v>1.161340492602005</v>
      </c>
      <c r="O1335" s="3">
        <v>0.14965950739799516</v>
      </c>
      <c r="P1335" s="11">
        <f t="shared" si="206"/>
        <v>232.79653517372776</v>
      </c>
      <c r="Q1335" s="12">
        <f t="shared" si="207"/>
        <v>350.17815129322571</v>
      </c>
      <c r="R1335" s="13">
        <f t="shared" si="208"/>
        <v>100.81020277708481</v>
      </c>
      <c r="S1335" s="3" t="s">
        <v>31</v>
      </c>
      <c r="T1335" s="3" t="s">
        <v>28</v>
      </c>
      <c r="U1335" s="10">
        <v>9420029900999</v>
      </c>
      <c r="V1335" s="3">
        <v>0.1</v>
      </c>
      <c r="W1335" s="3">
        <f t="shared" si="209"/>
        <v>0</v>
      </c>
      <c r="AA1335" s="3">
        <v>40</v>
      </c>
    </row>
    <row r="1336" spans="1:27" x14ac:dyDescent="0.3">
      <c r="A1336" s="3" t="str">
        <f t="shared" si="200"/>
        <v>North9100509900210</v>
      </c>
      <c r="B1336" s="3" t="str">
        <f t="shared" si="201"/>
        <v>Lud9100509900210</v>
      </c>
      <c r="C1336" s="10">
        <v>9100509900210</v>
      </c>
      <c r="D1336" s="10" t="str">
        <f t="shared" si="202"/>
        <v>9100509900</v>
      </c>
      <c r="E1336" s="3" t="s">
        <v>3</v>
      </c>
      <c r="F1336" s="3" t="s">
        <v>64</v>
      </c>
      <c r="H1336" s="3">
        <v>0</v>
      </c>
      <c r="I1336" s="10">
        <f t="shared" si="203"/>
        <v>0</v>
      </c>
      <c r="J1336" s="3">
        <v>0</v>
      </c>
      <c r="K1336" s="3">
        <v>0</v>
      </c>
      <c r="L1336" s="3">
        <f t="shared" si="204"/>
        <v>0</v>
      </c>
      <c r="N1336" s="11">
        <f t="shared" si="205"/>
        <v>0</v>
      </c>
      <c r="O1336" s="3">
        <v>0</v>
      </c>
      <c r="P1336" s="11">
        <f t="shared" si="206"/>
        <v>9999</v>
      </c>
      <c r="Q1336" s="12">
        <f t="shared" si="207"/>
        <v>9999</v>
      </c>
      <c r="R1336" s="13">
        <f t="shared" si="208"/>
        <v>9999</v>
      </c>
      <c r="S1336" s="3" t="s">
        <v>31</v>
      </c>
      <c r="T1336" s="3" t="s">
        <v>34</v>
      </c>
      <c r="U1336" s="10" t="s">
        <v>72</v>
      </c>
      <c r="V1336" s="3" t="s">
        <v>72</v>
      </c>
      <c r="W1336" s="3">
        <f t="shared" si="209"/>
        <v>0</v>
      </c>
      <c r="AA1336" s="3">
        <v>40</v>
      </c>
    </row>
    <row r="1337" spans="1:27" x14ac:dyDescent="0.3">
      <c r="A1337" s="3" t="str">
        <f t="shared" si="200"/>
        <v>South9420029901320</v>
      </c>
      <c r="B1337" s="3" t="str">
        <f t="shared" si="201"/>
        <v>CY9420029901320</v>
      </c>
      <c r="C1337" s="10">
        <v>9420029901320</v>
      </c>
      <c r="D1337" s="10" t="str">
        <f t="shared" si="202"/>
        <v>9420029901</v>
      </c>
      <c r="E1337" s="3" t="s">
        <v>4</v>
      </c>
      <c r="F1337" s="3" t="s">
        <v>65</v>
      </c>
      <c r="H1337" s="3">
        <v>69.451999999999998</v>
      </c>
      <c r="I1337" s="10">
        <f t="shared" si="203"/>
        <v>50.206150012854799</v>
      </c>
      <c r="J1337" s="3">
        <v>41.500095097244554</v>
      </c>
      <c r="K1337" s="3">
        <v>20</v>
      </c>
      <c r="L1337" s="3">
        <f t="shared" si="204"/>
        <v>0</v>
      </c>
      <c r="N1337" s="11">
        <f t="shared" si="205"/>
        <v>27.951904902755444</v>
      </c>
      <c r="O1337" s="3">
        <v>41.500095097244554</v>
      </c>
      <c r="P1337" s="11">
        <f t="shared" si="206"/>
        <v>20.206150012854799</v>
      </c>
      <c r="Q1337" s="12">
        <f t="shared" si="207"/>
        <v>12.940577735719863</v>
      </c>
      <c r="R1337" s="13">
        <f t="shared" si="208"/>
        <v>11.093100461562916</v>
      </c>
      <c r="S1337" s="3" t="s">
        <v>29</v>
      </c>
      <c r="T1337" s="3" t="s">
        <v>28</v>
      </c>
      <c r="U1337" s="10">
        <v>9420029900999</v>
      </c>
      <c r="V1337" s="3">
        <v>0.1</v>
      </c>
      <c r="W1337" s="3">
        <f t="shared" si="209"/>
        <v>2</v>
      </c>
      <c r="AA1337" s="3">
        <v>40</v>
      </c>
    </row>
    <row r="1338" spans="1:27" x14ac:dyDescent="0.3">
      <c r="A1338" s="3" t="str">
        <f t="shared" si="200"/>
        <v>South9420029901310</v>
      </c>
      <c r="B1338" s="3" t="str">
        <f t="shared" si="201"/>
        <v>CY9420029901310</v>
      </c>
      <c r="C1338" s="10">
        <v>9420029901310</v>
      </c>
      <c r="D1338" s="10" t="str">
        <f t="shared" si="202"/>
        <v>9420029901</v>
      </c>
      <c r="E1338" s="3" t="s">
        <v>4</v>
      </c>
      <c r="F1338" s="3" t="s">
        <v>65</v>
      </c>
      <c r="H1338" s="3">
        <v>23.91</v>
      </c>
      <c r="I1338" s="10">
        <f t="shared" si="203"/>
        <v>32.078424372500841</v>
      </c>
      <c r="J1338" s="3">
        <v>22.360823950408985</v>
      </c>
      <c r="K1338" s="3">
        <v>20</v>
      </c>
      <c r="L1338" s="3">
        <f t="shared" si="204"/>
        <v>0</v>
      </c>
      <c r="N1338" s="11">
        <f t="shared" si="205"/>
        <v>1.549176049591015</v>
      </c>
      <c r="O1338" s="3">
        <v>22.360823950408985</v>
      </c>
      <c r="P1338" s="11">
        <f t="shared" si="206"/>
        <v>2.0784243725008356</v>
      </c>
      <c r="Q1338" s="12">
        <f t="shared" si="207"/>
        <v>6.6186269471692514</v>
      </c>
      <c r="R1338" s="13">
        <f t="shared" si="208"/>
        <v>13.253004494118244</v>
      </c>
      <c r="S1338" s="3" t="s">
        <v>29</v>
      </c>
      <c r="T1338" s="3" t="s">
        <v>28</v>
      </c>
      <c r="U1338" s="10">
        <v>9420029900999</v>
      </c>
      <c r="V1338" s="3">
        <v>0.1</v>
      </c>
      <c r="W1338" s="3">
        <f t="shared" si="209"/>
        <v>2</v>
      </c>
      <c r="AA1338" s="3">
        <v>40</v>
      </c>
    </row>
    <row r="1339" spans="1:27" x14ac:dyDescent="0.3">
      <c r="A1339" s="3" t="str">
        <f t="shared" si="200"/>
        <v>South9330209902219</v>
      </c>
      <c r="B1339" s="3" t="str">
        <f t="shared" si="201"/>
        <v>CY9330209902219</v>
      </c>
      <c r="C1339" s="10">
        <v>9330209902219</v>
      </c>
      <c r="D1339" s="10" t="str">
        <f t="shared" si="202"/>
        <v>9330209902</v>
      </c>
      <c r="E1339" s="3" t="s">
        <v>4</v>
      </c>
      <c r="F1339" s="3" t="s">
        <v>65</v>
      </c>
      <c r="H1339" s="3">
        <v>21.118500000000001</v>
      </c>
      <c r="I1339" s="10">
        <f t="shared" si="203"/>
        <v>37.725323202569058</v>
      </c>
      <c r="J1339" s="3">
        <v>16.793891906454377</v>
      </c>
      <c r="K1339" s="3">
        <v>40</v>
      </c>
      <c r="L1339" s="3">
        <f t="shared" si="204"/>
        <v>0</v>
      </c>
      <c r="N1339" s="11">
        <f t="shared" si="205"/>
        <v>4.3246080935456241</v>
      </c>
      <c r="O1339" s="3">
        <v>16.793891906454377</v>
      </c>
      <c r="P1339" s="11">
        <f t="shared" si="206"/>
        <v>7.7253232025690579</v>
      </c>
      <c r="Q1339" s="12">
        <f t="shared" si="207"/>
        <v>6.5511398758742372</v>
      </c>
      <c r="R1339" s="13">
        <f t="shared" si="208"/>
        <v>25.495735371468772</v>
      </c>
      <c r="S1339" s="3" t="s">
        <v>30</v>
      </c>
      <c r="T1339" s="3" t="s">
        <v>35</v>
      </c>
      <c r="U1339" s="10">
        <v>9330209900999</v>
      </c>
      <c r="V1339" s="3">
        <v>0.1</v>
      </c>
      <c r="W1339" s="3">
        <f t="shared" si="209"/>
        <v>4</v>
      </c>
      <c r="AA1339" s="3">
        <v>40</v>
      </c>
    </row>
    <row r="1340" spans="1:27" x14ac:dyDescent="0.3">
      <c r="A1340" s="3" t="str">
        <f t="shared" si="200"/>
        <v>South9420029901840</v>
      </c>
      <c r="B1340" s="3" t="str">
        <f t="shared" si="201"/>
        <v>CY9420029901840</v>
      </c>
      <c r="C1340" s="10">
        <v>9420029901840</v>
      </c>
      <c r="D1340" s="10" t="str">
        <f t="shared" si="202"/>
        <v>9420029901</v>
      </c>
      <c r="E1340" s="3" t="s">
        <v>4</v>
      </c>
      <c r="F1340" s="3" t="s">
        <v>65</v>
      </c>
      <c r="H1340" s="3">
        <v>20.451999999999998</v>
      </c>
      <c r="I1340" s="10">
        <f t="shared" si="203"/>
        <v>47.28047576039701</v>
      </c>
      <c r="J1340" s="3">
        <v>12.977026777592814</v>
      </c>
      <c r="K1340" s="3">
        <v>0</v>
      </c>
      <c r="L1340" s="3">
        <f t="shared" si="204"/>
        <v>0</v>
      </c>
      <c r="N1340" s="11">
        <f t="shared" si="205"/>
        <v>7.4749732224071845</v>
      </c>
      <c r="O1340" s="3">
        <v>12.977026777592814</v>
      </c>
      <c r="P1340" s="11">
        <f t="shared" si="206"/>
        <v>17.28047576039701</v>
      </c>
      <c r="Q1340" s="12">
        <f t="shared" si="207"/>
        <v>6.3015338727443666</v>
      </c>
      <c r="R1340" s="13">
        <f t="shared" si="208"/>
        <v>17.827850782230005</v>
      </c>
      <c r="S1340" s="3" t="s">
        <v>30</v>
      </c>
      <c r="T1340" s="3" t="s">
        <v>28</v>
      </c>
      <c r="U1340" s="10">
        <v>0</v>
      </c>
      <c r="V1340" s="3">
        <v>0</v>
      </c>
      <c r="W1340" s="3">
        <f t="shared" si="209"/>
        <v>0</v>
      </c>
      <c r="AA1340" s="3">
        <v>40</v>
      </c>
    </row>
    <row r="1341" spans="1:27" x14ac:dyDescent="0.3">
      <c r="A1341" s="3" t="str">
        <f t="shared" si="200"/>
        <v>South9330209902297</v>
      </c>
      <c r="B1341" s="3" t="str">
        <f t="shared" si="201"/>
        <v>CY9330209902297</v>
      </c>
      <c r="C1341" s="10">
        <v>9330209902297</v>
      </c>
      <c r="D1341" s="10" t="str">
        <f t="shared" si="202"/>
        <v>9330209902</v>
      </c>
      <c r="E1341" s="3" t="s">
        <v>4</v>
      </c>
      <c r="F1341" s="3" t="s">
        <v>65</v>
      </c>
      <c r="H1341" s="3">
        <v>21.098999999999997</v>
      </c>
      <c r="I1341" s="10">
        <f t="shared" si="203"/>
        <v>77.819121626104632</v>
      </c>
      <c r="J1341" s="3">
        <v>8.1338620479579973</v>
      </c>
      <c r="K1341" s="3">
        <v>0</v>
      </c>
      <c r="L1341" s="3">
        <f t="shared" si="204"/>
        <v>0</v>
      </c>
      <c r="N1341" s="11">
        <f t="shared" si="205"/>
        <v>12.965137952041999</v>
      </c>
      <c r="O1341" s="3">
        <v>8.1338620479579973</v>
      </c>
      <c r="P1341" s="11">
        <f t="shared" si="206"/>
        <v>47.819121626104632</v>
      </c>
      <c r="Q1341" s="12">
        <f t="shared" si="207"/>
        <v>26.065703831359425</v>
      </c>
      <c r="R1341" s="13">
        <f t="shared" si="208"/>
        <v>19.916688006569078</v>
      </c>
      <c r="S1341" s="3" t="s">
        <v>30</v>
      </c>
      <c r="T1341" s="3" t="s">
        <v>35</v>
      </c>
      <c r="U1341" s="10">
        <v>9330209900999</v>
      </c>
      <c r="V1341" s="3">
        <v>0.1</v>
      </c>
      <c r="W1341" s="3">
        <f t="shared" si="209"/>
        <v>0</v>
      </c>
      <c r="AA1341" s="3">
        <v>40</v>
      </c>
    </row>
    <row r="1342" spans="1:27" x14ac:dyDescent="0.3">
      <c r="A1342" s="3" t="str">
        <f t="shared" si="200"/>
        <v>South9330209902097</v>
      </c>
      <c r="B1342" s="3" t="str">
        <f t="shared" si="201"/>
        <v>CY9330209902097</v>
      </c>
      <c r="C1342" s="10">
        <v>9330209902097</v>
      </c>
      <c r="D1342" s="10" t="str">
        <f t="shared" si="202"/>
        <v>9330209902</v>
      </c>
      <c r="E1342" s="3" t="s">
        <v>4</v>
      </c>
      <c r="F1342" s="3" t="s">
        <v>65</v>
      </c>
      <c r="H1342" s="3">
        <v>23.972324999999998</v>
      </c>
      <c r="I1342" s="10">
        <f t="shared" si="203"/>
        <v>96.785925089343209</v>
      </c>
      <c r="J1342" s="3">
        <v>7.4305199783556688</v>
      </c>
      <c r="K1342" s="3">
        <v>0</v>
      </c>
      <c r="L1342" s="3">
        <f t="shared" si="204"/>
        <v>0</v>
      </c>
      <c r="N1342" s="11">
        <f t="shared" si="205"/>
        <v>16.541805021644329</v>
      </c>
      <c r="O1342" s="3">
        <v>7.4305199783556688</v>
      </c>
      <c r="P1342" s="11">
        <f t="shared" si="206"/>
        <v>66.785925089343209</v>
      </c>
      <c r="Q1342" s="12">
        <f t="shared" si="207"/>
        <v>38.463820908551696</v>
      </c>
      <c r="R1342" s="13">
        <f t="shared" si="208"/>
        <v>23.62392331129497</v>
      </c>
      <c r="S1342" s="3" t="s">
        <v>30</v>
      </c>
      <c r="T1342" s="3" t="s">
        <v>35</v>
      </c>
      <c r="U1342" s="10">
        <v>0</v>
      </c>
      <c r="V1342" s="3">
        <v>0</v>
      </c>
      <c r="W1342" s="3">
        <f t="shared" si="209"/>
        <v>0</v>
      </c>
      <c r="AA1342" s="3">
        <v>40</v>
      </c>
    </row>
    <row r="1343" spans="1:27" x14ac:dyDescent="0.3">
      <c r="A1343" s="3" t="str">
        <f t="shared" si="200"/>
        <v>South9330209902839</v>
      </c>
      <c r="B1343" s="3" t="str">
        <f t="shared" si="201"/>
        <v>CY9330209902839</v>
      </c>
      <c r="C1343" s="10">
        <v>9330209902839</v>
      </c>
      <c r="D1343" s="10" t="str">
        <f t="shared" si="202"/>
        <v>9330209902</v>
      </c>
      <c r="E1343" s="3" t="s">
        <v>4</v>
      </c>
      <c r="F1343" s="3" t="s">
        <v>65</v>
      </c>
      <c r="H1343" s="3">
        <v>18.918900000000001</v>
      </c>
      <c r="I1343" s="10">
        <f t="shared" si="203"/>
        <v>76.709146854870454</v>
      </c>
      <c r="J1343" s="3">
        <v>7.3989481472634022</v>
      </c>
      <c r="K1343" s="3">
        <v>0</v>
      </c>
      <c r="L1343" s="3">
        <f t="shared" si="204"/>
        <v>0</v>
      </c>
      <c r="N1343" s="11">
        <f t="shared" si="205"/>
        <v>11.519951852736598</v>
      </c>
      <c r="O1343" s="3">
        <v>7.3989481472634022</v>
      </c>
      <c r="P1343" s="11">
        <f t="shared" si="206"/>
        <v>46.709146854870461</v>
      </c>
      <c r="Q1343" s="12">
        <f t="shared" si="207"/>
        <v>24.210595410114362</v>
      </c>
      <c r="R1343" s="13">
        <f t="shared" si="208"/>
        <v>43.473852368581014</v>
      </c>
      <c r="S1343" s="3" t="s">
        <v>30</v>
      </c>
      <c r="T1343" s="3" t="s">
        <v>35</v>
      </c>
      <c r="U1343" s="10">
        <v>0</v>
      </c>
      <c r="V1343" s="3">
        <v>0</v>
      </c>
      <c r="W1343" s="3">
        <f t="shared" si="209"/>
        <v>0</v>
      </c>
      <c r="AA1343" s="3">
        <v>40</v>
      </c>
    </row>
    <row r="1344" spans="1:27" x14ac:dyDescent="0.3">
      <c r="A1344" s="3" t="str">
        <f t="shared" si="200"/>
        <v>South9100509900320</v>
      </c>
      <c r="B1344" s="3" t="str">
        <f t="shared" si="201"/>
        <v>CY9100509900320</v>
      </c>
      <c r="C1344" s="10">
        <v>9100509900320</v>
      </c>
      <c r="D1344" s="10" t="str">
        <f t="shared" si="202"/>
        <v>9100509900</v>
      </c>
      <c r="E1344" s="3" t="s">
        <v>4</v>
      </c>
      <c r="F1344" s="3" t="s">
        <v>65</v>
      </c>
      <c r="H1344" s="3">
        <v>13.779999999999998</v>
      </c>
      <c r="I1344" s="10">
        <f t="shared" si="203"/>
        <v>63.493754334406013</v>
      </c>
      <c r="J1344" s="3">
        <v>6.5108766103627085</v>
      </c>
      <c r="K1344" s="3">
        <v>0</v>
      </c>
      <c r="L1344" s="3">
        <f t="shared" si="204"/>
        <v>0</v>
      </c>
      <c r="N1344" s="11">
        <f t="shared" si="205"/>
        <v>7.2691233896372891</v>
      </c>
      <c r="O1344" s="3">
        <v>6.5108766103627085</v>
      </c>
      <c r="P1344" s="11">
        <f t="shared" si="206"/>
        <v>33.493754334406006</v>
      </c>
      <c r="Q1344" s="12">
        <f t="shared" si="207"/>
        <v>32.457377361236475</v>
      </c>
      <c r="R1344" s="13">
        <f t="shared" si="208"/>
        <v>28.679587677970176</v>
      </c>
      <c r="S1344" s="3" t="s">
        <v>30</v>
      </c>
      <c r="T1344" s="3" t="s">
        <v>34</v>
      </c>
      <c r="U1344" s="10">
        <v>0</v>
      </c>
      <c r="V1344" s="3">
        <v>0</v>
      </c>
      <c r="W1344" s="3">
        <f t="shared" si="209"/>
        <v>0</v>
      </c>
      <c r="AA1344" s="3">
        <v>40</v>
      </c>
    </row>
    <row r="1345" spans="1:27" x14ac:dyDescent="0.3">
      <c r="A1345" s="3" t="str">
        <f t="shared" si="200"/>
        <v>South9420029901210</v>
      </c>
      <c r="B1345" s="3" t="str">
        <f t="shared" si="201"/>
        <v>CY9420029901210</v>
      </c>
      <c r="C1345" s="10">
        <v>9420029901210</v>
      </c>
      <c r="D1345" s="10" t="str">
        <f t="shared" si="202"/>
        <v>9420029901</v>
      </c>
      <c r="E1345" s="3" t="s">
        <v>4</v>
      </c>
      <c r="F1345" s="3" t="s">
        <v>65</v>
      </c>
      <c r="H1345" s="3">
        <v>8.1029999999999998</v>
      </c>
      <c r="I1345" s="10">
        <f t="shared" si="203"/>
        <v>45.857986937290178</v>
      </c>
      <c r="J1345" s="3">
        <v>5.3009304645757869</v>
      </c>
      <c r="K1345" s="3">
        <v>12</v>
      </c>
      <c r="L1345" s="3">
        <f t="shared" si="204"/>
        <v>0</v>
      </c>
      <c r="N1345" s="11">
        <f t="shared" si="205"/>
        <v>2.8020695354242129</v>
      </c>
      <c r="O1345" s="3">
        <v>5.3009304645757869</v>
      </c>
      <c r="P1345" s="11">
        <f t="shared" si="206"/>
        <v>15.857986937290178</v>
      </c>
      <c r="Q1345" s="12">
        <f t="shared" si="207"/>
        <v>10.231825584452411</v>
      </c>
      <c r="R1345" s="13">
        <f t="shared" si="208"/>
        <v>2.2986753983757411</v>
      </c>
      <c r="S1345" s="3" t="s">
        <v>30</v>
      </c>
      <c r="T1345" s="3" t="s">
        <v>28</v>
      </c>
      <c r="U1345" s="10">
        <v>0</v>
      </c>
      <c r="V1345" s="3">
        <v>0</v>
      </c>
      <c r="W1345" s="3">
        <f t="shared" si="209"/>
        <v>0</v>
      </c>
      <c r="AA1345" s="3">
        <v>40</v>
      </c>
    </row>
    <row r="1346" spans="1:27" x14ac:dyDescent="0.3">
      <c r="A1346" s="3" t="str">
        <f t="shared" si="200"/>
        <v>South9420029900320</v>
      </c>
      <c r="B1346" s="3" t="str">
        <f t="shared" si="201"/>
        <v>CY9420029900320</v>
      </c>
      <c r="C1346" s="10">
        <v>9420029900320</v>
      </c>
      <c r="D1346" s="10" t="str">
        <f t="shared" si="202"/>
        <v>9420029900</v>
      </c>
      <c r="E1346" s="3" t="s">
        <v>4</v>
      </c>
      <c r="F1346" s="3" t="s">
        <v>65</v>
      </c>
      <c r="H1346" s="3">
        <v>24.759999999999998</v>
      </c>
      <c r="I1346" s="10">
        <f t="shared" si="203"/>
        <v>171.93168257727439</v>
      </c>
      <c r="J1346" s="3">
        <v>4.3203206579808224</v>
      </c>
      <c r="K1346" s="3">
        <v>0</v>
      </c>
      <c r="L1346" s="3">
        <f t="shared" si="204"/>
        <v>0</v>
      </c>
      <c r="N1346" s="11">
        <f t="shared" si="205"/>
        <v>20.439679342019176</v>
      </c>
      <c r="O1346" s="3">
        <v>4.3203206579808224</v>
      </c>
      <c r="P1346" s="11">
        <f t="shared" si="206"/>
        <v>141.93168257727439</v>
      </c>
      <c r="Q1346" s="12">
        <f t="shared" si="207"/>
        <v>10.139878720772771</v>
      </c>
      <c r="R1346" s="13">
        <f t="shared" si="208"/>
        <v>11.93731564960561</v>
      </c>
      <c r="S1346" s="3" t="s">
        <v>29</v>
      </c>
      <c r="T1346" s="3" t="s">
        <v>28</v>
      </c>
      <c r="U1346" s="10">
        <v>9420029900999</v>
      </c>
      <c r="V1346" s="3">
        <v>0.1</v>
      </c>
      <c r="W1346" s="3">
        <f t="shared" si="209"/>
        <v>0</v>
      </c>
      <c r="AA1346" s="3">
        <v>40</v>
      </c>
    </row>
    <row r="1347" spans="1:27" x14ac:dyDescent="0.3">
      <c r="A1347" s="3" t="str">
        <f t="shared" si="200"/>
        <v>South9410059900820</v>
      </c>
      <c r="B1347" s="3" t="str">
        <f t="shared" si="201"/>
        <v>CY9410059900820</v>
      </c>
      <c r="C1347" s="10">
        <v>9410059900820</v>
      </c>
      <c r="D1347" s="10" t="str">
        <f t="shared" si="202"/>
        <v>9410059900</v>
      </c>
      <c r="E1347" s="3" t="s">
        <v>4</v>
      </c>
      <c r="F1347" s="3" t="s">
        <v>65</v>
      </c>
      <c r="H1347" s="3">
        <v>2.98</v>
      </c>
      <c r="I1347" s="10">
        <f t="shared" si="203"/>
        <v>24.812107389051942</v>
      </c>
      <c r="J1347" s="3">
        <v>3.6030796819558635</v>
      </c>
      <c r="K1347" s="3">
        <v>0</v>
      </c>
      <c r="L1347" s="3">
        <f t="shared" si="204"/>
        <v>0</v>
      </c>
      <c r="N1347" s="11">
        <f t="shared" si="205"/>
        <v>-0.6230796819558635</v>
      </c>
      <c r="O1347" s="3">
        <v>3.6030796819558635</v>
      </c>
      <c r="P1347" s="11">
        <f t="shared" si="206"/>
        <v>-5.187892610948059</v>
      </c>
      <c r="Q1347" s="12">
        <f t="shared" si="207"/>
        <v>-9.4789251355922151</v>
      </c>
      <c r="R1347" s="13">
        <f t="shared" si="208"/>
        <v>1.7095469951111055</v>
      </c>
      <c r="S1347" s="3" t="s">
        <v>30</v>
      </c>
      <c r="T1347" s="3" t="s">
        <v>32</v>
      </c>
      <c r="U1347" s="10">
        <v>0</v>
      </c>
      <c r="V1347" s="3">
        <v>0</v>
      </c>
      <c r="W1347" s="3">
        <f t="shared" si="209"/>
        <v>0</v>
      </c>
      <c r="AA1347" s="3">
        <v>40</v>
      </c>
    </row>
    <row r="1348" spans="1:27" x14ac:dyDescent="0.3">
      <c r="A1348" s="3" t="str">
        <f t="shared" ref="A1348:A1411" si="210">_xlfn.CONCAT(F1348,C1348)</f>
        <v>South9420029902838</v>
      </c>
      <c r="B1348" s="3" t="str">
        <f t="shared" ref="B1348:B1411" si="211">_xlfn.CONCAT(E1348,C1348)</f>
        <v>CY9420029902838</v>
      </c>
      <c r="C1348" s="10">
        <v>9420029902838</v>
      </c>
      <c r="D1348" s="10" t="str">
        <f t="shared" ref="D1348:D1411" si="212">LEFT(C1348,10)</f>
        <v>9420029902</v>
      </c>
      <c r="E1348" s="3" t="s">
        <v>4</v>
      </c>
      <c r="F1348" s="3" t="s">
        <v>65</v>
      </c>
      <c r="H1348" s="3">
        <v>2.7892000000000006</v>
      </c>
      <c r="I1348" s="10">
        <f t="shared" ref="I1348:I1411" si="213">IFERROR(H1348/J1348*30,0)</f>
        <v>31.593334286872661</v>
      </c>
      <c r="J1348" s="3">
        <v>2.6485333659375172</v>
      </c>
      <c r="K1348" s="3">
        <v>0</v>
      </c>
      <c r="L1348" s="3">
        <f t="shared" ref="L1348:L1411" si="214">M1348*G1348</f>
        <v>0</v>
      </c>
      <c r="N1348" s="11">
        <f t="shared" ref="N1348:N1411" si="215">H1348-J1348+L1348</f>
        <v>0.14066663406248336</v>
      </c>
      <c r="O1348" s="3">
        <v>2.6485333659375172</v>
      </c>
      <c r="P1348" s="11">
        <f t="shared" ref="P1348:P1411" si="216">IF(O1348=0,9999,N1348/O1348*30)</f>
        <v>1.5933342868726603</v>
      </c>
      <c r="Q1348" s="12">
        <f t="shared" ref="Q1348:Q1411" si="217">IF(SUMIF($A:$A,$A1348,$O:$O)=0,9999,SUMIF($A:$A,$A1348,$N:$N)*30/SUMIF($A:$A,$A1348,$O:$O))</f>
        <v>23.035960662959496</v>
      </c>
      <c r="R1348" s="13">
        <f t="shared" ref="R1348:R1411" si="218">IF(SUMIF($C:$C,$C1348,$O:$O)=0,9999,SUMIF($C:$C,$C1348,$N:$N)*30/SUMIF($C:$C,$C1348,$O:$O))</f>
        <v>45.116201366682233</v>
      </c>
      <c r="S1348" s="3" t="s">
        <v>31</v>
      </c>
      <c r="T1348" s="3" t="s">
        <v>28</v>
      </c>
      <c r="U1348" s="10">
        <v>0</v>
      </c>
      <c r="V1348" s="3">
        <v>0</v>
      </c>
      <c r="W1348" s="3">
        <f t="shared" ref="W1348:W1411" si="219">IFERROR(K1348*V1348,0)</f>
        <v>0</v>
      </c>
      <c r="AA1348" s="3">
        <v>40</v>
      </c>
    </row>
    <row r="1349" spans="1:27" x14ac:dyDescent="0.3">
      <c r="A1349" s="3" t="str">
        <f t="shared" si="210"/>
        <v>South9420029900310</v>
      </c>
      <c r="B1349" s="3" t="str">
        <f t="shared" si="211"/>
        <v>CY9420029900310</v>
      </c>
      <c r="C1349" s="10">
        <v>9420029900310</v>
      </c>
      <c r="D1349" s="10" t="str">
        <f t="shared" si="212"/>
        <v>9420029900</v>
      </c>
      <c r="E1349" s="3" t="s">
        <v>4</v>
      </c>
      <c r="F1349" s="3" t="s">
        <v>65</v>
      </c>
      <c r="H1349" s="3">
        <v>3.29</v>
      </c>
      <c r="I1349" s="10">
        <f t="shared" si="213"/>
        <v>41.536539863774273</v>
      </c>
      <c r="J1349" s="3">
        <v>2.3762210411291464</v>
      </c>
      <c r="K1349" s="3">
        <v>0</v>
      </c>
      <c r="L1349" s="3">
        <f t="shared" si="214"/>
        <v>0</v>
      </c>
      <c r="N1349" s="11">
        <f t="shared" si="215"/>
        <v>0.91377895887085359</v>
      </c>
      <c r="O1349" s="3">
        <v>2.3762210411291464</v>
      </c>
      <c r="P1349" s="11">
        <f t="shared" si="216"/>
        <v>11.536539863774275</v>
      </c>
      <c r="Q1349" s="12">
        <f t="shared" si="217"/>
        <v>-8.7427779983345957</v>
      </c>
      <c r="R1349" s="13">
        <f t="shared" si="218"/>
        <v>-2.0199706511833333</v>
      </c>
      <c r="S1349" s="3" t="s">
        <v>30</v>
      </c>
      <c r="T1349" s="3" t="s">
        <v>28</v>
      </c>
      <c r="U1349" s="10">
        <v>9420029900999</v>
      </c>
      <c r="V1349" s="3">
        <v>0.1</v>
      </c>
      <c r="W1349" s="3">
        <f t="shared" si="219"/>
        <v>0</v>
      </c>
      <c r="AA1349" s="3">
        <v>40</v>
      </c>
    </row>
    <row r="1350" spans="1:27" x14ac:dyDescent="0.3">
      <c r="A1350" s="3" t="str">
        <f t="shared" si="210"/>
        <v>South9420029902195</v>
      </c>
      <c r="B1350" s="3" t="str">
        <f t="shared" si="211"/>
        <v>CY9420029902195</v>
      </c>
      <c r="C1350" s="10">
        <v>9420029902195</v>
      </c>
      <c r="D1350" s="10" t="str">
        <f t="shared" si="212"/>
        <v>9420029902</v>
      </c>
      <c r="E1350" s="3" t="s">
        <v>4</v>
      </c>
      <c r="F1350" s="3" t="s">
        <v>65</v>
      </c>
      <c r="H1350" s="3">
        <v>0.67544999999999999</v>
      </c>
      <c r="I1350" s="10">
        <f t="shared" si="213"/>
        <v>9.7928642474211784</v>
      </c>
      <c r="J1350" s="3">
        <v>2.0692107526494228</v>
      </c>
      <c r="K1350" s="3">
        <v>20</v>
      </c>
      <c r="L1350" s="3">
        <f t="shared" si="214"/>
        <v>0</v>
      </c>
      <c r="N1350" s="11">
        <f t="shared" si="215"/>
        <v>-1.3937607526494227</v>
      </c>
      <c r="O1350" s="3">
        <v>2.0692107526494228</v>
      </c>
      <c r="P1350" s="11">
        <f t="shared" si="216"/>
        <v>-20.207135752578822</v>
      </c>
      <c r="Q1350" s="12">
        <f t="shared" si="217"/>
        <v>-19.61679280305535</v>
      </c>
      <c r="R1350" s="13">
        <f t="shared" si="218"/>
        <v>54.081869668543256</v>
      </c>
      <c r="S1350" s="3" t="s">
        <v>31</v>
      </c>
      <c r="T1350" s="3" t="s">
        <v>28</v>
      </c>
      <c r="U1350" s="10">
        <v>0</v>
      </c>
      <c r="V1350" s="3">
        <v>0</v>
      </c>
      <c r="W1350" s="3">
        <f t="shared" si="219"/>
        <v>0</v>
      </c>
      <c r="AA1350" s="3">
        <v>40</v>
      </c>
    </row>
    <row r="1351" spans="1:27" x14ac:dyDescent="0.3">
      <c r="A1351" s="3" t="str">
        <f t="shared" si="210"/>
        <v>South9420029902295</v>
      </c>
      <c r="B1351" s="3" t="str">
        <f t="shared" si="211"/>
        <v>CY9420029902295</v>
      </c>
      <c r="C1351" s="10">
        <v>9420029902295</v>
      </c>
      <c r="D1351" s="10" t="str">
        <f t="shared" si="212"/>
        <v>9420029902</v>
      </c>
      <c r="E1351" s="3" t="s">
        <v>4</v>
      </c>
      <c r="F1351" s="3" t="s">
        <v>65</v>
      </c>
      <c r="H1351" s="3">
        <v>1.9569999999999999</v>
      </c>
      <c r="I1351" s="10">
        <f t="shared" si="213"/>
        <v>30.624275383771732</v>
      </c>
      <c r="J1351" s="3">
        <v>1.9171065850299698</v>
      </c>
      <c r="K1351" s="3">
        <v>20</v>
      </c>
      <c r="L1351" s="3">
        <f t="shared" si="214"/>
        <v>0</v>
      </c>
      <c r="N1351" s="11">
        <f t="shared" si="215"/>
        <v>3.9893414970030072E-2</v>
      </c>
      <c r="O1351" s="3">
        <v>1.9171065850299698</v>
      </c>
      <c r="P1351" s="11">
        <f t="shared" si="216"/>
        <v>0.62427538377173364</v>
      </c>
      <c r="Q1351" s="12">
        <f t="shared" si="217"/>
        <v>9.2077400138650738</v>
      </c>
      <c r="R1351" s="13">
        <f t="shared" si="218"/>
        <v>62.065240679388516</v>
      </c>
      <c r="S1351" s="3" t="s">
        <v>31</v>
      </c>
      <c r="T1351" s="3" t="s">
        <v>28</v>
      </c>
      <c r="U1351" s="10">
        <v>9420029900999</v>
      </c>
      <c r="V1351" s="3">
        <v>0.1</v>
      </c>
      <c r="W1351" s="3">
        <f t="shared" si="219"/>
        <v>2</v>
      </c>
      <c r="AA1351" s="3">
        <v>40</v>
      </c>
    </row>
    <row r="1352" spans="1:27" x14ac:dyDescent="0.3">
      <c r="A1352" s="3" t="str">
        <f t="shared" si="210"/>
        <v>South9420029902319</v>
      </c>
      <c r="B1352" s="3" t="str">
        <f t="shared" si="211"/>
        <v>CY9420029902319</v>
      </c>
      <c r="C1352" s="10">
        <v>9420029902319</v>
      </c>
      <c r="D1352" s="10" t="str">
        <f t="shared" si="212"/>
        <v>9420029902</v>
      </c>
      <c r="E1352" s="3" t="s">
        <v>4</v>
      </c>
      <c r="F1352" s="3" t="s">
        <v>65</v>
      </c>
      <c r="H1352" s="3">
        <v>0.49399999999999999</v>
      </c>
      <c r="I1352" s="10">
        <f t="shared" si="213"/>
        <v>13.613114235089991</v>
      </c>
      <c r="J1352" s="3">
        <v>1.0886561108698454</v>
      </c>
      <c r="K1352" s="3">
        <v>0</v>
      </c>
      <c r="L1352" s="3">
        <f t="shared" si="214"/>
        <v>0</v>
      </c>
      <c r="N1352" s="11">
        <f t="shared" si="215"/>
        <v>-0.59465611086984538</v>
      </c>
      <c r="O1352" s="3">
        <v>1.0886561108698454</v>
      </c>
      <c r="P1352" s="11">
        <f t="shared" si="216"/>
        <v>-16.386885764910009</v>
      </c>
      <c r="Q1352" s="12">
        <f t="shared" si="217"/>
        <v>-11.625199405864887</v>
      </c>
      <c r="R1352" s="13">
        <f t="shared" si="218"/>
        <v>100.81020277708481</v>
      </c>
      <c r="S1352" s="3" t="s">
        <v>31</v>
      </c>
      <c r="T1352" s="3" t="s">
        <v>28</v>
      </c>
      <c r="U1352" s="10">
        <v>9420029900999</v>
      </c>
      <c r="V1352" s="3">
        <v>0.1</v>
      </c>
      <c r="W1352" s="3">
        <f t="shared" si="219"/>
        <v>0</v>
      </c>
      <c r="AA1352" s="3">
        <v>40</v>
      </c>
    </row>
    <row r="1353" spans="1:27" x14ac:dyDescent="0.3">
      <c r="A1353" s="3" t="str">
        <f t="shared" si="210"/>
        <v>South9420029900840</v>
      </c>
      <c r="B1353" s="3" t="str">
        <f t="shared" si="211"/>
        <v>CY9420029900840</v>
      </c>
      <c r="C1353" s="10">
        <v>9420029900840</v>
      </c>
      <c r="D1353" s="10" t="str">
        <f t="shared" si="212"/>
        <v>9420029900</v>
      </c>
      <c r="E1353" s="3" t="s">
        <v>4</v>
      </c>
      <c r="F1353" s="3" t="s">
        <v>65</v>
      </c>
      <c r="H1353" s="3">
        <v>1.8680000000000003</v>
      </c>
      <c r="I1353" s="10">
        <f t="shared" si="213"/>
        <v>54.408033042633313</v>
      </c>
      <c r="J1353" s="3">
        <v>1.0299949633556484</v>
      </c>
      <c r="K1353" s="3">
        <v>0</v>
      </c>
      <c r="L1353" s="3">
        <f t="shared" si="214"/>
        <v>0</v>
      </c>
      <c r="N1353" s="11">
        <f t="shared" si="215"/>
        <v>0.83800503664435189</v>
      </c>
      <c r="O1353" s="3">
        <v>1.0299949633556484</v>
      </c>
      <c r="P1353" s="11">
        <f t="shared" si="216"/>
        <v>24.408033042633313</v>
      </c>
      <c r="Q1353" s="12">
        <f t="shared" si="217"/>
        <v>25.433850900355107</v>
      </c>
      <c r="R1353" s="13">
        <f t="shared" si="218"/>
        <v>9.7377292402598545</v>
      </c>
      <c r="S1353" s="3" t="s">
        <v>31</v>
      </c>
      <c r="T1353" s="3" t="s">
        <v>28</v>
      </c>
      <c r="U1353" s="10">
        <v>0</v>
      </c>
      <c r="V1353" s="3">
        <v>0</v>
      </c>
      <c r="W1353" s="3">
        <f t="shared" si="219"/>
        <v>0</v>
      </c>
      <c r="AA1353" s="3">
        <v>40</v>
      </c>
    </row>
    <row r="1354" spans="1:27" x14ac:dyDescent="0.3">
      <c r="A1354" s="3" t="str">
        <f t="shared" si="210"/>
        <v>South9160309902219</v>
      </c>
      <c r="B1354" s="3" t="str">
        <f t="shared" si="211"/>
        <v>CY9160309902219</v>
      </c>
      <c r="C1354" s="10">
        <v>9160309902219</v>
      </c>
      <c r="D1354" s="10" t="str">
        <f t="shared" si="212"/>
        <v>9160309902</v>
      </c>
      <c r="E1354" s="3" t="s">
        <v>4</v>
      </c>
      <c r="F1354" s="3" t="s">
        <v>65</v>
      </c>
      <c r="H1354" s="3">
        <v>3.4515000000000002</v>
      </c>
      <c r="I1354" s="10">
        <f t="shared" si="213"/>
        <v>155.14468994020402</v>
      </c>
      <c r="J1354" s="3">
        <v>0.66740924255872625</v>
      </c>
      <c r="K1354" s="3">
        <v>0</v>
      </c>
      <c r="L1354" s="3">
        <f t="shared" si="214"/>
        <v>0</v>
      </c>
      <c r="N1354" s="11">
        <f t="shared" si="215"/>
        <v>2.7840907574412741</v>
      </c>
      <c r="O1354" s="3">
        <v>0.66740924255872625</v>
      </c>
      <c r="P1354" s="11">
        <f t="shared" si="216"/>
        <v>125.14468994020403</v>
      </c>
      <c r="Q1354" s="12">
        <f t="shared" si="217"/>
        <v>171.31710609149866</v>
      </c>
      <c r="R1354" s="13">
        <f t="shared" si="218"/>
        <v>96.414129400234444</v>
      </c>
      <c r="S1354" s="3" t="s">
        <v>31</v>
      </c>
      <c r="T1354" s="3" t="s">
        <v>34</v>
      </c>
      <c r="U1354" s="10">
        <v>0</v>
      </c>
      <c r="V1354" s="3">
        <v>0</v>
      </c>
      <c r="W1354" s="3">
        <f t="shared" si="219"/>
        <v>0</v>
      </c>
      <c r="AA1354" s="3">
        <v>40</v>
      </c>
    </row>
    <row r="1355" spans="1:27" x14ac:dyDescent="0.3">
      <c r="A1355" s="3" t="str">
        <f t="shared" si="210"/>
        <v>South9410029902195</v>
      </c>
      <c r="B1355" s="3" t="str">
        <f t="shared" si="211"/>
        <v>CY9410029902195</v>
      </c>
      <c r="C1355" s="10">
        <v>9410029902195</v>
      </c>
      <c r="D1355" s="10" t="str">
        <f t="shared" si="212"/>
        <v>9410029902</v>
      </c>
      <c r="E1355" s="3" t="s">
        <v>4</v>
      </c>
      <c r="F1355" s="3" t="s">
        <v>65</v>
      </c>
      <c r="H1355" s="3">
        <v>0.82459999999999989</v>
      </c>
      <c r="I1355" s="10">
        <f t="shared" si="213"/>
        <v>42.581149596874411</v>
      </c>
      <c r="J1355" s="3">
        <v>0.5809612994059663</v>
      </c>
      <c r="K1355" s="3">
        <v>0</v>
      </c>
      <c r="L1355" s="3">
        <f t="shared" si="214"/>
        <v>0</v>
      </c>
      <c r="N1355" s="11">
        <f t="shared" si="215"/>
        <v>0.24363870059403359</v>
      </c>
      <c r="O1355" s="3">
        <v>0.5809612994059663</v>
      </c>
      <c r="P1355" s="11">
        <f t="shared" si="216"/>
        <v>12.581149596874411</v>
      </c>
      <c r="Q1355" s="12">
        <f t="shared" si="217"/>
        <v>20.92625528081032</v>
      </c>
      <c r="R1355" s="13">
        <f t="shared" si="218"/>
        <v>72.106187171666605</v>
      </c>
      <c r="S1355" s="3" t="s">
        <v>31</v>
      </c>
      <c r="T1355" s="3" t="s">
        <v>32</v>
      </c>
      <c r="U1355" s="10">
        <v>0</v>
      </c>
      <c r="V1355" s="3">
        <v>0</v>
      </c>
      <c r="W1355" s="3">
        <f t="shared" si="219"/>
        <v>0</v>
      </c>
      <c r="AA1355" s="3">
        <v>40</v>
      </c>
    </row>
    <row r="1356" spans="1:27" x14ac:dyDescent="0.3">
      <c r="A1356" s="3" t="str">
        <f t="shared" si="210"/>
        <v>South9410059900810</v>
      </c>
      <c r="B1356" s="3" t="str">
        <f t="shared" si="211"/>
        <v>CY9410059900810</v>
      </c>
      <c r="C1356" s="10">
        <v>9410059900810</v>
      </c>
      <c r="D1356" s="10" t="str">
        <f t="shared" si="212"/>
        <v>9410059900</v>
      </c>
      <c r="E1356" s="3" t="s">
        <v>4</v>
      </c>
      <c r="F1356" s="3" t="s">
        <v>65</v>
      </c>
      <c r="H1356" s="3">
        <v>0.13</v>
      </c>
      <c r="I1356" s="10">
        <f t="shared" si="213"/>
        <v>7.6239399685998475</v>
      </c>
      <c r="J1356" s="3">
        <v>0.51154652529566591</v>
      </c>
      <c r="K1356" s="3">
        <v>0</v>
      </c>
      <c r="L1356" s="3">
        <f t="shared" si="214"/>
        <v>0</v>
      </c>
      <c r="N1356" s="11">
        <f t="shared" si="215"/>
        <v>-0.38154652529566591</v>
      </c>
      <c r="O1356" s="3">
        <v>0.51154652529566591</v>
      </c>
      <c r="P1356" s="11">
        <f t="shared" si="216"/>
        <v>-22.376060031400151</v>
      </c>
      <c r="Q1356" s="12">
        <f t="shared" si="217"/>
        <v>-22.12919051178746</v>
      </c>
      <c r="R1356" s="13">
        <f t="shared" si="218"/>
        <v>-2.4886755234162909</v>
      </c>
      <c r="S1356" s="3" t="s">
        <v>31</v>
      </c>
      <c r="T1356" s="3" t="s">
        <v>32</v>
      </c>
      <c r="U1356" s="10">
        <v>0</v>
      </c>
      <c r="V1356" s="3">
        <v>0</v>
      </c>
      <c r="W1356" s="3">
        <f t="shared" si="219"/>
        <v>0</v>
      </c>
      <c r="AA1356" s="3">
        <v>40</v>
      </c>
    </row>
    <row r="1357" spans="1:27" x14ac:dyDescent="0.3">
      <c r="A1357" s="3" t="str">
        <f t="shared" si="210"/>
        <v>South9410029902838</v>
      </c>
      <c r="B1357" s="3" t="str">
        <f t="shared" si="211"/>
        <v>CY9410029902838</v>
      </c>
      <c r="C1357" s="10">
        <v>9410029902838</v>
      </c>
      <c r="D1357" s="10" t="str">
        <f t="shared" si="212"/>
        <v>9410029902</v>
      </c>
      <c r="E1357" s="3" t="s">
        <v>4</v>
      </c>
      <c r="F1357" s="3" t="s">
        <v>65</v>
      </c>
      <c r="H1357" s="3">
        <v>1.1020000000000003</v>
      </c>
      <c r="I1357" s="10">
        <f t="shared" si="213"/>
        <v>76.547200122394457</v>
      </c>
      <c r="J1357" s="3">
        <v>0.4318903885072089</v>
      </c>
      <c r="K1357" s="3">
        <v>0</v>
      </c>
      <c r="L1357" s="3">
        <f t="shared" si="214"/>
        <v>0</v>
      </c>
      <c r="N1357" s="11">
        <f t="shared" si="215"/>
        <v>0.67010961149279136</v>
      </c>
      <c r="O1357" s="3">
        <v>0.4318903885072089</v>
      </c>
      <c r="P1357" s="11">
        <f t="shared" si="216"/>
        <v>46.54720012239445</v>
      </c>
      <c r="Q1357" s="12">
        <f t="shared" si="217"/>
        <v>45.188210280104727</v>
      </c>
      <c r="R1357" s="13">
        <f t="shared" si="218"/>
        <v>29.473018002408558</v>
      </c>
      <c r="S1357" s="3" t="s">
        <v>31</v>
      </c>
      <c r="T1357" s="3" t="s">
        <v>32</v>
      </c>
      <c r="U1357" s="10">
        <v>0</v>
      </c>
      <c r="V1357" s="3">
        <v>0</v>
      </c>
      <c r="W1357" s="3">
        <f t="shared" si="219"/>
        <v>0</v>
      </c>
      <c r="AA1357" s="3">
        <v>40</v>
      </c>
    </row>
    <row r="1358" spans="1:27" x14ac:dyDescent="0.3">
      <c r="A1358" s="3" t="str">
        <f t="shared" si="210"/>
        <v>South9420029900210</v>
      </c>
      <c r="B1358" s="3" t="str">
        <f t="shared" si="211"/>
        <v>CY9420029900210</v>
      </c>
      <c r="C1358" s="10">
        <v>9420029900210</v>
      </c>
      <c r="D1358" s="10" t="str">
        <f t="shared" si="212"/>
        <v>9420029900</v>
      </c>
      <c r="E1358" s="3" t="s">
        <v>4</v>
      </c>
      <c r="F1358" s="3" t="s">
        <v>65</v>
      </c>
      <c r="H1358" s="3">
        <v>0.55300000000000016</v>
      </c>
      <c r="I1358" s="10">
        <f t="shared" si="213"/>
        <v>82.925710372450084</v>
      </c>
      <c r="J1358" s="3">
        <v>0.20005858165686094</v>
      </c>
      <c r="K1358" s="3">
        <v>0</v>
      </c>
      <c r="L1358" s="3">
        <f t="shared" si="214"/>
        <v>0</v>
      </c>
      <c r="N1358" s="11">
        <f t="shared" si="215"/>
        <v>0.35294141834313919</v>
      </c>
      <c r="O1358" s="3">
        <v>0.20005858165686094</v>
      </c>
      <c r="P1358" s="11">
        <f t="shared" si="216"/>
        <v>52.925710372450077</v>
      </c>
      <c r="Q1358" s="12">
        <f t="shared" si="217"/>
        <v>148.73661449154849</v>
      </c>
      <c r="R1358" s="13">
        <f t="shared" si="218"/>
        <v>61.100952524328754</v>
      </c>
      <c r="S1358" s="3" t="s">
        <v>31</v>
      </c>
      <c r="T1358" s="3" t="s">
        <v>28</v>
      </c>
      <c r="U1358" s="10">
        <v>0</v>
      </c>
      <c r="V1358" s="3">
        <v>0</v>
      </c>
      <c r="W1358" s="3">
        <f t="shared" si="219"/>
        <v>0</v>
      </c>
      <c r="AA1358" s="3">
        <v>40</v>
      </c>
    </row>
    <row r="1359" spans="1:27" x14ac:dyDescent="0.3">
      <c r="A1359" s="3" t="str">
        <f t="shared" si="210"/>
        <v>South9410059900840</v>
      </c>
      <c r="B1359" s="3" t="str">
        <f t="shared" si="211"/>
        <v>CY9410059900840</v>
      </c>
      <c r="C1359" s="10">
        <v>9410059900840</v>
      </c>
      <c r="D1359" s="10" t="str">
        <f t="shared" si="212"/>
        <v>9410059900</v>
      </c>
      <c r="E1359" s="3" t="s">
        <v>4</v>
      </c>
      <c r="F1359" s="3" t="s">
        <v>65</v>
      </c>
      <c r="H1359" s="3">
        <v>12.052</v>
      </c>
      <c r="I1359" s="10">
        <f t="shared" si="213"/>
        <v>1860.1714440150363</v>
      </c>
      <c r="J1359" s="3">
        <v>0.19436918095011751</v>
      </c>
      <c r="K1359" s="3">
        <v>0</v>
      </c>
      <c r="L1359" s="3">
        <f t="shared" si="214"/>
        <v>0</v>
      </c>
      <c r="N1359" s="11">
        <f t="shared" si="215"/>
        <v>11.857630819049882</v>
      </c>
      <c r="O1359" s="3">
        <v>0.19436918095011751</v>
      </c>
      <c r="P1359" s="11">
        <f t="shared" si="216"/>
        <v>1830.1714440150363</v>
      </c>
      <c r="Q1359" s="12">
        <f t="shared" si="217"/>
        <v>1488.3329258977467</v>
      </c>
      <c r="R1359" s="13">
        <f t="shared" si="218"/>
        <v>376.09378425700692</v>
      </c>
      <c r="S1359" s="3" t="s">
        <v>31</v>
      </c>
      <c r="T1359" s="3" t="s">
        <v>32</v>
      </c>
      <c r="U1359" s="10">
        <v>0</v>
      </c>
      <c r="V1359" s="3">
        <v>0</v>
      </c>
      <c r="W1359" s="3">
        <f t="shared" si="219"/>
        <v>0</v>
      </c>
      <c r="AA1359" s="3">
        <v>40</v>
      </c>
    </row>
    <row r="1360" spans="1:27" x14ac:dyDescent="0.3">
      <c r="A1360" s="3" t="str">
        <f t="shared" si="210"/>
        <v>South9100509902319</v>
      </c>
      <c r="B1360" s="3" t="str">
        <f t="shared" si="211"/>
        <v>CY9100509902319</v>
      </c>
      <c r="C1360" s="10">
        <v>9100509902319</v>
      </c>
      <c r="D1360" s="10" t="str">
        <f t="shared" si="212"/>
        <v>9100509902</v>
      </c>
      <c r="E1360" s="3" t="s">
        <v>4</v>
      </c>
      <c r="F1360" s="3" t="s">
        <v>65</v>
      </c>
      <c r="H1360" s="3">
        <v>18.601000000000003</v>
      </c>
      <c r="I1360" s="10">
        <f t="shared" si="213"/>
        <v>3229.2777516960291</v>
      </c>
      <c r="J1360" s="3">
        <v>0.17280334579672516</v>
      </c>
      <c r="K1360" s="3">
        <v>0</v>
      </c>
      <c r="L1360" s="3">
        <f t="shared" si="214"/>
        <v>0</v>
      </c>
      <c r="N1360" s="11">
        <f t="shared" si="215"/>
        <v>18.428196654203276</v>
      </c>
      <c r="O1360" s="3">
        <v>0.17280334579672516</v>
      </c>
      <c r="P1360" s="11">
        <f t="shared" si="216"/>
        <v>3199.2777516960291</v>
      </c>
      <c r="Q1360" s="12">
        <f t="shared" si="217"/>
        <v>3958.0571769886242</v>
      </c>
      <c r="R1360" s="13">
        <f t="shared" si="218"/>
        <v>1010.5867835272217</v>
      </c>
      <c r="S1360" s="3" t="s">
        <v>31</v>
      </c>
      <c r="T1360" s="3" t="s">
        <v>34</v>
      </c>
      <c r="U1360" s="10">
        <v>0</v>
      </c>
      <c r="V1360" s="3">
        <v>0</v>
      </c>
      <c r="W1360" s="3">
        <f t="shared" si="219"/>
        <v>0</v>
      </c>
      <c r="AA1360" s="3">
        <v>40</v>
      </c>
    </row>
    <row r="1361" spans="1:27" x14ac:dyDescent="0.3">
      <c r="A1361" s="3" t="str">
        <f t="shared" si="210"/>
        <v>South9410029902295</v>
      </c>
      <c r="B1361" s="3" t="str">
        <f t="shared" si="211"/>
        <v>CY9410029902295</v>
      </c>
      <c r="C1361" s="10">
        <v>9410029902295</v>
      </c>
      <c r="D1361" s="10" t="str">
        <f t="shared" si="212"/>
        <v>9410029902</v>
      </c>
      <c r="E1361" s="3" t="s">
        <v>4</v>
      </c>
      <c r="F1361" s="3" t="s">
        <v>65</v>
      </c>
      <c r="H1361" s="3">
        <v>0.76</v>
      </c>
      <c r="I1361" s="10">
        <f t="shared" si="213"/>
        <v>144.14667623882426</v>
      </c>
      <c r="J1361" s="3">
        <v>0.15817222148240612</v>
      </c>
      <c r="K1361" s="3">
        <v>0</v>
      </c>
      <c r="L1361" s="3">
        <f t="shared" si="214"/>
        <v>0</v>
      </c>
      <c r="N1361" s="11">
        <f t="shared" si="215"/>
        <v>0.60182777851759384</v>
      </c>
      <c r="O1361" s="3">
        <v>0.15817222148240612</v>
      </c>
      <c r="P1361" s="11">
        <f t="shared" si="216"/>
        <v>114.14667623882426</v>
      </c>
      <c r="Q1361" s="12">
        <f t="shared" si="217"/>
        <v>205.02189477218349</v>
      </c>
      <c r="R1361" s="13">
        <f t="shared" si="218"/>
        <v>107.29403852358182</v>
      </c>
      <c r="S1361" s="3" t="s">
        <v>31</v>
      </c>
      <c r="T1361" s="3" t="s">
        <v>32</v>
      </c>
      <c r="U1361" s="10">
        <v>9410029900999</v>
      </c>
      <c r="V1361" s="3">
        <v>0.1</v>
      </c>
      <c r="W1361" s="3">
        <f t="shared" si="219"/>
        <v>0</v>
      </c>
      <c r="AA1361" s="3">
        <v>40</v>
      </c>
    </row>
    <row r="1362" spans="1:27" x14ac:dyDescent="0.3">
      <c r="A1362" s="3" t="str">
        <f t="shared" si="210"/>
        <v>South9410029902319</v>
      </c>
      <c r="B1362" s="3" t="str">
        <f t="shared" si="211"/>
        <v>CY9410029902319</v>
      </c>
      <c r="C1362" s="10">
        <v>9410029902319</v>
      </c>
      <c r="D1362" s="10" t="str">
        <f t="shared" si="212"/>
        <v>9410029902</v>
      </c>
      <c r="E1362" s="3" t="s">
        <v>4</v>
      </c>
      <c r="F1362" s="3" t="s">
        <v>65</v>
      </c>
      <c r="H1362" s="3">
        <v>0.70299999999999996</v>
      </c>
      <c r="I1362" s="10">
        <f t="shared" si="213"/>
        <v>364.06614562057047</v>
      </c>
      <c r="J1362" s="3">
        <v>5.792903364868203E-2</v>
      </c>
      <c r="K1362" s="3">
        <v>0</v>
      </c>
      <c r="L1362" s="3">
        <f t="shared" si="214"/>
        <v>0</v>
      </c>
      <c r="N1362" s="11">
        <f t="shared" si="215"/>
        <v>0.64507096635131789</v>
      </c>
      <c r="O1362" s="3">
        <v>5.792903364868203E-2</v>
      </c>
      <c r="P1362" s="11">
        <f t="shared" si="216"/>
        <v>334.06614562057047</v>
      </c>
      <c r="Q1362" s="12">
        <f t="shared" si="217"/>
        <v>344.52313658738717</v>
      </c>
      <c r="R1362" s="13">
        <f t="shared" si="218"/>
        <v>110.66043314697285</v>
      </c>
      <c r="S1362" s="3" t="s">
        <v>31</v>
      </c>
      <c r="T1362" s="3" t="s">
        <v>32</v>
      </c>
      <c r="U1362" s="10">
        <v>9410029900999</v>
      </c>
      <c r="V1362" s="3">
        <v>0.1</v>
      </c>
      <c r="W1362" s="3">
        <f t="shared" si="219"/>
        <v>0</v>
      </c>
      <c r="AA1362" s="3">
        <v>40</v>
      </c>
    </row>
    <row r="1363" spans="1:27" x14ac:dyDescent="0.3">
      <c r="A1363" s="3" t="str">
        <f t="shared" si="210"/>
        <v>South9410059900210</v>
      </c>
      <c r="B1363" s="3" t="str">
        <f t="shared" si="211"/>
        <v>CY9410059900210</v>
      </c>
      <c r="C1363" s="10">
        <v>9410059900210</v>
      </c>
      <c r="D1363" s="10" t="str">
        <f t="shared" si="212"/>
        <v>9410059900</v>
      </c>
      <c r="E1363" s="3" t="s">
        <v>4</v>
      </c>
      <c r="F1363" s="3" t="s">
        <v>65</v>
      </c>
      <c r="H1363" s="3">
        <v>0.71799999999999997</v>
      </c>
      <c r="I1363" s="10">
        <f t="shared" si="213"/>
        <v>519.99585817054344</v>
      </c>
      <c r="J1363" s="3">
        <v>4.1423406862859113E-2</v>
      </c>
      <c r="K1363" s="3">
        <v>0</v>
      </c>
      <c r="L1363" s="3">
        <f t="shared" si="214"/>
        <v>0</v>
      </c>
      <c r="N1363" s="11">
        <f t="shared" si="215"/>
        <v>0.6765765931371408</v>
      </c>
      <c r="O1363" s="3">
        <v>4.1423406862859113E-2</v>
      </c>
      <c r="P1363" s="11">
        <f t="shared" si="216"/>
        <v>489.99585817054327</v>
      </c>
      <c r="Q1363" s="12">
        <f t="shared" si="217"/>
        <v>544.54617609326215</v>
      </c>
      <c r="R1363" s="13">
        <f t="shared" si="218"/>
        <v>190.32630093769362</v>
      </c>
      <c r="S1363" s="3" t="s">
        <v>31</v>
      </c>
      <c r="T1363" s="3" t="s">
        <v>32</v>
      </c>
      <c r="U1363" s="10">
        <v>0</v>
      </c>
      <c r="V1363" s="3">
        <v>0</v>
      </c>
      <c r="W1363" s="3">
        <f t="shared" si="219"/>
        <v>0</v>
      </c>
      <c r="AA1363" s="3">
        <v>40</v>
      </c>
    </row>
    <row r="1364" spans="1:27" x14ac:dyDescent="0.3">
      <c r="A1364" s="3" t="str">
        <f t="shared" si="210"/>
        <v>South9100509902195</v>
      </c>
      <c r="B1364" s="3" t="str">
        <f t="shared" si="211"/>
        <v>CY9100509902195</v>
      </c>
      <c r="C1364" s="10">
        <v>9100509902195</v>
      </c>
      <c r="D1364" s="10" t="str">
        <f t="shared" si="212"/>
        <v>9100509902</v>
      </c>
      <c r="E1364" s="3" t="s">
        <v>4</v>
      </c>
      <c r="F1364" s="3" t="s">
        <v>65</v>
      </c>
      <c r="H1364" s="3">
        <v>0</v>
      </c>
      <c r="I1364" s="10">
        <f t="shared" si="213"/>
        <v>0</v>
      </c>
      <c r="J1364" s="3">
        <v>0</v>
      </c>
      <c r="K1364" s="3">
        <v>0</v>
      </c>
      <c r="L1364" s="3">
        <f t="shared" si="214"/>
        <v>0</v>
      </c>
      <c r="N1364" s="11">
        <f t="shared" si="215"/>
        <v>0</v>
      </c>
      <c r="O1364" s="3">
        <v>0</v>
      </c>
      <c r="P1364" s="11">
        <f t="shared" si="216"/>
        <v>9999</v>
      </c>
      <c r="Q1364" s="12">
        <f t="shared" si="217"/>
        <v>9999</v>
      </c>
      <c r="R1364" s="13">
        <f t="shared" si="218"/>
        <v>9999</v>
      </c>
      <c r="S1364" s="3" t="s">
        <v>31</v>
      </c>
      <c r="T1364" s="3" t="s">
        <v>34</v>
      </c>
      <c r="U1364" s="10" t="s">
        <v>72</v>
      </c>
      <c r="V1364" s="3" t="s">
        <v>72</v>
      </c>
      <c r="W1364" s="3">
        <f t="shared" si="219"/>
        <v>0</v>
      </c>
      <c r="AA1364" s="3">
        <v>40</v>
      </c>
    </row>
    <row r="1365" spans="1:27" x14ac:dyDescent="0.3">
      <c r="A1365" s="3" t="str">
        <f t="shared" si="210"/>
        <v>South9100509900210</v>
      </c>
      <c r="B1365" s="3" t="str">
        <f t="shared" si="211"/>
        <v>CY9100509900210</v>
      </c>
      <c r="C1365" s="10">
        <v>9100509900210</v>
      </c>
      <c r="D1365" s="10" t="str">
        <f t="shared" si="212"/>
        <v>9100509900</v>
      </c>
      <c r="E1365" s="3" t="s">
        <v>4</v>
      </c>
      <c r="F1365" s="3" t="s">
        <v>65</v>
      </c>
      <c r="H1365" s="3">
        <v>0</v>
      </c>
      <c r="I1365" s="10">
        <f t="shared" si="213"/>
        <v>0</v>
      </c>
      <c r="J1365" s="3">
        <v>0</v>
      </c>
      <c r="K1365" s="3">
        <v>0</v>
      </c>
      <c r="L1365" s="3">
        <f t="shared" si="214"/>
        <v>0</v>
      </c>
      <c r="N1365" s="11">
        <f t="shared" si="215"/>
        <v>0</v>
      </c>
      <c r="O1365" s="3">
        <v>0</v>
      </c>
      <c r="P1365" s="11">
        <f t="shared" si="216"/>
        <v>9999</v>
      </c>
      <c r="Q1365" s="12">
        <f t="shared" si="217"/>
        <v>9999</v>
      </c>
      <c r="R1365" s="13">
        <f t="shared" si="218"/>
        <v>9999</v>
      </c>
      <c r="S1365" s="3" t="s">
        <v>31</v>
      </c>
      <c r="T1365" s="3" t="s">
        <v>34</v>
      </c>
      <c r="U1365" s="10" t="s">
        <v>72</v>
      </c>
      <c r="V1365" s="3" t="s">
        <v>72</v>
      </c>
      <c r="W1365" s="3">
        <f t="shared" si="219"/>
        <v>0</v>
      </c>
      <c r="AA1365" s="3">
        <v>40</v>
      </c>
    </row>
    <row r="1366" spans="1:27" x14ac:dyDescent="0.3">
      <c r="A1366" s="3" t="str">
        <f t="shared" si="210"/>
        <v>South9160309902097</v>
      </c>
      <c r="B1366" s="3" t="str">
        <f t="shared" si="211"/>
        <v>CY9160309902097</v>
      </c>
      <c r="C1366" s="10">
        <v>9160309902097</v>
      </c>
      <c r="D1366" s="10" t="str">
        <f t="shared" si="212"/>
        <v>9160309902</v>
      </c>
      <c r="E1366" s="3" t="s">
        <v>4</v>
      </c>
      <c r="F1366" s="3" t="s">
        <v>65</v>
      </c>
      <c r="H1366" s="3">
        <v>0</v>
      </c>
      <c r="I1366" s="10">
        <f t="shared" si="213"/>
        <v>0</v>
      </c>
      <c r="J1366" s="3">
        <v>0</v>
      </c>
      <c r="K1366" s="3">
        <v>0</v>
      </c>
      <c r="L1366" s="3">
        <f t="shared" si="214"/>
        <v>0</v>
      </c>
      <c r="N1366" s="11">
        <f t="shared" si="215"/>
        <v>0</v>
      </c>
      <c r="O1366" s="3">
        <v>0</v>
      </c>
      <c r="P1366" s="11">
        <f t="shared" si="216"/>
        <v>9999</v>
      </c>
      <c r="Q1366" s="12">
        <f t="shared" si="217"/>
        <v>9999</v>
      </c>
      <c r="R1366" s="13">
        <f t="shared" si="218"/>
        <v>9999</v>
      </c>
      <c r="S1366" s="3" t="s">
        <v>31</v>
      </c>
      <c r="T1366" s="3" t="s">
        <v>34</v>
      </c>
      <c r="U1366" s="10" t="s">
        <v>72</v>
      </c>
      <c r="V1366" s="3" t="s">
        <v>72</v>
      </c>
      <c r="W1366" s="3">
        <f t="shared" si="219"/>
        <v>0</v>
      </c>
      <c r="AA1366" s="3">
        <v>40</v>
      </c>
    </row>
    <row r="1367" spans="1:27" x14ac:dyDescent="0.3">
      <c r="A1367" s="3" t="str">
        <f t="shared" si="210"/>
        <v>South9420029901320</v>
      </c>
      <c r="B1367" s="3" t="str">
        <f t="shared" si="211"/>
        <v>CMR9420029901320</v>
      </c>
      <c r="C1367" s="10">
        <v>9420029901320</v>
      </c>
      <c r="D1367" s="10" t="str">
        <f t="shared" si="212"/>
        <v>9420029901</v>
      </c>
      <c r="E1367" s="3" t="s">
        <v>5</v>
      </c>
      <c r="F1367" s="3" t="s">
        <v>65</v>
      </c>
      <c r="H1367" s="3">
        <v>67.260000000000005</v>
      </c>
      <c r="I1367" s="10">
        <f t="shared" si="213"/>
        <v>37.358115854675148</v>
      </c>
      <c r="J1367" s="3">
        <v>54.012359934032496</v>
      </c>
      <c r="K1367" s="3">
        <v>60</v>
      </c>
      <c r="L1367" s="3">
        <f t="shared" si="214"/>
        <v>0</v>
      </c>
      <c r="N1367" s="11">
        <f t="shared" si="215"/>
        <v>13.247640065967509</v>
      </c>
      <c r="O1367" s="3">
        <v>54.012359934032496</v>
      </c>
      <c r="P1367" s="11">
        <f t="shared" si="216"/>
        <v>7.3581158546751491</v>
      </c>
      <c r="Q1367" s="12">
        <f t="shared" si="217"/>
        <v>12.940577735719863</v>
      </c>
      <c r="R1367" s="13">
        <f t="shared" si="218"/>
        <v>11.093100461562916</v>
      </c>
      <c r="S1367" s="3" t="s">
        <v>29</v>
      </c>
      <c r="T1367" s="3" t="s">
        <v>28</v>
      </c>
      <c r="U1367" s="10">
        <v>9420029900999</v>
      </c>
      <c r="V1367" s="3">
        <v>0.1</v>
      </c>
      <c r="W1367" s="3">
        <f t="shared" si="219"/>
        <v>6</v>
      </c>
      <c r="AA1367" s="3">
        <v>40</v>
      </c>
    </row>
    <row r="1368" spans="1:27" x14ac:dyDescent="0.3">
      <c r="A1368" s="3" t="str">
        <f t="shared" si="210"/>
        <v>South9420029900320</v>
      </c>
      <c r="B1368" s="3" t="str">
        <f t="shared" si="211"/>
        <v>CMR9420029900320</v>
      </c>
      <c r="C1368" s="10">
        <v>9420029900320</v>
      </c>
      <c r="D1368" s="10" t="str">
        <f t="shared" si="212"/>
        <v>9420029900</v>
      </c>
      <c r="E1368" s="3" t="s">
        <v>5</v>
      </c>
      <c r="F1368" s="3" t="s">
        <v>65</v>
      </c>
      <c r="H1368" s="3">
        <v>38.879999999999995</v>
      </c>
      <c r="I1368" s="10">
        <f t="shared" si="213"/>
        <v>26.972932971213122</v>
      </c>
      <c r="J1368" s="3">
        <v>43.243350704383573</v>
      </c>
      <c r="K1368" s="3">
        <v>30</v>
      </c>
      <c r="L1368" s="3">
        <f t="shared" si="214"/>
        <v>0</v>
      </c>
      <c r="N1368" s="11">
        <f t="shared" si="215"/>
        <v>-4.3633507043835777</v>
      </c>
      <c r="O1368" s="3">
        <v>43.243350704383573</v>
      </c>
      <c r="P1368" s="11">
        <f t="shared" si="216"/>
        <v>-3.0270670287868779</v>
      </c>
      <c r="Q1368" s="12">
        <f t="shared" si="217"/>
        <v>10.139878720772771</v>
      </c>
      <c r="R1368" s="13">
        <f t="shared" si="218"/>
        <v>11.93731564960561</v>
      </c>
      <c r="S1368" s="3" t="s">
        <v>29</v>
      </c>
      <c r="T1368" s="3" t="s">
        <v>28</v>
      </c>
      <c r="U1368" s="10">
        <v>9420029900999</v>
      </c>
      <c r="V1368" s="3">
        <v>0.1</v>
      </c>
      <c r="W1368" s="3">
        <f t="shared" si="219"/>
        <v>3</v>
      </c>
      <c r="AA1368" s="3">
        <v>40</v>
      </c>
    </row>
    <row r="1369" spans="1:27" x14ac:dyDescent="0.3">
      <c r="A1369" s="3" t="str">
        <f t="shared" si="210"/>
        <v>South9420029901310</v>
      </c>
      <c r="B1369" s="3" t="str">
        <f t="shared" si="211"/>
        <v>CMR9420029901310</v>
      </c>
      <c r="C1369" s="10">
        <v>9420029901310</v>
      </c>
      <c r="D1369" s="10" t="str">
        <f t="shared" si="212"/>
        <v>9420029901</v>
      </c>
      <c r="E1369" s="3" t="s">
        <v>5</v>
      </c>
      <c r="F1369" s="3" t="s">
        <v>65</v>
      </c>
      <c r="H1369" s="3">
        <v>30.869999999999997</v>
      </c>
      <c r="I1369" s="10">
        <f t="shared" si="213"/>
        <v>41.127143812162402</v>
      </c>
      <c r="J1369" s="3">
        <v>22.517975092793275</v>
      </c>
      <c r="K1369" s="3">
        <v>20</v>
      </c>
      <c r="L1369" s="3">
        <f t="shared" si="214"/>
        <v>0</v>
      </c>
      <c r="N1369" s="11">
        <f t="shared" si="215"/>
        <v>8.3520249072067223</v>
      </c>
      <c r="O1369" s="3">
        <v>22.517975092793275</v>
      </c>
      <c r="P1369" s="11">
        <f t="shared" si="216"/>
        <v>11.127143812162398</v>
      </c>
      <c r="Q1369" s="12">
        <f t="shared" si="217"/>
        <v>6.6186269471692514</v>
      </c>
      <c r="R1369" s="13">
        <f t="shared" si="218"/>
        <v>13.253004494118244</v>
      </c>
      <c r="S1369" s="3" t="s">
        <v>29</v>
      </c>
      <c r="T1369" s="3" t="s">
        <v>28</v>
      </c>
      <c r="U1369" s="10">
        <v>9420029900999</v>
      </c>
      <c r="V1369" s="3">
        <v>0.1</v>
      </c>
      <c r="W1369" s="3">
        <f t="shared" si="219"/>
        <v>2</v>
      </c>
      <c r="AA1369" s="3">
        <v>40</v>
      </c>
    </row>
    <row r="1370" spans="1:27" x14ac:dyDescent="0.3">
      <c r="A1370" s="3" t="str">
        <f t="shared" si="210"/>
        <v>South9420139901320</v>
      </c>
      <c r="B1370" s="3" t="str">
        <f t="shared" si="211"/>
        <v>CMR9420139901320</v>
      </c>
      <c r="C1370" s="10">
        <v>9420139901320</v>
      </c>
      <c r="D1370" s="10" t="str">
        <f t="shared" si="212"/>
        <v>9420139901</v>
      </c>
      <c r="E1370" s="3" t="s">
        <v>5</v>
      </c>
      <c r="F1370" s="3" t="s">
        <v>65</v>
      </c>
      <c r="H1370" s="3">
        <v>25.7</v>
      </c>
      <c r="I1370" s="10">
        <f t="shared" si="213"/>
        <v>37.872792203991388</v>
      </c>
      <c r="J1370" s="3">
        <v>20.357622322833247</v>
      </c>
      <c r="K1370" s="3">
        <v>40</v>
      </c>
      <c r="L1370" s="3">
        <f t="shared" si="214"/>
        <v>0</v>
      </c>
      <c r="N1370" s="11">
        <f t="shared" si="215"/>
        <v>5.3423776771667519</v>
      </c>
      <c r="O1370" s="3">
        <v>20.357622322833247</v>
      </c>
      <c r="P1370" s="11">
        <f t="shared" si="216"/>
        <v>7.8727922039913842</v>
      </c>
      <c r="Q1370" s="12">
        <f t="shared" si="217"/>
        <v>9.2750945634044353</v>
      </c>
      <c r="R1370" s="13">
        <f t="shared" si="218"/>
        <v>3.4542911269476986</v>
      </c>
      <c r="S1370" s="3" t="s">
        <v>31</v>
      </c>
      <c r="T1370" s="3" t="s">
        <v>28</v>
      </c>
      <c r="U1370" s="10">
        <v>9420139900999</v>
      </c>
      <c r="V1370" s="3">
        <v>0.1</v>
      </c>
      <c r="W1370" s="3">
        <f t="shared" si="219"/>
        <v>4</v>
      </c>
      <c r="AA1370" s="3">
        <v>40</v>
      </c>
    </row>
    <row r="1371" spans="1:27" x14ac:dyDescent="0.3">
      <c r="A1371" s="3" t="str">
        <f t="shared" si="210"/>
        <v>South9420139900320</v>
      </c>
      <c r="B1371" s="3" t="str">
        <f t="shared" si="211"/>
        <v>CMR9420139900320</v>
      </c>
      <c r="C1371" s="10">
        <v>9420139900320</v>
      </c>
      <c r="D1371" s="10" t="str">
        <f t="shared" si="212"/>
        <v>9420139900</v>
      </c>
      <c r="E1371" s="3" t="s">
        <v>5</v>
      </c>
      <c r="F1371" s="3" t="s">
        <v>65</v>
      </c>
      <c r="H1371" s="3">
        <v>21.68</v>
      </c>
      <c r="I1371" s="10">
        <f t="shared" si="213"/>
        <v>52.752533410651004</v>
      </c>
      <c r="J1371" s="3">
        <v>12.329265685440635</v>
      </c>
      <c r="K1371" s="3">
        <v>20</v>
      </c>
      <c r="L1371" s="3">
        <f t="shared" si="214"/>
        <v>0</v>
      </c>
      <c r="N1371" s="11">
        <f t="shared" si="215"/>
        <v>9.3507343145593644</v>
      </c>
      <c r="O1371" s="3">
        <v>12.329265685440635</v>
      </c>
      <c r="P1371" s="11">
        <f t="shared" si="216"/>
        <v>22.752533410650997</v>
      </c>
      <c r="Q1371" s="12">
        <f t="shared" si="217"/>
        <v>18.036897661544888</v>
      </c>
      <c r="R1371" s="13">
        <f t="shared" si="218"/>
        <v>20.904234494707751</v>
      </c>
      <c r="S1371" s="3" t="s">
        <v>31</v>
      </c>
      <c r="T1371" s="3" t="s">
        <v>28</v>
      </c>
      <c r="U1371" s="10">
        <v>9420139900999</v>
      </c>
      <c r="V1371" s="3">
        <v>0.1</v>
      </c>
      <c r="W1371" s="3">
        <f t="shared" si="219"/>
        <v>2</v>
      </c>
      <c r="AA1371" s="3">
        <v>40</v>
      </c>
    </row>
    <row r="1372" spans="1:27" x14ac:dyDescent="0.3">
      <c r="A1372" s="3" t="str">
        <f t="shared" si="210"/>
        <v>South9310039900320</v>
      </c>
      <c r="B1372" s="3" t="str">
        <f t="shared" si="211"/>
        <v>CMR9310039900320</v>
      </c>
      <c r="C1372" s="10">
        <v>9310039900320</v>
      </c>
      <c r="D1372" s="10" t="str">
        <f t="shared" si="212"/>
        <v>9310039900</v>
      </c>
      <c r="E1372" s="3" t="s">
        <v>5</v>
      </c>
      <c r="F1372" s="3" t="s">
        <v>65</v>
      </c>
      <c r="H1372" s="3">
        <v>20.56</v>
      </c>
      <c r="I1372" s="10">
        <f t="shared" si="213"/>
        <v>51.064406737987611</v>
      </c>
      <c r="J1372" s="3">
        <v>12.078863525523989</v>
      </c>
      <c r="K1372" s="3">
        <v>0</v>
      </c>
      <c r="L1372" s="3">
        <f t="shared" si="214"/>
        <v>0</v>
      </c>
      <c r="N1372" s="11">
        <f t="shared" si="215"/>
        <v>8.4811364744760098</v>
      </c>
      <c r="O1372" s="3">
        <v>12.078863525523989</v>
      </c>
      <c r="P1372" s="11">
        <f t="shared" si="216"/>
        <v>21.064406737987611</v>
      </c>
      <c r="Q1372" s="12">
        <f t="shared" si="217"/>
        <v>21.707569369865006</v>
      </c>
      <c r="R1372" s="13">
        <f t="shared" si="218"/>
        <v>114.55890058849035</v>
      </c>
      <c r="S1372" s="3" t="s">
        <v>30</v>
      </c>
      <c r="T1372" s="3" t="s">
        <v>32</v>
      </c>
      <c r="U1372" s="10">
        <v>9310039900999</v>
      </c>
      <c r="V1372" s="3">
        <v>0.1</v>
      </c>
      <c r="W1372" s="3">
        <f t="shared" si="219"/>
        <v>0</v>
      </c>
      <c r="AA1372" s="3">
        <v>40</v>
      </c>
    </row>
    <row r="1373" spans="1:27" x14ac:dyDescent="0.3">
      <c r="A1373" s="3" t="str">
        <f t="shared" si="210"/>
        <v>South9420029901840</v>
      </c>
      <c r="B1373" s="3" t="str">
        <f t="shared" si="211"/>
        <v>CMR9420029901840</v>
      </c>
      <c r="C1373" s="10">
        <v>9420029901840</v>
      </c>
      <c r="D1373" s="10" t="str">
        <f t="shared" si="212"/>
        <v>9420029901</v>
      </c>
      <c r="E1373" s="3" t="s">
        <v>5</v>
      </c>
      <c r="F1373" s="3" t="s">
        <v>65</v>
      </c>
      <c r="H1373" s="3">
        <v>9.2159999999999993</v>
      </c>
      <c r="I1373" s="10">
        <f t="shared" si="213"/>
        <v>23.956442801251303</v>
      </c>
      <c r="J1373" s="3">
        <v>11.540945468980844</v>
      </c>
      <c r="K1373" s="3">
        <v>12</v>
      </c>
      <c r="L1373" s="3">
        <f t="shared" si="214"/>
        <v>0</v>
      </c>
      <c r="N1373" s="11">
        <f t="shared" si="215"/>
        <v>-2.3249454689808449</v>
      </c>
      <c r="O1373" s="3">
        <v>11.540945468980844</v>
      </c>
      <c r="P1373" s="11">
        <f t="shared" si="216"/>
        <v>-6.0435571987486982</v>
      </c>
      <c r="Q1373" s="12">
        <f t="shared" si="217"/>
        <v>6.3015338727443666</v>
      </c>
      <c r="R1373" s="13">
        <f t="shared" si="218"/>
        <v>17.827850782230005</v>
      </c>
      <c r="S1373" s="3" t="s">
        <v>30</v>
      </c>
      <c r="T1373" s="3" t="s">
        <v>28</v>
      </c>
      <c r="U1373" s="10">
        <v>0</v>
      </c>
      <c r="V1373" s="3">
        <v>0</v>
      </c>
      <c r="W1373" s="3">
        <f t="shared" si="219"/>
        <v>0</v>
      </c>
      <c r="AA1373" s="3">
        <v>40</v>
      </c>
    </row>
    <row r="1374" spans="1:27" x14ac:dyDescent="0.3">
      <c r="A1374" s="3" t="str">
        <f t="shared" si="210"/>
        <v>South9420029900310</v>
      </c>
      <c r="B1374" s="3" t="str">
        <f t="shared" si="211"/>
        <v>CMR9420029900310</v>
      </c>
      <c r="C1374" s="10">
        <v>9420029900310</v>
      </c>
      <c r="D1374" s="10" t="str">
        <f t="shared" si="212"/>
        <v>9420029900</v>
      </c>
      <c r="E1374" s="3" t="s">
        <v>5</v>
      </c>
      <c r="F1374" s="3" t="s">
        <v>65</v>
      </c>
      <c r="H1374" s="3">
        <v>6.3100000000000005</v>
      </c>
      <c r="I1374" s="10">
        <f t="shared" si="213"/>
        <v>16.943970736195936</v>
      </c>
      <c r="J1374" s="3">
        <v>11.172115612523742</v>
      </c>
      <c r="K1374" s="3">
        <v>20</v>
      </c>
      <c r="L1374" s="3">
        <f t="shared" si="214"/>
        <v>0</v>
      </c>
      <c r="N1374" s="11">
        <f t="shared" si="215"/>
        <v>-4.8621156125237412</v>
      </c>
      <c r="O1374" s="3">
        <v>11.172115612523742</v>
      </c>
      <c r="P1374" s="11">
        <f t="shared" si="216"/>
        <v>-13.056029263804064</v>
      </c>
      <c r="Q1374" s="12">
        <f t="shared" si="217"/>
        <v>-8.7427779983345957</v>
      </c>
      <c r="R1374" s="13">
        <f t="shared" si="218"/>
        <v>-2.0199706511833333</v>
      </c>
      <c r="S1374" s="3" t="s">
        <v>30</v>
      </c>
      <c r="T1374" s="3" t="s">
        <v>28</v>
      </c>
      <c r="U1374" s="10">
        <v>9420029900999</v>
      </c>
      <c r="V1374" s="3">
        <v>0.1</v>
      </c>
      <c r="W1374" s="3">
        <f t="shared" si="219"/>
        <v>2</v>
      </c>
      <c r="AA1374" s="3">
        <v>40</v>
      </c>
    </row>
    <row r="1375" spans="1:27" x14ac:dyDescent="0.3">
      <c r="A1375" s="3" t="str">
        <f t="shared" si="210"/>
        <v>South9420139901310</v>
      </c>
      <c r="B1375" s="3" t="str">
        <f t="shared" si="211"/>
        <v>CMR9420139901310</v>
      </c>
      <c r="C1375" s="10">
        <v>9420139901310</v>
      </c>
      <c r="D1375" s="10" t="str">
        <f t="shared" si="212"/>
        <v>9420139901</v>
      </c>
      <c r="E1375" s="3" t="s">
        <v>5</v>
      </c>
      <c r="F1375" s="3" t="s">
        <v>65</v>
      </c>
      <c r="H1375" s="3">
        <v>3.78</v>
      </c>
      <c r="I1375" s="10">
        <f t="shared" si="213"/>
        <v>18.560267479088701</v>
      </c>
      <c r="J1375" s="3">
        <v>6.1098257408070431</v>
      </c>
      <c r="K1375" s="3">
        <v>40</v>
      </c>
      <c r="L1375" s="3">
        <f t="shared" si="214"/>
        <v>0</v>
      </c>
      <c r="N1375" s="11">
        <f t="shared" si="215"/>
        <v>-2.3298257408070433</v>
      </c>
      <c r="O1375" s="3">
        <v>6.1098257408070431</v>
      </c>
      <c r="P1375" s="11">
        <f t="shared" si="216"/>
        <v>-11.439732520911299</v>
      </c>
      <c r="Q1375" s="12">
        <f t="shared" si="217"/>
        <v>-14.176734874405097</v>
      </c>
      <c r="R1375" s="13">
        <f t="shared" si="218"/>
        <v>7.9243561134415827</v>
      </c>
      <c r="S1375" s="3" t="s">
        <v>31</v>
      </c>
      <c r="T1375" s="3" t="s">
        <v>28</v>
      </c>
      <c r="U1375" s="10">
        <v>9420139900999</v>
      </c>
      <c r="V1375" s="3">
        <v>0.1</v>
      </c>
      <c r="W1375" s="3">
        <f t="shared" si="219"/>
        <v>4</v>
      </c>
      <c r="AA1375" s="3">
        <v>40</v>
      </c>
    </row>
    <row r="1376" spans="1:27" x14ac:dyDescent="0.3">
      <c r="A1376" s="3" t="str">
        <f t="shared" si="210"/>
        <v>South9420029901210</v>
      </c>
      <c r="B1376" s="3" t="str">
        <f t="shared" si="211"/>
        <v>CMR9420029901210</v>
      </c>
      <c r="C1376" s="10">
        <v>9420029901210</v>
      </c>
      <c r="D1376" s="10" t="str">
        <f t="shared" si="212"/>
        <v>9420029901</v>
      </c>
      <c r="E1376" s="3" t="s">
        <v>5</v>
      </c>
      <c r="F1376" s="3" t="s">
        <v>65</v>
      </c>
      <c r="H1376" s="3">
        <v>5.0579999999999989</v>
      </c>
      <c r="I1376" s="10">
        <f t="shared" si="213"/>
        <v>33.623300372975599</v>
      </c>
      <c r="J1376" s="3">
        <v>4.5129418681920805</v>
      </c>
      <c r="K1376" s="3">
        <v>0</v>
      </c>
      <c r="L1376" s="3">
        <f t="shared" si="214"/>
        <v>0</v>
      </c>
      <c r="N1376" s="11">
        <f t="shared" si="215"/>
        <v>0.5450581318079184</v>
      </c>
      <c r="O1376" s="3">
        <v>4.5129418681920805</v>
      </c>
      <c r="P1376" s="11">
        <f t="shared" si="216"/>
        <v>3.6233003729755966</v>
      </c>
      <c r="Q1376" s="12">
        <f t="shared" si="217"/>
        <v>10.231825584452411</v>
      </c>
      <c r="R1376" s="13">
        <f t="shared" si="218"/>
        <v>2.2986753983757411</v>
      </c>
      <c r="S1376" s="3" t="s">
        <v>30</v>
      </c>
      <c r="T1376" s="3" t="s">
        <v>28</v>
      </c>
      <c r="U1376" s="10">
        <v>0</v>
      </c>
      <c r="V1376" s="3">
        <v>0</v>
      </c>
      <c r="W1376" s="3">
        <f t="shared" si="219"/>
        <v>0</v>
      </c>
      <c r="AA1376" s="3">
        <v>40</v>
      </c>
    </row>
    <row r="1377" spans="1:27" x14ac:dyDescent="0.3">
      <c r="A1377" s="3" t="str">
        <f t="shared" si="210"/>
        <v>South9100509900320</v>
      </c>
      <c r="B1377" s="3" t="str">
        <f t="shared" si="211"/>
        <v>CMR9100509900320</v>
      </c>
      <c r="C1377" s="10">
        <v>9100509900320</v>
      </c>
      <c r="D1377" s="10" t="str">
        <f t="shared" si="212"/>
        <v>9100509900</v>
      </c>
      <c r="E1377" s="3" t="s">
        <v>5</v>
      </c>
      <c r="F1377" s="3" t="s">
        <v>65</v>
      </c>
      <c r="H1377" s="3">
        <v>8.3000000000000007</v>
      </c>
      <c r="I1377" s="10">
        <f t="shared" si="213"/>
        <v>60.809483678682639</v>
      </c>
      <c r="J1377" s="3">
        <v>4.0947560304197985</v>
      </c>
      <c r="K1377" s="3">
        <v>0</v>
      </c>
      <c r="L1377" s="3">
        <f t="shared" si="214"/>
        <v>0</v>
      </c>
      <c r="N1377" s="11">
        <f t="shared" si="215"/>
        <v>4.2052439695802022</v>
      </c>
      <c r="O1377" s="3">
        <v>4.0947560304197985</v>
      </c>
      <c r="P1377" s="11">
        <f t="shared" si="216"/>
        <v>30.809483678682628</v>
      </c>
      <c r="Q1377" s="12">
        <f t="shared" si="217"/>
        <v>32.457377361236475</v>
      </c>
      <c r="R1377" s="13">
        <f t="shared" si="218"/>
        <v>28.679587677970176</v>
      </c>
      <c r="S1377" s="3" t="s">
        <v>30</v>
      </c>
      <c r="T1377" s="3" t="s">
        <v>34</v>
      </c>
      <c r="U1377" s="10">
        <v>0</v>
      </c>
      <c r="V1377" s="3">
        <v>0</v>
      </c>
      <c r="W1377" s="3">
        <f t="shared" si="219"/>
        <v>0</v>
      </c>
      <c r="AA1377" s="3">
        <v>40</v>
      </c>
    </row>
    <row r="1378" spans="1:27" x14ac:dyDescent="0.3">
      <c r="A1378" s="3" t="str">
        <f t="shared" si="210"/>
        <v>South9420029900840</v>
      </c>
      <c r="B1378" s="3" t="str">
        <f t="shared" si="211"/>
        <v>CMR9420029900840</v>
      </c>
      <c r="C1378" s="10">
        <v>9420029900840</v>
      </c>
      <c r="D1378" s="10" t="str">
        <f t="shared" si="212"/>
        <v>9420029900</v>
      </c>
      <c r="E1378" s="3" t="s">
        <v>5</v>
      </c>
      <c r="F1378" s="3" t="s">
        <v>65</v>
      </c>
      <c r="H1378" s="3">
        <v>7.4039999999999999</v>
      </c>
      <c r="I1378" s="10">
        <f t="shared" si="213"/>
        <v>55.698800663219203</v>
      </c>
      <c r="J1378" s="3">
        <v>3.9878776087664907</v>
      </c>
      <c r="K1378" s="3">
        <v>12</v>
      </c>
      <c r="L1378" s="3">
        <f t="shared" si="214"/>
        <v>0</v>
      </c>
      <c r="N1378" s="11">
        <f t="shared" si="215"/>
        <v>3.4161223912335092</v>
      </c>
      <c r="O1378" s="3">
        <v>3.9878776087664907</v>
      </c>
      <c r="P1378" s="11">
        <f t="shared" si="216"/>
        <v>25.698800663219199</v>
      </c>
      <c r="Q1378" s="12">
        <f t="shared" si="217"/>
        <v>25.433850900355107</v>
      </c>
      <c r="R1378" s="13">
        <f t="shared" si="218"/>
        <v>9.7377292402598545</v>
      </c>
      <c r="S1378" s="3" t="s">
        <v>31</v>
      </c>
      <c r="T1378" s="3" t="s">
        <v>28</v>
      </c>
      <c r="U1378" s="10">
        <v>0</v>
      </c>
      <c r="V1378" s="3">
        <v>0</v>
      </c>
      <c r="W1378" s="3">
        <f t="shared" si="219"/>
        <v>0</v>
      </c>
      <c r="AA1378" s="3">
        <v>40</v>
      </c>
    </row>
    <row r="1379" spans="1:27" x14ac:dyDescent="0.3">
      <c r="A1379" s="3" t="str">
        <f t="shared" si="210"/>
        <v>South9420139901840</v>
      </c>
      <c r="B1379" s="3" t="str">
        <f t="shared" si="211"/>
        <v>CMR9420139901840</v>
      </c>
      <c r="C1379" s="10">
        <v>9420139901840</v>
      </c>
      <c r="D1379" s="10" t="str">
        <f t="shared" si="212"/>
        <v>9420139901</v>
      </c>
      <c r="E1379" s="3" t="s">
        <v>5</v>
      </c>
      <c r="F1379" s="3" t="s">
        <v>65</v>
      </c>
      <c r="H1379" s="3">
        <v>20.192</v>
      </c>
      <c r="I1379" s="10">
        <f t="shared" si="213"/>
        <v>201.53751212645875</v>
      </c>
      <c r="J1379" s="3">
        <v>3.0056935486030203</v>
      </c>
      <c r="K1379" s="3">
        <v>0</v>
      </c>
      <c r="L1379" s="3">
        <f t="shared" si="214"/>
        <v>0</v>
      </c>
      <c r="N1379" s="11">
        <f t="shared" si="215"/>
        <v>17.18630645139698</v>
      </c>
      <c r="O1379" s="3">
        <v>3.0056935486030203</v>
      </c>
      <c r="P1379" s="11">
        <f t="shared" si="216"/>
        <v>171.53751212645875</v>
      </c>
      <c r="Q1379" s="12">
        <f t="shared" si="217"/>
        <v>92.593011413173969</v>
      </c>
      <c r="R1379" s="13">
        <f t="shared" si="218"/>
        <v>50.297723678272817</v>
      </c>
      <c r="S1379" s="3" t="s">
        <v>31</v>
      </c>
      <c r="T1379" s="3" t="s">
        <v>28</v>
      </c>
      <c r="U1379" s="10">
        <v>0</v>
      </c>
      <c r="V1379" s="3">
        <v>0</v>
      </c>
      <c r="W1379" s="3">
        <f t="shared" si="219"/>
        <v>0</v>
      </c>
      <c r="AA1379" s="3">
        <v>40</v>
      </c>
    </row>
    <row r="1380" spans="1:27" x14ac:dyDescent="0.3">
      <c r="A1380" s="3" t="str">
        <f t="shared" si="210"/>
        <v>South9310039900310</v>
      </c>
      <c r="B1380" s="3" t="str">
        <f t="shared" si="211"/>
        <v>CMR9310039900310</v>
      </c>
      <c r="C1380" s="10">
        <v>9310039900310</v>
      </c>
      <c r="D1380" s="10" t="str">
        <f t="shared" si="212"/>
        <v>9310039900</v>
      </c>
      <c r="E1380" s="3" t="s">
        <v>5</v>
      </c>
      <c r="F1380" s="3" t="s">
        <v>65</v>
      </c>
      <c r="H1380" s="3">
        <v>8.4500000000000011</v>
      </c>
      <c r="I1380" s="10">
        <f t="shared" si="213"/>
        <v>115.59234644438109</v>
      </c>
      <c r="J1380" s="3">
        <v>2.1930517702742125</v>
      </c>
      <c r="K1380" s="3">
        <v>0</v>
      </c>
      <c r="L1380" s="3">
        <f t="shared" si="214"/>
        <v>0</v>
      </c>
      <c r="N1380" s="11">
        <f t="shared" si="215"/>
        <v>6.2569482297257881</v>
      </c>
      <c r="O1380" s="3">
        <v>2.1930517702742125</v>
      </c>
      <c r="P1380" s="11">
        <f t="shared" si="216"/>
        <v>85.592346444381079</v>
      </c>
      <c r="Q1380" s="12">
        <f t="shared" si="217"/>
        <v>87.461127769410126</v>
      </c>
      <c r="R1380" s="13">
        <f t="shared" si="218"/>
        <v>107.62903162347897</v>
      </c>
      <c r="S1380" s="3" t="s">
        <v>31</v>
      </c>
      <c r="T1380" s="3" t="s">
        <v>32</v>
      </c>
      <c r="U1380" s="10">
        <v>9310039900999</v>
      </c>
      <c r="V1380" s="3">
        <v>0.1</v>
      </c>
      <c r="W1380" s="3">
        <f t="shared" si="219"/>
        <v>0</v>
      </c>
      <c r="AA1380" s="3">
        <v>40</v>
      </c>
    </row>
    <row r="1381" spans="1:27" x14ac:dyDescent="0.3">
      <c r="A1381" s="3" t="str">
        <f t="shared" si="210"/>
        <v>South9420029902838</v>
      </c>
      <c r="B1381" s="3" t="str">
        <f t="shared" si="211"/>
        <v>CMR9420029902838</v>
      </c>
      <c r="C1381" s="10">
        <v>9420029902838</v>
      </c>
      <c r="D1381" s="10" t="str">
        <f t="shared" si="212"/>
        <v>9420029902</v>
      </c>
      <c r="E1381" s="3" t="s">
        <v>5</v>
      </c>
      <c r="F1381" s="3" t="s">
        <v>65</v>
      </c>
      <c r="H1381" s="3">
        <v>5.4491999999999994</v>
      </c>
      <c r="I1381" s="10">
        <f t="shared" si="213"/>
        <v>81.268671949963178</v>
      </c>
      <c r="J1381" s="3">
        <v>2.011550036164631</v>
      </c>
      <c r="K1381" s="3">
        <v>0</v>
      </c>
      <c r="L1381" s="3">
        <f t="shared" si="214"/>
        <v>0</v>
      </c>
      <c r="N1381" s="11">
        <f t="shared" si="215"/>
        <v>3.4376499638353684</v>
      </c>
      <c r="O1381" s="3">
        <v>2.011550036164631</v>
      </c>
      <c r="P1381" s="11">
        <f t="shared" si="216"/>
        <v>51.268671949963185</v>
      </c>
      <c r="Q1381" s="12">
        <f t="shared" si="217"/>
        <v>23.035960662959496</v>
      </c>
      <c r="R1381" s="13">
        <f t="shared" si="218"/>
        <v>45.116201366682233</v>
      </c>
      <c r="S1381" s="3" t="s">
        <v>31</v>
      </c>
      <c r="T1381" s="3" t="s">
        <v>28</v>
      </c>
      <c r="U1381" s="10">
        <v>0</v>
      </c>
      <c r="V1381" s="3">
        <v>0</v>
      </c>
      <c r="W1381" s="3">
        <f t="shared" si="219"/>
        <v>0</v>
      </c>
      <c r="AA1381" s="3">
        <v>40</v>
      </c>
    </row>
    <row r="1382" spans="1:27" x14ac:dyDescent="0.3">
      <c r="A1382" s="3" t="str">
        <f t="shared" si="210"/>
        <v>South9420029902195</v>
      </c>
      <c r="B1382" s="3" t="str">
        <f t="shared" si="211"/>
        <v>CMR9420029902195</v>
      </c>
      <c r="C1382" s="10">
        <v>9420029902195</v>
      </c>
      <c r="D1382" s="10" t="str">
        <f t="shared" si="212"/>
        <v>9420029902</v>
      </c>
      <c r="E1382" s="3" t="s">
        <v>5</v>
      </c>
      <c r="F1382" s="3" t="s">
        <v>65</v>
      </c>
      <c r="H1382" s="3">
        <v>0.63840000000000008</v>
      </c>
      <c r="I1382" s="10">
        <f t="shared" si="213"/>
        <v>11.090581522406637</v>
      </c>
      <c r="J1382" s="3">
        <v>1.7268706750233644</v>
      </c>
      <c r="K1382" s="3">
        <v>0</v>
      </c>
      <c r="L1382" s="3">
        <f t="shared" si="214"/>
        <v>0</v>
      </c>
      <c r="N1382" s="11">
        <f t="shared" si="215"/>
        <v>-1.0884706750233644</v>
      </c>
      <c r="O1382" s="3">
        <v>1.7268706750233644</v>
      </c>
      <c r="P1382" s="11">
        <f t="shared" si="216"/>
        <v>-18.909418477593363</v>
      </c>
      <c r="Q1382" s="12">
        <f t="shared" si="217"/>
        <v>-19.61679280305535</v>
      </c>
      <c r="R1382" s="13">
        <f t="shared" si="218"/>
        <v>54.081869668543256</v>
      </c>
      <c r="S1382" s="3" t="s">
        <v>31</v>
      </c>
      <c r="T1382" s="3" t="s">
        <v>28</v>
      </c>
      <c r="U1382" s="10">
        <v>0</v>
      </c>
      <c r="V1382" s="3">
        <v>0</v>
      </c>
      <c r="W1382" s="3">
        <f t="shared" si="219"/>
        <v>0</v>
      </c>
      <c r="AA1382" s="3">
        <v>40</v>
      </c>
    </row>
    <row r="1383" spans="1:27" x14ac:dyDescent="0.3">
      <c r="A1383" s="3" t="str">
        <f t="shared" si="210"/>
        <v>South9420139901210</v>
      </c>
      <c r="B1383" s="3" t="str">
        <f t="shared" si="211"/>
        <v>CMR9420139901210</v>
      </c>
      <c r="C1383" s="10">
        <v>9420139901210</v>
      </c>
      <c r="D1383" s="10" t="str">
        <f t="shared" si="212"/>
        <v>9420139901</v>
      </c>
      <c r="E1383" s="3" t="s">
        <v>5</v>
      </c>
      <c r="F1383" s="3" t="s">
        <v>65</v>
      </c>
      <c r="H1383" s="3">
        <v>5.7640000000000002</v>
      </c>
      <c r="I1383" s="10">
        <f t="shared" si="213"/>
        <v>125.55893358083452</v>
      </c>
      <c r="J1383" s="3">
        <v>1.377201884951297</v>
      </c>
      <c r="K1383" s="3">
        <v>0</v>
      </c>
      <c r="L1383" s="3">
        <f t="shared" si="214"/>
        <v>0</v>
      </c>
      <c r="N1383" s="11">
        <f t="shared" si="215"/>
        <v>4.3867981150487037</v>
      </c>
      <c r="O1383" s="3">
        <v>1.377201884951297</v>
      </c>
      <c r="P1383" s="11">
        <f t="shared" si="216"/>
        <v>95.558933580834534</v>
      </c>
      <c r="Q1383" s="12">
        <f t="shared" si="217"/>
        <v>92.354718495311346</v>
      </c>
      <c r="R1383" s="13">
        <f t="shared" si="218"/>
        <v>62.555831983232935</v>
      </c>
      <c r="S1383" s="3" t="s">
        <v>31</v>
      </c>
      <c r="T1383" s="3" t="s">
        <v>28</v>
      </c>
      <c r="U1383" s="10">
        <v>0</v>
      </c>
      <c r="V1383" s="3">
        <v>0</v>
      </c>
      <c r="W1383" s="3">
        <f t="shared" si="219"/>
        <v>0</v>
      </c>
      <c r="AA1383" s="3">
        <v>40</v>
      </c>
    </row>
    <row r="1384" spans="1:27" x14ac:dyDescent="0.3">
      <c r="A1384" s="3" t="str">
        <f t="shared" si="210"/>
        <v>South9420029900210</v>
      </c>
      <c r="B1384" s="3" t="str">
        <f t="shared" si="211"/>
        <v>CMR9420029900210</v>
      </c>
      <c r="C1384" s="10">
        <v>9420029900210</v>
      </c>
      <c r="D1384" s="10" t="str">
        <f t="shared" si="212"/>
        <v>9420029900</v>
      </c>
      <c r="E1384" s="3" t="s">
        <v>5</v>
      </c>
      <c r="F1384" s="3" t="s">
        <v>65</v>
      </c>
      <c r="H1384" s="3">
        <v>7.1369999999999996</v>
      </c>
      <c r="I1384" s="10">
        <f t="shared" si="213"/>
        <v>196.31098484327632</v>
      </c>
      <c r="J1384" s="3">
        <v>1.0906674436529031</v>
      </c>
      <c r="K1384" s="3">
        <v>0</v>
      </c>
      <c r="L1384" s="3">
        <f t="shared" si="214"/>
        <v>0</v>
      </c>
      <c r="N1384" s="11">
        <f t="shared" si="215"/>
        <v>6.046332556347096</v>
      </c>
      <c r="O1384" s="3">
        <v>1.0906674436529031</v>
      </c>
      <c r="P1384" s="11">
        <f t="shared" si="216"/>
        <v>166.31098484327629</v>
      </c>
      <c r="Q1384" s="12">
        <f t="shared" si="217"/>
        <v>148.73661449154849</v>
      </c>
      <c r="R1384" s="13">
        <f t="shared" si="218"/>
        <v>61.100952524328754</v>
      </c>
      <c r="S1384" s="3" t="s">
        <v>31</v>
      </c>
      <c r="T1384" s="3" t="s">
        <v>28</v>
      </c>
      <c r="U1384" s="10">
        <v>0</v>
      </c>
      <c r="V1384" s="3">
        <v>0</v>
      </c>
      <c r="W1384" s="3">
        <f t="shared" si="219"/>
        <v>0</v>
      </c>
      <c r="AA1384" s="3">
        <v>40</v>
      </c>
    </row>
    <row r="1385" spans="1:27" x14ac:dyDescent="0.3">
      <c r="A1385" s="3" t="str">
        <f t="shared" si="210"/>
        <v>South9420139900210</v>
      </c>
      <c r="B1385" s="3" t="str">
        <f t="shared" si="211"/>
        <v>CMR9420139900210</v>
      </c>
      <c r="C1385" s="10">
        <v>9420139900210</v>
      </c>
      <c r="D1385" s="10" t="str">
        <f t="shared" si="212"/>
        <v>9420139900</v>
      </c>
      <c r="E1385" s="3" t="s">
        <v>5</v>
      </c>
      <c r="F1385" s="3" t="s">
        <v>65</v>
      </c>
      <c r="H1385" s="3">
        <v>13.404</v>
      </c>
      <c r="I1385" s="10">
        <f t="shared" si="213"/>
        <v>394.22652625550182</v>
      </c>
      <c r="J1385" s="3">
        <v>1.0200226854835799</v>
      </c>
      <c r="K1385" s="3">
        <v>0</v>
      </c>
      <c r="L1385" s="3">
        <f t="shared" si="214"/>
        <v>0</v>
      </c>
      <c r="N1385" s="11">
        <f t="shared" si="215"/>
        <v>12.38397731451642</v>
      </c>
      <c r="O1385" s="3">
        <v>1.0200226854835799</v>
      </c>
      <c r="P1385" s="11">
        <f t="shared" si="216"/>
        <v>364.22652625550182</v>
      </c>
      <c r="Q1385" s="12">
        <f t="shared" si="217"/>
        <v>243.87035570895517</v>
      </c>
      <c r="R1385" s="13">
        <f t="shared" si="218"/>
        <v>110.31179778736497</v>
      </c>
      <c r="S1385" s="3" t="s">
        <v>31</v>
      </c>
      <c r="T1385" s="3" t="s">
        <v>28</v>
      </c>
      <c r="U1385" s="10">
        <v>0</v>
      </c>
      <c r="V1385" s="3">
        <v>0</v>
      </c>
      <c r="W1385" s="3">
        <f t="shared" si="219"/>
        <v>0</v>
      </c>
      <c r="AA1385" s="3">
        <v>40</v>
      </c>
    </row>
    <row r="1386" spans="1:27" x14ac:dyDescent="0.3">
      <c r="A1386" s="3" t="str">
        <f t="shared" si="210"/>
        <v>South9420029902295</v>
      </c>
      <c r="B1386" s="3" t="str">
        <f t="shared" si="211"/>
        <v>CMR9420029902295</v>
      </c>
      <c r="C1386" s="10">
        <v>9420029902295</v>
      </c>
      <c r="D1386" s="10" t="str">
        <f t="shared" si="212"/>
        <v>9420029902</v>
      </c>
      <c r="E1386" s="3" t="s">
        <v>5</v>
      </c>
      <c r="F1386" s="3" t="s">
        <v>65</v>
      </c>
      <c r="H1386" s="3">
        <v>1.4630000000000001</v>
      </c>
      <c r="I1386" s="10">
        <f t="shared" si="213"/>
        <v>62.724761732516242</v>
      </c>
      <c r="J1386" s="3">
        <v>0.69972366235785344</v>
      </c>
      <c r="K1386" s="3">
        <v>0</v>
      </c>
      <c r="L1386" s="3">
        <f t="shared" si="214"/>
        <v>0</v>
      </c>
      <c r="N1386" s="11">
        <f t="shared" si="215"/>
        <v>0.76327633764214664</v>
      </c>
      <c r="O1386" s="3">
        <v>0.69972366235785344</v>
      </c>
      <c r="P1386" s="11">
        <f t="shared" si="216"/>
        <v>32.724761732516242</v>
      </c>
      <c r="Q1386" s="12">
        <f t="shared" si="217"/>
        <v>9.2077400138650738</v>
      </c>
      <c r="R1386" s="13">
        <f t="shared" si="218"/>
        <v>62.065240679388516</v>
      </c>
      <c r="S1386" s="3" t="s">
        <v>31</v>
      </c>
      <c r="T1386" s="3" t="s">
        <v>28</v>
      </c>
      <c r="U1386" s="10">
        <v>9420029900999</v>
      </c>
      <c r="V1386" s="3">
        <v>0.1</v>
      </c>
      <c r="W1386" s="3">
        <f t="shared" si="219"/>
        <v>0</v>
      </c>
      <c r="AA1386" s="3">
        <v>40</v>
      </c>
    </row>
    <row r="1387" spans="1:27" x14ac:dyDescent="0.3">
      <c r="A1387" s="3" t="str">
        <f t="shared" si="210"/>
        <v>South9420029902319</v>
      </c>
      <c r="B1387" s="3" t="str">
        <f t="shared" si="211"/>
        <v>CMR9420029902319</v>
      </c>
      <c r="C1387" s="10">
        <v>9420029902319</v>
      </c>
      <c r="D1387" s="10" t="str">
        <f t="shared" si="212"/>
        <v>9420029902</v>
      </c>
      <c r="E1387" s="3" t="s">
        <v>5</v>
      </c>
      <c r="F1387" s="3" t="s">
        <v>65</v>
      </c>
      <c r="H1387" s="3">
        <v>0.47499999999999992</v>
      </c>
      <c r="I1387" s="10">
        <f t="shared" si="213"/>
        <v>28.881122572587856</v>
      </c>
      <c r="J1387" s="3">
        <v>0.49340187398135282</v>
      </c>
      <c r="K1387" s="3">
        <v>0</v>
      </c>
      <c r="L1387" s="3">
        <f t="shared" si="214"/>
        <v>0</v>
      </c>
      <c r="N1387" s="11">
        <f t="shared" si="215"/>
        <v>-1.8401873981352901E-2</v>
      </c>
      <c r="O1387" s="3">
        <v>0.49340187398135282</v>
      </c>
      <c r="P1387" s="11">
        <f t="shared" si="216"/>
        <v>-1.1188774274121442</v>
      </c>
      <c r="Q1387" s="12">
        <f t="shared" si="217"/>
        <v>-11.625199405864887</v>
      </c>
      <c r="R1387" s="13">
        <f t="shared" si="218"/>
        <v>100.81020277708481</v>
      </c>
      <c r="S1387" s="3" t="s">
        <v>31</v>
      </c>
      <c r="T1387" s="3" t="s">
        <v>28</v>
      </c>
      <c r="U1387" s="10">
        <v>9420029900999</v>
      </c>
      <c r="V1387" s="3">
        <v>0.1</v>
      </c>
      <c r="W1387" s="3">
        <f t="shared" si="219"/>
        <v>0</v>
      </c>
      <c r="AA1387" s="3">
        <v>40</v>
      </c>
    </row>
    <row r="1388" spans="1:27" x14ac:dyDescent="0.3">
      <c r="A1388" s="3" t="str">
        <f t="shared" si="210"/>
        <v>South9100309902319</v>
      </c>
      <c r="B1388" s="3" t="str">
        <f t="shared" si="211"/>
        <v>CMR9100309902319</v>
      </c>
      <c r="C1388" s="10">
        <v>9100309902319</v>
      </c>
      <c r="D1388" s="10" t="str">
        <f t="shared" si="212"/>
        <v>9100309902</v>
      </c>
      <c r="E1388" s="3" t="s">
        <v>5</v>
      </c>
      <c r="F1388" s="3" t="s">
        <v>65</v>
      </c>
      <c r="H1388" s="3">
        <v>9.3290000000000006</v>
      </c>
      <c r="I1388" s="10">
        <f t="shared" si="213"/>
        <v>567.45764790937528</v>
      </c>
      <c r="J1388" s="3">
        <v>0.49319980271848601</v>
      </c>
      <c r="K1388" s="3">
        <v>0</v>
      </c>
      <c r="L1388" s="3">
        <f t="shared" si="214"/>
        <v>0</v>
      </c>
      <c r="N1388" s="11">
        <f t="shared" si="215"/>
        <v>8.8358001972815146</v>
      </c>
      <c r="O1388" s="3">
        <v>0.49319980271848601</v>
      </c>
      <c r="P1388" s="11">
        <f t="shared" si="216"/>
        <v>537.45764790937528</v>
      </c>
      <c r="Q1388" s="12">
        <f t="shared" si="217"/>
        <v>426.90772994182936</v>
      </c>
      <c r="R1388" s="13">
        <f t="shared" si="218"/>
        <v>340.2992622587538</v>
      </c>
      <c r="S1388" s="3" t="s">
        <v>31</v>
      </c>
      <c r="T1388" s="3" t="s">
        <v>34</v>
      </c>
      <c r="U1388" s="10">
        <v>0</v>
      </c>
      <c r="V1388" s="3">
        <v>0</v>
      </c>
      <c r="W1388" s="3">
        <f t="shared" si="219"/>
        <v>0</v>
      </c>
      <c r="AA1388" s="3">
        <v>40</v>
      </c>
    </row>
    <row r="1389" spans="1:27" x14ac:dyDescent="0.3">
      <c r="A1389" s="3" t="str">
        <f t="shared" si="210"/>
        <v>South9160309902219</v>
      </c>
      <c r="B1389" s="3" t="str">
        <f t="shared" si="211"/>
        <v>CMR9160309902219</v>
      </c>
      <c r="C1389" s="10">
        <v>9160309902219</v>
      </c>
      <c r="D1389" s="10" t="str">
        <f t="shared" si="212"/>
        <v>9160309902</v>
      </c>
      <c r="E1389" s="3" t="s">
        <v>5</v>
      </c>
      <c r="F1389" s="3" t="s">
        <v>65</v>
      </c>
      <c r="H1389" s="3">
        <v>3.9585000000000004</v>
      </c>
      <c r="I1389" s="10">
        <f t="shared" si="213"/>
        <v>271.86328035334594</v>
      </c>
      <c r="J1389" s="3">
        <v>0.43681882983848291</v>
      </c>
      <c r="K1389" s="3">
        <v>0</v>
      </c>
      <c r="L1389" s="3">
        <f t="shared" si="214"/>
        <v>0</v>
      </c>
      <c r="N1389" s="11">
        <f t="shared" si="215"/>
        <v>3.5216811701615174</v>
      </c>
      <c r="O1389" s="3">
        <v>0.43681882983848291</v>
      </c>
      <c r="P1389" s="11">
        <f t="shared" si="216"/>
        <v>241.86328035334594</v>
      </c>
      <c r="Q1389" s="12">
        <f t="shared" si="217"/>
        <v>171.31710609149866</v>
      </c>
      <c r="R1389" s="13">
        <f t="shared" si="218"/>
        <v>96.414129400234444</v>
      </c>
      <c r="S1389" s="3" t="s">
        <v>31</v>
      </c>
      <c r="T1389" s="3" t="s">
        <v>34</v>
      </c>
      <c r="U1389" s="10">
        <v>0</v>
      </c>
      <c r="V1389" s="3">
        <v>0</v>
      </c>
      <c r="W1389" s="3">
        <f t="shared" si="219"/>
        <v>0</v>
      </c>
      <c r="AA1389" s="3">
        <v>40</v>
      </c>
    </row>
    <row r="1390" spans="1:27" x14ac:dyDescent="0.3">
      <c r="A1390" s="3" t="str">
        <f t="shared" si="210"/>
        <v>South9310039900210</v>
      </c>
      <c r="B1390" s="3" t="str">
        <f t="shared" si="211"/>
        <v>CMR9310039900210</v>
      </c>
      <c r="C1390" s="10">
        <v>9310039900210</v>
      </c>
      <c r="D1390" s="10" t="str">
        <f t="shared" si="212"/>
        <v>9310039900</v>
      </c>
      <c r="E1390" s="3" t="s">
        <v>5</v>
      </c>
      <c r="F1390" s="3" t="s">
        <v>65</v>
      </c>
      <c r="H1390" s="3">
        <v>0.55500000000000005</v>
      </c>
      <c r="I1390" s="10">
        <f t="shared" si="213"/>
        <v>102.33046848473532</v>
      </c>
      <c r="J1390" s="3">
        <v>0.16270813811903626</v>
      </c>
      <c r="K1390" s="3">
        <v>0</v>
      </c>
      <c r="L1390" s="3">
        <f t="shared" si="214"/>
        <v>0</v>
      </c>
      <c r="N1390" s="11">
        <f t="shared" si="215"/>
        <v>0.39229186188096377</v>
      </c>
      <c r="O1390" s="3">
        <v>0.16270813811903626</v>
      </c>
      <c r="P1390" s="11">
        <f t="shared" si="216"/>
        <v>72.33046848473532</v>
      </c>
      <c r="Q1390" s="12">
        <f t="shared" si="217"/>
        <v>264.73800651819533</v>
      </c>
      <c r="R1390" s="13">
        <f t="shared" si="218"/>
        <v>1630.2267212502918</v>
      </c>
      <c r="S1390" s="3" t="s">
        <v>31</v>
      </c>
      <c r="T1390" s="3" t="s">
        <v>32</v>
      </c>
      <c r="U1390" s="10">
        <v>0</v>
      </c>
      <c r="V1390" s="3">
        <v>0</v>
      </c>
      <c r="W1390" s="3">
        <f t="shared" si="219"/>
        <v>0</v>
      </c>
      <c r="AA1390" s="3">
        <v>40</v>
      </c>
    </row>
    <row r="1391" spans="1:27" x14ac:dyDescent="0.3">
      <c r="A1391" s="3" t="str">
        <f t="shared" si="210"/>
        <v>South9100509902319</v>
      </c>
      <c r="B1391" s="3" t="str">
        <f t="shared" si="211"/>
        <v>CMR9100509902319</v>
      </c>
      <c r="C1391" s="10">
        <v>9100509902319</v>
      </c>
      <c r="D1391" s="10" t="str">
        <f t="shared" si="212"/>
        <v>9100509902</v>
      </c>
      <c r="E1391" s="3" t="s">
        <v>5</v>
      </c>
      <c r="F1391" s="3" t="s">
        <v>65</v>
      </c>
      <c r="H1391" s="3">
        <v>17.689</v>
      </c>
      <c r="I1391" s="10">
        <f t="shared" si="213"/>
        <v>5296.8096793869518</v>
      </c>
      <c r="J1391" s="3">
        <v>0.10018672221982106</v>
      </c>
      <c r="K1391" s="3">
        <v>0</v>
      </c>
      <c r="L1391" s="3">
        <f t="shared" si="214"/>
        <v>0</v>
      </c>
      <c r="N1391" s="11">
        <f t="shared" si="215"/>
        <v>17.588813277780179</v>
      </c>
      <c r="O1391" s="3">
        <v>0.10018672221982106</v>
      </c>
      <c r="P1391" s="11">
        <f t="shared" si="216"/>
        <v>5266.8096793869527</v>
      </c>
      <c r="Q1391" s="12">
        <f t="shared" si="217"/>
        <v>3958.0571769886242</v>
      </c>
      <c r="R1391" s="13">
        <f t="shared" si="218"/>
        <v>1010.5867835272217</v>
      </c>
      <c r="S1391" s="3" t="s">
        <v>31</v>
      </c>
      <c r="T1391" s="3" t="s">
        <v>34</v>
      </c>
      <c r="U1391" s="10">
        <v>0</v>
      </c>
      <c r="V1391" s="3">
        <v>0</v>
      </c>
      <c r="W1391" s="3">
        <f t="shared" si="219"/>
        <v>0</v>
      </c>
      <c r="AA1391" s="3">
        <v>40</v>
      </c>
    </row>
    <row r="1392" spans="1:27" x14ac:dyDescent="0.3">
      <c r="A1392" s="3" t="str">
        <f t="shared" si="210"/>
        <v>South9310039900840</v>
      </c>
      <c r="B1392" s="3" t="str">
        <f t="shared" si="211"/>
        <v>CMR9310039900840</v>
      </c>
      <c r="C1392" s="10">
        <v>9310039900840</v>
      </c>
      <c r="D1392" s="10" t="str">
        <f t="shared" si="212"/>
        <v>9310039900</v>
      </c>
      <c r="E1392" s="3" t="s">
        <v>5</v>
      </c>
      <c r="F1392" s="3" t="s">
        <v>65</v>
      </c>
      <c r="H1392" s="3">
        <v>0.02</v>
      </c>
      <c r="I1392" s="10">
        <f t="shared" si="213"/>
        <v>6.9238896766646976</v>
      </c>
      <c r="J1392" s="3">
        <v>8.6656493390146791E-2</v>
      </c>
      <c r="K1392" s="3">
        <v>0</v>
      </c>
      <c r="L1392" s="3">
        <f t="shared" si="214"/>
        <v>0</v>
      </c>
      <c r="N1392" s="11">
        <f t="shared" si="215"/>
        <v>-6.6656493390146787E-2</v>
      </c>
      <c r="O1392" s="3">
        <v>8.6656493390146791E-2</v>
      </c>
      <c r="P1392" s="11">
        <f t="shared" si="216"/>
        <v>-23.0761103233353</v>
      </c>
      <c r="Q1392" s="12">
        <f t="shared" si="217"/>
        <v>22.241273518326729</v>
      </c>
      <c r="R1392" s="13">
        <f t="shared" si="218"/>
        <v>282.75963411080329</v>
      </c>
      <c r="S1392" s="3" t="s">
        <v>31</v>
      </c>
      <c r="T1392" s="3" t="s">
        <v>32</v>
      </c>
      <c r="U1392" s="10">
        <v>0</v>
      </c>
      <c r="V1392" s="3">
        <v>0</v>
      </c>
      <c r="W1392" s="3">
        <f t="shared" si="219"/>
        <v>0</v>
      </c>
      <c r="AA1392" s="3">
        <v>40</v>
      </c>
    </row>
    <row r="1393" spans="1:27" x14ac:dyDescent="0.3">
      <c r="A1393" s="3" t="str">
        <f t="shared" si="210"/>
        <v>South9420139900840</v>
      </c>
      <c r="B1393" s="3" t="str">
        <f t="shared" si="211"/>
        <v>CMR9420139900840</v>
      </c>
      <c r="C1393" s="10">
        <v>9420139900840</v>
      </c>
      <c r="D1393" s="10" t="str">
        <f t="shared" si="212"/>
        <v>9420139900</v>
      </c>
      <c r="E1393" s="3" t="s">
        <v>5</v>
      </c>
      <c r="F1393" s="3" t="s">
        <v>65</v>
      </c>
      <c r="H1393" s="3">
        <v>0</v>
      </c>
      <c r="I1393" s="10">
        <f t="shared" si="213"/>
        <v>0</v>
      </c>
      <c r="J1393" s="3">
        <v>0</v>
      </c>
      <c r="K1393" s="3">
        <v>0</v>
      </c>
      <c r="L1393" s="3">
        <f t="shared" si="214"/>
        <v>0</v>
      </c>
      <c r="N1393" s="11">
        <f t="shared" si="215"/>
        <v>0</v>
      </c>
      <c r="O1393" s="3">
        <v>0</v>
      </c>
      <c r="P1393" s="11">
        <f t="shared" si="216"/>
        <v>9999</v>
      </c>
      <c r="Q1393" s="12">
        <f t="shared" si="217"/>
        <v>9999</v>
      </c>
      <c r="R1393" s="13">
        <f t="shared" si="218"/>
        <v>-30.000000000000004</v>
      </c>
      <c r="S1393" s="3" t="s">
        <v>31</v>
      </c>
      <c r="T1393" s="3" t="s">
        <v>28</v>
      </c>
      <c r="U1393" s="10">
        <v>0</v>
      </c>
      <c r="V1393" s="3">
        <v>0</v>
      </c>
      <c r="W1393" s="3">
        <f t="shared" si="219"/>
        <v>0</v>
      </c>
      <c r="AA1393" s="3">
        <v>40</v>
      </c>
    </row>
    <row r="1394" spans="1:27" x14ac:dyDescent="0.3">
      <c r="A1394" s="3" t="str">
        <f t="shared" si="210"/>
        <v>South9160309902097</v>
      </c>
      <c r="B1394" s="3" t="str">
        <f t="shared" si="211"/>
        <v>CMR9160309902097</v>
      </c>
      <c r="C1394" s="10">
        <v>9160309902097</v>
      </c>
      <c r="D1394" s="10" t="str">
        <f t="shared" si="212"/>
        <v>9160309902</v>
      </c>
      <c r="E1394" s="3" t="s">
        <v>5</v>
      </c>
      <c r="F1394" s="3" t="s">
        <v>65</v>
      </c>
      <c r="H1394" s="3">
        <v>0</v>
      </c>
      <c r="I1394" s="10">
        <f t="shared" si="213"/>
        <v>0</v>
      </c>
      <c r="J1394" s="3">
        <v>0</v>
      </c>
      <c r="K1394" s="3">
        <v>0</v>
      </c>
      <c r="L1394" s="3">
        <f t="shared" si="214"/>
        <v>0</v>
      </c>
      <c r="N1394" s="11">
        <f t="shared" si="215"/>
        <v>0</v>
      </c>
      <c r="O1394" s="3">
        <v>0</v>
      </c>
      <c r="P1394" s="11">
        <f t="shared" si="216"/>
        <v>9999</v>
      </c>
      <c r="Q1394" s="12">
        <f t="shared" si="217"/>
        <v>9999</v>
      </c>
      <c r="R1394" s="13">
        <f t="shared" si="218"/>
        <v>9999</v>
      </c>
      <c r="S1394" s="3" t="s">
        <v>31</v>
      </c>
      <c r="T1394" s="3" t="s">
        <v>34</v>
      </c>
      <c r="U1394" s="10" t="s">
        <v>72</v>
      </c>
      <c r="V1394" s="3" t="s">
        <v>72</v>
      </c>
      <c r="W1394" s="3">
        <f t="shared" si="219"/>
        <v>0</v>
      </c>
      <c r="AA1394" s="3">
        <v>40</v>
      </c>
    </row>
    <row r="1395" spans="1:27" x14ac:dyDescent="0.3">
      <c r="A1395" s="3" t="str">
        <f t="shared" si="210"/>
        <v>South9100509902195</v>
      </c>
      <c r="B1395" s="3" t="str">
        <f t="shared" si="211"/>
        <v>CMR9100509902195</v>
      </c>
      <c r="C1395" s="10">
        <v>9100509902195</v>
      </c>
      <c r="D1395" s="10" t="str">
        <f t="shared" si="212"/>
        <v>9100509902</v>
      </c>
      <c r="E1395" s="3" t="s">
        <v>5</v>
      </c>
      <c r="F1395" s="3" t="s">
        <v>65</v>
      </c>
      <c r="H1395" s="3">
        <v>0</v>
      </c>
      <c r="I1395" s="10">
        <f t="shared" si="213"/>
        <v>0</v>
      </c>
      <c r="J1395" s="3">
        <v>0</v>
      </c>
      <c r="K1395" s="3">
        <v>0</v>
      </c>
      <c r="L1395" s="3">
        <f t="shared" si="214"/>
        <v>0</v>
      </c>
      <c r="N1395" s="11">
        <f t="shared" si="215"/>
        <v>0</v>
      </c>
      <c r="O1395" s="3">
        <v>0</v>
      </c>
      <c r="P1395" s="11">
        <f t="shared" si="216"/>
        <v>9999</v>
      </c>
      <c r="Q1395" s="12">
        <f t="shared" si="217"/>
        <v>9999</v>
      </c>
      <c r="R1395" s="13">
        <f t="shared" si="218"/>
        <v>9999</v>
      </c>
      <c r="S1395" s="3" t="s">
        <v>31</v>
      </c>
      <c r="T1395" s="3" t="s">
        <v>34</v>
      </c>
      <c r="U1395" s="10" t="s">
        <v>72</v>
      </c>
      <c r="V1395" s="3" t="s">
        <v>72</v>
      </c>
      <c r="W1395" s="3">
        <f t="shared" si="219"/>
        <v>0</v>
      </c>
      <c r="AA1395" s="3">
        <v>40</v>
      </c>
    </row>
    <row r="1396" spans="1:27" x14ac:dyDescent="0.3">
      <c r="A1396" s="3" t="str">
        <f t="shared" si="210"/>
        <v>South9100509900210</v>
      </c>
      <c r="B1396" s="3" t="str">
        <f t="shared" si="211"/>
        <v>CMR9100509900210</v>
      </c>
      <c r="C1396" s="10">
        <v>9100509900210</v>
      </c>
      <c r="D1396" s="10" t="str">
        <f t="shared" si="212"/>
        <v>9100509900</v>
      </c>
      <c r="E1396" s="3" t="s">
        <v>5</v>
      </c>
      <c r="F1396" s="3" t="s">
        <v>65</v>
      </c>
      <c r="H1396" s="3">
        <v>0</v>
      </c>
      <c r="I1396" s="10">
        <f t="shared" si="213"/>
        <v>0</v>
      </c>
      <c r="J1396" s="3">
        <v>0</v>
      </c>
      <c r="K1396" s="3">
        <v>0</v>
      </c>
      <c r="L1396" s="3">
        <f t="shared" si="214"/>
        <v>0</v>
      </c>
      <c r="N1396" s="11">
        <f t="shared" si="215"/>
        <v>0</v>
      </c>
      <c r="O1396" s="3">
        <v>0</v>
      </c>
      <c r="P1396" s="11">
        <f t="shared" si="216"/>
        <v>9999</v>
      </c>
      <c r="Q1396" s="12">
        <f t="shared" si="217"/>
        <v>9999</v>
      </c>
      <c r="R1396" s="13">
        <f t="shared" si="218"/>
        <v>9999</v>
      </c>
      <c r="S1396" s="3" t="s">
        <v>31</v>
      </c>
      <c r="T1396" s="3" t="s">
        <v>34</v>
      </c>
      <c r="U1396" s="10" t="s">
        <v>72</v>
      </c>
      <c r="V1396" s="3" t="s">
        <v>72</v>
      </c>
      <c r="W1396" s="3">
        <f t="shared" si="219"/>
        <v>0</v>
      </c>
      <c r="AA1396" s="3">
        <v>40</v>
      </c>
    </row>
    <row r="1397" spans="1:27" x14ac:dyDescent="0.3">
      <c r="A1397" s="3" t="str">
        <f t="shared" si="210"/>
        <v>South9100309902195</v>
      </c>
      <c r="B1397" s="3" t="str">
        <f t="shared" si="211"/>
        <v>CMR9100309902195</v>
      </c>
      <c r="C1397" s="10">
        <v>9100309902195</v>
      </c>
      <c r="D1397" s="10" t="str">
        <f t="shared" si="212"/>
        <v>9100309902</v>
      </c>
      <c r="E1397" s="3" t="s">
        <v>5</v>
      </c>
      <c r="F1397" s="3" t="s">
        <v>65</v>
      </c>
      <c r="H1397" s="3">
        <v>0</v>
      </c>
      <c r="I1397" s="10">
        <f t="shared" si="213"/>
        <v>0</v>
      </c>
      <c r="J1397" s="3">
        <v>0</v>
      </c>
      <c r="K1397" s="3">
        <v>0</v>
      </c>
      <c r="L1397" s="3">
        <f t="shared" si="214"/>
        <v>0</v>
      </c>
      <c r="N1397" s="11">
        <f t="shared" si="215"/>
        <v>0</v>
      </c>
      <c r="O1397" s="3">
        <v>0</v>
      </c>
      <c r="P1397" s="11">
        <f t="shared" si="216"/>
        <v>9999</v>
      </c>
      <c r="Q1397" s="12">
        <f t="shared" si="217"/>
        <v>9999</v>
      </c>
      <c r="R1397" s="13">
        <f t="shared" si="218"/>
        <v>9999</v>
      </c>
      <c r="S1397" s="3" t="s">
        <v>31</v>
      </c>
      <c r="T1397" s="3" t="s">
        <v>34</v>
      </c>
      <c r="U1397" s="10" t="s">
        <v>72</v>
      </c>
      <c r="V1397" s="3" t="s">
        <v>72</v>
      </c>
      <c r="W1397" s="3">
        <f t="shared" si="219"/>
        <v>0</v>
      </c>
      <c r="AA1397" s="3">
        <v>40</v>
      </c>
    </row>
    <row r="1398" spans="1:27" x14ac:dyDescent="0.3">
      <c r="A1398" s="3" t="str">
        <f t="shared" si="210"/>
        <v>South9420139900310</v>
      </c>
      <c r="B1398" s="3" t="str">
        <f t="shared" si="211"/>
        <v>CMR9420139900310</v>
      </c>
      <c r="C1398" s="10">
        <v>9420139900310</v>
      </c>
      <c r="D1398" s="10" t="str">
        <f t="shared" si="212"/>
        <v>9420139900</v>
      </c>
      <c r="E1398" s="3" t="s">
        <v>5</v>
      </c>
      <c r="F1398" s="3" t="s">
        <v>65</v>
      </c>
      <c r="H1398" s="3">
        <v>0</v>
      </c>
      <c r="I1398" s="10">
        <f t="shared" si="213"/>
        <v>0</v>
      </c>
      <c r="J1398" s="3">
        <v>0</v>
      </c>
      <c r="K1398" s="3">
        <v>0</v>
      </c>
      <c r="L1398" s="3">
        <f t="shared" si="214"/>
        <v>0</v>
      </c>
      <c r="N1398" s="11">
        <f t="shared" si="215"/>
        <v>0</v>
      </c>
      <c r="O1398" s="3">
        <v>0</v>
      </c>
      <c r="P1398" s="11">
        <f t="shared" si="216"/>
        <v>9999</v>
      </c>
      <c r="Q1398" s="12">
        <f t="shared" si="217"/>
        <v>9999</v>
      </c>
      <c r="R1398" s="13">
        <f t="shared" si="218"/>
        <v>-29.999999999999996</v>
      </c>
      <c r="S1398" s="3" t="s">
        <v>31</v>
      </c>
      <c r="T1398" s="3" t="s">
        <v>28</v>
      </c>
      <c r="U1398" s="10">
        <v>9420139900999</v>
      </c>
      <c r="V1398" s="3">
        <v>0.1</v>
      </c>
      <c r="W1398" s="3">
        <f t="shared" si="219"/>
        <v>0</v>
      </c>
      <c r="AA1398" s="3">
        <v>40</v>
      </c>
    </row>
    <row r="1399" spans="1:27" x14ac:dyDescent="0.3">
      <c r="A1399" s="3" t="str">
        <f t="shared" si="210"/>
        <v>East9330219913820</v>
      </c>
      <c r="B1399" s="3" t="str">
        <f t="shared" si="211"/>
        <v>KGP9330219913820</v>
      </c>
      <c r="C1399" s="10">
        <v>9330219913820</v>
      </c>
      <c r="D1399" s="10" t="str">
        <f t="shared" si="212"/>
        <v>9330219913</v>
      </c>
      <c r="E1399" s="3" t="s">
        <v>6</v>
      </c>
      <c r="F1399" s="3" t="s">
        <v>66</v>
      </c>
      <c r="H1399" s="3">
        <v>144.20599999999996</v>
      </c>
      <c r="I1399" s="10">
        <f t="shared" si="213"/>
        <v>29.349518016554804</v>
      </c>
      <c r="J1399" s="3">
        <v>147.40207991012957</v>
      </c>
      <c r="K1399" s="3">
        <v>120</v>
      </c>
      <c r="L1399" s="3">
        <f t="shared" si="214"/>
        <v>0</v>
      </c>
      <c r="N1399" s="11">
        <f t="shared" si="215"/>
        <v>-3.1960799101296118</v>
      </c>
      <c r="O1399" s="3">
        <v>147.40207991012957</v>
      </c>
      <c r="P1399" s="11">
        <f t="shared" si="216"/>
        <v>-0.65048198344519603</v>
      </c>
      <c r="Q1399" s="12">
        <f t="shared" si="217"/>
        <v>-0.65048198344519592</v>
      </c>
      <c r="R1399" s="13">
        <f t="shared" si="218"/>
        <v>-4.4253318049699377</v>
      </c>
      <c r="S1399" s="3" t="s">
        <v>29</v>
      </c>
      <c r="T1399" s="3" t="s">
        <v>35</v>
      </c>
      <c r="U1399" s="10">
        <v>0</v>
      </c>
      <c r="V1399" s="3">
        <v>0</v>
      </c>
      <c r="W1399" s="3">
        <f t="shared" si="219"/>
        <v>0</v>
      </c>
      <c r="AA1399" s="3">
        <v>40</v>
      </c>
    </row>
    <row r="1400" spans="1:27" x14ac:dyDescent="0.3">
      <c r="A1400" s="3" t="str">
        <f t="shared" si="210"/>
        <v>East9330209901320</v>
      </c>
      <c r="B1400" s="3" t="str">
        <f t="shared" si="211"/>
        <v>KGP9330209901320</v>
      </c>
      <c r="C1400" s="10">
        <v>9330209901320</v>
      </c>
      <c r="D1400" s="10" t="str">
        <f t="shared" si="212"/>
        <v>9330209901</v>
      </c>
      <c r="E1400" s="3" t="s">
        <v>6</v>
      </c>
      <c r="F1400" s="3" t="s">
        <v>66</v>
      </c>
      <c r="H1400" s="3">
        <v>59</v>
      </c>
      <c r="I1400" s="10">
        <f t="shared" si="213"/>
        <v>27.752231702386933</v>
      </c>
      <c r="J1400" s="3">
        <v>63.778654595470414</v>
      </c>
      <c r="K1400" s="3">
        <v>53</v>
      </c>
      <c r="L1400" s="3">
        <f t="shared" si="214"/>
        <v>0</v>
      </c>
      <c r="N1400" s="11">
        <f t="shared" si="215"/>
        <v>-4.7786545954704138</v>
      </c>
      <c r="O1400" s="3">
        <v>63.778654595470414</v>
      </c>
      <c r="P1400" s="11">
        <f t="shared" si="216"/>
        <v>-2.2477682976130682</v>
      </c>
      <c r="Q1400" s="12">
        <f t="shared" si="217"/>
        <v>-2.2477682976130682</v>
      </c>
      <c r="R1400" s="13">
        <f t="shared" si="218"/>
        <v>-2.7737615488561329</v>
      </c>
      <c r="S1400" s="3" t="s">
        <v>29</v>
      </c>
      <c r="T1400" s="3" t="s">
        <v>35</v>
      </c>
      <c r="U1400" s="10">
        <v>9330209900999</v>
      </c>
      <c r="V1400" s="3">
        <v>0.1</v>
      </c>
      <c r="W1400" s="3">
        <f t="shared" si="219"/>
        <v>5.3000000000000007</v>
      </c>
      <c r="AA1400" s="3">
        <v>40</v>
      </c>
    </row>
    <row r="1401" spans="1:27" x14ac:dyDescent="0.3">
      <c r="A1401" s="3" t="str">
        <f t="shared" si="210"/>
        <v>East9330219913810</v>
      </c>
      <c r="B1401" s="3" t="str">
        <f t="shared" si="211"/>
        <v>KGP9330219913810</v>
      </c>
      <c r="C1401" s="10">
        <v>9330219913810</v>
      </c>
      <c r="D1401" s="10" t="str">
        <f t="shared" si="212"/>
        <v>9330219913</v>
      </c>
      <c r="E1401" s="3" t="s">
        <v>6</v>
      </c>
      <c r="F1401" s="3" t="s">
        <v>66</v>
      </c>
      <c r="H1401" s="3">
        <v>25.97</v>
      </c>
      <c r="I1401" s="10">
        <f t="shared" si="213"/>
        <v>25.114194691810372</v>
      </c>
      <c r="J1401" s="3">
        <v>31.022296735402033</v>
      </c>
      <c r="K1401" s="3">
        <v>30</v>
      </c>
      <c r="L1401" s="3">
        <f t="shared" si="214"/>
        <v>0</v>
      </c>
      <c r="N1401" s="11">
        <f t="shared" si="215"/>
        <v>-5.0522967354020345</v>
      </c>
      <c r="O1401" s="3">
        <v>31.022296735402033</v>
      </c>
      <c r="P1401" s="11">
        <f t="shared" si="216"/>
        <v>-4.8858053081896289</v>
      </c>
      <c r="Q1401" s="12">
        <f t="shared" si="217"/>
        <v>-4.885805308189628</v>
      </c>
      <c r="R1401" s="13">
        <f t="shared" si="218"/>
        <v>5.561298658189922</v>
      </c>
      <c r="S1401" s="3" t="s">
        <v>29</v>
      </c>
      <c r="T1401" s="3" t="s">
        <v>35</v>
      </c>
      <c r="U1401" s="10">
        <v>0</v>
      </c>
      <c r="V1401" s="3">
        <v>0</v>
      </c>
      <c r="W1401" s="3">
        <f t="shared" si="219"/>
        <v>0</v>
      </c>
      <c r="AA1401" s="3">
        <v>40</v>
      </c>
    </row>
    <row r="1402" spans="1:27" x14ac:dyDescent="0.3">
      <c r="A1402" s="3" t="str">
        <f t="shared" si="210"/>
        <v>East9330209901310</v>
      </c>
      <c r="B1402" s="3" t="str">
        <f t="shared" si="211"/>
        <v>KGP9330209901310</v>
      </c>
      <c r="C1402" s="10">
        <v>9330209901310</v>
      </c>
      <c r="D1402" s="10" t="str">
        <f t="shared" si="212"/>
        <v>9330209901</v>
      </c>
      <c r="E1402" s="3" t="s">
        <v>6</v>
      </c>
      <c r="F1402" s="3" t="s">
        <v>66</v>
      </c>
      <c r="H1402" s="3">
        <v>21.376000000000008</v>
      </c>
      <c r="I1402" s="10">
        <f t="shared" si="213"/>
        <v>26.639164985535349</v>
      </c>
      <c r="J1402" s="3">
        <v>24.072826620061303</v>
      </c>
      <c r="K1402" s="3">
        <v>22</v>
      </c>
      <c r="L1402" s="3">
        <f t="shared" si="214"/>
        <v>0</v>
      </c>
      <c r="N1402" s="11">
        <f t="shared" si="215"/>
        <v>-2.6968266200612945</v>
      </c>
      <c r="O1402" s="3">
        <v>24.072826620061303</v>
      </c>
      <c r="P1402" s="11">
        <f t="shared" si="216"/>
        <v>-3.3608350144646537</v>
      </c>
      <c r="Q1402" s="12">
        <f t="shared" si="217"/>
        <v>-3.3608350144646537</v>
      </c>
      <c r="R1402" s="13">
        <f t="shared" si="218"/>
        <v>0.86876647360711279</v>
      </c>
      <c r="S1402" s="3" t="s">
        <v>29</v>
      </c>
      <c r="T1402" s="3" t="s">
        <v>35</v>
      </c>
      <c r="U1402" s="10">
        <v>9330209900999</v>
      </c>
      <c r="V1402" s="3">
        <v>0.1</v>
      </c>
      <c r="W1402" s="3">
        <f t="shared" si="219"/>
        <v>2.2000000000000002</v>
      </c>
      <c r="AA1402" s="3">
        <v>40</v>
      </c>
    </row>
    <row r="1403" spans="1:27" x14ac:dyDescent="0.3">
      <c r="A1403" s="3" t="str">
        <f t="shared" si="210"/>
        <v>East9330219913840</v>
      </c>
      <c r="B1403" s="3" t="str">
        <f t="shared" si="211"/>
        <v>KGP9330219913840</v>
      </c>
      <c r="C1403" s="10">
        <v>9330219913840</v>
      </c>
      <c r="D1403" s="10" t="str">
        <f t="shared" si="212"/>
        <v>9330219913</v>
      </c>
      <c r="E1403" s="3" t="s">
        <v>6</v>
      </c>
      <c r="F1403" s="3" t="s">
        <v>66</v>
      </c>
      <c r="H1403" s="3">
        <v>26.507999999999999</v>
      </c>
      <c r="I1403" s="10">
        <f t="shared" si="213"/>
        <v>64.79194716589825</v>
      </c>
      <c r="J1403" s="3">
        <v>12.273747506982724</v>
      </c>
      <c r="K1403" s="3">
        <v>0</v>
      </c>
      <c r="L1403" s="3">
        <f t="shared" si="214"/>
        <v>0</v>
      </c>
      <c r="N1403" s="11">
        <f t="shared" si="215"/>
        <v>14.234252493017275</v>
      </c>
      <c r="O1403" s="3">
        <v>12.273747506982724</v>
      </c>
      <c r="P1403" s="11">
        <f t="shared" si="216"/>
        <v>34.791947165898243</v>
      </c>
      <c r="Q1403" s="12">
        <f t="shared" si="217"/>
        <v>34.791947165898243</v>
      </c>
      <c r="R1403" s="13">
        <f t="shared" si="218"/>
        <v>13.994224541941199</v>
      </c>
      <c r="S1403" s="3" t="s">
        <v>30</v>
      </c>
      <c r="T1403" s="3" t="s">
        <v>35</v>
      </c>
      <c r="U1403" s="10">
        <v>0</v>
      </c>
      <c r="V1403" s="3">
        <v>0</v>
      </c>
      <c r="W1403" s="3">
        <f t="shared" si="219"/>
        <v>0</v>
      </c>
      <c r="AA1403" s="3">
        <v>40</v>
      </c>
    </row>
    <row r="1404" spans="1:27" x14ac:dyDescent="0.3">
      <c r="A1404" s="3" t="str">
        <f t="shared" si="210"/>
        <v>East9330209901840</v>
      </c>
      <c r="B1404" s="3" t="str">
        <f t="shared" si="211"/>
        <v>KGP9330209901840</v>
      </c>
      <c r="C1404" s="10">
        <v>9330209901840</v>
      </c>
      <c r="D1404" s="10" t="str">
        <f t="shared" si="212"/>
        <v>9330209901</v>
      </c>
      <c r="E1404" s="3" t="s">
        <v>6</v>
      </c>
      <c r="F1404" s="3" t="s">
        <v>66</v>
      </c>
      <c r="H1404" s="3">
        <v>5.2760000000000007</v>
      </c>
      <c r="I1404" s="10">
        <f t="shared" si="213"/>
        <v>14.912684063073423</v>
      </c>
      <c r="J1404" s="3">
        <v>10.613783496689956</v>
      </c>
      <c r="K1404" s="3">
        <v>20</v>
      </c>
      <c r="L1404" s="3">
        <f t="shared" si="214"/>
        <v>0</v>
      </c>
      <c r="N1404" s="11">
        <f t="shared" si="215"/>
        <v>-5.3377834966899558</v>
      </c>
      <c r="O1404" s="3">
        <v>10.613783496689956</v>
      </c>
      <c r="P1404" s="11">
        <f t="shared" si="216"/>
        <v>-15.087315936926577</v>
      </c>
      <c r="Q1404" s="12">
        <f t="shared" si="217"/>
        <v>-15.087315936926577</v>
      </c>
      <c r="R1404" s="13">
        <f t="shared" si="218"/>
        <v>-2.4217967524396196</v>
      </c>
      <c r="S1404" s="3" t="s">
        <v>30</v>
      </c>
      <c r="T1404" s="3" t="s">
        <v>35</v>
      </c>
      <c r="U1404" s="10">
        <v>0</v>
      </c>
      <c r="V1404" s="3">
        <v>0</v>
      </c>
      <c r="W1404" s="3">
        <f t="shared" si="219"/>
        <v>0</v>
      </c>
      <c r="AA1404" s="3">
        <v>40</v>
      </c>
    </row>
    <row r="1405" spans="1:27" x14ac:dyDescent="0.3">
      <c r="A1405" s="3" t="str">
        <f t="shared" si="210"/>
        <v>East9160309901320</v>
      </c>
      <c r="B1405" s="3" t="str">
        <f t="shared" si="211"/>
        <v>KGP9160309901320</v>
      </c>
      <c r="C1405" s="10">
        <v>9160309901320</v>
      </c>
      <c r="D1405" s="10" t="str">
        <f t="shared" si="212"/>
        <v>9160309901</v>
      </c>
      <c r="E1405" s="3" t="s">
        <v>6</v>
      </c>
      <c r="F1405" s="3" t="s">
        <v>66</v>
      </c>
      <c r="H1405" s="3">
        <v>40.72</v>
      </c>
      <c r="I1405" s="10">
        <f t="shared" si="213"/>
        <v>126.34034907484769</v>
      </c>
      <c r="J1405" s="3">
        <v>9.6691200312917349</v>
      </c>
      <c r="K1405" s="3">
        <v>0</v>
      </c>
      <c r="L1405" s="3">
        <f t="shared" si="214"/>
        <v>0</v>
      </c>
      <c r="N1405" s="11">
        <f t="shared" si="215"/>
        <v>31.050879968708266</v>
      </c>
      <c r="O1405" s="3">
        <v>9.6691200312917349</v>
      </c>
      <c r="P1405" s="11">
        <f t="shared" si="216"/>
        <v>96.340349074847694</v>
      </c>
      <c r="Q1405" s="12">
        <f t="shared" si="217"/>
        <v>96.340349074847694</v>
      </c>
      <c r="R1405" s="13">
        <f t="shared" si="218"/>
        <v>53.861568355379056</v>
      </c>
      <c r="S1405" s="3" t="s">
        <v>29</v>
      </c>
      <c r="T1405" s="3" t="s">
        <v>34</v>
      </c>
      <c r="U1405" s="10">
        <v>0</v>
      </c>
      <c r="V1405" s="3">
        <v>0</v>
      </c>
      <c r="W1405" s="3">
        <f t="shared" si="219"/>
        <v>0</v>
      </c>
      <c r="AA1405" s="3">
        <v>40</v>
      </c>
    </row>
    <row r="1406" spans="1:27" x14ac:dyDescent="0.3">
      <c r="A1406" s="3" t="str">
        <f t="shared" si="210"/>
        <v>East9310019900320</v>
      </c>
      <c r="B1406" s="3" t="str">
        <f t="shared" si="211"/>
        <v>KGP9310019900320</v>
      </c>
      <c r="C1406" s="10">
        <v>9310019900320</v>
      </c>
      <c r="D1406" s="10" t="str">
        <f t="shared" si="212"/>
        <v>9310019900</v>
      </c>
      <c r="E1406" s="3" t="s">
        <v>6</v>
      </c>
      <c r="F1406" s="3" t="s">
        <v>66</v>
      </c>
      <c r="H1406" s="3">
        <v>12.839999999999998</v>
      </c>
      <c r="I1406" s="10">
        <f t="shared" si="213"/>
        <v>69.185701542904283</v>
      </c>
      <c r="J1406" s="3">
        <v>5.5676243994017325</v>
      </c>
      <c r="K1406" s="3">
        <v>0</v>
      </c>
      <c r="L1406" s="3">
        <f t="shared" si="214"/>
        <v>0</v>
      </c>
      <c r="N1406" s="11">
        <f t="shared" si="215"/>
        <v>7.2723756005982656</v>
      </c>
      <c r="O1406" s="3">
        <v>5.5676243994017325</v>
      </c>
      <c r="P1406" s="11">
        <f t="shared" si="216"/>
        <v>39.185701542904276</v>
      </c>
      <c r="Q1406" s="12">
        <f t="shared" si="217"/>
        <v>39.185701542904276</v>
      </c>
      <c r="R1406" s="13">
        <f t="shared" si="218"/>
        <v>58.026355506911308</v>
      </c>
      <c r="S1406" s="3" t="s">
        <v>29</v>
      </c>
      <c r="T1406" s="3" t="s">
        <v>32</v>
      </c>
      <c r="U1406" s="10">
        <v>9310019900999</v>
      </c>
      <c r="V1406" s="3">
        <v>0.1</v>
      </c>
      <c r="W1406" s="3">
        <f t="shared" si="219"/>
        <v>0</v>
      </c>
      <c r="AA1406" s="3">
        <v>40</v>
      </c>
    </row>
    <row r="1407" spans="1:27" x14ac:dyDescent="0.3">
      <c r="A1407" s="3" t="str">
        <f t="shared" si="210"/>
        <v>East9330209901210</v>
      </c>
      <c r="B1407" s="3" t="str">
        <f t="shared" si="211"/>
        <v>KGP9330209901210</v>
      </c>
      <c r="C1407" s="10">
        <v>9330209901210</v>
      </c>
      <c r="D1407" s="10" t="str">
        <f t="shared" si="212"/>
        <v>9330209901</v>
      </c>
      <c r="E1407" s="3" t="s">
        <v>6</v>
      </c>
      <c r="F1407" s="3" t="s">
        <v>66</v>
      </c>
      <c r="H1407" s="3">
        <v>5.3059999999999983</v>
      </c>
      <c r="I1407" s="10">
        <f t="shared" si="213"/>
        <v>29.622972128701232</v>
      </c>
      <c r="J1407" s="3">
        <v>5.3735323825178547</v>
      </c>
      <c r="K1407" s="3">
        <v>20</v>
      </c>
      <c r="L1407" s="3">
        <f t="shared" si="214"/>
        <v>0</v>
      </c>
      <c r="N1407" s="11">
        <f t="shared" si="215"/>
        <v>-6.7532382517856426E-2</v>
      </c>
      <c r="O1407" s="3">
        <v>5.3735323825178547</v>
      </c>
      <c r="P1407" s="11">
        <f t="shared" si="216"/>
        <v>-0.37702787129876597</v>
      </c>
      <c r="Q1407" s="12">
        <f t="shared" si="217"/>
        <v>-0.37702787129876592</v>
      </c>
      <c r="R1407" s="13">
        <f t="shared" si="218"/>
        <v>19.010581716110313</v>
      </c>
      <c r="S1407" s="3" t="s">
        <v>30</v>
      </c>
      <c r="T1407" s="3" t="s">
        <v>35</v>
      </c>
      <c r="U1407" s="10">
        <v>0</v>
      </c>
      <c r="V1407" s="3">
        <v>0</v>
      </c>
      <c r="W1407" s="3">
        <f t="shared" si="219"/>
        <v>0</v>
      </c>
      <c r="AA1407" s="3">
        <v>40</v>
      </c>
    </row>
    <row r="1408" spans="1:27" x14ac:dyDescent="0.3">
      <c r="A1408" s="3" t="str">
        <f t="shared" si="210"/>
        <v>East9310099900320</v>
      </c>
      <c r="B1408" s="3" t="str">
        <f t="shared" si="211"/>
        <v>KGP9310099900320</v>
      </c>
      <c r="C1408" s="10">
        <v>9310099900320</v>
      </c>
      <c r="D1408" s="10" t="str">
        <f t="shared" si="212"/>
        <v>9310099900</v>
      </c>
      <c r="E1408" s="3" t="s">
        <v>6</v>
      </c>
      <c r="F1408" s="3" t="s">
        <v>66</v>
      </c>
      <c r="H1408" s="3">
        <v>0</v>
      </c>
      <c r="I1408" s="10">
        <f t="shared" si="213"/>
        <v>0</v>
      </c>
      <c r="J1408" s="3">
        <v>3.9071632950000015</v>
      </c>
      <c r="K1408" s="3">
        <v>0</v>
      </c>
      <c r="L1408" s="3">
        <f t="shared" si="214"/>
        <v>0</v>
      </c>
      <c r="N1408" s="11">
        <f t="shared" si="215"/>
        <v>-3.9071632950000015</v>
      </c>
      <c r="O1408" s="3">
        <v>3.9071632950000015</v>
      </c>
      <c r="P1408" s="11">
        <f t="shared" si="216"/>
        <v>-30</v>
      </c>
      <c r="Q1408" s="12">
        <f t="shared" si="217"/>
        <v>-30</v>
      </c>
      <c r="R1408" s="13">
        <f t="shared" si="218"/>
        <v>-30.000000000000004</v>
      </c>
      <c r="S1408" s="3">
        <v>0</v>
      </c>
      <c r="T1408" s="3" t="s">
        <v>32</v>
      </c>
      <c r="U1408" s="10">
        <v>9310099900999</v>
      </c>
      <c r="V1408" s="3">
        <v>0.1</v>
      </c>
      <c r="W1408" s="3">
        <f t="shared" si="219"/>
        <v>0</v>
      </c>
      <c r="AA1408" s="3">
        <v>40</v>
      </c>
    </row>
    <row r="1409" spans="1:27" x14ac:dyDescent="0.3">
      <c r="A1409" s="3" t="str">
        <f t="shared" si="210"/>
        <v>East9330219913210</v>
      </c>
      <c r="B1409" s="3" t="str">
        <f t="shared" si="211"/>
        <v>KGP9330219913210</v>
      </c>
      <c r="C1409" s="10">
        <v>9330219913210</v>
      </c>
      <c r="D1409" s="10" t="str">
        <f t="shared" si="212"/>
        <v>9330219913</v>
      </c>
      <c r="E1409" s="3" t="s">
        <v>6</v>
      </c>
      <c r="F1409" s="3" t="s">
        <v>66</v>
      </c>
      <c r="H1409" s="3">
        <v>3.2099999999999986</v>
      </c>
      <c r="I1409" s="10">
        <f t="shared" si="213"/>
        <v>25.705186332901611</v>
      </c>
      <c r="J1409" s="3">
        <v>3.746325692910454</v>
      </c>
      <c r="K1409" s="3">
        <v>12</v>
      </c>
      <c r="L1409" s="3">
        <f t="shared" si="214"/>
        <v>0</v>
      </c>
      <c r="N1409" s="11">
        <f t="shared" si="215"/>
        <v>-0.5363256929104554</v>
      </c>
      <c r="O1409" s="3">
        <v>3.746325692910454</v>
      </c>
      <c r="P1409" s="11">
        <f t="shared" si="216"/>
        <v>-4.2948136670983894</v>
      </c>
      <c r="Q1409" s="12">
        <f t="shared" si="217"/>
        <v>-4.2948136670983894</v>
      </c>
      <c r="R1409" s="13">
        <f t="shared" si="218"/>
        <v>24.081536979765296</v>
      </c>
      <c r="S1409" s="3" t="s">
        <v>30</v>
      </c>
      <c r="T1409" s="3" t="s">
        <v>35</v>
      </c>
      <c r="U1409" s="10">
        <v>0</v>
      </c>
      <c r="V1409" s="3">
        <v>0</v>
      </c>
      <c r="W1409" s="3">
        <f t="shared" si="219"/>
        <v>0</v>
      </c>
      <c r="AA1409" s="3">
        <v>40</v>
      </c>
    </row>
    <row r="1410" spans="1:27" x14ac:dyDescent="0.3">
      <c r="A1410" s="3" t="str">
        <f t="shared" si="210"/>
        <v>East9310019900310</v>
      </c>
      <c r="B1410" s="3" t="str">
        <f t="shared" si="211"/>
        <v>KGP9310019900310</v>
      </c>
      <c r="C1410" s="10">
        <v>9310019900310</v>
      </c>
      <c r="D1410" s="10" t="str">
        <f t="shared" si="212"/>
        <v>9310019900</v>
      </c>
      <c r="E1410" s="3" t="s">
        <v>6</v>
      </c>
      <c r="F1410" s="3" t="s">
        <v>66</v>
      </c>
      <c r="H1410" s="3">
        <v>2.9399999999999986</v>
      </c>
      <c r="I1410" s="10">
        <f t="shared" si="213"/>
        <v>67.799079050332239</v>
      </c>
      <c r="J1410" s="3">
        <v>1.3009026263398447</v>
      </c>
      <c r="K1410" s="3">
        <v>0</v>
      </c>
      <c r="L1410" s="3">
        <f t="shared" si="214"/>
        <v>0</v>
      </c>
      <c r="N1410" s="11">
        <f t="shared" si="215"/>
        <v>1.639097373660154</v>
      </c>
      <c r="O1410" s="3">
        <v>1.3009026263398447</v>
      </c>
      <c r="P1410" s="11">
        <f t="shared" si="216"/>
        <v>37.799079050332246</v>
      </c>
      <c r="Q1410" s="12">
        <f t="shared" si="217"/>
        <v>37.799079050332246</v>
      </c>
      <c r="R1410" s="13">
        <f t="shared" si="218"/>
        <v>95.847265885842234</v>
      </c>
      <c r="S1410" s="3" t="s">
        <v>30</v>
      </c>
      <c r="T1410" s="3" t="s">
        <v>32</v>
      </c>
      <c r="U1410" s="10">
        <v>9310019900999</v>
      </c>
      <c r="V1410" s="3">
        <v>0.1</v>
      </c>
      <c r="W1410" s="3">
        <f t="shared" si="219"/>
        <v>0</v>
      </c>
      <c r="AA1410" s="3">
        <v>40</v>
      </c>
    </row>
    <row r="1411" spans="1:27" x14ac:dyDescent="0.3">
      <c r="A1411" s="3" t="str">
        <f t="shared" si="210"/>
        <v>East9310099900310</v>
      </c>
      <c r="B1411" s="3" t="str">
        <f t="shared" si="211"/>
        <v>KGP9310099900310</v>
      </c>
      <c r="C1411" s="10">
        <v>9310099900310</v>
      </c>
      <c r="D1411" s="10" t="str">
        <f t="shared" si="212"/>
        <v>9310099900</v>
      </c>
      <c r="E1411" s="3" t="s">
        <v>6</v>
      </c>
      <c r="F1411" s="3" t="s">
        <v>66</v>
      </c>
      <c r="H1411" s="3">
        <v>0</v>
      </c>
      <c r="I1411" s="10">
        <f t="shared" si="213"/>
        <v>0</v>
      </c>
      <c r="J1411" s="3">
        <v>1.0098223975000002</v>
      </c>
      <c r="K1411" s="3">
        <v>0</v>
      </c>
      <c r="L1411" s="3">
        <f t="shared" si="214"/>
        <v>0</v>
      </c>
      <c r="N1411" s="11">
        <f t="shared" si="215"/>
        <v>-1.0098223975000002</v>
      </c>
      <c r="O1411" s="3">
        <v>1.0098223975000002</v>
      </c>
      <c r="P1411" s="11">
        <f t="shared" si="216"/>
        <v>-30</v>
      </c>
      <c r="Q1411" s="12">
        <f t="shared" si="217"/>
        <v>-30</v>
      </c>
      <c r="R1411" s="13">
        <f t="shared" si="218"/>
        <v>-30</v>
      </c>
      <c r="S1411" s="3">
        <v>0</v>
      </c>
      <c r="T1411" s="3" t="s">
        <v>32</v>
      </c>
      <c r="U1411" s="10">
        <v>9310099900999</v>
      </c>
      <c r="V1411" s="3">
        <v>0.1</v>
      </c>
      <c r="W1411" s="3">
        <f t="shared" si="219"/>
        <v>0</v>
      </c>
      <c r="AA1411" s="3">
        <v>40</v>
      </c>
    </row>
    <row r="1412" spans="1:27" x14ac:dyDescent="0.3">
      <c r="A1412" s="3" t="str">
        <f t="shared" ref="A1412:A1475" si="220">_xlfn.CONCAT(F1412,C1412)</f>
        <v>East9310019900840</v>
      </c>
      <c r="B1412" s="3" t="str">
        <f t="shared" ref="B1412:B1475" si="221">_xlfn.CONCAT(E1412,C1412)</f>
        <v>KGP9310019900840</v>
      </c>
      <c r="C1412" s="10">
        <v>9310019900840</v>
      </c>
      <c r="D1412" s="10" t="str">
        <f t="shared" ref="D1412:D1475" si="222">LEFT(C1412,10)</f>
        <v>9310019900</v>
      </c>
      <c r="E1412" s="3" t="s">
        <v>6</v>
      </c>
      <c r="F1412" s="3" t="s">
        <v>66</v>
      </c>
      <c r="H1412" s="3">
        <v>1.6920000000000006</v>
      </c>
      <c r="I1412" s="10">
        <f t="shared" ref="I1412:I1475" si="223">IFERROR(H1412/J1412*30,0)</f>
        <v>86.206120320552458</v>
      </c>
      <c r="J1412" s="3">
        <v>0.58882130191280968</v>
      </c>
      <c r="K1412" s="3">
        <v>0</v>
      </c>
      <c r="L1412" s="3">
        <f t="shared" ref="L1412:L1475" si="224">M1412*G1412</f>
        <v>0</v>
      </c>
      <c r="N1412" s="11">
        <f t="shared" ref="N1412:N1475" si="225">H1412-J1412+L1412</f>
        <v>1.1031786980871909</v>
      </c>
      <c r="O1412" s="3">
        <v>0.58882130191280968</v>
      </c>
      <c r="P1412" s="11">
        <f t="shared" ref="P1412:P1475" si="226">IF(O1412=0,9999,N1412/O1412*30)</f>
        <v>56.206120320552458</v>
      </c>
      <c r="Q1412" s="12">
        <f t="shared" ref="Q1412:Q1475" si="227">IF(SUMIF($A:$A,$A1412,$O:$O)=0,9999,SUMIF($A:$A,$A1412,$N:$N)*30/SUMIF($A:$A,$A1412,$O:$O))</f>
        <v>56.206120320552458</v>
      </c>
      <c r="R1412" s="13">
        <f t="shared" ref="R1412:R1475" si="228">IF(SUMIF($C:$C,$C1412,$O:$O)=0,9999,SUMIF($C:$C,$C1412,$N:$N)*30/SUMIF($C:$C,$C1412,$O:$O))</f>
        <v>82.350057663911571</v>
      </c>
      <c r="S1412" s="3" t="s">
        <v>31</v>
      </c>
      <c r="T1412" s="3" t="s">
        <v>32</v>
      </c>
      <c r="U1412" s="10">
        <v>0</v>
      </c>
      <c r="V1412" s="3">
        <v>0</v>
      </c>
      <c r="W1412" s="3">
        <f t="shared" ref="W1412:W1475" si="229">IFERROR(K1412*V1412,0)</f>
        <v>0</v>
      </c>
      <c r="AA1412" s="3">
        <v>40</v>
      </c>
    </row>
    <row r="1413" spans="1:27" x14ac:dyDescent="0.3">
      <c r="A1413" s="3" t="str">
        <f t="shared" si="220"/>
        <v>East9310099900840</v>
      </c>
      <c r="B1413" s="3" t="str">
        <f t="shared" si="221"/>
        <v>KGP9310099900840</v>
      </c>
      <c r="C1413" s="10">
        <v>9310099900840</v>
      </c>
      <c r="D1413" s="10" t="str">
        <f t="shared" si="222"/>
        <v>9310099900</v>
      </c>
      <c r="E1413" s="3" t="s">
        <v>6</v>
      </c>
      <c r="F1413" s="3" t="s">
        <v>66</v>
      </c>
      <c r="H1413" s="3">
        <v>0</v>
      </c>
      <c r="I1413" s="10">
        <f t="shared" si="223"/>
        <v>0</v>
      </c>
      <c r="J1413" s="3">
        <v>0.54360532800000005</v>
      </c>
      <c r="K1413" s="3">
        <v>0</v>
      </c>
      <c r="L1413" s="3">
        <f t="shared" si="224"/>
        <v>0</v>
      </c>
      <c r="N1413" s="11">
        <f t="shared" si="225"/>
        <v>-0.54360532800000005</v>
      </c>
      <c r="O1413" s="3">
        <v>0.54360532800000005</v>
      </c>
      <c r="P1413" s="11">
        <f t="shared" si="226"/>
        <v>-30</v>
      </c>
      <c r="Q1413" s="12">
        <f t="shared" si="227"/>
        <v>-30</v>
      </c>
      <c r="R1413" s="13">
        <f t="shared" si="228"/>
        <v>-30</v>
      </c>
      <c r="S1413" s="3">
        <v>0</v>
      </c>
      <c r="T1413" s="3" t="s">
        <v>32</v>
      </c>
      <c r="U1413" s="10">
        <v>0</v>
      </c>
      <c r="V1413" s="3">
        <v>0</v>
      </c>
      <c r="W1413" s="3">
        <f t="shared" si="229"/>
        <v>0</v>
      </c>
      <c r="AA1413" s="3">
        <v>40</v>
      </c>
    </row>
    <row r="1414" spans="1:27" x14ac:dyDescent="0.3">
      <c r="A1414" s="3" t="str">
        <f t="shared" si="220"/>
        <v>East9310019900210</v>
      </c>
      <c r="B1414" s="3" t="str">
        <f t="shared" si="221"/>
        <v>KGP9310019900210</v>
      </c>
      <c r="C1414" s="10">
        <v>9310019900210</v>
      </c>
      <c r="D1414" s="10" t="str">
        <f t="shared" si="222"/>
        <v>9310019900</v>
      </c>
      <c r="E1414" s="3" t="s">
        <v>6</v>
      </c>
      <c r="F1414" s="3" t="s">
        <v>66</v>
      </c>
      <c r="H1414" s="3">
        <v>1.325</v>
      </c>
      <c r="I1414" s="10">
        <f t="shared" si="223"/>
        <v>276.35022304422097</v>
      </c>
      <c r="J1414" s="3">
        <v>0.14383921808392855</v>
      </c>
      <c r="K1414" s="3">
        <v>0</v>
      </c>
      <c r="L1414" s="3">
        <f t="shared" si="224"/>
        <v>0</v>
      </c>
      <c r="N1414" s="11">
        <f t="shared" si="225"/>
        <v>1.1811607819160714</v>
      </c>
      <c r="O1414" s="3">
        <v>0.14383921808392855</v>
      </c>
      <c r="P1414" s="11">
        <f t="shared" si="226"/>
        <v>246.350223044221</v>
      </c>
      <c r="Q1414" s="12">
        <f t="shared" si="227"/>
        <v>246.350223044221</v>
      </c>
      <c r="R1414" s="13">
        <f t="shared" si="228"/>
        <v>154.09203418238798</v>
      </c>
      <c r="S1414" s="3" t="s">
        <v>31</v>
      </c>
      <c r="T1414" s="3" t="s">
        <v>32</v>
      </c>
      <c r="U1414" s="10">
        <v>0</v>
      </c>
      <c r="V1414" s="3">
        <v>0</v>
      </c>
      <c r="W1414" s="3">
        <f t="shared" si="229"/>
        <v>0</v>
      </c>
      <c r="AA1414" s="3">
        <v>40</v>
      </c>
    </row>
    <row r="1415" spans="1:27" x14ac:dyDescent="0.3">
      <c r="A1415" s="3" t="str">
        <f t="shared" si="220"/>
        <v>East9160309901210</v>
      </c>
      <c r="B1415" s="3" t="str">
        <f t="shared" si="221"/>
        <v>KGP9160309901210</v>
      </c>
      <c r="C1415" s="10">
        <v>9160309901210</v>
      </c>
      <c r="D1415" s="10" t="str">
        <f t="shared" si="222"/>
        <v>9160309901</v>
      </c>
      <c r="E1415" s="3" t="s">
        <v>6</v>
      </c>
      <c r="F1415" s="3" t="s">
        <v>66</v>
      </c>
      <c r="H1415" s="3">
        <v>4.7789999999999999</v>
      </c>
      <c r="I1415" s="10">
        <f t="shared" si="223"/>
        <v>0</v>
      </c>
      <c r="J1415" s="3">
        <v>0</v>
      </c>
      <c r="K1415" s="3">
        <v>0</v>
      </c>
      <c r="L1415" s="3">
        <f t="shared" si="224"/>
        <v>0</v>
      </c>
      <c r="N1415" s="11">
        <f t="shared" si="225"/>
        <v>4.7789999999999999</v>
      </c>
      <c r="O1415" s="3">
        <v>0</v>
      </c>
      <c r="P1415" s="11">
        <f t="shared" si="226"/>
        <v>9999</v>
      </c>
      <c r="Q1415" s="12">
        <f t="shared" si="227"/>
        <v>9999</v>
      </c>
      <c r="R1415" s="13">
        <f t="shared" si="228"/>
        <v>9999</v>
      </c>
      <c r="S1415" s="3" t="s">
        <v>31</v>
      </c>
      <c r="T1415" s="3" t="s">
        <v>34</v>
      </c>
      <c r="U1415" s="10">
        <v>0</v>
      </c>
      <c r="V1415" s="3">
        <v>0</v>
      </c>
      <c r="W1415" s="3">
        <f t="shared" si="229"/>
        <v>0</v>
      </c>
      <c r="AA1415" s="3">
        <v>40</v>
      </c>
    </row>
    <row r="1416" spans="1:27" x14ac:dyDescent="0.3">
      <c r="A1416" s="3" t="str">
        <f t="shared" si="220"/>
        <v>North9160709900320</v>
      </c>
      <c r="B1416" s="3" t="str">
        <f t="shared" si="221"/>
        <v>Pan9160709900320</v>
      </c>
      <c r="C1416" s="10">
        <v>9160709900320</v>
      </c>
      <c r="D1416" s="10" t="str">
        <f t="shared" si="222"/>
        <v>9160709900</v>
      </c>
      <c r="E1416" s="3" t="s">
        <v>2</v>
      </c>
      <c r="F1416" s="3" t="s">
        <v>64</v>
      </c>
      <c r="H1416" s="3">
        <v>13.219999999999999</v>
      </c>
      <c r="I1416" s="10">
        <f t="shared" si="223"/>
        <v>130.44291902554889</v>
      </c>
      <c r="J1416" s="3">
        <v>3.0404103416477581</v>
      </c>
      <c r="K1416" s="3">
        <v>0</v>
      </c>
      <c r="L1416" s="3">
        <f t="shared" si="224"/>
        <v>0</v>
      </c>
      <c r="N1416" s="11">
        <f t="shared" si="225"/>
        <v>10.17958965835224</v>
      </c>
      <c r="O1416" s="3">
        <v>3.0404103416477581</v>
      </c>
      <c r="P1416" s="11">
        <f t="shared" si="226"/>
        <v>100.44291902554889</v>
      </c>
      <c r="Q1416" s="12">
        <f t="shared" si="227"/>
        <v>64.543780731135854</v>
      </c>
      <c r="R1416" s="13">
        <f t="shared" si="228"/>
        <v>51.472592089112787</v>
      </c>
      <c r="S1416" s="3" t="s">
        <v>30</v>
      </c>
      <c r="T1416" s="3" t="s">
        <v>34</v>
      </c>
      <c r="U1416" s="10">
        <v>0</v>
      </c>
      <c r="V1416" s="3">
        <v>0</v>
      </c>
      <c r="W1416" s="3">
        <f t="shared" si="229"/>
        <v>0</v>
      </c>
      <c r="AA1416" s="3">
        <v>41</v>
      </c>
    </row>
    <row r="1417" spans="1:27" x14ac:dyDescent="0.3">
      <c r="A1417" s="3" t="str">
        <f t="shared" si="220"/>
        <v>North9160709900210</v>
      </c>
      <c r="B1417" s="3" t="str">
        <f t="shared" si="221"/>
        <v>Pan9160709900210</v>
      </c>
      <c r="C1417" s="10">
        <v>9160709900210</v>
      </c>
      <c r="D1417" s="10" t="str">
        <f t="shared" si="222"/>
        <v>9160709900</v>
      </c>
      <c r="E1417" s="3" t="s">
        <v>2</v>
      </c>
      <c r="F1417" s="3" t="s">
        <v>64</v>
      </c>
      <c r="H1417" s="3">
        <v>0</v>
      </c>
      <c r="I1417" s="10">
        <f t="shared" si="223"/>
        <v>0</v>
      </c>
      <c r="J1417" s="3">
        <v>0</v>
      </c>
      <c r="K1417" s="3">
        <v>0</v>
      </c>
      <c r="L1417" s="3">
        <f t="shared" si="224"/>
        <v>0</v>
      </c>
      <c r="N1417" s="11">
        <f t="shared" si="225"/>
        <v>0</v>
      </c>
      <c r="O1417" s="3">
        <v>0</v>
      </c>
      <c r="P1417" s="11">
        <f t="shared" si="226"/>
        <v>9999</v>
      </c>
      <c r="Q1417" s="12">
        <f t="shared" si="227"/>
        <v>9999</v>
      </c>
      <c r="R1417" s="13">
        <f t="shared" si="228"/>
        <v>9999</v>
      </c>
      <c r="S1417" s="3" t="s">
        <v>31</v>
      </c>
      <c r="T1417" s="3" t="s">
        <v>34</v>
      </c>
      <c r="U1417" s="10" t="s">
        <v>72</v>
      </c>
      <c r="V1417" s="3" t="s">
        <v>72</v>
      </c>
      <c r="W1417" s="3">
        <f t="shared" si="229"/>
        <v>0</v>
      </c>
      <c r="AA1417" s="3">
        <v>41</v>
      </c>
    </row>
    <row r="1418" spans="1:27" x14ac:dyDescent="0.3">
      <c r="A1418" s="3" t="str">
        <f t="shared" si="220"/>
        <v>North9310019900320</v>
      </c>
      <c r="B1418" s="3" t="str">
        <f t="shared" si="221"/>
        <v>Lud9310019900320</v>
      </c>
      <c r="C1418" s="10">
        <v>9310019900320</v>
      </c>
      <c r="D1418" s="10" t="str">
        <f t="shared" si="222"/>
        <v>9310019900</v>
      </c>
      <c r="E1418" s="3" t="s">
        <v>3</v>
      </c>
      <c r="F1418" s="3" t="s">
        <v>64</v>
      </c>
      <c r="H1418" s="3">
        <v>35.160000000000004</v>
      </c>
      <c r="I1418" s="10">
        <f t="shared" si="223"/>
        <v>131.85194215398815</v>
      </c>
      <c r="J1418" s="3">
        <v>7.9998821615241216</v>
      </c>
      <c r="K1418" s="3">
        <v>0</v>
      </c>
      <c r="L1418" s="3">
        <f t="shared" si="224"/>
        <v>0</v>
      </c>
      <c r="N1418" s="11">
        <f t="shared" si="225"/>
        <v>27.160117838475884</v>
      </c>
      <c r="O1418" s="3">
        <v>7.9998821615241216</v>
      </c>
      <c r="P1418" s="11">
        <f t="shared" si="226"/>
        <v>101.85194215398815</v>
      </c>
      <c r="Q1418" s="12">
        <f t="shared" si="227"/>
        <v>38.108702280162824</v>
      </c>
      <c r="R1418" s="13">
        <f t="shared" si="228"/>
        <v>58.026355506911308</v>
      </c>
      <c r="S1418" s="3" t="s">
        <v>29</v>
      </c>
      <c r="T1418" s="3" t="s">
        <v>32</v>
      </c>
      <c r="U1418" s="10">
        <v>9310019900999</v>
      </c>
      <c r="V1418" s="3">
        <v>0.1</v>
      </c>
      <c r="W1418" s="3">
        <f t="shared" si="229"/>
        <v>0</v>
      </c>
      <c r="AA1418" s="3">
        <v>41</v>
      </c>
    </row>
    <row r="1419" spans="1:27" x14ac:dyDescent="0.3">
      <c r="A1419" s="3" t="str">
        <f t="shared" si="220"/>
        <v>North9310099900320</v>
      </c>
      <c r="B1419" s="3" t="str">
        <f t="shared" si="221"/>
        <v>Lud9310099900320</v>
      </c>
      <c r="C1419" s="10">
        <v>9310099900320</v>
      </c>
      <c r="D1419" s="10" t="str">
        <f t="shared" si="222"/>
        <v>9310099900</v>
      </c>
      <c r="E1419" s="3" t="s">
        <v>3</v>
      </c>
      <c r="F1419" s="3" t="s">
        <v>64</v>
      </c>
      <c r="H1419" s="3">
        <v>0</v>
      </c>
      <c r="I1419" s="10">
        <f t="shared" si="223"/>
        <v>0</v>
      </c>
      <c r="J1419" s="3">
        <v>5.5304292050000017</v>
      </c>
      <c r="K1419" s="3">
        <v>0</v>
      </c>
      <c r="L1419" s="3">
        <f t="shared" si="224"/>
        <v>0</v>
      </c>
      <c r="N1419" s="11">
        <f t="shared" si="225"/>
        <v>-5.5304292050000017</v>
      </c>
      <c r="O1419" s="3">
        <v>5.5304292050000017</v>
      </c>
      <c r="P1419" s="11">
        <f t="shared" si="226"/>
        <v>-30</v>
      </c>
      <c r="Q1419" s="12">
        <f t="shared" si="227"/>
        <v>-29.999999999999996</v>
      </c>
      <c r="R1419" s="13">
        <f t="shared" si="228"/>
        <v>-30.000000000000004</v>
      </c>
      <c r="S1419" s="3">
        <v>0</v>
      </c>
      <c r="T1419" s="3" t="s">
        <v>32</v>
      </c>
      <c r="U1419" s="10">
        <v>9310099900999</v>
      </c>
      <c r="V1419" s="3">
        <v>0.1</v>
      </c>
      <c r="W1419" s="3">
        <f t="shared" si="229"/>
        <v>0</v>
      </c>
      <c r="AA1419" s="3">
        <v>41</v>
      </c>
    </row>
    <row r="1420" spans="1:27" x14ac:dyDescent="0.3">
      <c r="A1420" s="3" t="str">
        <f t="shared" si="220"/>
        <v>North9160709900320</v>
      </c>
      <c r="B1420" s="3" t="str">
        <f t="shared" si="221"/>
        <v>Lud9160709900320</v>
      </c>
      <c r="C1420" s="10">
        <v>9160709900320</v>
      </c>
      <c r="D1420" s="10" t="str">
        <f t="shared" si="222"/>
        <v>9160709900</v>
      </c>
      <c r="E1420" s="3" t="s">
        <v>3</v>
      </c>
      <c r="F1420" s="3" t="s">
        <v>64</v>
      </c>
      <c r="H1420" s="3">
        <v>7.4</v>
      </c>
      <c r="I1420" s="10">
        <f t="shared" si="223"/>
        <v>63.381667007646612</v>
      </c>
      <c r="J1420" s="3">
        <v>3.5025901097428855</v>
      </c>
      <c r="K1420" s="3">
        <v>0</v>
      </c>
      <c r="L1420" s="3">
        <f t="shared" si="224"/>
        <v>0</v>
      </c>
      <c r="N1420" s="11">
        <f t="shared" si="225"/>
        <v>3.8974098902571148</v>
      </c>
      <c r="O1420" s="3">
        <v>3.5025901097428855</v>
      </c>
      <c r="P1420" s="11">
        <f t="shared" si="226"/>
        <v>33.38166700764662</v>
      </c>
      <c r="Q1420" s="12">
        <f t="shared" si="227"/>
        <v>64.543780731135854</v>
      </c>
      <c r="R1420" s="13">
        <f t="shared" si="228"/>
        <v>51.472592089112787</v>
      </c>
      <c r="S1420" s="3" t="s">
        <v>30</v>
      </c>
      <c r="T1420" s="3" t="s">
        <v>34</v>
      </c>
      <c r="U1420" s="10">
        <v>0</v>
      </c>
      <c r="V1420" s="3">
        <v>0</v>
      </c>
      <c r="W1420" s="3">
        <f t="shared" si="229"/>
        <v>0</v>
      </c>
      <c r="AA1420" s="3">
        <v>41</v>
      </c>
    </row>
    <row r="1421" spans="1:27" x14ac:dyDescent="0.3">
      <c r="A1421" s="3" t="str">
        <f t="shared" si="220"/>
        <v>North9310019900310</v>
      </c>
      <c r="B1421" s="3" t="str">
        <f t="shared" si="221"/>
        <v>Lud9310019900310</v>
      </c>
      <c r="C1421" s="10">
        <v>9310019900310</v>
      </c>
      <c r="D1421" s="10" t="str">
        <f t="shared" si="222"/>
        <v>9310019900</v>
      </c>
      <c r="E1421" s="3" t="s">
        <v>3</v>
      </c>
      <c r="F1421" s="3" t="s">
        <v>64</v>
      </c>
      <c r="H1421" s="3">
        <v>12.129999999999999</v>
      </c>
      <c r="I1421" s="10">
        <f t="shared" si="223"/>
        <v>403.3766237342461</v>
      </c>
      <c r="J1421" s="3">
        <v>0.90213457743586489</v>
      </c>
      <c r="K1421" s="3">
        <v>0</v>
      </c>
      <c r="L1421" s="3">
        <f t="shared" si="224"/>
        <v>0</v>
      </c>
      <c r="N1421" s="11">
        <f t="shared" si="225"/>
        <v>11.227865422564134</v>
      </c>
      <c r="O1421" s="3">
        <v>0.90213457743586489</v>
      </c>
      <c r="P1421" s="11">
        <f t="shared" si="226"/>
        <v>373.3766237342461</v>
      </c>
      <c r="Q1421" s="12">
        <f t="shared" si="227"/>
        <v>167.05613445125715</v>
      </c>
      <c r="R1421" s="13">
        <f t="shared" si="228"/>
        <v>95.847265885842234</v>
      </c>
      <c r="S1421" s="3" t="s">
        <v>30</v>
      </c>
      <c r="T1421" s="3" t="s">
        <v>32</v>
      </c>
      <c r="U1421" s="10">
        <v>9310019900999</v>
      </c>
      <c r="V1421" s="3">
        <v>0.1</v>
      </c>
      <c r="W1421" s="3">
        <f t="shared" si="229"/>
        <v>0</v>
      </c>
      <c r="AA1421" s="3">
        <v>41</v>
      </c>
    </row>
    <row r="1422" spans="1:27" x14ac:dyDescent="0.3">
      <c r="A1422" s="3" t="str">
        <f t="shared" si="220"/>
        <v>North9310099900310</v>
      </c>
      <c r="B1422" s="3" t="str">
        <f t="shared" si="221"/>
        <v>Lud9310099900310</v>
      </c>
      <c r="C1422" s="10">
        <v>9310099900310</v>
      </c>
      <c r="D1422" s="10" t="str">
        <f t="shared" si="222"/>
        <v>9310099900</v>
      </c>
      <c r="E1422" s="3" t="s">
        <v>3</v>
      </c>
      <c r="F1422" s="3" t="s">
        <v>64</v>
      </c>
      <c r="H1422" s="3">
        <v>0</v>
      </c>
      <c r="I1422" s="10">
        <f t="shared" si="223"/>
        <v>0</v>
      </c>
      <c r="J1422" s="3">
        <v>0.64175629000000012</v>
      </c>
      <c r="K1422" s="3">
        <v>0</v>
      </c>
      <c r="L1422" s="3">
        <f t="shared" si="224"/>
        <v>0</v>
      </c>
      <c r="N1422" s="11">
        <f t="shared" si="225"/>
        <v>-0.64175629000000012</v>
      </c>
      <c r="O1422" s="3">
        <v>0.64175629000000012</v>
      </c>
      <c r="P1422" s="11">
        <f t="shared" si="226"/>
        <v>-30</v>
      </c>
      <c r="Q1422" s="12">
        <f t="shared" si="227"/>
        <v>-30</v>
      </c>
      <c r="R1422" s="13">
        <f t="shared" si="228"/>
        <v>-30</v>
      </c>
      <c r="S1422" s="3">
        <v>0</v>
      </c>
      <c r="T1422" s="3" t="s">
        <v>32</v>
      </c>
      <c r="U1422" s="10">
        <v>9310099900999</v>
      </c>
      <c r="V1422" s="3">
        <v>0.1</v>
      </c>
      <c r="W1422" s="3">
        <f t="shared" si="229"/>
        <v>0</v>
      </c>
      <c r="AA1422" s="3">
        <v>41</v>
      </c>
    </row>
    <row r="1423" spans="1:27" x14ac:dyDescent="0.3">
      <c r="A1423" s="3" t="str">
        <f t="shared" si="220"/>
        <v>North9310099900840</v>
      </c>
      <c r="B1423" s="3" t="str">
        <f t="shared" si="221"/>
        <v>Lud9310099900840</v>
      </c>
      <c r="C1423" s="10">
        <v>9310099900840</v>
      </c>
      <c r="D1423" s="10" t="str">
        <f t="shared" si="222"/>
        <v>9310099900</v>
      </c>
      <c r="E1423" s="3" t="s">
        <v>3</v>
      </c>
      <c r="F1423" s="3" t="s">
        <v>64</v>
      </c>
      <c r="H1423" s="3">
        <v>0</v>
      </c>
      <c r="I1423" s="10">
        <f t="shared" si="223"/>
        <v>0</v>
      </c>
      <c r="J1423" s="3">
        <v>0.25670251600000005</v>
      </c>
      <c r="K1423" s="3">
        <v>0</v>
      </c>
      <c r="L1423" s="3">
        <f t="shared" si="224"/>
        <v>0</v>
      </c>
      <c r="N1423" s="11">
        <f t="shared" si="225"/>
        <v>-0.25670251600000005</v>
      </c>
      <c r="O1423" s="3">
        <v>0.25670251600000005</v>
      </c>
      <c r="P1423" s="11">
        <f t="shared" si="226"/>
        <v>-30</v>
      </c>
      <c r="Q1423" s="12">
        <f t="shared" si="227"/>
        <v>-30</v>
      </c>
      <c r="R1423" s="13">
        <f t="shared" si="228"/>
        <v>-30</v>
      </c>
      <c r="S1423" s="3">
        <v>0</v>
      </c>
      <c r="T1423" s="3" t="s">
        <v>32</v>
      </c>
      <c r="U1423" s="10">
        <v>0</v>
      </c>
      <c r="V1423" s="3">
        <v>0</v>
      </c>
      <c r="W1423" s="3">
        <f t="shared" si="229"/>
        <v>0</v>
      </c>
      <c r="AA1423" s="3">
        <v>41</v>
      </c>
    </row>
    <row r="1424" spans="1:27" x14ac:dyDescent="0.3">
      <c r="A1424" s="3" t="str">
        <f t="shared" si="220"/>
        <v>North9310019900840</v>
      </c>
      <c r="B1424" s="3" t="str">
        <f t="shared" si="221"/>
        <v>Lud9310019900840</v>
      </c>
      <c r="C1424" s="10">
        <v>9310019900840</v>
      </c>
      <c r="D1424" s="10" t="str">
        <f t="shared" si="222"/>
        <v>9310019900</v>
      </c>
      <c r="E1424" s="3" t="s">
        <v>3</v>
      </c>
      <c r="F1424" s="3" t="s">
        <v>64</v>
      </c>
      <c r="H1424" s="3">
        <v>0.47199999999999998</v>
      </c>
      <c r="I1424" s="10">
        <f t="shared" si="223"/>
        <v>58.229106323627434</v>
      </c>
      <c r="J1424" s="3">
        <v>0.24317735397313389</v>
      </c>
      <c r="K1424" s="3">
        <v>0</v>
      </c>
      <c r="L1424" s="3">
        <f t="shared" si="224"/>
        <v>0</v>
      </c>
      <c r="N1424" s="11">
        <f t="shared" si="225"/>
        <v>0.22882264602686608</v>
      </c>
      <c r="O1424" s="3">
        <v>0.24317735397313389</v>
      </c>
      <c r="P1424" s="11">
        <f t="shared" si="226"/>
        <v>28.229106323627441</v>
      </c>
      <c r="Q1424" s="12">
        <f t="shared" si="227"/>
        <v>28.565154469129912</v>
      </c>
      <c r="R1424" s="13">
        <f t="shared" si="228"/>
        <v>82.350057663911571</v>
      </c>
      <c r="S1424" s="3" t="s">
        <v>31</v>
      </c>
      <c r="T1424" s="3" t="s">
        <v>32</v>
      </c>
      <c r="U1424" s="10">
        <v>0</v>
      </c>
      <c r="V1424" s="3">
        <v>0</v>
      </c>
      <c r="W1424" s="3">
        <f t="shared" si="229"/>
        <v>0</v>
      </c>
      <c r="AA1424" s="3">
        <v>41</v>
      </c>
    </row>
    <row r="1425" spans="1:27" x14ac:dyDescent="0.3">
      <c r="A1425" s="3" t="str">
        <f t="shared" si="220"/>
        <v>North9310019900210</v>
      </c>
      <c r="B1425" s="3" t="str">
        <f t="shared" si="221"/>
        <v>Lud9310019900210</v>
      </c>
      <c r="C1425" s="10">
        <v>9310019900210</v>
      </c>
      <c r="D1425" s="10" t="str">
        <f t="shared" si="222"/>
        <v>9310019900</v>
      </c>
      <c r="E1425" s="3" t="s">
        <v>3</v>
      </c>
      <c r="F1425" s="3" t="s">
        <v>64</v>
      </c>
      <c r="H1425" s="3">
        <v>0.871</v>
      </c>
      <c r="I1425" s="10">
        <f t="shared" si="223"/>
        <v>961.1974702643688</v>
      </c>
      <c r="J1425" s="3">
        <v>2.7184840585164231E-2</v>
      </c>
      <c r="K1425" s="3">
        <v>0</v>
      </c>
      <c r="L1425" s="3">
        <f t="shared" si="224"/>
        <v>0</v>
      </c>
      <c r="N1425" s="11">
        <f t="shared" si="225"/>
        <v>0.84381515941483576</v>
      </c>
      <c r="O1425" s="3">
        <v>2.7184840585164231E-2</v>
      </c>
      <c r="P1425" s="11">
        <f t="shared" si="226"/>
        <v>931.19747026436869</v>
      </c>
      <c r="Q1425" s="12">
        <f t="shared" si="227"/>
        <v>406.32883592951566</v>
      </c>
      <c r="R1425" s="13">
        <f t="shared" si="228"/>
        <v>154.09203418238798</v>
      </c>
      <c r="S1425" s="3" t="s">
        <v>31</v>
      </c>
      <c r="T1425" s="3" t="s">
        <v>32</v>
      </c>
      <c r="U1425" s="10">
        <v>0</v>
      </c>
      <c r="V1425" s="3">
        <v>0</v>
      </c>
      <c r="W1425" s="3">
        <f t="shared" si="229"/>
        <v>0</v>
      </c>
      <c r="AA1425" s="3">
        <v>41</v>
      </c>
    </row>
    <row r="1426" spans="1:27" x14ac:dyDescent="0.3">
      <c r="A1426" s="3" t="str">
        <f t="shared" si="220"/>
        <v>North9160709900210</v>
      </c>
      <c r="B1426" s="3" t="str">
        <f t="shared" si="221"/>
        <v>Lud9160709900210</v>
      </c>
      <c r="C1426" s="10">
        <v>9160709900210</v>
      </c>
      <c r="D1426" s="10" t="str">
        <f t="shared" si="222"/>
        <v>9160709900</v>
      </c>
      <c r="E1426" s="3" t="s">
        <v>3</v>
      </c>
      <c r="F1426" s="3" t="s">
        <v>64</v>
      </c>
      <c r="H1426" s="3">
        <v>0</v>
      </c>
      <c r="I1426" s="10">
        <f t="shared" si="223"/>
        <v>0</v>
      </c>
      <c r="J1426" s="3">
        <v>0</v>
      </c>
      <c r="K1426" s="3">
        <v>0</v>
      </c>
      <c r="L1426" s="3">
        <f t="shared" si="224"/>
        <v>0</v>
      </c>
      <c r="N1426" s="11">
        <f t="shared" si="225"/>
        <v>0</v>
      </c>
      <c r="O1426" s="3">
        <v>0</v>
      </c>
      <c r="P1426" s="11">
        <f t="shared" si="226"/>
        <v>9999</v>
      </c>
      <c r="Q1426" s="12">
        <f t="shared" si="227"/>
        <v>9999</v>
      </c>
      <c r="R1426" s="13">
        <f t="shared" si="228"/>
        <v>9999</v>
      </c>
      <c r="S1426" s="3" t="s">
        <v>31</v>
      </c>
      <c r="T1426" s="3" t="s">
        <v>34</v>
      </c>
      <c r="U1426" s="10" t="s">
        <v>72</v>
      </c>
      <c r="V1426" s="3" t="s">
        <v>72</v>
      </c>
      <c r="W1426" s="3">
        <f t="shared" si="229"/>
        <v>0</v>
      </c>
      <c r="AA1426" s="3">
        <v>41</v>
      </c>
    </row>
    <row r="1427" spans="1:27" x14ac:dyDescent="0.3">
      <c r="A1427" s="3" t="str">
        <f t="shared" si="220"/>
        <v>South9160909900320</v>
      </c>
      <c r="B1427" s="3" t="str">
        <f t="shared" si="221"/>
        <v>CMR9160909900320</v>
      </c>
      <c r="C1427" s="10">
        <v>9160909900320</v>
      </c>
      <c r="D1427" s="10" t="str">
        <f t="shared" si="222"/>
        <v>9160909900</v>
      </c>
      <c r="E1427" s="3" t="s">
        <v>5</v>
      </c>
      <c r="F1427" s="3" t="s">
        <v>65</v>
      </c>
      <c r="H1427" s="3">
        <v>6.6000000000000005</v>
      </c>
      <c r="I1427" s="10">
        <f t="shared" si="223"/>
        <v>574.15258433654049</v>
      </c>
      <c r="J1427" s="3">
        <v>0.34485606335604685</v>
      </c>
      <c r="K1427" s="3">
        <v>0</v>
      </c>
      <c r="L1427" s="3">
        <f t="shared" si="224"/>
        <v>0</v>
      </c>
      <c r="N1427" s="11">
        <f t="shared" si="225"/>
        <v>6.2551439366439539</v>
      </c>
      <c r="O1427" s="3">
        <v>0.34485606335604685</v>
      </c>
      <c r="P1427" s="11">
        <f t="shared" si="226"/>
        <v>544.15258433654049</v>
      </c>
      <c r="Q1427" s="12">
        <f t="shared" si="227"/>
        <v>244.85320768400885</v>
      </c>
      <c r="R1427" s="13">
        <f t="shared" si="228"/>
        <v>88.356551732675399</v>
      </c>
      <c r="S1427" s="3" t="s">
        <v>31</v>
      </c>
      <c r="T1427" s="3" t="s">
        <v>34</v>
      </c>
      <c r="U1427" s="10">
        <v>0</v>
      </c>
      <c r="V1427" s="3">
        <v>0</v>
      </c>
      <c r="W1427" s="3">
        <f t="shared" si="229"/>
        <v>0</v>
      </c>
      <c r="AA1427" s="3">
        <v>41</v>
      </c>
    </row>
    <row r="1428" spans="1:27" x14ac:dyDescent="0.3">
      <c r="A1428" s="3" t="str">
        <f t="shared" si="220"/>
        <v>South9160909900210</v>
      </c>
      <c r="B1428" s="3" t="str">
        <f t="shared" si="221"/>
        <v>CMR9160909900210</v>
      </c>
      <c r="C1428" s="10">
        <v>9160909900210</v>
      </c>
      <c r="D1428" s="10" t="str">
        <f t="shared" si="222"/>
        <v>9160909900</v>
      </c>
      <c r="E1428" s="3" t="s">
        <v>5</v>
      </c>
      <c r="F1428" s="3" t="s">
        <v>65</v>
      </c>
      <c r="H1428" s="3">
        <v>0</v>
      </c>
      <c r="I1428" s="10">
        <f t="shared" si="223"/>
        <v>0</v>
      </c>
      <c r="J1428" s="3">
        <v>0</v>
      </c>
      <c r="K1428" s="3">
        <v>0</v>
      </c>
      <c r="L1428" s="3">
        <f t="shared" si="224"/>
        <v>0</v>
      </c>
      <c r="N1428" s="11">
        <f t="shared" si="225"/>
        <v>0</v>
      </c>
      <c r="O1428" s="3">
        <v>0</v>
      </c>
      <c r="P1428" s="11">
        <f t="shared" si="226"/>
        <v>9999</v>
      </c>
      <c r="Q1428" s="12">
        <f t="shared" si="227"/>
        <v>9999</v>
      </c>
      <c r="R1428" s="13">
        <f t="shared" si="228"/>
        <v>9999</v>
      </c>
      <c r="S1428" s="3" t="s">
        <v>31</v>
      </c>
      <c r="T1428" s="3" t="s">
        <v>34</v>
      </c>
      <c r="U1428" s="10" t="s">
        <v>72</v>
      </c>
      <c r="V1428" s="3" t="s">
        <v>72</v>
      </c>
      <c r="W1428" s="3">
        <f t="shared" si="229"/>
        <v>0</v>
      </c>
      <c r="AA1428" s="3">
        <v>41</v>
      </c>
    </row>
    <row r="1429" spans="1:27" x14ac:dyDescent="0.3">
      <c r="A1429" s="3" t="str">
        <f t="shared" si="220"/>
        <v>East9160709900320</v>
      </c>
      <c r="B1429" s="3" t="str">
        <f t="shared" si="221"/>
        <v>KGP9160709900320</v>
      </c>
      <c r="C1429" s="10">
        <v>9160709900320</v>
      </c>
      <c r="D1429" s="10" t="str">
        <f t="shared" si="222"/>
        <v>9160709900</v>
      </c>
      <c r="E1429" s="3" t="s">
        <v>6</v>
      </c>
      <c r="F1429" s="3" t="s">
        <v>66</v>
      </c>
      <c r="H1429" s="3">
        <v>6.120000000000001</v>
      </c>
      <c r="I1429" s="10">
        <f t="shared" si="223"/>
        <v>202.42201607713449</v>
      </c>
      <c r="J1429" s="3">
        <v>0.90701596376768523</v>
      </c>
      <c r="K1429" s="3">
        <v>0</v>
      </c>
      <c r="L1429" s="3">
        <f t="shared" si="224"/>
        <v>0</v>
      </c>
      <c r="N1429" s="11">
        <f t="shared" si="225"/>
        <v>5.2129840362323154</v>
      </c>
      <c r="O1429" s="3">
        <v>0.90701596376768523</v>
      </c>
      <c r="P1429" s="11">
        <f t="shared" si="226"/>
        <v>172.42201607713449</v>
      </c>
      <c r="Q1429" s="12">
        <f t="shared" si="227"/>
        <v>172.42201607713451</v>
      </c>
      <c r="R1429" s="13">
        <f t="shared" si="228"/>
        <v>51.472592089112787</v>
      </c>
      <c r="S1429" s="3" t="s">
        <v>30</v>
      </c>
      <c r="T1429" s="3" t="s">
        <v>34</v>
      </c>
      <c r="U1429" s="10">
        <v>0</v>
      </c>
      <c r="V1429" s="3">
        <v>0</v>
      </c>
      <c r="W1429" s="3">
        <f t="shared" si="229"/>
        <v>0</v>
      </c>
      <c r="AA1429" s="3">
        <v>41</v>
      </c>
    </row>
    <row r="1430" spans="1:27" x14ac:dyDescent="0.3">
      <c r="A1430" s="3" t="str">
        <f t="shared" si="220"/>
        <v>East9160709900210</v>
      </c>
      <c r="B1430" s="3" t="str">
        <f t="shared" si="221"/>
        <v>KGP9160709900210</v>
      </c>
      <c r="C1430" s="10">
        <v>9160709900210</v>
      </c>
      <c r="D1430" s="10" t="str">
        <f t="shared" si="222"/>
        <v>9160709900</v>
      </c>
      <c r="E1430" s="3" t="s">
        <v>6</v>
      </c>
      <c r="F1430" s="3" t="s">
        <v>66</v>
      </c>
      <c r="H1430" s="3">
        <v>0</v>
      </c>
      <c r="I1430" s="10">
        <f t="shared" si="223"/>
        <v>0</v>
      </c>
      <c r="J1430" s="3">
        <v>0</v>
      </c>
      <c r="K1430" s="3">
        <v>0</v>
      </c>
      <c r="L1430" s="3">
        <f t="shared" si="224"/>
        <v>0</v>
      </c>
      <c r="N1430" s="11">
        <f t="shared" si="225"/>
        <v>0</v>
      </c>
      <c r="O1430" s="3">
        <v>0</v>
      </c>
      <c r="P1430" s="11">
        <f t="shared" si="226"/>
        <v>9999</v>
      </c>
      <c r="Q1430" s="12">
        <f t="shared" si="227"/>
        <v>9999</v>
      </c>
      <c r="R1430" s="13">
        <f t="shared" si="228"/>
        <v>9999</v>
      </c>
      <c r="S1430" s="3" t="s">
        <v>31</v>
      </c>
      <c r="T1430" s="3" t="s">
        <v>34</v>
      </c>
      <c r="U1430" s="10" t="s">
        <v>72</v>
      </c>
      <c r="V1430" s="3" t="s">
        <v>72</v>
      </c>
      <c r="W1430" s="3">
        <f t="shared" si="229"/>
        <v>0</v>
      </c>
      <c r="AA1430" s="3">
        <v>41</v>
      </c>
    </row>
    <row r="1431" spans="1:27" ht="15.6" x14ac:dyDescent="0.3">
      <c r="A1431" s="3" t="str">
        <f t="shared" si="220"/>
        <v>West9330219913820</v>
      </c>
      <c r="B1431" s="3" t="str">
        <f t="shared" si="221"/>
        <v>Mah9330219913820</v>
      </c>
      <c r="C1431" s="10">
        <v>9330219913820</v>
      </c>
      <c r="D1431" s="10" t="str">
        <f t="shared" si="222"/>
        <v>9330219913</v>
      </c>
      <c r="E1431" s="3" t="s">
        <v>1</v>
      </c>
      <c r="F1431" s="3" t="s">
        <v>63</v>
      </c>
      <c r="G1431"/>
      <c r="H1431" s="3">
        <v>141.26000000000002</v>
      </c>
      <c r="I1431" s="10">
        <f t="shared" si="223"/>
        <v>34.610472394734671</v>
      </c>
      <c r="J1431" s="3">
        <v>122.44270900632671</v>
      </c>
      <c r="K1431" s="3">
        <v>84</v>
      </c>
      <c r="L1431" s="3">
        <f t="shared" si="224"/>
        <v>0</v>
      </c>
      <c r="M1431" s="32"/>
      <c r="N1431" s="11">
        <f t="shared" si="225"/>
        <v>18.817290993673311</v>
      </c>
      <c r="O1431" s="3">
        <v>122.44270900632671</v>
      </c>
      <c r="P1431" s="11">
        <f t="shared" si="226"/>
        <v>4.6104723947346686</v>
      </c>
      <c r="Q1431" s="12">
        <f t="shared" si="227"/>
        <v>4.6104723947346695</v>
      </c>
      <c r="R1431" s="13">
        <f t="shared" si="228"/>
        <v>-4.4253318049699377</v>
      </c>
      <c r="S1431" s="3" t="s">
        <v>29</v>
      </c>
      <c r="T1431" s="3" t="s">
        <v>35</v>
      </c>
      <c r="U1431" s="10">
        <v>0</v>
      </c>
      <c r="V1431" s="3">
        <v>0</v>
      </c>
      <c r="W1431" s="3">
        <f t="shared" si="229"/>
        <v>0</v>
      </c>
      <c r="Y1431" s="3">
        <v>0</v>
      </c>
      <c r="Z1431" s="3">
        <v>0</v>
      </c>
      <c r="AA1431">
        <v>42</v>
      </c>
    </row>
    <row r="1432" spans="1:27" x14ac:dyDescent="0.3">
      <c r="A1432" s="3" t="str">
        <f t="shared" si="220"/>
        <v>West9160309901320</v>
      </c>
      <c r="B1432" s="3" t="str">
        <f t="shared" si="221"/>
        <v>Mah9160309901320</v>
      </c>
      <c r="C1432" s="14">
        <v>9160309901320</v>
      </c>
      <c r="D1432" s="10" t="str">
        <f t="shared" si="222"/>
        <v>9160309901</v>
      </c>
      <c r="E1432" s="3" t="s">
        <v>1</v>
      </c>
      <c r="F1432" s="3" t="s">
        <v>63</v>
      </c>
      <c r="H1432" s="3">
        <v>52.54</v>
      </c>
      <c r="I1432" s="10">
        <f t="shared" si="223"/>
        <v>77.742985152330505</v>
      </c>
      <c r="J1432" s="3">
        <v>20.27449803878222</v>
      </c>
      <c r="K1432" s="3">
        <v>0</v>
      </c>
      <c r="L1432" s="3">
        <f t="shared" si="224"/>
        <v>0</v>
      </c>
      <c r="M1432" s="32"/>
      <c r="N1432" s="11">
        <f t="shared" si="225"/>
        <v>32.26550196121778</v>
      </c>
      <c r="O1432" s="3">
        <v>20.27449803878222</v>
      </c>
      <c r="P1432" s="11">
        <f t="shared" si="226"/>
        <v>47.742985152330505</v>
      </c>
      <c r="Q1432" s="12">
        <f t="shared" si="227"/>
        <v>47.742985152330505</v>
      </c>
      <c r="R1432" s="13">
        <f t="shared" si="228"/>
        <v>53.861568355379056</v>
      </c>
      <c r="S1432" s="3" t="s">
        <v>29</v>
      </c>
      <c r="T1432" s="3" t="s">
        <v>34</v>
      </c>
      <c r="U1432" s="10">
        <v>0</v>
      </c>
      <c r="V1432" s="3">
        <v>0</v>
      </c>
      <c r="W1432" s="3">
        <f t="shared" si="229"/>
        <v>0</v>
      </c>
      <c r="Y1432" s="3">
        <v>-4.9737991503207013E-14</v>
      </c>
      <c r="Z1432" s="3">
        <v>16</v>
      </c>
      <c r="AA1432" s="3">
        <v>42</v>
      </c>
    </row>
    <row r="1433" spans="1:27" x14ac:dyDescent="0.3">
      <c r="A1433" s="3" t="str">
        <f t="shared" si="220"/>
        <v>West9330219913810</v>
      </c>
      <c r="B1433" s="3" t="str">
        <f t="shared" si="221"/>
        <v>Mah9330219913810</v>
      </c>
      <c r="C1433" s="14">
        <v>9330219913810</v>
      </c>
      <c r="D1433" s="10" t="str">
        <f t="shared" si="222"/>
        <v>9330219913</v>
      </c>
      <c r="E1433" s="3" t="s">
        <v>1</v>
      </c>
      <c r="F1433" s="3" t="s">
        <v>63</v>
      </c>
      <c r="H1433" s="3">
        <v>32.519999999999996</v>
      </c>
      <c r="I1433" s="10">
        <f t="shared" si="223"/>
        <v>60.205660585324758</v>
      </c>
      <c r="J1433" s="3">
        <v>16.204456366978295</v>
      </c>
      <c r="K1433" s="3">
        <v>0</v>
      </c>
      <c r="L1433" s="3">
        <f t="shared" si="224"/>
        <v>0</v>
      </c>
      <c r="M1433" s="32"/>
      <c r="N1433" s="11">
        <f t="shared" si="225"/>
        <v>16.315543633021701</v>
      </c>
      <c r="O1433" s="3">
        <v>16.204456366978295</v>
      </c>
      <c r="P1433" s="11">
        <f t="shared" si="226"/>
        <v>30.20566058532475</v>
      </c>
      <c r="Q1433" s="12">
        <f t="shared" si="227"/>
        <v>30.205660585324754</v>
      </c>
      <c r="R1433" s="13">
        <f t="shared" si="228"/>
        <v>5.561298658189922</v>
      </c>
      <c r="S1433" s="3" t="s">
        <v>29</v>
      </c>
      <c r="T1433" s="3" t="s">
        <v>35</v>
      </c>
      <c r="U1433" s="10">
        <v>0</v>
      </c>
      <c r="V1433" s="3">
        <v>0</v>
      </c>
      <c r="W1433" s="3">
        <f t="shared" si="229"/>
        <v>0</v>
      </c>
      <c r="Y1433" s="3">
        <v>0</v>
      </c>
      <c r="Z1433" s="3">
        <v>0</v>
      </c>
      <c r="AA1433" s="3">
        <v>42</v>
      </c>
    </row>
    <row r="1434" spans="1:27" x14ac:dyDescent="0.3">
      <c r="A1434" s="3" t="str">
        <f t="shared" si="220"/>
        <v>West9160709900320</v>
      </c>
      <c r="B1434" s="3" t="str">
        <f t="shared" si="221"/>
        <v>Mah9160709900320</v>
      </c>
      <c r="C1434" s="10">
        <v>9160709900320</v>
      </c>
      <c r="D1434" s="10" t="str">
        <f t="shared" si="222"/>
        <v>9160709900</v>
      </c>
      <c r="E1434" s="3" t="s">
        <v>1</v>
      </c>
      <c r="F1434" s="3" t="s">
        <v>63</v>
      </c>
      <c r="H1434" s="3">
        <v>17.579999999999995</v>
      </c>
      <c r="I1434" s="10">
        <f t="shared" si="223"/>
        <v>78.345382625030766</v>
      </c>
      <c r="J1434" s="3">
        <v>6.7317304776490996</v>
      </c>
      <c r="K1434" s="3">
        <v>0</v>
      </c>
      <c r="L1434" s="3">
        <f t="shared" si="224"/>
        <v>0</v>
      </c>
      <c r="M1434" s="32"/>
      <c r="N1434" s="11">
        <f t="shared" si="225"/>
        <v>10.848269522350895</v>
      </c>
      <c r="O1434" s="3">
        <v>6.7317304776490996</v>
      </c>
      <c r="P1434" s="11">
        <f t="shared" si="226"/>
        <v>48.345382625030773</v>
      </c>
      <c r="Q1434" s="12">
        <f t="shared" si="227"/>
        <v>48.345382625030766</v>
      </c>
      <c r="R1434" s="13">
        <f t="shared" si="228"/>
        <v>51.472592089112787</v>
      </c>
      <c r="S1434" s="3" t="s">
        <v>30</v>
      </c>
      <c r="T1434" s="3" t="s">
        <v>34</v>
      </c>
      <c r="U1434" s="10">
        <v>0</v>
      </c>
      <c r="V1434" s="3">
        <v>0</v>
      </c>
      <c r="W1434" s="3">
        <f t="shared" si="229"/>
        <v>0</v>
      </c>
      <c r="Y1434" s="3">
        <v>0</v>
      </c>
      <c r="Z1434" s="3">
        <v>110</v>
      </c>
      <c r="AA1434" s="3">
        <v>42</v>
      </c>
    </row>
    <row r="1435" spans="1:27" x14ac:dyDescent="0.3">
      <c r="A1435" s="3" t="str">
        <f t="shared" si="220"/>
        <v>West9330219913840</v>
      </c>
      <c r="B1435" s="3" t="str">
        <f t="shared" si="221"/>
        <v>Mah9330219913840</v>
      </c>
      <c r="C1435" s="10">
        <v>9330219913840</v>
      </c>
      <c r="D1435" s="10" t="str">
        <f t="shared" si="222"/>
        <v>9330219913</v>
      </c>
      <c r="E1435" s="3" t="s">
        <v>1</v>
      </c>
      <c r="F1435" s="3" t="s">
        <v>63</v>
      </c>
      <c r="H1435" s="3">
        <v>23.256</v>
      </c>
      <c r="I1435" s="10">
        <f t="shared" si="223"/>
        <v>135.90309512076638</v>
      </c>
      <c r="J1435" s="3">
        <v>5.1336579154435498</v>
      </c>
      <c r="K1435" s="3">
        <v>0</v>
      </c>
      <c r="L1435" s="3">
        <f t="shared" si="224"/>
        <v>0</v>
      </c>
      <c r="M1435" s="32"/>
      <c r="N1435" s="11">
        <f t="shared" si="225"/>
        <v>18.12234208455645</v>
      </c>
      <c r="O1435" s="3">
        <v>5.1336579154435498</v>
      </c>
      <c r="P1435" s="11">
        <f t="shared" si="226"/>
        <v>105.90309512076638</v>
      </c>
      <c r="Q1435" s="12">
        <f t="shared" si="227"/>
        <v>105.90309512076638</v>
      </c>
      <c r="R1435" s="13">
        <f t="shared" si="228"/>
        <v>13.994224541941199</v>
      </c>
      <c r="S1435" s="3" t="s">
        <v>30</v>
      </c>
      <c r="T1435" s="3" t="s">
        <v>35</v>
      </c>
      <c r="U1435" s="10">
        <v>0</v>
      </c>
      <c r="V1435" s="3">
        <v>0</v>
      </c>
      <c r="W1435" s="3">
        <f t="shared" si="229"/>
        <v>0</v>
      </c>
      <c r="Y1435" s="3">
        <v>0</v>
      </c>
      <c r="Z1435" s="3">
        <v>8</v>
      </c>
      <c r="AA1435" s="3">
        <v>42</v>
      </c>
    </row>
    <row r="1436" spans="1:27" x14ac:dyDescent="0.3">
      <c r="A1436" s="3" t="str">
        <f t="shared" si="220"/>
        <v>West9330219913210</v>
      </c>
      <c r="B1436" s="3" t="str">
        <f t="shared" si="221"/>
        <v>Mah9330219913210</v>
      </c>
      <c r="C1436" s="10">
        <v>9330219913210</v>
      </c>
      <c r="D1436" s="10" t="str">
        <f t="shared" si="222"/>
        <v>9330219913</v>
      </c>
      <c r="E1436" s="3" t="s">
        <v>1</v>
      </c>
      <c r="F1436" s="3" t="s">
        <v>63</v>
      </c>
      <c r="H1436" s="3">
        <v>2.2039999999999997</v>
      </c>
      <c r="I1436" s="10">
        <f t="shared" si="223"/>
        <v>33.501844946946157</v>
      </c>
      <c r="J1436" s="3">
        <v>1.9736226498781859</v>
      </c>
      <c r="K1436" s="3">
        <v>0</v>
      </c>
      <c r="L1436" s="3">
        <f t="shared" si="224"/>
        <v>0</v>
      </c>
      <c r="M1436" s="32"/>
      <c r="N1436" s="11">
        <f t="shared" si="225"/>
        <v>0.23037735012181382</v>
      </c>
      <c r="O1436" s="3">
        <v>1.9736226498781859</v>
      </c>
      <c r="P1436" s="11">
        <f t="shared" si="226"/>
        <v>3.5018449469461594</v>
      </c>
      <c r="Q1436" s="12">
        <f t="shared" si="227"/>
        <v>3.501844946946159</v>
      </c>
      <c r="R1436" s="13">
        <f t="shared" si="228"/>
        <v>24.081536979765296</v>
      </c>
      <c r="S1436" s="3" t="s">
        <v>30</v>
      </c>
      <c r="T1436" s="3" t="s">
        <v>35</v>
      </c>
      <c r="U1436" s="10">
        <v>0</v>
      </c>
      <c r="V1436" s="3">
        <v>0</v>
      </c>
      <c r="W1436" s="3">
        <f t="shared" si="229"/>
        <v>0</v>
      </c>
      <c r="Y1436" s="3">
        <v>1.06581410364015E-14</v>
      </c>
      <c r="Z1436" s="3">
        <v>30</v>
      </c>
      <c r="AA1436" s="3">
        <v>42</v>
      </c>
    </row>
    <row r="1437" spans="1:27" x14ac:dyDescent="0.3">
      <c r="A1437" s="3" t="str">
        <f t="shared" si="220"/>
        <v>West9160309901210</v>
      </c>
      <c r="B1437" s="3" t="str">
        <f t="shared" si="221"/>
        <v>Mah9160309901210</v>
      </c>
      <c r="C1437" s="10">
        <v>9160309901210</v>
      </c>
      <c r="D1437" s="10" t="str">
        <f t="shared" si="222"/>
        <v>9160309901</v>
      </c>
      <c r="E1437" s="3" t="s">
        <v>1</v>
      </c>
      <c r="F1437" s="3" t="s">
        <v>63</v>
      </c>
      <c r="H1437" s="3">
        <v>3.8610000000000007</v>
      </c>
      <c r="I1437" s="10">
        <f t="shared" si="223"/>
        <v>0</v>
      </c>
      <c r="J1437" s="3">
        <v>0</v>
      </c>
      <c r="K1437" s="3">
        <v>0</v>
      </c>
      <c r="L1437" s="3">
        <f t="shared" si="224"/>
        <v>0</v>
      </c>
      <c r="N1437" s="11">
        <f t="shared" si="225"/>
        <v>3.8610000000000007</v>
      </c>
      <c r="O1437" s="3">
        <v>0</v>
      </c>
      <c r="P1437" s="11">
        <f t="shared" si="226"/>
        <v>9999</v>
      </c>
      <c r="Q1437" s="12">
        <f t="shared" si="227"/>
        <v>9999</v>
      </c>
      <c r="R1437" s="13">
        <f t="shared" si="228"/>
        <v>9999</v>
      </c>
      <c r="S1437" s="3" t="s">
        <v>31</v>
      </c>
      <c r="T1437" s="3" t="s">
        <v>34</v>
      </c>
      <c r="U1437" s="10">
        <v>0</v>
      </c>
      <c r="V1437" s="3">
        <v>0</v>
      </c>
      <c r="W1437" s="3">
        <f t="shared" si="229"/>
        <v>0</v>
      </c>
      <c r="AA1437" s="3">
        <v>42</v>
      </c>
    </row>
    <row r="1438" spans="1:27" x14ac:dyDescent="0.3">
      <c r="A1438" s="3" t="str">
        <f t="shared" si="220"/>
        <v>West9160709900210</v>
      </c>
      <c r="B1438" s="3" t="str">
        <f t="shared" si="221"/>
        <v>Mah9160709900210</v>
      </c>
      <c r="C1438" s="10">
        <v>9160709900210</v>
      </c>
      <c r="D1438" s="10" t="str">
        <f t="shared" si="222"/>
        <v>9160709900</v>
      </c>
      <c r="E1438" s="3" t="s">
        <v>1</v>
      </c>
      <c r="F1438" s="3" t="s">
        <v>63</v>
      </c>
      <c r="H1438" s="3">
        <v>0</v>
      </c>
      <c r="I1438" s="10">
        <f t="shared" si="223"/>
        <v>0</v>
      </c>
      <c r="J1438" s="3">
        <v>0</v>
      </c>
      <c r="K1438" s="3">
        <v>0</v>
      </c>
      <c r="L1438" s="3">
        <f t="shared" si="224"/>
        <v>0</v>
      </c>
      <c r="N1438" s="11">
        <f t="shared" si="225"/>
        <v>0</v>
      </c>
      <c r="O1438" s="3">
        <v>0</v>
      </c>
      <c r="P1438" s="11">
        <f t="shared" si="226"/>
        <v>9999</v>
      </c>
      <c r="Q1438" s="12">
        <f t="shared" si="227"/>
        <v>9999</v>
      </c>
      <c r="R1438" s="13">
        <f t="shared" si="228"/>
        <v>9999</v>
      </c>
      <c r="S1438" s="3" t="s">
        <v>31</v>
      </c>
      <c r="T1438" s="3" t="s">
        <v>34</v>
      </c>
      <c r="U1438" s="10" t="s">
        <v>72</v>
      </c>
      <c r="V1438" s="3" t="s">
        <v>72</v>
      </c>
      <c r="W1438" s="3">
        <f t="shared" si="229"/>
        <v>0</v>
      </c>
      <c r="AA1438" s="3">
        <v>42</v>
      </c>
    </row>
    <row r="1439" spans="1:27" x14ac:dyDescent="0.3">
      <c r="A1439" s="3" t="str">
        <f t="shared" si="220"/>
        <v>North9310049900320</v>
      </c>
      <c r="B1439" s="3" t="str">
        <f t="shared" si="221"/>
        <v>Pan9310049900320</v>
      </c>
      <c r="C1439" s="10">
        <v>9310049900320</v>
      </c>
      <c r="D1439" s="10" t="str">
        <f t="shared" si="222"/>
        <v>9310049900</v>
      </c>
      <c r="E1439" s="3" t="s">
        <v>2</v>
      </c>
      <c r="F1439" s="3" t="s">
        <v>64</v>
      </c>
      <c r="H1439" s="3">
        <v>35.319999999999993</v>
      </c>
      <c r="I1439" s="10">
        <f t="shared" si="223"/>
        <v>175.74608345799282</v>
      </c>
      <c r="J1439" s="3">
        <v>6.0291528502441283</v>
      </c>
      <c r="K1439" s="3">
        <v>0</v>
      </c>
      <c r="L1439" s="3">
        <f t="shared" si="224"/>
        <v>0</v>
      </c>
      <c r="N1439" s="11">
        <f t="shared" si="225"/>
        <v>29.290847149755866</v>
      </c>
      <c r="O1439" s="3">
        <v>6.0291528502441283</v>
      </c>
      <c r="P1439" s="11">
        <f t="shared" si="226"/>
        <v>145.74608345799282</v>
      </c>
      <c r="Q1439" s="12">
        <f t="shared" si="227"/>
        <v>145.74608345799282</v>
      </c>
      <c r="R1439" s="13">
        <f t="shared" si="228"/>
        <v>101.9453218079973</v>
      </c>
      <c r="S1439" s="3" t="s">
        <v>31</v>
      </c>
      <c r="T1439" s="3" t="s">
        <v>32</v>
      </c>
      <c r="U1439" s="10">
        <v>9310049900999</v>
      </c>
      <c r="V1439" s="3">
        <v>0.1</v>
      </c>
      <c r="W1439" s="3">
        <f t="shared" si="229"/>
        <v>0</v>
      </c>
      <c r="AA1439" s="3">
        <v>42</v>
      </c>
    </row>
    <row r="1440" spans="1:27" x14ac:dyDescent="0.3">
      <c r="A1440" s="3" t="str">
        <f t="shared" si="220"/>
        <v>North9420049900320</v>
      </c>
      <c r="B1440" s="3" t="str">
        <f t="shared" si="221"/>
        <v>Pan9420049900320</v>
      </c>
      <c r="C1440" s="10">
        <v>9420049900320</v>
      </c>
      <c r="D1440" s="10" t="str">
        <f t="shared" si="222"/>
        <v>9420049900</v>
      </c>
      <c r="E1440" s="3" t="s">
        <v>2</v>
      </c>
      <c r="F1440" s="3" t="s">
        <v>64</v>
      </c>
      <c r="H1440" s="3">
        <v>1.2800000000000002</v>
      </c>
      <c r="I1440" s="10">
        <f t="shared" si="223"/>
        <v>13.546000873304175</v>
      </c>
      <c r="J1440" s="3">
        <v>2.8347849936786091</v>
      </c>
      <c r="K1440" s="3">
        <v>0</v>
      </c>
      <c r="L1440" s="3">
        <f t="shared" si="224"/>
        <v>0</v>
      </c>
      <c r="N1440" s="11">
        <f t="shared" si="225"/>
        <v>-1.5547849936786089</v>
      </c>
      <c r="O1440" s="3">
        <v>2.8347849936786091</v>
      </c>
      <c r="P1440" s="11">
        <f t="shared" si="226"/>
        <v>-16.453999126695827</v>
      </c>
      <c r="Q1440" s="12">
        <f t="shared" si="227"/>
        <v>-16.891364756497051</v>
      </c>
      <c r="R1440" s="13">
        <f t="shared" si="228"/>
        <v>-12.150289115008475</v>
      </c>
      <c r="S1440" s="3" t="s">
        <v>31</v>
      </c>
      <c r="T1440" s="3" t="s">
        <v>28</v>
      </c>
      <c r="U1440" s="10">
        <v>9420049900999</v>
      </c>
      <c r="V1440" s="3">
        <v>0.1</v>
      </c>
      <c r="W1440" s="3">
        <f t="shared" si="229"/>
        <v>0</v>
      </c>
      <c r="AA1440" s="3">
        <v>42</v>
      </c>
    </row>
    <row r="1441" spans="1:27" x14ac:dyDescent="0.3">
      <c r="A1441" s="3" t="str">
        <f t="shared" si="220"/>
        <v>North9432019902838</v>
      </c>
      <c r="B1441" s="3" t="str">
        <f t="shared" si="221"/>
        <v>Pan9432019902838</v>
      </c>
      <c r="C1441" s="10">
        <v>9432019902838</v>
      </c>
      <c r="D1441" s="10" t="str">
        <f t="shared" si="222"/>
        <v>9432019902</v>
      </c>
      <c r="E1441" s="3" t="s">
        <v>2</v>
      </c>
      <c r="F1441" s="3" t="s">
        <v>64</v>
      </c>
      <c r="H1441" s="3">
        <v>3.644200000000001</v>
      </c>
      <c r="I1441" s="10">
        <f t="shared" si="223"/>
        <v>51.684676372643949</v>
      </c>
      <c r="J1441" s="3">
        <v>2.1152497736807909</v>
      </c>
      <c r="K1441" s="3">
        <v>0</v>
      </c>
      <c r="L1441" s="3">
        <f t="shared" si="224"/>
        <v>0</v>
      </c>
      <c r="N1441" s="11">
        <f t="shared" si="225"/>
        <v>1.5289502263192101</v>
      </c>
      <c r="O1441" s="3">
        <v>2.1152497736807909</v>
      </c>
      <c r="P1441" s="11">
        <f t="shared" si="226"/>
        <v>21.684676372643946</v>
      </c>
      <c r="Q1441" s="12">
        <f t="shared" si="227"/>
        <v>24.900681944025639</v>
      </c>
      <c r="R1441" s="13">
        <f t="shared" si="228"/>
        <v>34.337624916396607</v>
      </c>
      <c r="S1441" s="3" t="s">
        <v>31</v>
      </c>
      <c r="T1441" s="3" t="s">
        <v>35</v>
      </c>
      <c r="U1441" s="10">
        <v>0</v>
      </c>
      <c r="V1441" s="3">
        <v>0</v>
      </c>
      <c r="W1441" s="3">
        <f t="shared" si="229"/>
        <v>0</v>
      </c>
      <c r="AA1441" s="3">
        <v>42</v>
      </c>
    </row>
    <row r="1442" spans="1:27" x14ac:dyDescent="0.3">
      <c r="A1442" s="3" t="str">
        <f t="shared" si="220"/>
        <v>North9432019902319</v>
      </c>
      <c r="B1442" s="3" t="str">
        <f t="shared" si="221"/>
        <v>Pan9432019902319</v>
      </c>
      <c r="C1442" s="10">
        <v>9432019902319</v>
      </c>
      <c r="D1442" s="10" t="str">
        <f t="shared" si="222"/>
        <v>9432019902</v>
      </c>
      <c r="E1442" s="3" t="s">
        <v>2</v>
      </c>
      <c r="F1442" s="3" t="s">
        <v>64</v>
      </c>
      <c r="H1442" s="3">
        <v>3.5530000000000004</v>
      </c>
      <c r="I1442" s="10">
        <f t="shared" si="223"/>
        <v>61.80035281990844</v>
      </c>
      <c r="J1442" s="3">
        <v>1.7247474348667957</v>
      </c>
      <c r="K1442" s="3">
        <v>0</v>
      </c>
      <c r="L1442" s="3">
        <f t="shared" si="224"/>
        <v>0</v>
      </c>
      <c r="N1442" s="11">
        <f t="shared" si="225"/>
        <v>1.8282525651332047</v>
      </c>
      <c r="O1442" s="3">
        <v>1.7247474348667957</v>
      </c>
      <c r="P1442" s="11">
        <f t="shared" si="226"/>
        <v>31.800352819908429</v>
      </c>
      <c r="Q1442" s="12">
        <f t="shared" si="227"/>
        <v>52.209414713469648</v>
      </c>
      <c r="R1442" s="13">
        <f t="shared" si="228"/>
        <v>47.124925459328132</v>
      </c>
      <c r="S1442" s="3" t="s">
        <v>31</v>
      </c>
      <c r="T1442" s="3" t="s">
        <v>35</v>
      </c>
      <c r="U1442" s="10">
        <v>9432019900999</v>
      </c>
      <c r="V1442" s="3">
        <v>0.1</v>
      </c>
      <c r="W1442" s="3">
        <f t="shared" si="229"/>
        <v>0</v>
      </c>
      <c r="AA1442" s="3">
        <v>42</v>
      </c>
    </row>
    <row r="1443" spans="1:27" x14ac:dyDescent="0.3">
      <c r="A1443" s="3" t="str">
        <f t="shared" si="220"/>
        <v>North9432019902195</v>
      </c>
      <c r="B1443" s="3" t="str">
        <f t="shared" si="221"/>
        <v>Pan9432019902195</v>
      </c>
      <c r="C1443" s="10">
        <v>9432019902195</v>
      </c>
      <c r="D1443" s="10" t="str">
        <f t="shared" si="222"/>
        <v>9432019902</v>
      </c>
      <c r="E1443" s="3" t="s">
        <v>2</v>
      </c>
      <c r="F1443" s="3" t="s">
        <v>64</v>
      </c>
      <c r="H1443" s="3">
        <v>2.6628500000000006</v>
      </c>
      <c r="I1443" s="10">
        <f t="shared" si="223"/>
        <v>47.66916827520717</v>
      </c>
      <c r="J1443" s="3">
        <v>1.6758316306002896</v>
      </c>
      <c r="K1443" s="3">
        <v>0</v>
      </c>
      <c r="L1443" s="3">
        <f t="shared" si="224"/>
        <v>0</v>
      </c>
      <c r="N1443" s="11">
        <f t="shared" si="225"/>
        <v>0.98701836939971099</v>
      </c>
      <c r="O1443" s="3">
        <v>1.6758316306002896</v>
      </c>
      <c r="P1443" s="11">
        <f t="shared" si="226"/>
        <v>17.669168275207163</v>
      </c>
      <c r="Q1443" s="12">
        <f t="shared" si="227"/>
        <v>18.485700999381727</v>
      </c>
      <c r="R1443" s="13">
        <f t="shared" si="228"/>
        <v>-4.5391497566448349</v>
      </c>
      <c r="S1443" s="3" t="s">
        <v>31</v>
      </c>
      <c r="T1443" s="3" t="s">
        <v>35</v>
      </c>
      <c r="U1443" s="10">
        <v>0</v>
      </c>
      <c r="V1443" s="3">
        <v>0</v>
      </c>
      <c r="W1443" s="3">
        <f t="shared" si="229"/>
        <v>0</v>
      </c>
      <c r="AA1443" s="3">
        <v>42</v>
      </c>
    </row>
    <row r="1444" spans="1:27" x14ac:dyDescent="0.3">
      <c r="A1444" s="3" t="str">
        <f t="shared" si="220"/>
        <v>North9432019902295</v>
      </c>
      <c r="B1444" s="3" t="str">
        <f t="shared" si="221"/>
        <v>Pan9432019902295</v>
      </c>
      <c r="C1444" s="10">
        <v>9432019902295</v>
      </c>
      <c r="D1444" s="10" t="str">
        <f t="shared" si="222"/>
        <v>9432019902</v>
      </c>
      <c r="E1444" s="3" t="s">
        <v>2</v>
      </c>
      <c r="F1444" s="3" t="s">
        <v>64</v>
      </c>
      <c r="H1444" s="3">
        <v>2.7835000000000001</v>
      </c>
      <c r="I1444" s="10">
        <f t="shared" si="223"/>
        <v>55.656566853909787</v>
      </c>
      <c r="J1444" s="3">
        <v>1.5003620366881092</v>
      </c>
      <c r="K1444" s="3">
        <v>0</v>
      </c>
      <c r="L1444" s="3">
        <f t="shared" si="224"/>
        <v>0</v>
      </c>
      <c r="N1444" s="11">
        <f t="shared" si="225"/>
        <v>1.2831379633118909</v>
      </c>
      <c r="O1444" s="3">
        <v>1.5003620366881092</v>
      </c>
      <c r="P1444" s="11">
        <f t="shared" si="226"/>
        <v>25.656566853909791</v>
      </c>
      <c r="Q1444" s="12">
        <f t="shared" si="227"/>
        <v>38.98700588852774</v>
      </c>
      <c r="R1444" s="13">
        <f t="shared" si="228"/>
        <v>48.704698711521544</v>
      </c>
      <c r="S1444" s="3" t="s">
        <v>31</v>
      </c>
      <c r="T1444" s="3" t="s">
        <v>35</v>
      </c>
      <c r="U1444" s="10">
        <v>9432019900999</v>
      </c>
      <c r="V1444" s="3">
        <v>0.1</v>
      </c>
      <c r="W1444" s="3">
        <f t="shared" si="229"/>
        <v>0</v>
      </c>
      <c r="AA1444" s="3">
        <v>42</v>
      </c>
    </row>
    <row r="1445" spans="1:27" x14ac:dyDescent="0.3">
      <c r="A1445" s="3" t="str">
        <f t="shared" si="220"/>
        <v>North9310049900310</v>
      </c>
      <c r="B1445" s="3" t="str">
        <f t="shared" si="221"/>
        <v>Pan9310049900310</v>
      </c>
      <c r="C1445" s="10">
        <v>9310049900310</v>
      </c>
      <c r="D1445" s="10" t="str">
        <f t="shared" si="222"/>
        <v>9310049900</v>
      </c>
      <c r="E1445" s="3" t="s">
        <v>2</v>
      </c>
      <c r="F1445" s="3" t="s">
        <v>64</v>
      </c>
      <c r="H1445" s="3">
        <v>4.629999999999999</v>
      </c>
      <c r="I1445" s="10">
        <f t="shared" si="223"/>
        <v>162.27223526594409</v>
      </c>
      <c r="J1445" s="3">
        <v>0.85596898183081083</v>
      </c>
      <c r="K1445" s="3">
        <v>0</v>
      </c>
      <c r="L1445" s="3">
        <f t="shared" si="224"/>
        <v>0</v>
      </c>
      <c r="N1445" s="11">
        <f t="shared" si="225"/>
        <v>3.7740310181691883</v>
      </c>
      <c r="O1445" s="3">
        <v>0.85596898183081083</v>
      </c>
      <c r="P1445" s="11">
        <f t="shared" si="226"/>
        <v>132.27223526594412</v>
      </c>
      <c r="Q1445" s="12">
        <f t="shared" si="227"/>
        <v>132.27223526594412</v>
      </c>
      <c r="R1445" s="13">
        <f t="shared" si="228"/>
        <v>114.42909577304165</v>
      </c>
      <c r="S1445" s="3" t="s">
        <v>31</v>
      </c>
      <c r="T1445" s="3" t="s">
        <v>32</v>
      </c>
      <c r="U1445" s="10">
        <v>9310049900999</v>
      </c>
      <c r="V1445" s="3">
        <v>0.1</v>
      </c>
      <c r="W1445" s="3">
        <f t="shared" si="229"/>
        <v>0</v>
      </c>
      <c r="AA1445" s="3">
        <v>42</v>
      </c>
    </row>
    <row r="1446" spans="1:27" x14ac:dyDescent="0.3">
      <c r="A1446" s="3" t="str">
        <f t="shared" si="220"/>
        <v>North9420049900310</v>
      </c>
      <c r="B1446" s="3" t="str">
        <f t="shared" si="221"/>
        <v>Pan9420049900310</v>
      </c>
      <c r="C1446" s="10">
        <v>9420049900310</v>
      </c>
      <c r="D1446" s="10" t="str">
        <f t="shared" si="222"/>
        <v>9420049900</v>
      </c>
      <c r="E1446" s="3" t="s">
        <v>2</v>
      </c>
      <c r="F1446" s="3" t="s">
        <v>64</v>
      </c>
      <c r="H1446" s="3">
        <v>1.7700000000000005</v>
      </c>
      <c r="I1446" s="10">
        <f t="shared" si="223"/>
        <v>141.18879996645498</v>
      </c>
      <c r="J1446" s="3">
        <v>0.3760921547078524</v>
      </c>
      <c r="K1446" s="3">
        <v>0</v>
      </c>
      <c r="L1446" s="3">
        <f t="shared" si="224"/>
        <v>0</v>
      </c>
      <c r="N1446" s="11">
        <f t="shared" si="225"/>
        <v>1.3939078452921481</v>
      </c>
      <c r="O1446" s="3">
        <v>0.3760921547078524</v>
      </c>
      <c r="P1446" s="11">
        <f t="shared" si="226"/>
        <v>111.18879996645498</v>
      </c>
      <c r="Q1446" s="12">
        <f t="shared" si="227"/>
        <v>41.491317753689756</v>
      </c>
      <c r="R1446" s="13">
        <f t="shared" si="228"/>
        <v>92.642613835035363</v>
      </c>
      <c r="S1446" s="3" t="s">
        <v>31</v>
      </c>
      <c r="T1446" s="3" t="s">
        <v>28</v>
      </c>
      <c r="U1446" s="10">
        <v>9420049900999</v>
      </c>
      <c r="V1446" s="3">
        <v>0.1</v>
      </c>
      <c r="W1446" s="3">
        <f t="shared" si="229"/>
        <v>0</v>
      </c>
      <c r="AA1446" s="3">
        <v>42</v>
      </c>
    </row>
    <row r="1447" spans="1:27" x14ac:dyDescent="0.3">
      <c r="A1447" s="3" t="str">
        <f t="shared" si="220"/>
        <v>North9310049900840</v>
      </c>
      <c r="B1447" s="3" t="str">
        <f t="shared" si="221"/>
        <v>Pan9310049900840</v>
      </c>
      <c r="C1447" s="10">
        <v>9310049900840</v>
      </c>
      <c r="D1447" s="10" t="str">
        <f t="shared" si="222"/>
        <v>9310049900</v>
      </c>
      <c r="E1447" s="3" t="s">
        <v>2</v>
      </c>
      <c r="F1447" s="3" t="s">
        <v>64</v>
      </c>
      <c r="H1447" s="3">
        <v>3.2800000000000016</v>
      </c>
      <c r="I1447" s="10">
        <f t="shared" si="223"/>
        <v>411.27512815093752</v>
      </c>
      <c r="J1447" s="3">
        <v>0.2392558977305512</v>
      </c>
      <c r="K1447" s="3">
        <v>0</v>
      </c>
      <c r="L1447" s="3">
        <f t="shared" si="224"/>
        <v>0</v>
      </c>
      <c r="N1447" s="11">
        <f t="shared" si="225"/>
        <v>3.0407441022694504</v>
      </c>
      <c r="O1447" s="3">
        <v>0.2392558977305512</v>
      </c>
      <c r="P1447" s="11">
        <f t="shared" si="226"/>
        <v>381.27512815093752</v>
      </c>
      <c r="Q1447" s="12">
        <f t="shared" si="227"/>
        <v>381.27512815093752</v>
      </c>
      <c r="R1447" s="13">
        <f t="shared" si="228"/>
        <v>346.25931720943311</v>
      </c>
      <c r="S1447" s="3" t="s">
        <v>31</v>
      </c>
      <c r="T1447" s="3" t="s">
        <v>32</v>
      </c>
      <c r="U1447" s="10">
        <v>0</v>
      </c>
      <c r="V1447" s="3">
        <v>0</v>
      </c>
      <c r="W1447" s="3">
        <f t="shared" si="229"/>
        <v>0</v>
      </c>
      <c r="AA1447" s="3">
        <v>42</v>
      </c>
    </row>
    <row r="1448" spans="1:27" x14ac:dyDescent="0.3">
      <c r="A1448" s="3" t="str">
        <f t="shared" si="220"/>
        <v>North9420049900840</v>
      </c>
      <c r="B1448" s="3" t="str">
        <f t="shared" si="221"/>
        <v>Pan9420049900840</v>
      </c>
      <c r="C1448" s="10">
        <v>9420049900840</v>
      </c>
      <c r="D1448" s="10" t="str">
        <f t="shared" si="222"/>
        <v>9420049900</v>
      </c>
      <c r="E1448" s="3" t="s">
        <v>2</v>
      </c>
      <c r="F1448" s="3" t="s">
        <v>64</v>
      </c>
      <c r="H1448" s="3">
        <v>0.98800000000000021</v>
      </c>
      <c r="I1448" s="10">
        <f t="shared" si="223"/>
        <v>266.0769001154153</v>
      </c>
      <c r="J1448" s="3">
        <v>0.11139636694182456</v>
      </c>
      <c r="K1448" s="3">
        <v>0</v>
      </c>
      <c r="L1448" s="3">
        <f t="shared" si="224"/>
        <v>0</v>
      </c>
      <c r="N1448" s="11">
        <f t="shared" si="225"/>
        <v>0.87660363305817568</v>
      </c>
      <c r="O1448" s="3">
        <v>0.11139636694182456</v>
      </c>
      <c r="P1448" s="11">
        <f t="shared" si="226"/>
        <v>236.07690011541533</v>
      </c>
      <c r="Q1448" s="12">
        <f t="shared" si="227"/>
        <v>219.46494742213062</v>
      </c>
      <c r="R1448" s="13">
        <f t="shared" si="228"/>
        <v>167.18429092706845</v>
      </c>
      <c r="S1448" s="3" t="s">
        <v>31</v>
      </c>
      <c r="T1448" s="3" t="s">
        <v>28</v>
      </c>
      <c r="U1448" s="10">
        <v>0</v>
      </c>
      <c r="V1448" s="3">
        <v>0</v>
      </c>
      <c r="W1448" s="3">
        <f t="shared" si="229"/>
        <v>0</v>
      </c>
      <c r="AA1448" s="3">
        <v>42</v>
      </c>
    </row>
    <row r="1449" spans="1:27" x14ac:dyDescent="0.3">
      <c r="A1449" s="3" t="str">
        <f t="shared" si="220"/>
        <v>North9420049900210</v>
      </c>
      <c r="B1449" s="3" t="str">
        <f t="shared" si="221"/>
        <v>Pan9420049900210</v>
      </c>
      <c r="C1449" s="10">
        <v>9420049900210</v>
      </c>
      <c r="D1449" s="10" t="str">
        <f t="shared" si="222"/>
        <v>9420049900</v>
      </c>
      <c r="E1449" s="3" t="s">
        <v>2</v>
      </c>
      <c r="F1449" s="3" t="s">
        <v>64</v>
      </c>
      <c r="H1449" s="3">
        <v>0.24700000000000003</v>
      </c>
      <c r="I1449" s="10">
        <f t="shared" si="223"/>
        <v>112.71196050901627</v>
      </c>
      <c r="J1449" s="3">
        <v>6.5742801088152891E-2</v>
      </c>
      <c r="K1449" s="3">
        <v>0</v>
      </c>
      <c r="L1449" s="3">
        <f t="shared" si="224"/>
        <v>0</v>
      </c>
      <c r="N1449" s="11">
        <f t="shared" si="225"/>
        <v>0.18125719891184713</v>
      </c>
      <c r="O1449" s="3">
        <v>6.5742801088152891E-2</v>
      </c>
      <c r="P1449" s="11">
        <f t="shared" si="226"/>
        <v>82.711960509016265</v>
      </c>
      <c r="Q1449" s="12">
        <f t="shared" si="227"/>
        <v>142.1656860405663</v>
      </c>
      <c r="R1449" s="13">
        <f t="shared" si="228"/>
        <v>145.73828960874476</v>
      </c>
      <c r="S1449" s="3" t="s">
        <v>31</v>
      </c>
      <c r="T1449" s="3" t="s">
        <v>28</v>
      </c>
      <c r="U1449" s="10">
        <v>0</v>
      </c>
      <c r="V1449" s="3">
        <v>0</v>
      </c>
      <c r="W1449" s="3">
        <f t="shared" si="229"/>
        <v>0</v>
      </c>
      <c r="AA1449" s="3">
        <v>42</v>
      </c>
    </row>
    <row r="1450" spans="1:27" x14ac:dyDescent="0.3">
      <c r="A1450" s="3" t="str">
        <f t="shared" si="220"/>
        <v>North9310049900210</v>
      </c>
      <c r="B1450" s="3" t="str">
        <f t="shared" si="221"/>
        <v>Pan9310049900210</v>
      </c>
      <c r="C1450" s="10">
        <v>9310049900210</v>
      </c>
      <c r="D1450" s="10" t="str">
        <f t="shared" si="222"/>
        <v>9310049900</v>
      </c>
      <c r="E1450" s="3" t="s">
        <v>2</v>
      </c>
      <c r="F1450" s="3" t="s">
        <v>64</v>
      </c>
      <c r="H1450" s="3">
        <v>8.1840000000000011</v>
      </c>
      <c r="I1450" s="10">
        <f t="shared" si="223"/>
        <v>4668.9665877319167</v>
      </c>
      <c r="J1450" s="3">
        <v>5.2585512315535411E-2</v>
      </c>
      <c r="K1450" s="3">
        <v>0</v>
      </c>
      <c r="L1450" s="3">
        <f t="shared" si="224"/>
        <v>0</v>
      </c>
      <c r="N1450" s="11">
        <f t="shared" si="225"/>
        <v>8.1314144876844665</v>
      </c>
      <c r="O1450" s="3">
        <v>5.2585512315535411E-2</v>
      </c>
      <c r="P1450" s="11">
        <f t="shared" si="226"/>
        <v>4638.9665877319167</v>
      </c>
      <c r="Q1450" s="12">
        <f t="shared" si="227"/>
        <v>4638.9665877319167</v>
      </c>
      <c r="R1450" s="13">
        <f t="shared" si="228"/>
        <v>2921.4982966452221</v>
      </c>
      <c r="S1450" s="3" t="s">
        <v>31</v>
      </c>
      <c r="T1450" s="3" t="s">
        <v>32</v>
      </c>
      <c r="U1450" s="10">
        <v>0</v>
      </c>
      <c r="V1450" s="3">
        <v>0</v>
      </c>
      <c r="W1450" s="3">
        <f t="shared" si="229"/>
        <v>0</v>
      </c>
      <c r="AA1450" s="3">
        <v>42</v>
      </c>
    </row>
    <row r="1451" spans="1:27" x14ac:dyDescent="0.3">
      <c r="A1451" s="3" t="str">
        <f t="shared" si="220"/>
        <v>North9160309901320</v>
      </c>
      <c r="B1451" s="3" t="str">
        <f t="shared" si="221"/>
        <v>Lud9160309901320</v>
      </c>
      <c r="C1451" s="10">
        <v>9160309901320</v>
      </c>
      <c r="D1451" s="10" t="str">
        <f t="shared" si="222"/>
        <v>9160309901</v>
      </c>
      <c r="E1451" s="3" t="s">
        <v>3</v>
      </c>
      <c r="F1451" s="3" t="s">
        <v>64</v>
      </c>
      <c r="H1451" s="3">
        <v>7.22</v>
      </c>
      <c r="I1451" s="10">
        <f t="shared" si="223"/>
        <v>96.295338787723651</v>
      </c>
      <c r="J1451" s="3">
        <v>2.2493300582022933</v>
      </c>
      <c r="K1451" s="3">
        <v>0</v>
      </c>
      <c r="L1451" s="3">
        <f t="shared" si="224"/>
        <v>0</v>
      </c>
      <c r="N1451" s="11">
        <f t="shared" si="225"/>
        <v>4.9706699417977065</v>
      </c>
      <c r="O1451" s="3">
        <v>2.2493300582022933</v>
      </c>
      <c r="P1451" s="11">
        <f t="shared" si="226"/>
        <v>66.295338787723651</v>
      </c>
      <c r="Q1451" s="12">
        <f t="shared" si="227"/>
        <v>29.355655850065993</v>
      </c>
      <c r="R1451" s="13">
        <f t="shared" si="228"/>
        <v>53.861568355379056</v>
      </c>
      <c r="S1451" s="3" t="s">
        <v>29</v>
      </c>
      <c r="T1451" s="3" t="s">
        <v>34</v>
      </c>
      <c r="U1451" s="10">
        <v>0</v>
      </c>
      <c r="V1451" s="3">
        <v>0</v>
      </c>
      <c r="W1451" s="3">
        <f t="shared" si="229"/>
        <v>0</v>
      </c>
      <c r="AA1451" s="3">
        <v>42</v>
      </c>
    </row>
    <row r="1452" spans="1:27" x14ac:dyDescent="0.3">
      <c r="A1452" s="3" t="str">
        <f t="shared" si="220"/>
        <v>North9160309901210</v>
      </c>
      <c r="B1452" s="3" t="str">
        <f t="shared" si="221"/>
        <v>Lud9160309901210</v>
      </c>
      <c r="C1452" s="10">
        <v>9160309901210</v>
      </c>
      <c r="D1452" s="10" t="str">
        <f t="shared" si="222"/>
        <v>9160309901</v>
      </c>
      <c r="E1452" s="3" t="s">
        <v>3</v>
      </c>
      <c r="F1452" s="3" t="s">
        <v>64</v>
      </c>
      <c r="H1452" s="3">
        <v>2.2850000000000001</v>
      </c>
      <c r="I1452" s="10">
        <f t="shared" si="223"/>
        <v>0</v>
      </c>
      <c r="J1452" s="3">
        <v>0</v>
      </c>
      <c r="K1452" s="3">
        <v>0</v>
      </c>
      <c r="L1452" s="3">
        <f t="shared" si="224"/>
        <v>0</v>
      </c>
      <c r="N1452" s="11">
        <f t="shared" si="225"/>
        <v>2.2850000000000001</v>
      </c>
      <c r="O1452" s="3">
        <v>0</v>
      </c>
      <c r="P1452" s="11">
        <f t="shared" si="226"/>
        <v>9999</v>
      </c>
      <c r="Q1452" s="12">
        <f t="shared" si="227"/>
        <v>9999</v>
      </c>
      <c r="R1452" s="13">
        <f t="shared" si="228"/>
        <v>9999</v>
      </c>
      <c r="S1452" s="3" t="s">
        <v>31</v>
      </c>
      <c r="T1452" s="3" t="s">
        <v>34</v>
      </c>
      <c r="U1452" s="10">
        <v>0</v>
      </c>
      <c r="V1452" s="3">
        <v>0</v>
      </c>
      <c r="W1452" s="3">
        <f t="shared" si="229"/>
        <v>0</v>
      </c>
      <c r="AA1452" s="3">
        <v>42</v>
      </c>
    </row>
    <row r="1453" spans="1:27" x14ac:dyDescent="0.3">
      <c r="A1453" s="3" t="str">
        <f t="shared" si="220"/>
        <v>South9310019900320</v>
      </c>
      <c r="B1453" s="3" t="str">
        <f t="shared" si="221"/>
        <v>CMR9310019900320</v>
      </c>
      <c r="C1453" s="10">
        <v>9310019900320</v>
      </c>
      <c r="D1453" s="10" t="str">
        <f t="shared" si="222"/>
        <v>9310019900</v>
      </c>
      <c r="E1453" s="3" t="s">
        <v>5</v>
      </c>
      <c r="F1453" s="3" t="s">
        <v>65</v>
      </c>
      <c r="H1453" s="3">
        <v>92.52000000000001</v>
      </c>
      <c r="I1453" s="10">
        <f t="shared" si="223"/>
        <v>108.96131623784341</v>
      </c>
      <c r="J1453" s="3">
        <v>25.473260564706774</v>
      </c>
      <c r="K1453" s="3">
        <v>0</v>
      </c>
      <c r="L1453" s="3">
        <f t="shared" si="224"/>
        <v>0</v>
      </c>
      <c r="N1453" s="11">
        <f t="shared" si="225"/>
        <v>67.046739435293233</v>
      </c>
      <c r="O1453" s="3">
        <v>25.473260564706774</v>
      </c>
      <c r="P1453" s="11">
        <f t="shared" si="226"/>
        <v>78.961316237843405</v>
      </c>
      <c r="Q1453" s="12">
        <f t="shared" si="227"/>
        <v>70.092413586710762</v>
      </c>
      <c r="R1453" s="13">
        <f t="shared" si="228"/>
        <v>58.026355506911308</v>
      </c>
      <c r="S1453" s="3" t="s">
        <v>29</v>
      </c>
      <c r="T1453" s="3" t="s">
        <v>32</v>
      </c>
      <c r="U1453" s="10">
        <v>9310019900999</v>
      </c>
      <c r="V1453" s="3">
        <v>0.1</v>
      </c>
      <c r="W1453" s="3">
        <f t="shared" si="229"/>
        <v>0</v>
      </c>
      <c r="AA1453" s="3">
        <v>42</v>
      </c>
    </row>
    <row r="1454" spans="1:27" x14ac:dyDescent="0.3">
      <c r="A1454" s="3" t="str">
        <f t="shared" si="220"/>
        <v>South9310099900320</v>
      </c>
      <c r="B1454" s="3" t="str">
        <f t="shared" si="221"/>
        <v>CMR9310099900320</v>
      </c>
      <c r="C1454" s="10">
        <v>9310099900320</v>
      </c>
      <c r="D1454" s="10" t="str">
        <f t="shared" si="222"/>
        <v>9310099900</v>
      </c>
      <c r="E1454" s="3" t="s">
        <v>5</v>
      </c>
      <c r="F1454" s="3" t="s">
        <v>65</v>
      </c>
      <c r="H1454" s="3">
        <v>0</v>
      </c>
      <c r="I1454" s="10">
        <f t="shared" si="223"/>
        <v>0</v>
      </c>
      <c r="J1454" s="3">
        <v>13.986512085000001</v>
      </c>
      <c r="K1454" s="3">
        <v>42</v>
      </c>
      <c r="L1454" s="3">
        <f t="shared" si="224"/>
        <v>0</v>
      </c>
      <c r="N1454" s="11">
        <f t="shared" si="225"/>
        <v>-13.986512085000001</v>
      </c>
      <c r="O1454" s="3">
        <v>13.986512085000001</v>
      </c>
      <c r="P1454" s="11">
        <f t="shared" si="226"/>
        <v>-30</v>
      </c>
      <c r="Q1454" s="12">
        <f t="shared" si="227"/>
        <v>-30</v>
      </c>
      <c r="R1454" s="13">
        <f t="shared" si="228"/>
        <v>-30.000000000000004</v>
      </c>
      <c r="S1454" s="3">
        <v>0</v>
      </c>
      <c r="T1454" s="3" t="s">
        <v>32</v>
      </c>
      <c r="U1454" s="10">
        <v>9310099900999</v>
      </c>
      <c r="V1454" s="3">
        <v>0.1</v>
      </c>
      <c r="W1454" s="3">
        <f t="shared" si="229"/>
        <v>4.2</v>
      </c>
      <c r="AA1454" s="3">
        <v>42</v>
      </c>
    </row>
    <row r="1455" spans="1:27" x14ac:dyDescent="0.3">
      <c r="A1455" s="3" t="str">
        <f t="shared" si="220"/>
        <v>South9310019900310</v>
      </c>
      <c r="B1455" s="3" t="str">
        <f t="shared" si="221"/>
        <v>CMR9310019900310</v>
      </c>
      <c r="C1455" s="10">
        <v>9310019900310</v>
      </c>
      <c r="D1455" s="10" t="str">
        <f t="shared" si="222"/>
        <v>9310019900</v>
      </c>
      <c r="E1455" s="3" t="s">
        <v>5</v>
      </c>
      <c r="F1455" s="3" t="s">
        <v>65</v>
      </c>
      <c r="H1455" s="3">
        <v>19.209999999999997</v>
      </c>
      <c r="I1455" s="10">
        <f t="shared" si="223"/>
        <v>99.291244050652438</v>
      </c>
      <c r="J1455" s="3">
        <v>5.8041371674828266</v>
      </c>
      <c r="K1455" s="3">
        <v>0</v>
      </c>
      <c r="L1455" s="3">
        <f t="shared" si="224"/>
        <v>0</v>
      </c>
      <c r="N1455" s="11">
        <f t="shared" si="225"/>
        <v>13.405862832517171</v>
      </c>
      <c r="O1455" s="3">
        <v>5.8041371674828266</v>
      </c>
      <c r="P1455" s="11">
        <f t="shared" si="226"/>
        <v>69.291244050652438</v>
      </c>
      <c r="Q1455" s="12">
        <f t="shared" si="227"/>
        <v>65.634243608796723</v>
      </c>
      <c r="R1455" s="13">
        <f t="shared" si="228"/>
        <v>95.847265885842234</v>
      </c>
      <c r="S1455" s="3" t="s">
        <v>30</v>
      </c>
      <c r="T1455" s="3" t="s">
        <v>32</v>
      </c>
      <c r="U1455" s="10">
        <v>9310019900999</v>
      </c>
      <c r="V1455" s="3">
        <v>0.1</v>
      </c>
      <c r="W1455" s="3">
        <f t="shared" si="229"/>
        <v>0</v>
      </c>
      <c r="AA1455" s="3">
        <v>42</v>
      </c>
    </row>
    <row r="1456" spans="1:27" x14ac:dyDescent="0.3">
      <c r="A1456" s="3" t="str">
        <f t="shared" si="220"/>
        <v>South9310099900310</v>
      </c>
      <c r="B1456" s="3" t="str">
        <f t="shared" si="221"/>
        <v>CMR9310099900310</v>
      </c>
      <c r="C1456" s="10">
        <v>9310099900310</v>
      </c>
      <c r="D1456" s="10" t="str">
        <f t="shared" si="222"/>
        <v>9310099900</v>
      </c>
      <c r="E1456" s="3" t="s">
        <v>5</v>
      </c>
      <c r="F1456" s="3" t="s">
        <v>65</v>
      </c>
      <c r="H1456" s="3">
        <v>0</v>
      </c>
      <c r="I1456" s="10">
        <f t="shared" si="223"/>
        <v>0</v>
      </c>
      <c r="J1456" s="3">
        <v>2.3122101625000004</v>
      </c>
      <c r="K1456" s="3">
        <v>0</v>
      </c>
      <c r="L1456" s="3">
        <f t="shared" si="224"/>
        <v>0</v>
      </c>
      <c r="N1456" s="11">
        <f t="shared" si="225"/>
        <v>-2.3122101625000004</v>
      </c>
      <c r="O1456" s="3">
        <v>2.3122101625000004</v>
      </c>
      <c r="P1456" s="11">
        <f t="shared" si="226"/>
        <v>-30</v>
      </c>
      <c r="Q1456" s="12">
        <f t="shared" si="227"/>
        <v>-30</v>
      </c>
      <c r="R1456" s="13">
        <f t="shared" si="228"/>
        <v>-30</v>
      </c>
      <c r="S1456" s="3">
        <v>0</v>
      </c>
      <c r="T1456" s="3" t="s">
        <v>32</v>
      </c>
      <c r="U1456" s="10">
        <v>9310099900999</v>
      </c>
      <c r="V1456" s="3">
        <v>0.1</v>
      </c>
      <c r="W1456" s="3">
        <f t="shared" si="229"/>
        <v>0</v>
      </c>
      <c r="AA1456" s="3">
        <v>42</v>
      </c>
    </row>
    <row r="1457" spans="1:27" x14ac:dyDescent="0.3">
      <c r="A1457" s="3" t="str">
        <f t="shared" si="220"/>
        <v>South9310019900840</v>
      </c>
      <c r="B1457" s="3" t="str">
        <f t="shared" si="221"/>
        <v>CMR9310019900840</v>
      </c>
      <c r="C1457" s="10">
        <v>9310019900840</v>
      </c>
      <c r="D1457" s="10" t="str">
        <f t="shared" si="222"/>
        <v>9310019900</v>
      </c>
      <c r="E1457" s="3" t="s">
        <v>5</v>
      </c>
      <c r="F1457" s="3" t="s">
        <v>65</v>
      </c>
      <c r="H1457" s="3">
        <v>9.8360000000000003</v>
      </c>
      <c r="I1457" s="10">
        <f t="shared" si="223"/>
        <v>134.67555985251997</v>
      </c>
      <c r="J1457" s="3">
        <v>2.1910434255713147</v>
      </c>
      <c r="K1457" s="3">
        <v>0</v>
      </c>
      <c r="L1457" s="3">
        <f t="shared" si="224"/>
        <v>0</v>
      </c>
      <c r="N1457" s="11">
        <f t="shared" si="225"/>
        <v>7.6449565744286856</v>
      </c>
      <c r="O1457" s="3">
        <v>2.1910434255713147</v>
      </c>
      <c r="P1457" s="11">
        <f t="shared" si="226"/>
        <v>104.67555985251998</v>
      </c>
      <c r="Q1457" s="12">
        <f t="shared" si="227"/>
        <v>102.83949357810089</v>
      </c>
      <c r="R1457" s="13">
        <f t="shared" si="228"/>
        <v>82.350057663911571</v>
      </c>
      <c r="S1457" s="3" t="s">
        <v>31</v>
      </c>
      <c r="T1457" s="3" t="s">
        <v>32</v>
      </c>
      <c r="U1457" s="10">
        <v>0</v>
      </c>
      <c r="V1457" s="3">
        <v>0</v>
      </c>
      <c r="W1457" s="3">
        <f t="shared" si="229"/>
        <v>0</v>
      </c>
      <c r="AA1457" s="3">
        <v>42</v>
      </c>
    </row>
    <row r="1458" spans="1:27" x14ac:dyDescent="0.3">
      <c r="A1458" s="3" t="str">
        <f t="shared" si="220"/>
        <v>South9310099900840</v>
      </c>
      <c r="B1458" s="3" t="str">
        <f t="shared" si="221"/>
        <v>CMR9310099900840</v>
      </c>
      <c r="C1458" s="10">
        <v>9310099900840</v>
      </c>
      <c r="D1458" s="10" t="str">
        <f t="shared" si="222"/>
        <v>9310099900</v>
      </c>
      <c r="E1458" s="3" t="s">
        <v>5</v>
      </c>
      <c r="F1458" s="3" t="s">
        <v>65</v>
      </c>
      <c r="H1458" s="3">
        <v>0</v>
      </c>
      <c r="I1458" s="10">
        <f t="shared" si="223"/>
        <v>0</v>
      </c>
      <c r="J1458" s="3">
        <v>0.92110902800000005</v>
      </c>
      <c r="K1458" s="3">
        <v>0</v>
      </c>
      <c r="L1458" s="3">
        <f t="shared" si="224"/>
        <v>0</v>
      </c>
      <c r="N1458" s="11">
        <f t="shared" si="225"/>
        <v>-0.92110902800000005</v>
      </c>
      <c r="O1458" s="3">
        <v>0.92110902800000005</v>
      </c>
      <c r="P1458" s="11">
        <f t="shared" si="226"/>
        <v>-30</v>
      </c>
      <c r="Q1458" s="12">
        <f t="shared" si="227"/>
        <v>-29.999999999999996</v>
      </c>
      <c r="R1458" s="13">
        <f t="shared" si="228"/>
        <v>-30</v>
      </c>
      <c r="S1458" s="3">
        <v>0</v>
      </c>
      <c r="T1458" s="3" t="s">
        <v>32</v>
      </c>
      <c r="U1458" s="10">
        <v>0</v>
      </c>
      <c r="V1458" s="3">
        <v>0</v>
      </c>
      <c r="W1458" s="3">
        <f t="shared" si="229"/>
        <v>0</v>
      </c>
      <c r="AA1458" s="3">
        <v>42</v>
      </c>
    </row>
    <row r="1459" spans="1:27" x14ac:dyDescent="0.3">
      <c r="A1459" s="3" t="str">
        <f t="shared" si="220"/>
        <v>South9310019900210</v>
      </c>
      <c r="B1459" s="3" t="str">
        <f t="shared" si="221"/>
        <v>CMR9310019900210</v>
      </c>
      <c r="C1459" s="10">
        <v>9310019900210</v>
      </c>
      <c r="D1459" s="10" t="str">
        <f t="shared" si="222"/>
        <v>9310019900</v>
      </c>
      <c r="E1459" s="3" t="s">
        <v>5</v>
      </c>
      <c r="F1459" s="3" t="s">
        <v>65</v>
      </c>
      <c r="H1459" s="3">
        <v>4.8000000000000001E-2</v>
      </c>
      <c r="I1459" s="10">
        <f t="shared" si="223"/>
        <v>6.3602492382128348</v>
      </c>
      <c r="J1459" s="3">
        <v>0.22640622184243606</v>
      </c>
      <c r="K1459" s="3">
        <v>0</v>
      </c>
      <c r="L1459" s="3">
        <f t="shared" si="224"/>
        <v>0</v>
      </c>
      <c r="N1459" s="11">
        <f t="shared" si="225"/>
        <v>-0.17840622184243604</v>
      </c>
      <c r="O1459" s="3">
        <v>0.22640622184243606</v>
      </c>
      <c r="P1459" s="11">
        <f t="shared" si="226"/>
        <v>-23.639750761787163</v>
      </c>
      <c r="Q1459" s="12">
        <f t="shared" si="227"/>
        <v>-13.350471148209358</v>
      </c>
      <c r="R1459" s="13">
        <f t="shared" si="228"/>
        <v>154.09203418238798</v>
      </c>
      <c r="S1459" s="3" t="s">
        <v>31</v>
      </c>
      <c r="T1459" s="3" t="s">
        <v>32</v>
      </c>
      <c r="U1459" s="10">
        <v>0</v>
      </c>
      <c r="V1459" s="3">
        <v>0</v>
      </c>
      <c r="W1459" s="3">
        <f t="shared" si="229"/>
        <v>0</v>
      </c>
      <c r="AA1459" s="3">
        <v>42</v>
      </c>
    </row>
    <row r="1460" spans="1:27" x14ac:dyDescent="0.3">
      <c r="A1460" s="3" t="str">
        <f t="shared" si="220"/>
        <v>East9330229901320</v>
      </c>
      <c r="B1460" s="3" t="str">
        <f t="shared" si="221"/>
        <v>KGP9330229901320</v>
      </c>
      <c r="C1460" s="10">
        <v>9330229901320</v>
      </c>
      <c r="D1460" s="10" t="str">
        <f t="shared" si="222"/>
        <v>9330229901</v>
      </c>
      <c r="E1460" s="3" t="s">
        <v>6</v>
      </c>
      <c r="F1460" s="3" t="s">
        <v>66</v>
      </c>
      <c r="H1460" s="3">
        <v>18.400000000000006</v>
      </c>
      <c r="I1460" s="10">
        <f t="shared" si="223"/>
        <v>24.090822420463471</v>
      </c>
      <c r="J1460" s="3">
        <v>22.913289980964482</v>
      </c>
      <c r="K1460" s="3">
        <v>32.5</v>
      </c>
      <c r="L1460" s="3">
        <f t="shared" si="224"/>
        <v>0</v>
      </c>
      <c r="N1460" s="11">
        <f t="shared" si="225"/>
        <v>-4.5132899809644762</v>
      </c>
      <c r="O1460" s="3">
        <v>22.913289980964482</v>
      </c>
      <c r="P1460" s="11">
        <f t="shared" si="226"/>
        <v>-5.9091775795365287</v>
      </c>
      <c r="Q1460" s="12">
        <f t="shared" si="227"/>
        <v>-5.9091775795365287</v>
      </c>
      <c r="R1460" s="13">
        <f t="shared" si="228"/>
        <v>5.2822110886760649</v>
      </c>
      <c r="S1460" s="3" t="s">
        <v>29</v>
      </c>
      <c r="T1460" s="3" t="s">
        <v>35</v>
      </c>
      <c r="U1460" s="10">
        <v>9330229900999</v>
      </c>
      <c r="V1460" s="3">
        <v>0.1</v>
      </c>
      <c r="W1460" s="3">
        <f t="shared" si="229"/>
        <v>3.25</v>
      </c>
      <c r="AA1460" s="3">
        <v>42</v>
      </c>
    </row>
    <row r="1461" spans="1:27" x14ac:dyDescent="0.3">
      <c r="A1461" s="3" t="str">
        <f t="shared" si="220"/>
        <v>East9432019902319</v>
      </c>
      <c r="B1461" s="3" t="str">
        <f t="shared" si="221"/>
        <v>KGP9432019902319</v>
      </c>
      <c r="C1461" s="10">
        <v>9432019902319</v>
      </c>
      <c r="D1461" s="10" t="str">
        <f t="shared" si="222"/>
        <v>9432019902</v>
      </c>
      <c r="E1461" s="3" t="s">
        <v>6</v>
      </c>
      <c r="F1461" s="3" t="s">
        <v>66</v>
      </c>
      <c r="H1461" s="3">
        <v>22.515000000000008</v>
      </c>
      <c r="I1461" s="10">
        <f t="shared" si="223"/>
        <v>70.147598592332415</v>
      </c>
      <c r="J1461" s="3">
        <v>9.6289825105122162</v>
      </c>
      <c r="K1461" s="3">
        <v>30</v>
      </c>
      <c r="L1461" s="3">
        <f t="shared" si="224"/>
        <v>0</v>
      </c>
      <c r="N1461" s="11">
        <f t="shared" si="225"/>
        <v>12.886017489487791</v>
      </c>
      <c r="O1461" s="3">
        <v>9.6289825105122162</v>
      </c>
      <c r="P1461" s="11">
        <f t="shared" si="226"/>
        <v>40.147598592332422</v>
      </c>
      <c r="Q1461" s="12">
        <f t="shared" si="227"/>
        <v>40.147598592332422</v>
      </c>
      <c r="R1461" s="13">
        <f t="shared" si="228"/>
        <v>47.124925459328132</v>
      </c>
      <c r="S1461" s="3" t="s">
        <v>31</v>
      </c>
      <c r="T1461" s="3" t="s">
        <v>35</v>
      </c>
      <c r="U1461" s="10">
        <v>9432019900999</v>
      </c>
      <c r="V1461" s="3">
        <v>0.1</v>
      </c>
      <c r="W1461" s="3">
        <f t="shared" si="229"/>
        <v>3</v>
      </c>
      <c r="AA1461" s="3">
        <v>42</v>
      </c>
    </row>
    <row r="1462" spans="1:27" x14ac:dyDescent="0.3">
      <c r="A1462" s="3" t="str">
        <f t="shared" si="220"/>
        <v>East9330229901310</v>
      </c>
      <c r="B1462" s="3" t="str">
        <f t="shared" si="221"/>
        <v>KGP9330229901310</v>
      </c>
      <c r="C1462" s="10">
        <v>9330229901310</v>
      </c>
      <c r="D1462" s="10" t="str">
        <f t="shared" si="222"/>
        <v>9330229901</v>
      </c>
      <c r="E1462" s="3" t="s">
        <v>6</v>
      </c>
      <c r="F1462" s="3" t="s">
        <v>66</v>
      </c>
      <c r="H1462" s="3">
        <v>3.8199999999999994</v>
      </c>
      <c r="I1462" s="10">
        <f t="shared" si="223"/>
        <v>15.077081769941739</v>
      </c>
      <c r="J1462" s="3">
        <v>7.6009404040290489</v>
      </c>
      <c r="K1462" s="3">
        <v>22</v>
      </c>
      <c r="L1462" s="3">
        <f t="shared" si="224"/>
        <v>0</v>
      </c>
      <c r="N1462" s="11">
        <f t="shared" si="225"/>
        <v>-3.7809404040290495</v>
      </c>
      <c r="O1462" s="3">
        <v>7.6009404040290489</v>
      </c>
      <c r="P1462" s="11">
        <f t="shared" si="226"/>
        <v>-14.92291823005826</v>
      </c>
      <c r="Q1462" s="12">
        <f t="shared" si="227"/>
        <v>-14.922918230058258</v>
      </c>
      <c r="R1462" s="13">
        <f t="shared" si="228"/>
        <v>9.6850554515557317</v>
      </c>
      <c r="S1462" s="3" t="s">
        <v>30</v>
      </c>
      <c r="T1462" s="3" t="s">
        <v>35</v>
      </c>
      <c r="U1462" s="10">
        <v>9330229900999</v>
      </c>
      <c r="V1462" s="3">
        <v>0.1</v>
      </c>
      <c r="W1462" s="3">
        <f t="shared" si="229"/>
        <v>2.2000000000000002</v>
      </c>
      <c r="AA1462" s="3">
        <v>42</v>
      </c>
    </row>
    <row r="1463" spans="1:27" x14ac:dyDescent="0.3">
      <c r="A1463" s="3" t="str">
        <f t="shared" si="220"/>
        <v>East9432019902295</v>
      </c>
      <c r="B1463" s="3" t="str">
        <f t="shared" si="221"/>
        <v>KGP9432019902295</v>
      </c>
      <c r="C1463" s="10">
        <v>9432019902295</v>
      </c>
      <c r="D1463" s="10" t="str">
        <f t="shared" si="222"/>
        <v>9432019902</v>
      </c>
      <c r="E1463" s="3" t="s">
        <v>6</v>
      </c>
      <c r="F1463" s="3" t="s">
        <v>66</v>
      </c>
      <c r="H1463" s="3">
        <v>20.71</v>
      </c>
      <c r="I1463" s="10">
        <f t="shared" si="223"/>
        <v>86.75117674199096</v>
      </c>
      <c r="J1463" s="3">
        <v>7.1618625053101628</v>
      </c>
      <c r="K1463" s="3">
        <v>0</v>
      </c>
      <c r="L1463" s="3">
        <f t="shared" si="224"/>
        <v>0</v>
      </c>
      <c r="N1463" s="11">
        <f t="shared" si="225"/>
        <v>13.548137494689838</v>
      </c>
      <c r="O1463" s="3">
        <v>7.1618625053101628</v>
      </c>
      <c r="P1463" s="11">
        <f t="shared" si="226"/>
        <v>56.751176741990946</v>
      </c>
      <c r="Q1463" s="12">
        <f t="shared" si="227"/>
        <v>56.751176741990953</v>
      </c>
      <c r="R1463" s="13">
        <f t="shared" si="228"/>
        <v>48.704698711521544</v>
      </c>
      <c r="S1463" s="3" t="s">
        <v>31</v>
      </c>
      <c r="T1463" s="3" t="s">
        <v>35</v>
      </c>
      <c r="U1463" s="10">
        <v>9432019900999</v>
      </c>
      <c r="V1463" s="3">
        <v>0.1</v>
      </c>
      <c r="W1463" s="3">
        <f t="shared" si="229"/>
        <v>0</v>
      </c>
      <c r="AA1463" s="3">
        <v>42</v>
      </c>
    </row>
    <row r="1464" spans="1:27" x14ac:dyDescent="0.3">
      <c r="A1464" s="3" t="str">
        <f t="shared" si="220"/>
        <v>East9432019902838</v>
      </c>
      <c r="B1464" s="3" t="str">
        <f t="shared" si="221"/>
        <v>KGP9432019902838</v>
      </c>
      <c r="C1464" s="10">
        <v>9432019902838</v>
      </c>
      <c r="D1464" s="10" t="str">
        <f t="shared" si="222"/>
        <v>9432019902</v>
      </c>
      <c r="E1464" s="3" t="s">
        <v>6</v>
      </c>
      <c r="F1464" s="3" t="s">
        <v>66</v>
      </c>
      <c r="H1464" s="3">
        <v>15.5724</v>
      </c>
      <c r="I1464" s="10">
        <f t="shared" si="223"/>
        <v>88.693513480553207</v>
      </c>
      <c r="J1464" s="3">
        <v>5.2672623021347702</v>
      </c>
      <c r="K1464" s="3">
        <v>0</v>
      </c>
      <c r="L1464" s="3">
        <f t="shared" si="224"/>
        <v>0</v>
      </c>
      <c r="N1464" s="11">
        <f t="shared" si="225"/>
        <v>10.305137697865231</v>
      </c>
      <c r="O1464" s="3">
        <v>5.2672623021347702</v>
      </c>
      <c r="P1464" s="11">
        <f t="shared" si="226"/>
        <v>58.693513480553221</v>
      </c>
      <c r="Q1464" s="12">
        <f t="shared" si="227"/>
        <v>58.693513480553221</v>
      </c>
      <c r="R1464" s="13">
        <f t="shared" si="228"/>
        <v>34.337624916396607</v>
      </c>
      <c r="S1464" s="3" t="s">
        <v>31</v>
      </c>
      <c r="T1464" s="3" t="s">
        <v>35</v>
      </c>
      <c r="U1464" s="10">
        <v>0</v>
      </c>
      <c r="V1464" s="3">
        <v>0</v>
      </c>
      <c r="W1464" s="3">
        <f t="shared" si="229"/>
        <v>0</v>
      </c>
      <c r="AA1464" s="3">
        <v>42</v>
      </c>
    </row>
    <row r="1465" spans="1:27" x14ac:dyDescent="0.3">
      <c r="A1465" s="3" t="str">
        <f t="shared" si="220"/>
        <v>East9432019902195</v>
      </c>
      <c r="B1465" s="3" t="str">
        <f t="shared" si="221"/>
        <v>KGP9432019902195</v>
      </c>
      <c r="C1465" s="10">
        <v>9432019902195</v>
      </c>
      <c r="D1465" s="10" t="str">
        <f t="shared" si="222"/>
        <v>9432019902</v>
      </c>
      <c r="E1465" s="3" t="s">
        <v>6</v>
      </c>
      <c r="F1465" s="3" t="s">
        <v>66</v>
      </c>
      <c r="H1465" s="3">
        <v>1.3167</v>
      </c>
      <c r="I1465" s="10">
        <f t="shared" si="223"/>
        <v>12.003172378619373</v>
      </c>
      <c r="J1465" s="3">
        <v>3.2908800068856023</v>
      </c>
      <c r="K1465" s="3">
        <v>12</v>
      </c>
      <c r="L1465" s="3">
        <f t="shared" si="224"/>
        <v>0</v>
      </c>
      <c r="N1465" s="11">
        <f t="shared" si="225"/>
        <v>-1.9741800068856024</v>
      </c>
      <c r="O1465" s="3">
        <v>3.2908800068856023</v>
      </c>
      <c r="P1465" s="11">
        <f t="shared" si="226"/>
        <v>-17.996827621380625</v>
      </c>
      <c r="Q1465" s="12">
        <f t="shared" si="227"/>
        <v>-17.996827621380625</v>
      </c>
      <c r="R1465" s="13">
        <f t="shared" si="228"/>
        <v>-4.5391497566448349</v>
      </c>
      <c r="S1465" s="3" t="s">
        <v>31</v>
      </c>
      <c r="T1465" s="3" t="s">
        <v>35</v>
      </c>
      <c r="U1465" s="10">
        <v>0</v>
      </c>
      <c r="V1465" s="3">
        <v>0</v>
      </c>
      <c r="W1465" s="3">
        <f t="shared" si="229"/>
        <v>0</v>
      </c>
      <c r="AA1465" s="3">
        <v>42</v>
      </c>
    </row>
    <row r="1466" spans="1:27" x14ac:dyDescent="0.3">
      <c r="A1466" s="3" t="str">
        <f t="shared" si="220"/>
        <v>East9330229901840</v>
      </c>
      <c r="B1466" s="3" t="str">
        <f t="shared" si="221"/>
        <v>KGP9330229901840</v>
      </c>
      <c r="C1466" s="10">
        <v>9330229901840</v>
      </c>
      <c r="D1466" s="10" t="str">
        <f t="shared" si="222"/>
        <v>9330229901</v>
      </c>
      <c r="E1466" s="3" t="s">
        <v>6</v>
      </c>
      <c r="F1466" s="3" t="s">
        <v>66</v>
      </c>
      <c r="H1466" s="3">
        <v>3.9720000000000013</v>
      </c>
      <c r="I1466" s="10">
        <f t="shared" si="223"/>
        <v>39.061590322921383</v>
      </c>
      <c r="J1466" s="3">
        <v>3.0505670407913943</v>
      </c>
      <c r="K1466" s="3">
        <v>0</v>
      </c>
      <c r="L1466" s="3">
        <f t="shared" si="224"/>
        <v>0</v>
      </c>
      <c r="N1466" s="11">
        <f t="shared" si="225"/>
        <v>0.92143295920860702</v>
      </c>
      <c r="O1466" s="3">
        <v>3.0505670407913943</v>
      </c>
      <c r="P1466" s="11">
        <f t="shared" si="226"/>
        <v>9.0615903229213792</v>
      </c>
      <c r="Q1466" s="12">
        <f t="shared" si="227"/>
        <v>9.061590322921381</v>
      </c>
      <c r="R1466" s="13">
        <f t="shared" si="228"/>
        <v>20.316513479669023</v>
      </c>
      <c r="S1466" s="3" t="s">
        <v>31</v>
      </c>
      <c r="T1466" s="3" t="s">
        <v>35</v>
      </c>
      <c r="U1466" s="10">
        <v>0</v>
      </c>
      <c r="V1466" s="3">
        <v>0</v>
      </c>
      <c r="W1466" s="3">
        <f t="shared" si="229"/>
        <v>0</v>
      </c>
      <c r="AA1466" s="3">
        <v>42</v>
      </c>
    </row>
    <row r="1467" spans="1:27" x14ac:dyDescent="0.3">
      <c r="A1467" s="3" t="str">
        <f t="shared" si="220"/>
        <v>East9330229901210</v>
      </c>
      <c r="B1467" s="3" t="str">
        <f t="shared" si="221"/>
        <v>KGP9330229901210</v>
      </c>
      <c r="C1467" s="10">
        <v>9330229901210</v>
      </c>
      <c r="D1467" s="10" t="str">
        <f t="shared" si="222"/>
        <v>9330229901</v>
      </c>
      <c r="E1467" s="3" t="s">
        <v>6</v>
      </c>
      <c r="F1467" s="3" t="s">
        <v>66</v>
      </c>
      <c r="H1467" s="3">
        <v>2.3230000000000004</v>
      </c>
      <c r="I1467" s="10">
        <f t="shared" si="223"/>
        <v>54.624178906827488</v>
      </c>
      <c r="J1467" s="3">
        <v>1.2758086509432081</v>
      </c>
      <c r="K1467" s="3">
        <v>0</v>
      </c>
      <c r="L1467" s="3">
        <f t="shared" si="224"/>
        <v>0</v>
      </c>
      <c r="N1467" s="11">
        <f t="shared" si="225"/>
        <v>1.0471913490567923</v>
      </c>
      <c r="O1467" s="3">
        <v>1.2758086509432081</v>
      </c>
      <c r="P1467" s="11">
        <f t="shared" si="226"/>
        <v>24.624178906827481</v>
      </c>
      <c r="Q1467" s="12">
        <f t="shared" si="227"/>
        <v>24.624178906827481</v>
      </c>
      <c r="R1467" s="13">
        <f t="shared" si="228"/>
        <v>40.97444806865218</v>
      </c>
      <c r="S1467" s="3" t="s">
        <v>31</v>
      </c>
      <c r="T1467" s="3" t="s">
        <v>35</v>
      </c>
      <c r="U1467" s="10">
        <v>0</v>
      </c>
      <c r="V1467" s="3">
        <v>0</v>
      </c>
      <c r="W1467" s="3">
        <f t="shared" si="229"/>
        <v>0</v>
      </c>
      <c r="AA1467" s="3">
        <v>42</v>
      </c>
    </row>
    <row r="1468" spans="1:27" ht="15.6" x14ac:dyDescent="0.3">
      <c r="A1468" s="3" t="str">
        <f t="shared" si="220"/>
        <v>West9330209901320</v>
      </c>
      <c r="B1468" s="3" t="str">
        <f t="shared" si="221"/>
        <v>Mah9330209901320</v>
      </c>
      <c r="C1468" s="14">
        <v>9330209901320</v>
      </c>
      <c r="D1468" s="10" t="str">
        <f t="shared" si="222"/>
        <v>9330209901</v>
      </c>
      <c r="E1468" s="3" t="s">
        <v>1</v>
      </c>
      <c r="F1468" s="3" t="s">
        <v>63</v>
      </c>
      <c r="G1468"/>
      <c r="H1468" s="3">
        <v>91.32</v>
      </c>
      <c r="I1468" s="10">
        <f t="shared" si="223"/>
        <v>47.95484230836793</v>
      </c>
      <c r="J1468" s="3">
        <v>57.128745881037972</v>
      </c>
      <c r="K1468" s="3">
        <v>0</v>
      </c>
      <c r="L1468" s="3">
        <f t="shared" si="224"/>
        <v>0</v>
      </c>
      <c r="M1468" s="32"/>
      <c r="N1468" s="11">
        <f t="shared" si="225"/>
        <v>34.191254118962021</v>
      </c>
      <c r="O1468" s="3">
        <v>57.128745881037972</v>
      </c>
      <c r="P1468" s="11">
        <f t="shared" si="226"/>
        <v>17.95484230836793</v>
      </c>
      <c r="Q1468" s="12">
        <f t="shared" si="227"/>
        <v>17.95484230836793</v>
      </c>
      <c r="R1468" s="13">
        <f t="shared" si="228"/>
        <v>-2.7737615488561329</v>
      </c>
      <c r="S1468" s="3" t="s">
        <v>29</v>
      </c>
      <c r="T1468" s="3" t="s">
        <v>35</v>
      </c>
      <c r="U1468" s="10">
        <v>9330209900999</v>
      </c>
      <c r="V1468" s="3">
        <v>0.1</v>
      </c>
      <c r="W1468" s="3">
        <f t="shared" si="229"/>
        <v>0</v>
      </c>
      <c r="Y1468" s="3">
        <v>0</v>
      </c>
      <c r="Z1468" s="3">
        <v>0</v>
      </c>
      <c r="AA1468">
        <v>43</v>
      </c>
    </row>
    <row r="1469" spans="1:27" x14ac:dyDescent="0.3">
      <c r="A1469" s="3" t="str">
        <f t="shared" si="220"/>
        <v>West9330209901310</v>
      </c>
      <c r="B1469" s="3" t="str">
        <f t="shared" si="221"/>
        <v>Mah9330209901310</v>
      </c>
      <c r="C1469" s="14">
        <v>9330209901310</v>
      </c>
      <c r="D1469" s="10" t="str">
        <f t="shared" si="222"/>
        <v>9330209901</v>
      </c>
      <c r="E1469" s="3" t="s">
        <v>1</v>
      </c>
      <c r="F1469" s="3" t="s">
        <v>63</v>
      </c>
      <c r="H1469" s="3">
        <v>30.076000000000001</v>
      </c>
      <c r="I1469" s="10">
        <f t="shared" si="223"/>
        <v>84.316388269182156</v>
      </c>
      <c r="J1469" s="3">
        <v>10.701122504434711</v>
      </c>
      <c r="K1469" s="3">
        <v>0</v>
      </c>
      <c r="L1469" s="3">
        <f t="shared" si="224"/>
        <v>0</v>
      </c>
      <c r="M1469" s="32"/>
      <c r="N1469" s="11">
        <f t="shared" si="225"/>
        <v>19.37487749556529</v>
      </c>
      <c r="O1469" s="3">
        <v>10.701122504434711</v>
      </c>
      <c r="P1469" s="11">
        <f t="shared" si="226"/>
        <v>54.316388269182156</v>
      </c>
      <c r="Q1469" s="12">
        <f t="shared" si="227"/>
        <v>54.316388269182163</v>
      </c>
      <c r="R1469" s="13">
        <f t="shared" si="228"/>
        <v>0.86876647360711279</v>
      </c>
      <c r="S1469" s="3" t="s">
        <v>29</v>
      </c>
      <c r="T1469" s="3" t="s">
        <v>35</v>
      </c>
      <c r="U1469" s="10">
        <v>9330209900999</v>
      </c>
      <c r="V1469" s="3">
        <v>0.1</v>
      </c>
      <c r="W1469" s="3">
        <f t="shared" si="229"/>
        <v>0</v>
      </c>
      <c r="Y1469" s="3">
        <v>0</v>
      </c>
      <c r="Z1469" s="3">
        <v>54</v>
      </c>
      <c r="AA1469" s="3">
        <v>43</v>
      </c>
    </row>
    <row r="1470" spans="1:27" x14ac:dyDescent="0.3">
      <c r="A1470" s="3" t="str">
        <f t="shared" si="220"/>
        <v>West9330209901840</v>
      </c>
      <c r="B1470" s="3" t="str">
        <f t="shared" si="221"/>
        <v>Mah9330209901840</v>
      </c>
      <c r="C1470" s="10">
        <v>9330209901840</v>
      </c>
      <c r="D1470" s="10" t="str">
        <f t="shared" si="222"/>
        <v>9330209901</v>
      </c>
      <c r="E1470" s="3" t="s">
        <v>1</v>
      </c>
      <c r="F1470" s="3" t="s">
        <v>63</v>
      </c>
      <c r="H1470" s="3">
        <v>6.8880000000000017</v>
      </c>
      <c r="I1470" s="10">
        <f t="shared" si="223"/>
        <v>46.852602533884287</v>
      </c>
      <c r="J1470" s="3">
        <v>4.4104273578091178</v>
      </c>
      <c r="K1470" s="3">
        <v>0</v>
      </c>
      <c r="L1470" s="3">
        <f t="shared" si="224"/>
        <v>0</v>
      </c>
      <c r="M1470" s="32"/>
      <c r="N1470" s="11">
        <f t="shared" si="225"/>
        <v>2.4775726421908839</v>
      </c>
      <c r="O1470" s="3">
        <v>4.4104273578091178</v>
      </c>
      <c r="P1470" s="11">
        <f t="shared" si="226"/>
        <v>16.852602533884287</v>
      </c>
      <c r="Q1470" s="12">
        <f t="shared" si="227"/>
        <v>16.852602533884287</v>
      </c>
      <c r="R1470" s="13">
        <f t="shared" si="228"/>
        <v>-2.4217967524396196</v>
      </c>
      <c r="S1470" s="3" t="s">
        <v>30</v>
      </c>
      <c r="T1470" s="3" t="s">
        <v>35</v>
      </c>
      <c r="U1470" s="10">
        <v>0</v>
      </c>
      <c r="V1470" s="3">
        <v>0</v>
      </c>
      <c r="W1470" s="3">
        <f t="shared" si="229"/>
        <v>0</v>
      </c>
      <c r="Y1470" s="3">
        <v>0</v>
      </c>
      <c r="Z1470" s="3">
        <v>165</v>
      </c>
      <c r="AA1470" s="3">
        <v>43</v>
      </c>
    </row>
    <row r="1471" spans="1:27" x14ac:dyDescent="0.3">
      <c r="A1471" s="3" t="str">
        <f t="shared" si="220"/>
        <v>West9330209901210</v>
      </c>
      <c r="B1471" s="3" t="str">
        <f t="shared" si="221"/>
        <v>Mah9330209901210</v>
      </c>
      <c r="C1471" s="10">
        <v>9330209901210</v>
      </c>
      <c r="D1471" s="10" t="str">
        <f t="shared" si="222"/>
        <v>9330209901</v>
      </c>
      <c r="E1471" s="3" t="s">
        <v>1</v>
      </c>
      <c r="F1471" s="3" t="s">
        <v>63</v>
      </c>
      <c r="H1471" s="3">
        <v>7.1590000000000007</v>
      </c>
      <c r="I1471" s="10">
        <f t="shared" si="223"/>
        <v>97.515493990225721</v>
      </c>
      <c r="J1471" s="3">
        <v>2.2024192383369057</v>
      </c>
      <c r="K1471" s="3">
        <v>0</v>
      </c>
      <c r="L1471" s="3">
        <f t="shared" si="224"/>
        <v>0</v>
      </c>
      <c r="M1471" s="32"/>
      <c r="N1471" s="11">
        <f t="shared" si="225"/>
        <v>4.956580761663095</v>
      </c>
      <c r="O1471" s="3">
        <v>2.2024192383369057</v>
      </c>
      <c r="P1471" s="11">
        <f t="shared" si="226"/>
        <v>67.515493990225721</v>
      </c>
      <c r="Q1471" s="12">
        <f t="shared" si="227"/>
        <v>67.515493990225721</v>
      </c>
      <c r="R1471" s="13">
        <f t="shared" si="228"/>
        <v>19.010581716110313</v>
      </c>
      <c r="S1471" s="3" t="s">
        <v>30</v>
      </c>
      <c r="T1471" s="3" t="s">
        <v>35</v>
      </c>
      <c r="U1471" s="10">
        <v>0</v>
      </c>
      <c r="V1471" s="3">
        <v>0</v>
      </c>
      <c r="W1471" s="3">
        <f t="shared" si="229"/>
        <v>0</v>
      </c>
      <c r="Y1471" s="3">
        <v>1.13686837721616E-13</v>
      </c>
      <c r="Z1471" s="3">
        <v>480</v>
      </c>
      <c r="AA1471" s="3">
        <v>43</v>
      </c>
    </row>
    <row r="1472" spans="1:27" x14ac:dyDescent="0.3">
      <c r="A1472" s="3" t="str">
        <f t="shared" si="220"/>
        <v>North9330229901320</v>
      </c>
      <c r="B1472" s="3" t="str">
        <f t="shared" si="221"/>
        <v>Pan9330229901320</v>
      </c>
      <c r="C1472" s="10">
        <v>9330229901320</v>
      </c>
      <c r="D1472" s="10" t="str">
        <f t="shared" si="222"/>
        <v>9330229901</v>
      </c>
      <c r="E1472" s="3" t="s">
        <v>2</v>
      </c>
      <c r="F1472" s="3" t="s">
        <v>64</v>
      </c>
      <c r="H1472" s="3">
        <v>76.739999999999995</v>
      </c>
      <c r="I1472" s="10">
        <f t="shared" si="223"/>
        <v>30.86904237588039</v>
      </c>
      <c r="J1472" s="3">
        <v>74.579573022285587</v>
      </c>
      <c r="K1472" s="3">
        <v>64.5</v>
      </c>
      <c r="L1472" s="3">
        <f t="shared" si="224"/>
        <v>0</v>
      </c>
      <c r="N1472" s="11">
        <f t="shared" si="225"/>
        <v>2.1604269777144083</v>
      </c>
      <c r="O1472" s="3">
        <v>74.579573022285587</v>
      </c>
      <c r="P1472" s="11">
        <f t="shared" si="226"/>
        <v>0.8690423758803919</v>
      </c>
      <c r="Q1472" s="12">
        <f t="shared" si="227"/>
        <v>10.06703409702682</v>
      </c>
      <c r="R1472" s="13">
        <f t="shared" si="228"/>
        <v>5.2822110886760649</v>
      </c>
      <c r="S1472" s="3" t="s">
        <v>29</v>
      </c>
      <c r="T1472" s="3" t="s">
        <v>35</v>
      </c>
      <c r="U1472" s="10">
        <v>9330229900999</v>
      </c>
      <c r="V1472" s="3">
        <v>0.1</v>
      </c>
      <c r="W1472" s="3">
        <f t="shared" si="229"/>
        <v>6.45</v>
      </c>
      <c r="AA1472" s="3">
        <v>43</v>
      </c>
    </row>
    <row r="1473" spans="1:27" x14ac:dyDescent="0.3">
      <c r="A1473" s="3" t="str">
        <f t="shared" si="220"/>
        <v>North9330229901310</v>
      </c>
      <c r="B1473" s="3" t="str">
        <f t="shared" si="221"/>
        <v>Pan9330229901310</v>
      </c>
      <c r="C1473" s="10">
        <v>9330229901310</v>
      </c>
      <c r="D1473" s="10" t="str">
        <f t="shared" si="222"/>
        <v>9330229901</v>
      </c>
      <c r="E1473" s="3" t="s">
        <v>2</v>
      </c>
      <c r="F1473" s="3" t="s">
        <v>64</v>
      </c>
      <c r="H1473" s="3">
        <v>11.99</v>
      </c>
      <c r="I1473" s="10">
        <f t="shared" si="223"/>
        <v>23.88567506982443</v>
      </c>
      <c r="J1473" s="3">
        <v>15.059235250772586</v>
      </c>
      <c r="K1473" s="3">
        <v>21.5</v>
      </c>
      <c r="L1473" s="3">
        <f t="shared" si="224"/>
        <v>0</v>
      </c>
      <c r="N1473" s="11">
        <f t="shared" si="225"/>
        <v>-3.0692352507725857</v>
      </c>
      <c r="O1473" s="3">
        <v>15.059235250772586</v>
      </c>
      <c r="P1473" s="11">
        <f t="shared" si="226"/>
        <v>-6.1143249301755693</v>
      </c>
      <c r="Q1473" s="12">
        <f t="shared" si="227"/>
        <v>20.365263202941325</v>
      </c>
      <c r="R1473" s="13">
        <f t="shared" si="228"/>
        <v>9.6850554515557317</v>
      </c>
      <c r="S1473" s="3" t="s">
        <v>30</v>
      </c>
      <c r="T1473" s="3" t="s">
        <v>35</v>
      </c>
      <c r="U1473" s="10">
        <v>9330229900999</v>
      </c>
      <c r="V1473" s="3">
        <v>0.1</v>
      </c>
      <c r="W1473" s="3">
        <f t="shared" si="229"/>
        <v>2.15</v>
      </c>
      <c r="AA1473" s="3">
        <v>43</v>
      </c>
    </row>
    <row r="1474" spans="1:27" x14ac:dyDescent="0.3">
      <c r="A1474" s="3" t="str">
        <f t="shared" si="220"/>
        <v>North9330229901840</v>
      </c>
      <c r="B1474" s="3" t="str">
        <f t="shared" si="221"/>
        <v>Pan9330229901840</v>
      </c>
      <c r="C1474" s="10">
        <v>9330229901840</v>
      </c>
      <c r="D1474" s="10" t="str">
        <f t="shared" si="222"/>
        <v>9330229901</v>
      </c>
      <c r="E1474" s="3" t="s">
        <v>2</v>
      </c>
      <c r="F1474" s="3" t="s">
        <v>64</v>
      </c>
      <c r="H1474" s="3">
        <v>7.5960000000000019</v>
      </c>
      <c r="I1474" s="10">
        <f t="shared" si="223"/>
        <v>42.337450610777744</v>
      </c>
      <c r="J1474" s="3">
        <v>5.3824686350384354</v>
      </c>
      <c r="K1474" s="3">
        <v>11.5</v>
      </c>
      <c r="L1474" s="3">
        <f t="shared" si="224"/>
        <v>0</v>
      </c>
      <c r="N1474" s="11">
        <f t="shared" si="225"/>
        <v>2.2135313649615664</v>
      </c>
      <c r="O1474" s="3">
        <v>5.3824686350384354</v>
      </c>
      <c r="P1474" s="11">
        <f t="shared" si="226"/>
        <v>12.337450610777744</v>
      </c>
      <c r="Q1474" s="12">
        <f t="shared" si="227"/>
        <v>14.191948256570075</v>
      </c>
      <c r="R1474" s="13">
        <f t="shared" si="228"/>
        <v>20.316513479669023</v>
      </c>
      <c r="S1474" s="3" t="s">
        <v>31</v>
      </c>
      <c r="T1474" s="3" t="s">
        <v>35</v>
      </c>
      <c r="U1474" s="10">
        <v>0</v>
      </c>
      <c r="V1474" s="3">
        <v>0</v>
      </c>
      <c r="W1474" s="3">
        <f t="shared" si="229"/>
        <v>0</v>
      </c>
      <c r="AA1474" s="3">
        <v>43</v>
      </c>
    </row>
    <row r="1475" spans="1:27" x14ac:dyDescent="0.3">
      <c r="A1475" s="3" t="str">
        <f t="shared" si="220"/>
        <v>North9310049902219</v>
      </c>
      <c r="B1475" s="3" t="str">
        <f t="shared" si="221"/>
        <v>Pan9310049902219</v>
      </c>
      <c r="C1475" s="10">
        <v>9310049902219</v>
      </c>
      <c r="D1475" s="10" t="str">
        <f t="shared" si="222"/>
        <v>9310049902</v>
      </c>
      <c r="E1475" s="3" t="s">
        <v>2</v>
      </c>
      <c r="F1475" s="3" t="s">
        <v>64</v>
      </c>
      <c r="H1475" s="3">
        <v>15.658500000000002</v>
      </c>
      <c r="I1475" s="10">
        <f t="shared" si="223"/>
        <v>103.13071540075067</v>
      </c>
      <c r="J1475" s="3">
        <v>4.5549475553873719</v>
      </c>
      <c r="K1475" s="3">
        <v>0</v>
      </c>
      <c r="L1475" s="3">
        <f t="shared" si="224"/>
        <v>0</v>
      </c>
      <c r="N1475" s="11">
        <f t="shared" si="225"/>
        <v>11.10355244461263</v>
      </c>
      <c r="O1475" s="3">
        <v>4.5549475553873719</v>
      </c>
      <c r="P1475" s="11">
        <f t="shared" si="226"/>
        <v>73.130715400750674</v>
      </c>
      <c r="Q1475" s="12">
        <f t="shared" si="227"/>
        <v>73.130715400750674</v>
      </c>
      <c r="R1475" s="13">
        <f t="shared" si="228"/>
        <v>73.130715400750674</v>
      </c>
      <c r="S1475" s="3" t="s">
        <v>31</v>
      </c>
      <c r="T1475" s="3" t="s">
        <v>32</v>
      </c>
      <c r="U1475" s="10">
        <v>9310049900999</v>
      </c>
      <c r="V1475" s="3">
        <v>0.1</v>
      </c>
      <c r="W1475" s="3">
        <f t="shared" si="229"/>
        <v>0</v>
      </c>
      <c r="AA1475" s="3">
        <v>43</v>
      </c>
    </row>
    <row r="1476" spans="1:27" x14ac:dyDescent="0.3">
      <c r="A1476" s="3" t="str">
        <f t="shared" ref="A1476:A1539" si="230">_xlfn.CONCAT(F1476,C1476)</f>
        <v>North9420049901320</v>
      </c>
      <c r="B1476" s="3" t="str">
        <f t="shared" ref="B1476:B1539" si="231">_xlfn.CONCAT(E1476,C1476)</f>
        <v>Pan9420049901320</v>
      </c>
      <c r="C1476" s="10">
        <v>9420049901320</v>
      </c>
      <c r="D1476" s="10" t="str">
        <f t="shared" ref="D1476:D1539" si="232">LEFT(C1476,10)</f>
        <v>9420049901</v>
      </c>
      <c r="E1476" s="3" t="s">
        <v>2</v>
      </c>
      <c r="F1476" s="3" t="s">
        <v>64</v>
      </c>
      <c r="H1476" s="3">
        <v>33.24</v>
      </c>
      <c r="I1476" s="10">
        <f t="shared" ref="I1476:I1539" si="233">IFERROR(H1476/J1476*30,0)</f>
        <v>238.99019341462375</v>
      </c>
      <c r="J1476" s="3">
        <v>4.1725561444689037</v>
      </c>
      <c r="K1476" s="3">
        <v>0</v>
      </c>
      <c r="L1476" s="3">
        <f t="shared" ref="L1476:L1539" si="234">M1476*G1476</f>
        <v>0</v>
      </c>
      <c r="N1476" s="11">
        <f t="shared" ref="N1476:N1539" si="235">H1476-J1476+L1476</f>
        <v>29.067443855531099</v>
      </c>
      <c r="O1476" s="3">
        <v>4.1725561444689037</v>
      </c>
      <c r="P1476" s="11">
        <f t="shared" ref="P1476:P1539" si="236">IF(O1476=0,9999,N1476/O1476*30)</f>
        <v>208.99019341462375</v>
      </c>
      <c r="Q1476" s="12">
        <f t="shared" ref="Q1476:Q1539" si="237">IF(SUMIF($A:$A,$A1476,$O:$O)=0,9999,SUMIF($A:$A,$A1476,$N:$N)*30/SUMIF($A:$A,$A1476,$O:$O))</f>
        <v>113.62827965644966</v>
      </c>
      <c r="R1476" s="13">
        <f t="shared" ref="R1476:R1539" si="238">IF(SUMIF($C:$C,$C1476,$O:$O)=0,9999,SUMIF($C:$C,$C1476,$N:$N)*30/SUMIF($C:$C,$C1476,$O:$O))</f>
        <v>68.696520476184929</v>
      </c>
      <c r="S1476" s="3" t="s">
        <v>31</v>
      </c>
      <c r="T1476" s="3" t="s">
        <v>28</v>
      </c>
      <c r="U1476" s="10">
        <v>9420049900999</v>
      </c>
      <c r="V1476" s="3">
        <v>0.1</v>
      </c>
      <c r="W1476" s="3">
        <f t="shared" ref="W1476:W1539" si="239">IFERROR(K1476*V1476,0)</f>
        <v>0</v>
      </c>
      <c r="AA1476" s="3">
        <v>43</v>
      </c>
    </row>
    <row r="1477" spans="1:27" x14ac:dyDescent="0.3">
      <c r="A1477" s="3" t="str">
        <f t="shared" si="230"/>
        <v>North9330229901210</v>
      </c>
      <c r="B1477" s="3" t="str">
        <f t="shared" si="231"/>
        <v>Pan9330229901210</v>
      </c>
      <c r="C1477" s="10">
        <v>9330229901210</v>
      </c>
      <c r="D1477" s="10" t="str">
        <f t="shared" si="232"/>
        <v>9330229901</v>
      </c>
      <c r="E1477" s="3" t="s">
        <v>2</v>
      </c>
      <c r="F1477" s="3" t="s">
        <v>64</v>
      </c>
      <c r="H1477" s="3">
        <v>7.5240000000000009</v>
      </c>
      <c r="I1477" s="10">
        <f t="shared" si="233"/>
        <v>106.46825902118763</v>
      </c>
      <c r="J1477" s="3">
        <v>2.1200684793303588</v>
      </c>
      <c r="K1477" s="3">
        <v>0</v>
      </c>
      <c r="L1477" s="3">
        <f t="shared" si="234"/>
        <v>0</v>
      </c>
      <c r="N1477" s="11">
        <f t="shared" si="235"/>
        <v>5.4039315206696426</v>
      </c>
      <c r="O1477" s="3">
        <v>2.1200684793303588</v>
      </c>
      <c r="P1477" s="11">
        <f t="shared" si="236"/>
        <v>76.468259021187649</v>
      </c>
      <c r="Q1477" s="12">
        <f t="shared" si="237"/>
        <v>75.293495311231808</v>
      </c>
      <c r="R1477" s="13">
        <f t="shared" si="238"/>
        <v>40.97444806865218</v>
      </c>
      <c r="S1477" s="3" t="s">
        <v>31</v>
      </c>
      <c r="T1477" s="3" t="s">
        <v>35</v>
      </c>
      <c r="U1477" s="10">
        <v>0</v>
      </c>
      <c r="V1477" s="3">
        <v>0</v>
      </c>
      <c r="W1477" s="3">
        <f t="shared" si="239"/>
        <v>0</v>
      </c>
      <c r="AA1477" s="3">
        <v>43</v>
      </c>
    </row>
    <row r="1478" spans="1:27" x14ac:dyDescent="0.3">
      <c r="A1478" s="3" t="str">
        <f t="shared" si="230"/>
        <v>North9310049902839</v>
      </c>
      <c r="B1478" s="3" t="str">
        <f t="shared" si="231"/>
        <v>Pan9310049902839</v>
      </c>
      <c r="C1478" s="10">
        <v>9310049902839</v>
      </c>
      <c r="D1478" s="10" t="str">
        <f t="shared" si="232"/>
        <v>9310049902</v>
      </c>
      <c r="E1478" s="3" t="s">
        <v>2</v>
      </c>
      <c r="F1478" s="3" t="s">
        <v>64</v>
      </c>
      <c r="H1478" s="3">
        <v>10.631400000000006</v>
      </c>
      <c r="I1478" s="10">
        <f t="shared" si="233"/>
        <v>220.27453555529837</v>
      </c>
      <c r="J1478" s="3">
        <v>1.447929508492515</v>
      </c>
      <c r="K1478" s="3">
        <v>0</v>
      </c>
      <c r="L1478" s="3">
        <f t="shared" si="234"/>
        <v>0</v>
      </c>
      <c r="N1478" s="11">
        <f t="shared" si="235"/>
        <v>9.1834704915074923</v>
      </c>
      <c r="O1478" s="3">
        <v>1.447929508492515</v>
      </c>
      <c r="P1478" s="11">
        <f t="shared" si="236"/>
        <v>190.2745355552984</v>
      </c>
      <c r="Q1478" s="12">
        <f t="shared" si="237"/>
        <v>190.2745355552984</v>
      </c>
      <c r="R1478" s="13">
        <f t="shared" si="238"/>
        <v>190.2745355552984</v>
      </c>
      <c r="S1478" s="3" t="s">
        <v>31</v>
      </c>
      <c r="T1478" s="3" t="s">
        <v>32</v>
      </c>
      <c r="U1478" s="10">
        <v>0</v>
      </c>
      <c r="V1478" s="3">
        <v>0</v>
      </c>
      <c r="W1478" s="3">
        <f t="shared" si="239"/>
        <v>0</v>
      </c>
      <c r="AA1478" s="3">
        <v>43</v>
      </c>
    </row>
    <row r="1479" spans="1:27" x14ac:dyDescent="0.3">
      <c r="A1479" s="3" t="str">
        <f t="shared" si="230"/>
        <v>North9310049902297</v>
      </c>
      <c r="B1479" s="3" t="str">
        <f t="shared" si="231"/>
        <v>Pan9310049902297</v>
      </c>
      <c r="C1479" s="10">
        <v>9310049902297</v>
      </c>
      <c r="D1479" s="10" t="str">
        <f t="shared" si="232"/>
        <v>9310049902</v>
      </c>
      <c r="E1479" s="3" t="s">
        <v>2</v>
      </c>
      <c r="F1479" s="3" t="s">
        <v>64</v>
      </c>
      <c r="H1479" s="3">
        <v>2.2912500000000002</v>
      </c>
      <c r="I1479" s="10">
        <f t="shared" si="233"/>
        <v>67.452967350697662</v>
      </c>
      <c r="J1479" s="3">
        <v>1.0190433823707692</v>
      </c>
      <c r="K1479" s="3">
        <v>0</v>
      </c>
      <c r="L1479" s="3">
        <f t="shared" si="234"/>
        <v>0</v>
      </c>
      <c r="N1479" s="11">
        <f t="shared" si="235"/>
        <v>1.272206617629231</v>
      </c>
      <c r="O1479" s="3">
        <v>1.0190433823707692</v>
      </c>
      <c r="P1479" s="11">
        <f t="shared" si="236"/>
        <v>37.452967350697662</v>
      </c>
      <c r="Q1479" s="12">
        <f t="shared" si="237"/>
        <v>37.452967350697662</v>
      </c>
      <c r="R1479" s="13">
        <f t="shared" si="238"/>
        <v>37.452967350697662</v>
      </c>
      <c r="S1479" s="3" t="s">
        <v>31</v>
      </c>
      <c r="T1479" s="3" t="s">
        <v>32</v>
      </c>
      <c r="U1479" s="10">
        <v>9310049900999</v>
      </c>
      <c r="V1479" s="3">
        <v>0.1</v>
      </c>
      <c r="W1479" s="3">
        <f t="shared" si="239"/>
        <v>0</v>
      </c>
      <c r="AA1479" s="3">
        <v>43</v>
      </c>
    </row>
    <row r="1480" spans="1:27" x14ac:dyDescent="0.3">
      <c r="A1480" s="3" t="str">
        <f t="shared" si="230"/>
        <v>North9420049901310</v>
      </c>
      <c r="B1480" s="3" t="str">
        <f t="shared" si="231"/>
        <v>Pan9420049901310</v>
      </c>
      <c r="C1480" s="10">
        <v>9420049901310</v>
      </c>
      <c r="D1480" s="10" t="str">
        <f t="shared" si="232"/>
        <v>9420049901</v>
      </c>
      <c r="E1480" s="3" t="s">
        <v>2</v>
      </c>
      <c r="F1480" s="3" t="s">
        <v>64</v>
      </c>
      <c r="H1480" s="3">
        <v>1.6300000000000003</v>
      </c>
      <c r="I1480" s="10">
        <f t="shared" si="233"/>
        <v>49.919138929957825</v>
      </c>
      <c r="J1480" s="3">
        <v>0.97958420453950978</v>
      </c>
      <c r="K1480" s="3">
        <v>0</v>
      </c>
      <c r="L1480" s="3">
        <f t="shared" si="234"/>
        <v>0</v>
      </c>
      <c r="N1480" s="11">
        <f t="shared" si="235"/>
        <v>0.65041579546049055</v>
      </c>
      <c r="O1480" s="3">
        <v>0.97958420453950978</v>
      </c>
      <c r="P1480" s="11">
        <f t="shared" si="236"/>
        <v>19.919138929957821</v>
      </c>
      <c r="Q1480" s="12">
        <f t="shared" si="237"/>
        <v>29.653324165141942</v>
      </c>
      <c r="R1480" s="13">
        <f t="shared" si="238"/>
        <v>170.13190436797507</v>
      </c>
      <c r="S1480" s="3" t="s">
        <v>31</v>
      </c>
      <c r="T1480" s="3" t="s">
        <v>28</v>
      </c>
      <c r="U1480" s="10">
        <v>9420049900999</v>
      </c>
      <c r="V1480" s="3">
        <v>0.1</v>
      </c>
      <c r="W1480" s="3">
        <f t="shared" si="239"/>
        <v>0</v>
      </c>
      <c r="AA1480" s="3">
        <v>43</v>
      </c>
    </row>
    <row r="1481" spans="1:27" x14ac:dyDescent="0.3">
      <c r="A1481" s="3" t="str">
        <f t="shared" si="230"/>
        <v>North9310049902097</v>
      </c>
      <c r="B1481" s="3" t="str">
        <f t="shared" si="231"/>
        <v>Pan9310049902097</v>
      </c>
      <c r="C1481" s="10">
        <v>9310049902097</v>
      </c>
      <c r="D1481" s="10" t="str">
        <f t="shared" si="232"/>
        <v>9310049902</v>
      </c>
      <c r="E1481" s="3" t="s">
        <v>2</v>
      </c>
      <c r="F1481" s="3" t="s">
        <v>64</v>
      </c>
      <c r="H1481" s="3">
        <v>2.5827750000000012</v>
      </c>
      <c r="I1481" s="10">
        <f t="shared" si="233"/>
        <v>130.20252561937812</v>
      </c>
      <c r="J1481" s="3">
        <v>0.59509790329649459</v>
      </c>
      <c r="K1481" s="3">
        <v>0</v>
      </c>
      <c r="L1481" s="3">
        <f t="shared" si="234"/>
        <v>0</v>
      </c>
      <c r="N1481" s="11">
        <f t="shared" si="235"/>
        <v>1.9876770967035067</v>
      </c>
      <c r="O1481" s="3">
        <v>0.59509790329649459</v>
      </c>
      <c r="P1481" s="11">
        <f t="shared" si="236"/>
        <v>100.20252561937811</v>
      </c>
      <c r="Q1481" s="12">
        <f t="shared" si="237"/>
        <v>100.20252561937812</v>
      </c>
      <c r="R1481" s="13">
        <f t="shared" si="238"/>
        <v>100.20252561937812</v>
      </c>
      <c r="S1481" s="3" t="s">
        <v>31</v>
      </c>
      <c r="T1481" s="3" t="s">
        <v>32</v>
      </c>
      <c r="U1481" s="10">
        <v>0</v>
      </c>
      <c r="V1481" s="3">
        <v>0</v>
      </c>
      <c r="W1481" s="3">
        <f t="shared" si="239"/>
        <v>0</v>
      </c>
      <c r="AA1481" s="3">
        <v>43</v>
      </c>
    </row>
    <row r="1482" spans="1:27" x14ac:dyDescent="0.3">
      <c r="A1482" s="3" t="str">
        <f t="shared" si="230"/>
        <v>North9420049901840</v>
      </c>
      <c r="B1482" s="3" t="str">
        <f t="shared" si="231"/>
        <v>Pan9420049901840</v>
      </c>
      <c r="C1482" s="10">
        <v>9420049901840</v>
      </c>
      <c r="D1482" s="10" t="str">
        <f t="shared" si="232"/>
        <v>9420049901</v>
      </c>
      <c r="E1482" s="3" t="s">
        <v>2</v>
      </c>
      <c r="F1482" s="3" t="s">
        <v>64</v>
      </c>
      <c r="H1482" s="3">
        <v>0.9840000000000001</v>
      </c>
      <c r="I1482" s="10">
        <f t="shared" si="233"/>
        <v>115.96805374252557</v>
      </c>
      <c r="J1482" s="3">
        <v>0.25455286216616912</v>
      </c>
      <c r="K1482" s="3">
        <v>0</v>
      </c>
      <c r="L1482" s="3">
        <f t="shared" si="234"/>
        <v>0</v>
      </c>
      <c r="N1482" s="11">
        <f t="shared" si="235"/>
        <v>0.72944713783383097</v>
      </c>
      <c r="O1482" s="3">
        <v>0.25455286216616912</v>
      </c>
      <c r="P1482" s="11">
        <f t="shared" si="236"/>
        <v>85.968053742525569</v>
      </c>
      <c r="Q1482" s="12">
        <f t="shared" si="237"/>
        <v>73.661129129422036</v>
      </c>
      <c r="R1482" s="13">
        <f t="shared" si="238"/>
        <v>99.630784822686721</v>
      </c>
      <c r="S1482" s="3" t="s">
        <v>31</v>
      </c>
      <c r="T1482" s="3" t="s">
        <v>28</v>
      </c>
      <c r="U1482" s="10">
        <v>0</v>
      </c>
      <c r="V1482" s="3">
        <v>0</v>
      </c>
      <c r="W1482" s="3">
        <f t="shared" si="239"/>
        <v>0</v>
      </c>
      <c r="AA1482" s="3">
        <v>43</v>
      </c>
    </row>
    <row r="1483" spans="1:27" x14ac:dyDescent="0.3">
      <c r="A1483" s="3" t="str">
        <f t="shared" si="230"/>
        <v>North9420049901210</v>
      </c>
      <c r="B1483" s="3" t="str">
        <f t="shared" si="231"/>
        <v>Pan9420049901210</v>
      </c>
      <c r="C1483" s="10">
        <v>9420049901210</v>
      </c>
      <c r="D1483" s="10" t="str">
        <f t="shared" si="232"/>
        <v>9420049901</v>
      </c>
      <c r="E1483" s="3" t="s">
        <v>2</v>
      </c>
      <c r="F1483" s="3" t="s">
        <v>64</v>
      </c>
      <c r="H1483" s="3">
        <v>1.4019999999999999</v>
      </c>
      <c r="I1483" s="10">
        <f t="shared" si="233"/>
        <v>633.63424456355074</v>
      </c>
      <c r="J1483" s="3">
        <v>6.6378988132137745E-2</v>
      </c>
      <c r="K1483" s="3">
        <v>0</v>
      </c>
      <c r="L1483" s="3">
        <f t="shared" si="234"/>
        <v>0</v>
      </c>
      <c r="N1483" s="11">
        <f t="shared" si="235"/>
        <v>1.3356210118678622</v>
      </c>
      <c r="O1483" s="3">
        <v>6.6378988132137745E-2</v>
      </c>
      <c r="P1483" s="11">
        <f t="shared" si="236"/>
        <v>603.63424456355074</v>
      </c>
      <c r="Q1483" s="12">
        <f t="shared" si="237"/>
        <v>2621.3359743903925</v>
      </c>
      <c r="R1483" s="13">
        <f t="shared" si="238"/>
        <v>1134.7604804875584</v>
      </c>
      <c r="S1483" s="3" t="s">
        <v>31</v>
      </c>
      <c r="T1483" s="3" t="s">
        <v>28</v>
      </c>
      <c r="U1483" s="10">
        <v>0</v>
      </c>
      <c r="V1483" s="3">
        <v>0</v>
      </c>
      <c r="W1483" s="3">
        <f t="shared" si="239"/>
        <v>0</v>
      </c>
      <c r="AA1483" s="3">
        <v>43</v>
      </c>
    </row>
    <row r="1484" spans="1:27" x14ac:dyDescent="0.3">
      <c r="A1484" s="3" t="str">
        <f t="shared" si="230"/>
        <v>North9330209901320</v>
      </c>
      <c r="B1484" s="3" t="str">
        <f t="shared" si="231"/>
        <v>Lud9330209901320</v>
      </c>
      <c r="C1484" s="10">
        <v>9330209901320</v>
      </c>
      <c r="D1484" s="10" t="str">
        <f t="shared" si="232"/>
        <v>9330209901</v>
      </c>
      <c r="E1484" s="3" t="s">
        <v>3</v>
      </c>
      <c r="F1484" s="3" t="s">
        <v>64</v>
      </c>
      <c r="H1484" s="3">
        <v>62.439999999999991</v>
      </c>
      <c r="I1484" s="10">
        <f t="shared" si="233"/>
        <v>27.011836400832475</v>
      </c>
      <c r="J1484" s="3">
        <v>69.347376912969523</v>
      </c>
      <c r="K1484" s="3">
        <v>53.75</v>
      </c>
      <c r="L1484" s="3">
        <f t="shared" si="234"/>
        <v>0</v>
      </c>
      <c r="N1484" s="11">
        <f t="shared" si="235"/>
        <v>-6.9073769129695322</v>
      </c>
      <c r="O1484" s="3">
        <v>69.347376912969523</v>
      </c>
      <c r="P1484" s="11">
        <f t="shared" si="236"/>
        <v>-2.9881635991675255</v>
      </c>
      <c r="Q1484" s="12">
        <f t="shared" si="237"/>
        <v>5.1401043514491214</v>
      </c>
      <c r="R1484" s="13">
        <f t="shared" si="238"/>
        <v>-2.7737615488561329</v>
      </c>
      <c r="S1484" s="3" t="s">
        <v>29</v>
      </c>
      <c r="T1484" s="3" t="s">
        <v>35</v>
      </c>
      <c r="U1484" s="10">
        <v>9330209900999</v>
      </c>
      <c r="V1484" s="3">
        <v>0.1</v>
      </c>
      <c r="W1484" s="3">
        <f t="shared" si="239"/>
        <v>5.375</v>
      </c>
      <c r="AA1484" s="3">
        <v>43</v>
      </c>
    </row>
    <row r="1485" spans="1:27" x14ac:dyDescent="0.3">
      <c r="A1485" s="3" t="str">
        <f t="shared" si="230"/>
        <v>North9432019901320</v>
      </c>
      <c r="B1485" s="3" t="str">
        <f t="shared" si="231"/>
        <v>Lud9432019901320</v>
      </c>
      <c r="C1485" s="10">
        <v>9432019901320</v>
      </c>
      <c r="D1485" s="10" t="str">
        <f t="shared" si="232"/>
        <v>9432019901</v>
      </c>
      <c r="E1485" s="3" t="s">
        <v>3</v>
      </c>
      <c r="F1485" s="3" t="s">
        <v>64</v>
      </c>
      <c r="H1485" s="3">
        <v>46.900000000000006</v>
      </c>
      <c r="I1485" s="10">
        <f t="shared" si="233"/>
        <v>29.3619966420538</v>
      </c>
      <c r="J1485" s="3">
        <v>47.919084562008997</v>
      </c>
      <c r="K1485" s="3">
        <v>53.75</v>
      </c>
      <c r="L1485" s="3">
        <f t="shared" si="234"/>
        <v>0</v>
      </c>
      <c r="N1485" s="11">
        <f t="shared" si="235"/>
        <v>-1.0190845620089917</v>
      </c>
      <c r="O1485" s="3">
        <v>47.919084562008997</v>
      </c>
      <c r="P1485" s="11">
        <f t="shared" si="236"/>
        <v>-0.638003357946202</v>
      </c>
      <c r="Q1485" s="12">
        <f t="shared" si="237"/>
        <v>11.64792994021947</v>
      </c>
      <c r="R1485" s="13">
        <f t="shared" si="238"/>
        <v>3.7792537227451724</v>
      </c>
      <c r="S1485" s="3" t="s">
        <v>29</v>
      </c>
      <c r="T1485" s="3" t="s">
        <v>35</v>
      </c>
      <c r="U1485" s="10">
        <v>9432019900999</v>
      </c>
      <c r="V1485" s="3">
        <v>0.1</v>
      </c>
      <c r="W1485" s="3">
        <f t="shared" si="239"/>
        <v>5.375</v>
      </c>
      <c r="AA1485" s="3">
        <v>43</v>
      </c>
    </row>
    <row r="1486" spans="1:27" x14ac:dyDescent="0.3">
      <c r="A1486" s="3" t="str">
        <f t="shared" si="230"/>
        <v>North9330209901310</v>
      </c>
      <c r="B1486" s="3" t="str">
        <f t="shared" si="231"/>
        <v>Lud9330209901310</v>
      </c>
      <c r="C1486" s="10">
        <v>9330209901310</v>
      </c>
      <c r="D1486" s="10" t="str">
        <f t="shared" si="232"/>
        <v>9330209901</v>
      </c>
      <c r="E1486" s="3" t="s">
        <v>3</v>
      </c>
      <c r="F1486" s="3" t="s">
        <v>64</v>
      </c>
      <c r="H1486" s="3">
        <v>21.886000000000003</v>
      </c>
      <c r="I1486" s="10">
        <f t="shared" si="233"/>
        <v>59.043876298465705</v>
      </c>
      <c r="J1486" s="3">
        <v>11.120204857164193</v>
      </c>
      <c r="K1486" s="3">
        <v>0</v>
      </c>
      <c r="L1486" s="3">
        <f t="shared" si="234"/>
        <v>0</v>
      </c>
      <c r="N1486" s="11">
        <f t="shared" si="235"/>
        <v>10.76579514283581</v>
      </c>
      <c r="O1486" s="3">
        <v>11.120204857164193</v>
      </c>
      <c r="P1486" s="11">
        <f t="shared" si="236"/>
        <v>29.043876298465705</v>
      </c>
      <c r="Q1486" s="12">
        <f t="shared" si="237"/>
        <v>28.715156278195018</v>
      </c>
      <c r="R1486" s="13">
        <f t="shared" si="238"/>
        <v>0.86876647360711279</v>
      </c>
      <c r="S1486" s="3" t="s">
        <v>29</v>
      </c>
      <c r="T1486" s="3" t="s">
        <v>35</v>
      </c>
      <c r="U1486" s="10">
        <v>9330209900999</v>
      </c>
      <c r="V1486" s="3">
        <v>0.1</v>
      </c>
      <c r="W1486" s="3">
        <f t="shared" si="239"/>
        <v>0</v>
      </c>
      <c r="AA1486" s="3">
        <v>43</v>
      </c>
    </row>
    <row r="1487" spans="1:27" x14ac:dyDescent="0.3">
      <c r="A1487" s="3" t="str">
        <f t="shared" si="230"/>
        <v>North9432019901310</v>
      </c>
      <c r="B1487" s="3" t="str">
        <f t="shared" si="231"/>
        <v>Lud9432019901310</v>
      </c>
      <c r="C1487" s="10">
        <v>9432019901310</v>
      </c>
      <c r="D1487" s="10" t="str">
        <f t="shared" si="232"/>
        <v>9432019901</v>
      </c>
      <c r="E1487" s="3" t="s">
        <v>3</v>
      </c>
      <c r="F1487" s="3" t="s">
        <v>64</v>
      </c>
      <c r="H1487" s="3">
        <v>23.369999999999997</v>
      </c>
      <c r="I1487" s="10">
        <f t="shared" si="233"/>
        <v>72.82503987994744</v>
      </c>
      <c r="J1487" s="3">
        <v>9.6271831935247523</v>
      </c>
      <c r="K1487" s="3">
        <v>21.5</v>
      </c>
      <c r="L1487" s="3">
        <f t="shared" si="234"/>
        <v>0</v>
      </c>
      <c r="N1487" s="11">
        <f t="shared" si="235"/>
        <v>13.742816806475245</v>
      </c>
      <c r="O1487" s="3">
        <v>9.6271831935247523</v>
      </c>
      <c r="P1487" s="11">
        <f t="shared" si="236"/>
        <v>42.825039879947454</v>
      </c>
      <c r="Q1487" s="12">
        <f t="shared" si="237"/>
        <v>15.584350531535469</v>
      </c>
      <c r="R1487" s="13">
        <f t="shared" si="238"/>
        <v>9.7787517796553676</v>
      </c>
      <c r="S1487" s="3" t="s">
        <v>29</v>
      </c>
      <c r="T1487" s="3" t="s">
        <v>35</v>
      </c>
      <c r="U1487" s="10">
        <v>9432019900999</v>
      </c>
      <c r="V1487" s="3">
        <v>0.1</v>
      </c>
      <c r="W1487" s="3">
        <f t="shared" si="239"/>
        <v>2.15</v>
      </c>
      <c r="AA1487" s="3">
        <v>43</v>
      </c>
    </row>
    <row r="1488" spans="1:27" x14ac:dyDescent="0.3">
      <c r="A1488" s="3" t="str">
        <f t="shared" si="230"/>
        <v>North9330209901840</v>
      </c>
      <c r="B1488" s="3" t="str">
        <f t="shared" si="231"/>
        <v>Lud9330209901840</v>
      </c>
      <c r="C1488" s="10">
        <v>9330209901840</v>
      </c>
      <c r="D1488" s="10" t="str">
        <f t="shared" si="232"/>
        <v>9330209901</v>
      </c>
      <c r="E1488" s="3" t="s">
        <v>3</v>
      </c>
      <c r="F1488" s="3" t="s">
        <v>64</v>
      </c>
      <c r="H1488" s="3">
        <v>3.5680000000000005</v>
      </c>
      <c r="I1488" s="10">
        <f t="shared" si="233"/>
        <v>30.86123681154961</v>
      </c>
      <c r="J1488" s="3">
        <v>3.4684287170221584</v>
      </c>
      <c r="K1488" s="3">
        <v>11.5</v>
      </c>
      <c r="L1488" s="3">
        <f t="shared" si="234"/>
        <v>0</v>
      </c>
      <c r="N1488" s="11">
        <f t="shared" si="235"/>
        <v>9.9571282977842124E-2</v>
      </c>
      <c r="O1488" s="3">
        <v>3.4684287170221584</v>
      </c>
      <c r="P1488" s="11">
        <f t="shared" si="236"/>
        <v>0.86123681154960874</v>
      </c>
      <c r="Q1488" s="12">
        <f t="shared" si="237"/>
        <v>16.117906588059959</v>
      </c>
      <c r="R1488" s="13">
        <f t="shared" si="238"/>
        <v>-2.4217967524396196</v>
      </c>
      <c r="S1488" s="3" t="s">
        <v>30</v>
      </c>
      <c r="T1488" s="3" t="s">
        <v>35</v>
      </c>
      <c r="U1488" s="10">
        <v>0</v>
      </c>
      <c r="V1488" s="3">
        <v>0</v>
      </c>
      <c r="W1488" s="3">
        <f t="shared" si="239"/>
        <v>0</v>
      </c>
      <c r="AA1488" s="3">
        <v>43</v>
      </c>
    </row>
    <row r="1489" spans="1:27" x14ac:dyDescent="0.3">
      <c r="A1489" s="3" t="str">
        <f t="shared" si="230"/>
        <v>North9432019901840</v>
      </c>
      <c r="B1489" s="3" t="str">
        <f t="shared" si="231"/>
        <v>Lud9432019901840</v>
      </c>
      <c r="C1489" s="10">
        <v>9432019901840</v>
      </c>
      <c r="D1489" s="10" t="str">
        <f t="shared" si="232"/>
        <v>9432019901</v>
      </c>
      <c r="E1489" s="3" t="s">
        <v>3</v>
      </c>
      <c r="F1489" s="3" t="s">
        <v>64</v>
      </c>
      <c r="H1489" s="3">
        <v>4.0279999999999996</v>
      </c>
      <c r="I1489" s="10">
        <f t="shared" si="233"/>
        <v>36.820416049830264</v>
      </c>
      <c r="J1489" s="3">
        <v>3.2818749206001177</v>
      </c>
      <c r="K1489" s="3">
        <v>0</v>
      </c>
      <c r="L1489" s="3">
        <f t="shared" si="234"/>
        <v>0</v>
      </c>
      <c r="N1489" s="11">
        <f t="shared" si="235"/>
        <v>0.74612507939988193</v>
      </c>
      <c r="O1489" s="3">
        <v>3.2818749206001177</v>
      </c>
      <c r="P1489" s="11">
        <f t="shared" si="236"/>
        <v>6.8204160498302615</v>
      </c>
      <c r="Q1489" s="12">
        <f t="shared" si="237"/>
        <v>31.203569623322384</v>
      </c>
      <c r="R1489" s="13">
        <f t="shared" si="238"/>
        <v>4.9551947325973327</v>
      </c>
      <c r="S1489" s="3" t="s">
        <v>30</v>
      </c>
      <c r="T1489" s="3" t="s">
        <v>35</v>
      </c>
      <c r="U1489" s="10">
        <v>0</v>
      </c>
      <c r="V1489" s="3">
        <v>0</v>
      </c>
      <c r="W1489" s="3">
        <f t="shared" si="239"/>
        <v>0</v>
      </c>
      <c r="AA1489" s="3">
        <v>43</v>
      </c>
    </row>
    <row r="1490" spans="1:27" x14ac:dyDescent="0.3">
      <c r="A1490" s="3" t="str">
        <f t="shared" si="230"/>
        <v>North9330209901210</v>
      </c>
      <c r="B1490" s="3" t="str">
        <f t="shared" si="231"/>
        <v>Lud9330209901210</v>
      </c>
      <c r="C1490" s="10">
        <v>9330209901210</v>
      </c>
      <c r="D1490" s="10" t="str">
        <f t="shared" si="232"/>
        <v>9330209901</v>
      </c>
      <c r="E1490" s="3" t="s">
        <v>3</v>
      </c>
      <c r="F1490" s="3" t="s">
        <v>64</v>
      </c>
      <c r="H1490" s="3">
        <v>1.7969999999999999</v>
      </c>
      <c r="I1490" s="10">
        <f t="shared" si="233"/>
        <v>38.744958887410725</v>
      </c>
      <c r="J1490" s="3">
        <v>1.3914068190563187</v>
      </c>
      <c r="K1490" s="3">
        <v>0</v>
      </c>
      <c r="L1490" s="3">
        <f t="shared" si="234"/>
        <v>0</v>
      </c>
      <c r="N1490" s="11">
        <f t="shared" si="235"/>
        <v>0.40559318094368124</v>
      </c>
      <c r="O1490" s="3">
        <v>1.3914068190563187</v>
      </c>
      <c r="P1490" s="11">
        <f t="shared" si="236"/>
        <v>8.7449588874107231</v>
      </c>
      <c r="Q1490" s="12">
        <f t="shared" si="237"/>
        <v>120.04661035475279</v>
      </c>
      <c r="R1490" s="13">
        <f t="shared" si="238"/>
        <v>19.010581716110313</v>
      </c>
      <c r="S1490" s="3" t="s">
        <v>30</v>
      </c>
      <c r="T1490" s="3" t="s">
        <v>35</v>
      </c>
      <c r="U1490" s="10">
        <v>0</v>
      </c>
      <c r="V1490" s="3">
        <v>0</v>
      </c>
      <c r="W1490" s="3">
        <f t="shared" si="239"/>
        <v>0</v>
      </c>
      <c r="AA1490" s="3">
        <v>43</v>
      </c>
    </row>
    <row r="1491" spans="1:27" x14ac:dyDescent="0.3">
      <c r="A1491" s="3" t="str">
        <f t="shared" si="230"/>
        <v>North9432019901210</v>
      </c>
      <c r="B1491" s="3" t="str">
        <f t="shared" si="231"/>
        <v>Lud9432019901210</v>
      </c>
      <c r="C1491" s="10">
        <v>9432019901210</v>
      </c>
      <c r="D1491" s="10" t="str">
        <f t="shared" si="232"/>
        <v>9432019901</v>
      </c>
      <c r="E1491" s="3" t="s">
        <v>3</v>
      </c>
      <c r="F1491" s="3" t="s">
        <v>64</v>
      </c>
      <c r="H1491" s="3">
        <v>2.09</v>
      </c>
      <c r="I1491" s="10">
        <f t="shared" si="233"/>
        <v>53.814505315355895</v>
      </c>
      <c r="J1491" s="3">
        <v>1.1651133766365522</v>
      </c>
      <c r="K1491" s="3">
        <v>0</v>
      </c>
      <c r="L1491" s="3">
        <f t="shared" si="234"/>
        <v>0</v>
      </c>
      <c r="N1491" s="11">
        <f t="shared" si="235"/>
        <v>0.92488662336344762</v>
      </c>
      <c r="O1491" s="3">
        <v>1.1651133766365522</v>
      </c>
      <c r="P1491" s="11">
        <f t="shared" si="236"/>
        <v>23.814505315355898</v>
      </c>
      <c r="Q1491" s="12">
        <f t="shared" si="237"/>
        <v>81.980775293561081</v>
      </c>
      <c r="R1491" s="13">
        <f t="shared" si="238"/>
        <v>24.563491916296034</v>
      </c>
      <c r="S1491" s="3" t="s">
        <v>30</v>
      </c>
      <c r="T1491" s="3" t="s">
        <v>35</v>
      </c>
      <c r="U1491" s="10">
        <v>0</v>
      </c>
      <c r="V1491" s="3">
        <v>0</v>
      </c>
      <c r="W1491" s="3">
        <f t="shared" si="239"/>
        <v>0</v>
      </c>
      <c r="AA1491" s="3">
        <v>43</v>
      </c>
    </row>
    <row r="1492" spans="1:27" x14ac:dyDescent="0.3">
      <c r="A1492" s="3" t="str">
        <f t="shared" si="230"/>
        <v>South9330209901320</v>
      </c>
      <c r="B1492" s="3" t="str">
        <f t="shared" si="231"/>
        <v>CMR9330209901320</v>
      </c>
      <c r="C1492" s="10">
        <v>9330209901320</v>
      </c>
      <c r="D1492" s="10" t="str">
        <f t="shared" si="232"/>
        <v>9330209901</v>
      </c>
      <c r="E1492" s="3" t="s">
        <v>5</v>
      </c>
      <c r="F1492" s="3" t="s">
        <v>65</v>
      </c>
      <c r="H1492" s="3">
        <v>55</v>
      </c>
      <c r="I1492" s="10">
        <f t="shared" si="233"/>
        <v>14.322695806260031</v>
      </c>
      <c r="J1492" s="3">
        <v>115.20177641969002</v>
      </c>
      <c r="K1492" s="3">
        <v>182.75</v>
      </c>
      <c r="L1492" s="3">
        <f t="shared" si="234"/>
        <v>0</v>
      </c>
      <c r="N1492" s="11">
        <f t="shared" si="235"/>
        <v>-60.20177641969002</v>
      </c>
      <c r="O1492" s="3">
        <v>115.20177641969002</v>
      </c>
      <c r="P1492" s="11">
        <f t="shared" si="236"/>
        <v>-15.677304193739969</v>
      </c>
      <c r="Q1492" s="12">
        <f t="shared" si="237"/>
        <v>-9.9112838246483523</v>
      </c>
      <c r="R1492" s="13">
        <f t="shared" si="238"/>
        <v>-2.7737615488561329</v>
      </c>
      <c r="S1492" s="3" t="s">
        <v>29</v>
      </c>
      <c r="T1492" s="3" t="s">
        <v>35</v>
      </c>
      <c r="U1492" s="10">
        <v>9330209900999</v>
      </c>
      <c r="V1492" s="3">
        <v>0.1</v>
      </c>
      <c r="W1492" s="3">
        <f t="shared" si="239"/>
        <v>18.275000000000002</v>
      </c>
      <c r="AA1492" s="3">
        <v>43</v>
      </c>
    </row>
    <row r="1493" spans="1:27" x14ac:dyDescent="0.3">
      <c r="A1493" s="3" t="str">
        <f t="shared" si="230"/>
        <v>South9330209901310</v>
      </c>
      <c r="B1493" s="3" t="str">
        <f t="shared" si="231"/>
        <v>CMR9330209901310</v>
      </c>
      <c r="C1493" s="10">
        <v>9330209901310</v>
      </c>
      <c r="D1493" s="10" t="str">
        <f t="shared" si="232"/>
        <v>9330209901</v>
      </c>
      <c r="E1493" s="3" t="s">
        <v>5</v>
      </c>
      <c r="F1493" s="3" t="s">
        <v>65</v>
      </c>
      <c r="H1493" s="3">
        <v>21.620000000000005</v>
      </c>
      <c r="I1493" s="10">
        <f t="shared" si="233"/>
        <v>19.335062674858861</v>
      </c>
      <c r="J1493" s="3">
        <v>33.545275280817506</v>
      </c>
      <c r="K1493" s="3">
        <v>43</v>
      </c>
      <c r="L1493" s="3">
        <f t="shared" si="234"/>
        <v>0</v>
      </c>
      <c r="N1493" s="11">
        <f t="shared" si="235"/>
        <v>-11.925275280817502</v>
      </c>
      <c r="O1493" s="3">
        <v>33.545275280817506</v>
      </c>
      <c r="P1493" s="11">
        <f t="shared" si="236"/>
        <v>-10.664937325141141</v>
      </c>
      <c r="Q1493" s="12">
        <f t="shared" si="237"/>
        <v>-11.697351278170636</v>
      </c>
      <c r="R1493" s="13">
        <f t="shared" si="238"/>
        <v>0.86876647360711279</v>
      </c>
      <c r="S1493" s="3" t="s">
        <v>29</v>
      </c>
      <c r="T1493" s="3" t="s">
        <v>35</v>
      </c>
      <c r="U1493" s="10">
        <v>9330209900999</v>
      </c>
      <c r="V1493" s="3">
        <v>0.1</v>
      </c>
      <c r="W1493" s="3">
        <f t="shared" si="239"/>
        <v>4.3</v>
      </c>
      <c r="AA1493" s="3">
        <v>43</v>
      </c>
    </row>
    <row r="1494" spans="1:27" x14ac:dyDescent="0.3">
      <c r="A1494" s="3" t="str">
        <f t="shared" si="230"/>
        <v>South9330239901320</v>
      </c>
      <c r="B1494" s="3" t="str">
        <f t="shared" si="231"/>
        <v>CMR9330239901320</v>
      </c>
      <c r="C1494" s="10">
        <v>9330239901320</v>
      </c>
      <c r="D1494" s="10" t="str">
        <f t="shared" si="232"/>
        <v>9330239901</v>
      </c>
      <c r="E1494" s="3" t="s">
        <v>5</v>
      </c>
      <c r="F1494" s="3" t="s">
        <v>65</v>
      </c>
      <c r="H1494" s="3">
        <v>54.94</v>
      </c>
      <c r="I1494" s="10">
        <f t="shared" si="233"/>
        <v>72.581257589456058</v>
      </c>
      <c r="J1494" s="3">
        <v>22.708341722635506</v>
      </c>
      <c r="K1494" s="3">
        <v>43</v>
      </c>
      <c r="L1494" s="3">
        <f t="shared" si="234"/>
        <v>0</v>
      </c>
      <c r="N1494" s="11">
        <f t="shared" si="235"/>
        <v>32.231658277364488</v>
      </c>
      <c r="O1494" s="3">
        <v>22.708341722635506</v>
      </c>
      <c r="P1494" s="11">
        <f t="shared" si="236"/>
        <v>42.581257589456051</v>
      </c>
      <c r="Q1494" s="12">
        <f t="shared" si="237"/>
        <v>31.238259349180158</v>
      </c>
      <c r="R1494" s="13">
        <f t="shared" si="238"/>
        <v>17.518926818935931</v>
      </c>
      <c r="S1494" s="3" t="s">
        <v>31</v>
      </c>
      <c r="T1494" s="3" t="s">
        <v>35</v>
      </c>
      <c r="U1494" s="10">
        <v>9330239900999</v>
      </c>
      <c r="V1494" s="3">
        <v>0.1</v>
      </c>
      <c r="W1494" s="3">
        <f t="shared" si="239"/>
        <v>4.3</v>
      </c>
      <c r="AA1494" s="3">
        <v>43</v>
      </c>
    </row>
    <row r="1495" spans="1:27" x14ac:dyDescent="0.3">
      <c r="A1495" s="3" t="str">
        <f t="shared" si="230"/>
        <v>South9330209901840</v>
      </c>
      <c r="B1495" s="3" t="str">
        <f t="shared" si="231"/>
        <v>CMR9330209901840</v>
      </c>
      <c r="C1495" s="10">
        <v>9330209901840</v>
      </c>
      <c r="D1495" s="10" t="str">
        <f t="shared" si="232"/>
        <v>9330209901</v>
      </c>
      <c r="E1495" s="3" t="s">
        <v>5</v>
      </c>
      <c r="F1495" s="3" t="s">
        <v>65</v>
      </c>
      <c r="H1495" s="3">
        <v>8.8520000000000003</v>
      </c>
      <c r="I1495" s="10">
        <f t="shared" si="233"/>
        <v>19.947500950208422</v>
      </c>
      <c r="J1495" s="3">
        <v>13.312945850353515</v>
      </c>
      <c r="K1495" s="3">
        <v>0</v>
      </c>
      <c r="L1495" s="3">
        <f t="shared" si="234"/>
        <v>0</v>
      </c>
      <c r="N1495" s="11">
        <f t="shared" si="235"/>
        <v>-4.4609458503535144</v>
      </c>
      <c r="O1495" s="3">
        <v>13.312945850353515</v>
      </c>
      <c r="P1495" s="11">
        <f t="shared" si="236"/>
        <v>-10.052499049791578</v>
      </c>
      <c r="Q1495" s="12">
        <f t="shared" si="237"/>
        <v>-5.1388067658183445</v>
      </c>
      <c r="R1495" s="13">
        <f t="shared" si="238"/>
        <v>-2.4217967524396196</v>
      </c>
      <c r="S1495" s="3" t="s">
        <v>30</v>
      </c>
      <c r="T1495" s="3" t="s">
        <v>35</v>
      </c>
      <c r="U1495" s="10">
        <v>0</v>
      </c>
      <c r="V1495" s="3">
        <v>0</v>
      </c>
      <c r="W1495" s="3">
        <f t="shared" si="239"/>
        <v>0</v>
      </c>
      <c r="AA1495" s="3">
        <v>43</v>
      </c>
    </row>
    <row r="1496" spans="1:27" x14ac:dyDescent="0.3">
      <c r="A1496" s="3" t="str">
        <f t="shared" si="230"/>
        <v>South9160309901320</v>
      </c>
      <c r="B1496" s="3" t="str">
        <f t="shared" si="231"/>
        <v>CMR9160309901320</v>
      </c>
      <c r="C1496" s="10">
        <v>9160309901320</v>
      </c>
      <c r="D1496" s="10" t="str">
        <f t="shared" si="232"/>
        <v>9160309901</v>
      </c>
      <c r="E1496" s="3" t="s">
        <v>5</v>
      </c>
      <c r="F1496" s="3" t="s">
        <v>65</v>
      </c>
      <c r="H1496" s="3">
        <v>42.56</v>
      </c>
      <c r="I1496" s="10">
        <f t="shared" si="233"/>
        <v>130.81945618704214</v>
      </c>
      <c r="J1496" s="3">
        <v>9.7600161108640116</v>
      </c>
      <c r="K1496" s="3">
        <v>0</v>
      </c>
      <c r="L1496" s="3">
        <f t="shared" si="234"/>
        <v>0</v>
      </c>
      <c r="N1496" s="11">
        <f t="shared" si="235"/>
        <v>32.799983889135987</v>
      </c>
      <c r="O1496" s="3">
        <v>9.7600161108640116</v>
      </c>
      <c r="P1496" s="11">
        <f t="shared" si="236"/>
        <v>100.81945618704214</v>
      </c>
      <c r="Q1496" s="12">
        <f t="shared" si="237"/>
        <v>66.921937795044357</v>
      </c>
      <c r="R1496" s="13">
        <f t="shared" si="238"/>
        <v>53.861568355379056</v>
      </c>
      <c r="S1496" s="3" t="s">
        <v>29</v>
      </c>
      <c r="T1496" s="3" t="s">
        <v>34</v>
      </c>
      <c r="U1496" s="10">
        <v>0</v>
      </c>
      <c r="V1496" s="3">
        <v>0</v>
      </c>
      <c r="W1496" s="3">
        <f t="shared" si="239"/>
        <v>0</v>
      </c>
      <c r="AA1496" s="3">
        <v>43</v>
      </c>
    </row>
    <row r="1497" spans="1:27" x14ac:dyDescent="0.3">
      <c r="A1497" s="3" t="str">
        <f t="shared" si="230"/>
        <v>South9330209901210</v>
      </c>
      <c r="B1497" s="3" t="str">
        <f t="shared" si="231"/>
        <v>CMR9330209901210</v>
      </c>
      <c r="C1497" s="10">
        <v>9330209901210</v>
      </c>
      <c r="D1497" s="10" t="str">
        <f t="shared" si="232"/>
        <v>9330209901</v>
      </c>
      <c r="E1497" s="3" t="s">
        <v>5</v>
      </c>
      <c r="F1497" s="3" t="s">
        <v>65</v>
      </c>
      <c r="H1497" s="3">
        <v>4.0780000000000003</v>
      </c>
      <c r="I1497" s="10">
        <f t="shared" si="233"/>
        <v>20.819257295413635</v>
      </c>
      <c r="J1497" s="3">
        <v>5.8762903144941117</v>
      </c>
      <c r="K1497" s="3">
        <v>0</v>
      </c>
      <c r="L1497" s="3">
        <f t="shared" si="234"/>
        <v>0</v>
      </c>
      <c r="N1497" s="11">
        <f t="shared" si="235"/>
        <v>-1.7982903144941114</v>
      </c>
      <c r="O1497" s="3">
        <v>5.8762903144941117</v>
      </c>
      <c r="P1497" s="11">
        <f t="shared" si="236"/>
        <v>-9.1807427045863665</v>
      </c>
      <c r="Q1497" s="12">
        <f t="shared" si="237"/>
        <v>-2.8694449829372428</v>
      </c>
      <c r="R1497" s="13">
        <f t="shared" si="238"/>
        <v>19.010581716110313</v>
      </c>
      <c r="S1497" s="3" t="s">
        <v>30</v>
      </c>
      <c r="T1497" s="3" t="s">
        <v>35</v>
      </c>
      <c r="U1497" s="10">
        <v>0</v>
      </c>
      <c r="V1497" s="3">
        <v>0</v>
      </c>
      <c r="W1497" s="3">
        <f t="shared" si="239"/>
        <v>0</v>
      </c>
      <c r="AA1497" s="3">
        <v>43</v>
      </c>
    </row>
    <row r="1498" spans="1:27" x14ac:dyDescent="0.3">
      <c r="A1498" s="3" t="str">
        <f t="shared" si="230"/>
        <v>South9330239901310</v>
      </c>
      <c r="B1498" s="3" t="str">
        <f t="shared" si="231"/>
        <v>CMR9330239901310</v>
      </c>
      <c r="C1498" s="10">
        <v>9330239901310</v>
      </c>
      <c r="D1498" s="10" t="str">
        <f t="shared" si="232"/>
        <v>9330239901</v>
      </c>
      <c r="E1498" s="3" t="s">
        <v>5</v>
      </c>
      <c r="F1498" s="3" t="s">
        <v>65</v>
      </c>
      <c r="H1498" s="3">
        <v>7.1000000000000005</v>
      </c>
      <c r="I1498" s="10">
        <f t="shared" si="233"/>
        <v>45.124157793683864</v>
      </c>
      <c r="J1498" s="3">
        <v>4.7203097058093819</v>
      </c>
      <c r="K1498" s="3">
        <v>0</v>
      </c>
      <c r="L1498" s="3">
        <f t="shared" si="234"/>
        <v>0</v>
      </c>
      <c r="N1498" s="11">
        <f t="shared" si="235"/>
        <v>2.3796902941906186</v>
      </c>
      <c r="O1498" s="3">
        <v>4.7203097058093819</v>
      </c>
      <c r="P1498" s="11">
        <f t="shared" si="236"/>
        <v>15.124157793683866</v>
      </c>
      <c r="Q1498" s="12">
        <f t="shared" si="237"/>
        <v>24.800792057934071</v>
      </c>
      <c r="R1498" s="13">
        <f t="shared" si="238"/>
        <v>36.938343606674806</v>
      </c>
      <c r="S1498" s="3" t="s">
        <v>31</v>
      </c>
      <c r="T1498" s="3" t="s">
        <v>35</v>
      </c>
      <c r="U1498" s="10">
        <v>9330239900999</v>
      </c>
      <c r="V1498" s="3">
        <v>0.1</v>
      </c>
      <c r="W1498" s="3">
        <f t="shared" si="239"/>
        <v>0</v>
      </c>
      <c r="AA1498" s="3">
        <v>43</v>
      </c>
    </row>
    <row r="1499" spans="1:27" x14ac:dyDescent="0.3">
      <c r="A1499" s="3" t="str">
        <f t="shared" si="230"/>
        <v>South9160709900320</v>
      </c>
      <c r="B1499" s="3" t="str">
        <f t="shared" si="231"/>
        <v>CMR9160709900320</v>
      </c>
      <c r="C1499" s="10">
        <v>9160709900320</v>
      </c>
      <c r="D1499" s="10" t="str">
        <f t="shared" si="232"/>
        <v>9160709900</v>
      </c>
      <c r="E1499" s="3" t="s">
        <v>5</v>
      </c>
      <c r="F1499" s="3" t="s">
        <v>65</v>
      </c>
      <c r="H1499" s="3">
        <v>8.1999999999999993</v>
      </c>
      <c r="I1499" s="10">
        <f t="shared" si="233"/>
        <v>73.055950864965851</v>
      </c>
      <c r="J1499" s="3">
        <v>3.3672821595970746</v>
      </c>
      <c r="K1499" s="3">
        <v>0</v>
      </c>
      <c r="L1499" s="3">
        <f t="shared" si="234"/>
        <v>0</v>
      </c>
      <c r="N1499" s="11">
        <f t="shared" si="235"/>
        <v>4.8327178404029247</v>
      </c>
      <c r="O1499" s="3">
        <v>3.3672821595970746</v>
      </c>
      <c r="P1499" s="11">
        <f t="shared" si="236"/>
        <v>43.055950864965851</v>
      </c>
      <c r="Q1499" s="12">
        <f t="shared" si="237"/>
        <v>26.610670193980472</v>
      </c>
      <c r="R1499" s="13">
        <f t="shared" si="238"/>
        <v>51.472592089112787</v>
      </c>
      <c r="S1499" s="3" t="s">
        <v>30</v>
      </c>
      <c r="T1499" s="3" t="s">
        <v>34</v>
      </c>
      <c r="U1499" s="10">
        <v>0</v>
      </c>
      <c r="V1499" s="3">
        <v>0</v>
      </c>
      <c r="W1499" s="3">
        <f t="shared" si="239"/>
        <v>0</v>
      </c>
      <c r="AA1499" s="3">
        <v>43</v>
      </c>
    </row>
    <row r="1500" spans="1:27" x14ac:dyDescent="0.3">
      <c r="A1500" s="3" t="str">
        <f t="shared" si="230"/>
        <v>South9330239901840</v>
      </c>
      <c r="B1500" s="3" t="str">
        <f t="shared" si="231"/>
        <v>CMR9330239901840</v>
      </c>
      <c r="C1500" s="10">
        <v>9330239901840</v>
      </c>
      <c r="D1500" s="10" t="str">
        <f t="shared" si="232"/>
        <v>9330239901</v>
      </c>
      <c r="E1500" s="3" t="s">
        <v>5</v>
      </c>
      <c r="F1500" s="3" t="s">
        <v>65</v>
      </c>
      <c r="H1500" s="3">
        <v>3.4240000000000008</v>
      </c>
      <c r="I1500" s="10">
        <f t="shared" si="233"/>
        <v>69.389549809872619</v>
      </c>
      <c r="J1500" s="3">
        <v>1.4803381817788537</v>
      </c>
      <c r="K1500" s="3">
        <v>0</v>
      </c>
      <c r="L1500" s="3">
        <f t="shared" si="234"/>
        <v>0</v>
      </c>
      <c r="N1500" s="11">
        <f t="shared" si="235"/>
        <v>1.9436618182211471</v>
      </c>
      <c r="O1500" s="3">
        <v>1.4803381817788537</v>
      </c>
      <c r="P1500" s="11">
        <f t="shared" si="236"/>
        <v>39.389549809872612</v>
      </c>
      <c r="Q1500" s="12">
        <f t="shared" si="237"/>
        <v>18.013186092638961</v>
      </c>
      <c r="R1500" s="13">
        <f t="shared" si="238"/>
        <v>21.476269672649831</v>
      </c>
      <c r="S1500" s="3" t="s">
        <v>31</v>
      </c>
      <c r="T1500" s="3" t="s">
        <v>35</v>
      </c>
      <c r="U1500" s="10">
        <v>0</v>
      </c>
      <c r="V1500" s="3">
        <v>0</v>
      </c>
      <c r="W1500" s="3">
        <f t="shared" si="239"/>
        <v>0</v>
      </c>
      <c r="AA1500" s="3">
        <v>43</v>
      </c>
    </row>
    <row r="1501" spans="1:27" x14ac:dyDescent="0.3">
      <c r="A1501" s="3" t="str">
        <f t="shared" si="230"/>
        <v>South9330239901210</v>
      </c>
      <c r="B1501" s="3" t="str">
        <f t="shared" si="231"/>
        <v>CMR9330239901210</v>
      </c>
      <c r="C1501" s="10">
        <v>9330239901210</v>
      </c>
      <c r="D1501" s="10" t="str">
        <f t="shared" si="232"/>
        <v>9330239901</v>
      </c>
      <c r="E1501" s="3" t="s">
        <v>5</v>
      </c>
      <c r="F1501" s="3" t="s">
        <v>65</v>
      </c>
      <c r="H1501" s="3">
        <v>1.0680000000000003</v>
      </c>
      <c r="I1501" s="10">
        <f t="shared" si="233"/>
        <v>48.990911956869546</v>
      </c>
      <c r="J1501" s="3">
        <v>0.65399884836206512</v>
      </c>
      <c r="K1501" s="3">
        <v>0</v>
      </c>
      <c r="L1501" s="3">
        <f t="shared" si="234"/>
        <v>0</v>
      </c>
      <c r="N1501" s="11">
        <f t="shared" si="235"/>
        <v>0.41400115163793516</v>
      </c>
      <c r="O1501" s="3">
        <v>0.65399884836206512</v>
      </c>
      <c r="P1501" s="11">
        <f t="shared" si="236"/>
        <v>18.990911956869542</v>
      </c>
      <c r="Q1501" s="12">
        <f t="shared" si="237"/>
        <v>24.602444089295034</v>
      </c>
      <c r="R1501" s="13">
        <f t="shared" si="238"/>
        <v>20.210009489630661</v>
      </c>
      <c r="S1501" s="3" t="s">
        <v>31</v>
      </c>
      <c r="T1501" s="3" t="s">
        <v>35</v>
      </c>
      <c r="U1501" s="10">
        <v>0</v>
      </c>
      <c r="V1501" s="3">
        <v>0</v>
      </c>
      <c r="W1501" s="3">
        <f t="shared" si="239"/>
        <v>0</v>
      </c>
      <c r="AA1501" s="3">
        <v>43</v>
      </c>
    </row>
    <row r="1502" spans="1:27" x14ac:dyDescent="0.3">
      <c r="A1502" s="3" t="str">
        <f t="shared" si="230"/>
        <v>South9160309901210</v>
      </c>
      <c r="B1502" s="3" t="str">
        <f t="shared" si="231"/>
        <v>CMR9160309901210</v>
      </c>
      <c r="C1502" s="10">
        <v>9160309901210</v>
      </c>
      <c r="D1502" s="10" t="str">
        <f t="shared" si="232"/>
        <v>9160309901</v>
      </c>
      <c r="E1502" s="3" t="s">
        <v>5</v>
      </c>
      <c r="F1502" s="3" t="s">
        <v>65</v>
      </c>
      <c r="H1502" s="3">
        <v>3.8030000000000004</v>
      </c>
      <c r="I1502" s="10">
        <f t="shared" si="233"/>
        <v>0</v>
      </c>
      <c r="J1502" s="3">
        <v>0</v>
      </c>
      <c r="K1502" s="3">
        <v>0</v>
      </c>
      <c r="L1502" s="3">
        <f t="shared" si="234"/>
        <v>0</v>
      </c>
      <c r="N1502" s="11">
        <f t="shared" si="235"/>
        <v>3.8030000000000004</v>
      </c>
      <c r="O1502" s="3">
        <v>0</v>
      </c>
      <c r="P1502" s="11">
        <f t="shared" si="236"/>
        <v>9999</v>
      </c>
      <c r="Q1502" s="12">
        <f t="shared" si="237"/>
        <v>9999</v>
      </c>
      <c r="R1502" s="13">
        <f t="shared" si="238"/>
        <v>9999</v>
      </c>
      <c r="S1502" s="3" t="s">
        <v>31</v>
      </c>
      <c r="T1502" s="3" t="s">
        <v>34</v>
      </c>
      <c r="U1502" s="10">
        <v>0</v>
      </c>
      <c r="V1502" s="3">
        <v>0</v>
      </c>
      <c r="W1502" s="3">
        <f t="shared" si="239"/>
        <v>0</v>
      </c>
      <c r="AA1502" s="3">
        <v>43</v>
      </c>
    </row>
    <row r="1503" spans="1:27" x14ac:dyDescent="0.3">
      <c r="A1503" s="3" t="str">
        <f t="shared" si="230"/>
        <v>South9160709900210</v>
      </c>
      <c r="B1503" s="3" t="str">
        <f t="shared" si="231"/>
        <v>CMR9160709900210</v>
      </c>
      <c r="C1503" s="10">
        <v>9160709900210</v>
      </c>
      <c r="D1503" s="10" t="str">
        <f t="shared" si="232"/>
        <v>9160709900</v>
      </c>
      <c r="E1503" s="3" t="s">
        <v>5</v>
      </c>
      <c r="F1503" s="3" t="s">
        <v>65</v>
      </c>
      <c r="H1503" s="3">
        <v>0</v>
      </c>
      <c r="I1503" s="10">
        <f t="shared" si="233"/>
        <v>0</v>
      </c>
      <c r="J1503" s="3">
        <v>0</v>
      </c>
      <c r="K1503" s="3">
        <v>0</v>
      </c>
      <c r="L1503" s="3">
        <f t="shared" si="234"/>
        <v>0</v>
      </c>
      <c r="N1503" s="11">
        <f t="shared" si="235"/>
        <v>0</v>
      </c>
      <c r="O1503" s="3">
        <v>0</v>
      </c>
      <c r="P1503" s="11">
        <f t="shared" si="236"/>
        <v>9999</v>
      </c>
      <c r="Q1503" s="12">
        <f t="shared" si="237"/>
        <v>9999</v>
      </c>
      <c r="R1503" s="13">
        <f t="shared" si="238"/>
        <v>9999</v>
      </c>
      <c r="S1503" s="3" t="s">
        <v>31</v>
      </c>
      <c r="T1503" s="3" t="s">
        <v>34</v>
      </c>
      <c r="U1503" s="10" t="s">
        <v>72</v>
      </c>
      <c r="V1503" s="3" t="s">
        <v>72</v>
      </c>
      <c r="W1503" s="3">
        <f t="shared" si="239"/>
        <v>0</v>
      </c>
      <c r="AA1503" s="3">
        <v>43</v>
      </c>
    </row>
    <row r="1504" spans="1:27" ht="15.6" x14ac:dyDescent="0.3">
      <c r="A1504" s="3" t="str">
        <f t="shared" si="230"/>
        <v>West9432019901320</v>
      </c>
      <c r="B1504" s="3" t="str">
        <f t="shared" si="231"/>
        <v>Mah9432019901320</v>
      </c>
      <c r="C1504" s="10">
        <v>9432019901320</v>
      </c>
      <c r="D1504" s="10" t="str">
        <f t="shared" si="232"/>
        <v>9432019901</v>
      </c>
      <c r="E1504" s="3" t="s">
        <v>1</v>
      </c>
      <c r="F1504" s="3" t="s">
        <v>63</v>
      </c>
      <c r="G1504"/>
      <c r="H1504" s="3">
        <v>63.26</v>
      </c>
      <c r="I1504" s="10">
        <f t="shared" si="233"/>
        <v>29.879231902367369</v>
      </c>
      <c r="J1504" s="3">
        <v>63.515688964201082</v>
      </c>
      <c r="K1504" s="3">
        <v>44</v>
      </c>
      <c r="L1504" s="3">
        <f t="shared" si="234"/>
        <v>0</v>
      </c>
      <c r="M1504" s="32"/>
      <c r="N1504" s="11">
        <f t="shared" si="235"/>
        <v>-0.25568896420108445</v>
      </c>
      <c r="O1504" s="3">
        <v>63.515688964201082</v>
      </c>
      <c r="P1504" s="11">
        <f t="shared" si="236"/>
        <v>-0.12076809763263216</v>
      </c>
      <c r="Q1504" s="12">
        <f t="shared" si="237"/>
        <v>-0.12076809763263216</v>
      </c>
      <c r="R1504" s="13">
        <f t="shared" si="238"/>
        <v>3.7792537227451724</v>
      </c>
      <c r="S1504" s="3" t="s">
        <v>29</v>
      </c>
      <c r="T1504" s="3" t="s">
        <v>35</v>
      </c>
      <c r="U1504" s="10">
        <v>9432019900999</v>
      </c>
      <c r="V1504" s="3">
        <v>0.1</v>
      </c>
      <c r="W1504" s="3">
        <f t="shared" si="239"/>
        <v>4.4000000000000004</v>
      </c>
      <c r="Y1504" s="3">
        <v>0</v>
      </c>
      <c r="Z1504" s="3">
        <v>0</v>
      </c>
      <c r="AA1504">
        <v>44</v>
      </c>
    </row>
    <row r="1505" spans="1:27" x14ac:dyDescent="0.3">
      <c r="A1505" s="3" t="str">
        <f t="shared" si="230"/>
        <v>West9432019901310</v>
      </c>
      <c r="B1505" s="3" t="str">
        <f t="shared" si="231"/>
        <v>Mah9432019901310</v>
      </c>
      <c r="C1505" s="14">
        <v>9432019901310</v>
      </c>
      <c r="D1505" s="10" t="str">
        <f t="shared" si="232"/>
        <v>9432019901</v>
      </c>
      <c r="E1505" s="3" t="s">
        <v>1</v>
      </c>
      <c r="F1505" s="3" t="s">
        <v>63</v>
      </c>
      <c r="H1505" s="3">
        <v>32.64</v>
      </c>
      <c r="I1505" s="10">
        <f t="shared" si="233"/>
        <v>39.960924467848777</v>
      </c>
      <c r="J1505" s="3">
        <v>24.503937610047824</v>
      </c>
      <c r="K1505" s="3">
        <v>22</v>
      </c>
      <c r="L1505" s="3">
        <f t="shared" si="234"/>
        <v>0</v>
      </c>
      <c r="M1505" s="32"/>
      <c r="N1505" s="11">
        <f t="shared" si="235"/>
        <v>8.1360623899521762</v>
      </c>
      <c r="O1505" s="3">
        <v>24.503937610047824</v>
      </c>
      <c r="P1505" s="11">
        <f t="shared" si="236"/>
        <v>9.9609244678487787</v>
      </c>
      <c r="Q1505" s="12">
        <f t="shared" si="237"/>
        <v>9.9609244678487787</v>
      </c>
      <c r="R1505" s="13">
        <f t="shared" si="238"/>
        <v>9.7787517796553676</v>
      </c>
      <c r="S1505" s="3" t="s">
        <v>29</v>
      </c>
      <c r="T1505" s="3" t="s">
        <v>35</v>
      </c>
      <c r="U1505" s="10">
        <v>9432019900999</v>
      </c>
      <c r="V1505" s="3">
        <v>0.1</v>
      </c>
      <c r="W1505" s="3">
        <f t="shared" si="239"/>
        <v>2.2000000000000002</v>
      </c>
      <c r="Y1505" s="3">
        <v>0</v>
      </c>
      <c r="Z1505" s="3">
        <v>90</v>
      </c>
      <c r="AA1505" s="3">
        <v>44</v>
      </c>
    </row>
    <row r="1506" spans="1:27" x14ac:dyDescent="0.3">
      <c r="A1506" s="3" t="str">
        <f t="shared" si="230"/>
        <v>West9330229901320</v>
      </c>
      <c r="B1506" s="3" t="str">
        <f t="shared" si="231"/>
        <v>Mah9330229901320</v>
      </c>
      <c r="C1506" s="14">
        <v>9330229901320</v>
      </c>
      <c r="D1506" s="10" t="str">
        <f t="shared" si="232"/>
        <v>9330229901</v>
      </c>
      <c r="E1506" s="3" t="s">
        <v>1</v>
      </c>
      <c r="F1506" s="3" t="s">
        <v>63</v>
      </c>
      <c r="H1506" s="3">
        <v>45.640000000000008</v>
      </c>
      <c r="I1506" s="10">
        <f t="shared" si="233"/>
        <v>67.874455138276687</v>
      </c>
      <c r="J1506" s="3">
        <v>20.172537624215302</v>
      </c>
      <c r="K1506" s="3">
        <v>22</v>
      </c>
      <c r="L1506" s="3">
        <f t="shared" si="234"/>
        <v>0</v>
      </c>
      <c r="M1506" s="32"/>
      <c r="N1506" s="11">
        <f t="shared" si="235"/>
        <v>25.467462375784706</v>
      </c>
      <c r="O1506" s="3">
        <v>20.172537624215302</v>
      </c>
      <c r="P1506" s="11">
        <f t="shared" si="236"/>
        <v>37.874455138276694</v>
      </c>
      <c r="Q1506" s="12">
        <f t="shared" si="237"/>
        <v>37.874455138276694</v>
      </c>
      <c r="R1506" s="13">
        <f t="shared" si="238"/>
        <v>5.2822110886760649</v>
      </c>
      <c r="S1506" s="3" t="s">
        <v>29</v>
      </c>
      <c r="T1506" s="3" t="s">
        <v>35</v>
      </c>
      <c r="U1506" s="10">
        <v>9330229900999</v>
      </c>
      <c r="V1506" s="3">
        <v>0.1</v>
      </c>
      <c r="W1506" s="3">
        <f t="shared" si="239"/>
        <v>2.2000000000000002</v>
      </c>
      <c r="Y1506" s="3">
        <v>0</v>
      </c>
      <c r="Z1506" s="3">
        <v>12</v>
      </c>
      <c r="AA1506" s="3">
        <v>44</v>
      </c>
    </row>
    <row r="1507" spans="1:27" x14ac:dyDescent="0.3">
      <c r="A1507" s="3" t="str">
        <f t="shared" si="230"/>
        <v>West9432019901840</v>
      </c>
      <c r="B1507" s="3" t="str">
        <f t="shared" si="231"/>
        <v>Mah9432019901840</v>
      </c>
      <c r="C1507" s="14">
        <v>9432019901840</v>
      </c>
      <c r="D1507" s="10" t="str">
        <f t="shared" si="232"/>
        <v>9432019901</v>
      </c>
      <c r="E1507" s="3" t="s">
        <v>1</v>
      </c>
      <c r="F1507" s="3" t="s">
        <v>63</v>
      </c>
      <c r="H1507" s="3">
        <v>18.867999999999999</v>
      </c>
      <c r="I1507" s="10">
        <f t="shared" si="233"/>
        <v>42.716620533089142</v>
      </c>
      <c r="J1507" s="3">
        <v>13.251048255597238</v>
      </c>
      <c r="K1507" s="3">
        <v>22</v>
      </c>
      <c r="L1507" s="3">
        <f t="shared" si="234"/>
        <v>0</v>
      </c>
      <c r="M1507" s="32"/>
      <c r="N1507" s="11">
        <f t="shared" si="235"/>
        <v>5.6169517444027601</v>
      </c>
      <c r="O1507" s="3">
        <v>13.251048255597238</v>
      </c>
      <c r="P1507" s="11">
        <f t="shared" si="236"/>
        <v>12.716620533089134</v>
      </c>
      <c r="Q1507" s="12">
        <f t="shared" si="237"/>
        <v>12.716620533089136</v>
      </c>
      <c r="R1507" s="13">
        <f t="shared" si="238"/>
        <v>4.9551947325973327</v>
      </c>
      <c r="S1507" s="3" t="s">
        <v>30</v>
      </c>
      <c r="T1507" s="3" t="s">
        <v>35</v>
      </c>
      <c r="U1507" s="10">
        <v>0</v>
      </c>
      <c r="V1507" s="3">
        <v>0</v>
      </c>
      <c r="W1507" s="3">
        <f t="shared" si="239"/>
        <v>0</v>
      </c>
      <c r="Y1507" s="3">
        <v>0</v>
      </c>
      <c r="Z1507" s="3">
        <v>608</v>
      </c>
      <c r="AA1507" s="3">
        <v>44</v>
      </c>
    </row>
    <row r="1508" spans="1:27" x14ac:dyDescent="0.3">
      <c r="A1508" s="3" t="str">
        <f t="shared" si="230"/>
        <v>West9432019901210</v>
      </c>
      <c r="B1508" s="3" t="str">
        <f t="shared" si="231"/>
        <v>Mah9432019901210</v>
      </c>
      <c r="C1508" s="10">
        <v>9432019901210</v>
      </c>
      <c r="D1508" s="10" t="str">
        <f t="shared" si="232"/>
        <v>9432019901</v>
      </c>
      <c r="E1508" s="3" t="s">
        <v>1</v>
      </c>
      <c r="F1508" s="3" t="s">
        <v>63</v>
      </c>
      <c r="H1508" s="3">
        <v>7.7040000000000006</v>
      </c>
      <c r="I1508" s="10">
        <f t="shared" si="233"/>
        <v>38.04984600638879</v>
      </c>
      <c r="J1508" s="3">
        <v>6.0741375920731357</v>
      </c>
      <c r="K1508" s="3">
        <v>12</v>
      </c>
      <c r="L1508" s="3">
        <f t="shared" si="234"/>
        <v>0</v>
      </c>
      <c r="M1508" s="32"/>
      <c r="N1508" s="11">
        <f t="shared" si="235"/>
        <v>1.6298624079268649</v>
      </c>
      <c r="O1508" s="3">
        <v>6.0741375920731357</v>
      </c>
      <c r="P1508" s="11">
        <f t="shared" si="236"/>
        <v>8.0498460063887887</v>
      </c>
      <c r="Q1508" s="12">
        <f t="shared" si="237"/>
        <v>8.0498460063887887</v>
      </c>
      <c r="R1508" s="13">
        <f t="shared" si="238"/>
        <v>24.563491916296034</v>
      </c>
      <c r="S1508" s="3" t="s">
        <v>30</v>
      </c>
      <c r="T1508" s="3" t="s">
        <v>35</v>
      </c>
      <c r="U1508" s="10">
        <v>0</v>
      </c>
      <c r="V1508" s="3">
        <v>0</v>
      </c>
      <c r="W1508" s="3">
        <f t="shared" si="239"/>
        <v>0</v>
      </c>
      <c r="Y1508" s="3">
        <v>0</v>
      </c>
      <c r="Z1508" s="3">
        <v>306</v>
      </c>
      <c r="AA1508" s="3">
        <v>44</v>
      </c>
    </row>
    <row r="1509" spans="1:27" ht="15.6" x14ac:dyDescent="0.3">
      <c r="A1509" s="3" t="str">
        <f t="shared" si="230"/>
        <v>West9330229901310</v>
      </c>
      <c r="B1509" s="3" t="str">
        <f t="shared" si="231"/>
        <v>Mah9330229901310</v>
      </c>
      <c r="C1509" s="10">
        <v>9330229901310</v>
      </c>
      <c r="D1509" s="10" t="str">
        <f t="shared" si="232"/>
        <v>9330229901</v>
      </c>
      <c r="E1509" s="3" t="s">
        <v>1</v>
      </c>
      <c r="F1509" s="3" t="s">
        <v>63</v>
      </c>
      <c r="H1509" s="3">
        <v>4.2299999999999986</v>
      </c>
      <c r="I1509" s="10">
        <f t="shared" si="233"/>
        <v>32.860377049145463</v>
      </c>
      <c r="J1509" s="3">
        <v>3.8617937892255565</v>
      </c>
      <c r="K1509" s="3">
        <v>22</v>
      </c>
      <c r="L1509" s="3">
        <f t="shared" si="234"/>
        <v>0</v>
      </c>
      <c r="M1509" s="32"/>
      <c r="N1509" s="11">
        <f t="shared" si="235"/>
        <v>0.36820621077444216</v>
      </c>
      <c r="O1509" s="3">
        <v>3.8617937892255565</v>
      </c>
      <c r="P1509" s="11">
        <f t="shared" si="236"/>
        <v>2.8603770491454608</v>
      </c>
      <c r="Q1509" s="12">
        <f t="shared" si="237"/>
        <v>2.8603770491454608</v>
      </c>
      <c r="R1509" s="13">
        <f t="shared" si="238"/>
        <v>9.6850554515557317</v>
      </c>
      <c r="S1509" s="3" t="s">
        <v>30</v>
      </c>
      <c r="T1509" s="3" t="s">
        <v>35</v>
      </c>
      <c r="U1509" s="10">
        <v>9330229900999</v>
      </c>
      <c r="V1509" s="3">
        <v>0.1</v>
      </c>
      <c r="W1509" s="3">
        <f t="shared" si="239"/>
        <v>2.2000000000000002</v>
      </c>
      <c r="Y1509" s="3">
        <v>1.5</v>
      </c>
      <c r="Z1509" s="3">
        <v>11.5</v>
      </c>
      <c r="AA1509">
        <v>44</v>
      </c>
    </row>
    <row r="1510" spans="1:27" x14ac:dyDescent="0.3">
      <c r="A1510" s="3" t="str">
        <f t="shared" si="230"/>
        <v>West9432019902195</v>
      </c>
      <c r="B1510" s="3" t="str">
        <f t="shared" si="231"/>
        <v>Mah9432019902195</v>
      </c>
      <c r="C1510" s="10">
        <v>9432019902195</v>
      </c>
      <c r="D1510" s="10" t="str">
        <f t="shared" si="232"/>
        <v>9432019902</v>
      </c>
      <c r="E1510" s="3" t="s">
        <v>1</v>
      </c>
      <c r="F1510" s="3" t="s">
        <v>63</v>
      </c>
      <c r="H1510" s="3">
        <v>1.6938500000000003</v>
      </c>
      <c r="I1510" s="10">
        <f t="shared" si="233"/>
        <v>28.57897660339577</v>
      </c>
      <c r="J1510" s="3">
        <v>1.778072766747081</v>
      </c>
      <c r="K1510" s="3">
        <v>0</v>
      </c>
      <c r="L1510" s="3">
        <f t="shared" si="234"/>
        <v>0</v>
      </c>
      <c r="M1510" s="32"/>
      <c r="N1510" s="11">
        <f t="shared" si="235"/>
        <v>-8.4222766747080735E-2</v>
      </c>
      <c r="O1510" s="3">
        <v>1.778072766747081</v>
      </c>
      <c r="P1510" s="11">
        <f t="shared" si="236"/>
        <v>-1.4210233966042325</v>
      </c>
      <c r="Q1510" s="12">
        <f t="shared" si="237"/>
        <v>-1.4210233966042323</v>
      </c>
      <c r="R1510" s="13">
        <f t="shared" si="238"/>
        <v>-4.5391497566448349</v>
      </c>
      <c r="S1510" s="3" t="s">
        <v>31</v>
      </c>
      <c r="T1510" s="3" t="s">
        <v>35</v>
      </c>
      <c r="U1510" s="10">
        <v>0</v>
      </c>
      <c r="V1510" s="3">
        <v>0</v>
      </c>
      <c r="W1510" s="3">
        <f t="shared" si="239"/>
        <v>0</v>
      </c>
      <c r="Y1510" s="3">
        <v>0</v>
      </c>
      <c r="Z1510" s="3">
        <v>0</v>
      </c>
      <c r="AA1510" s="3">
        <v>44</v>
      </c>
    </row>
    <row r="1511" spans="1:27" x14ac:dyDescent="0.3">
      <c r="A1511" s="3" t="str">
        <f t="shared" si="230"/>
        <v>West9330229901840</v>
      </c>
      <c r="B1511" s="3" t="str">
        <f t="shared" si="231"/>
        <v>Mah9330229901840</v>
      </c>
      <c r="C1511" s="10">
        <v>9330229901840</v>
      </c>
      <c r="D1511" s="10" t="str">
        <f t="shared" si="232"/>
        <v>9330229901</v>
      </c>
      <c r="E1511" s="3" t="s">
        <v>1</v>
      </c>
      <c r="F1511" s="3" t="s">
        <v>63</v>
      </c>
      <c r="H1511" s="3">
        <v>3.4320000000000008</v>
      </c>
      <c r="I1511" s="10">
        <f t="shared" si="233"/>
        <v>61.010266598381889</v>
      </c>
      <c r="J1511" s="3">
        <v>1.6875848236783599</v>
      </c>
      <c r="K1511" s="3">
        <v>0</v>
      </c>
      <c r="L1511" s="3">
        <f t="shared" si="234"/>
        <v>0</v>
      </c>
      <c r="M1511" s="32"/>
      <c r="N1511" s="11">
        <f t="shared" si="235"/>
        <v>1.7444151763216409</v>
      </c>
      <c r="O1511" s="3">
        <v>1.6875848236783599</v>
      </c>
      <c r="P1511" s="11">
        <f t="shared" si="236"/>
        <v>31.010266598381886</v>
      </c>
      <c r="Q1511" s="12">
        <f t="shared" si="237"/>
        <v>31.010266598381882</v>
      </c>
      <c r="R1511" s="13">
        <f t="shared" si="238"/>
        <v>20.316513479669023</v>
      </c>
      <c r="S1511" s="3" t="s">
        <v>31</v>
      </c>
      <c r="T1511" s="3" t="s">
        <v>35</v>
      </c>
      <c r="U1511" s="10">
        <v>0</v>
      </c>
      <c r="V1511" s="3">
        <v>0</v>
      </c>
      <c r="W1511" s="3">
        <f t="shared" si="239"/>
        <v>0</v>
      </c>
      <c r="Y1511" s="3">
        <v>0</v>
      </c>
      <c r="Z1511" s="3">
        <v>44</v>
      </c>
      <c r="AA1511" s="3">
        <v>44</v>
      </c>
    </row>
    <row r="1512" spans="1:27" x14ac:dyDescent="0.3">
      <c r="A1512" s="3" t="str">
        <f t="shared" si="230"/>
        <v>West9432019902838</v>
      </c>
      <c r="B1512" s="3" t="str">
        <f t="shared" si="231"/>
        <v>Mah9432019902838</v>
      </c>
      <c r="C1512" s="10">
        <v>9432019902838</v>
      </c>
      <c r="D1512" s="10" t="str">
        <f t="shared" si="232"/>
        <v>9432019902</v>
      </c>
      <c r="E1512" s="3" t="s">
        <v>1</v>
      </c>
      <c r="F1512" s="3" t="s">
        <v>63</v>
      </c>
      <c r="H1512" s="3">
        <v>1.4858</v>
      </c>
      <c r="I1512" s="10">
        <f t="shared" si="233"/>
        <v>31.860859135548797</v>
      </c>
      <c r="J1512" s="3">
        <v>1.3990206544765298</v>
      </c>
      <c r="K1512" s="3">
        <v>0</v>
      </c>
      <c r="L1512" s="3">
        <f t="shared" si="234"/>
        <v>0</v>
      </c>
      <c r="M1512" s="32"/>
      <c r="N1512" s="11">
        <f t="shared" si="235"/>
        <v>8.6779345523470219E-2</v>
      </c>
      <c r="O1512" s="3">
        <v>1.3990206544765298</v>
      </c>
      <c r="P1512" s="11">
        <f t="shared" si="236"/>
        <v>1.8608591355487962</v>
      </c>
      <c r="Q1512" s="12">
        <f t="shared" si="237"/>
        <v>1.8608591355487965</v>
      </c>
      <c r="R1512" s="13">
        <f t="shared" si="238"/>
        <v>34.337624916396607</v>
      </c>
      <c r="S1512" s="3" t="s">
        <v>31</v>
      </c>
      <c r="T1512" s="3" t="s">
        <v>35</v>
      </c>
      <c r="U1512" s="10">
        <v>0</v>
      </c>
      <c r="V1512" s="3">
        <v>0</v>
      </c>
      <c r="W1512" s="3">
        <f t="shared" si="239"/>
        <v>0</v>
      </c>
      <c r="Y1512" s="3">
        <v>0</v>
      </c>
      <c r="Z1512" s="3">
        <v>165</v>
      </c>
      <c r="AA1512" s="3">
        <v>44</v>
      </c>
    </row>
    <row r="1513" spans="1:27" ht="15.6" x14ac:dyDescent="0.3">
      <c r="A1513" s="3" t="str">
        <f t="shared" si="230"/>
        <v>West9330229901210</v>
      </c>
      <c r="B1513" s="3" t="str">
        <f t="shared" si="231"/>
        <v>Mah9330229901210</v>
      </c>
      <c r="C1513" s="10">
        <v>9330229901210</v>
      </c>
      <c r="D1513" s="10" t="str">
        <f t="shared" si="232"/>
        <v>9330229901</v>
      </c>
      <c r="E1513" s="3" t="s">
        <v>1</v>
      </c>
      <c r="F1513" s="3" t="s">
        <v>63</v>
      </c>
      <c r="H1513" s="3">
        <v>0.93199999999999994</v>
      </c>
      <c r="I1513" s="10">
        <f t="shared" si="233"/>
        <v>34.330246504922627</v>
      </c>
      <c r="J1513" s="3">
        <v>0.81444215659770469</v>
      </c>
      <c r="K1513" s="3">
        <v>0</v>
      </c>
      <c r="L1513" s="3">
        <f t="shared" si="234"/>
        <v>0</v>
      </c>
      <c r="N1513" s="11">
        <f t="shared" si="235"/>
        <v>0.11755784340229525</v>
      </c>
      <c r="O1513" s="3">
        <v>0.81444215659770469</v>
      </c>
      <c r="P1513" s="11">
        <f t="shared" si="236"/>
        <v>4.3302465049226271</v>
      </c>
      <c r="Q1513" s="12">
        <f t="shared" si="237"/>
        <v>4.3302465049226271</v>
      </c>
      <c r="R1513" s="13">
        <f t="shared" si="238"/>
        <v>40.97444806865218</v>
      </c>
      <c r="S1513" s="3" t="s">
        <v>31</v>
      </c>
      <c r="T1513" s="3" t="s">
        <v>35</v>
      </c>
      <c r="U1513" s="10">
        <v>0</v>
      </c>
      <c r="V1513" s="3">
        <v>0</v>
      </c>
      <c r="W1513" s="3">
        <f t="shared" si="239"/>
        <v>0</v>
      </c>
      <c r="Y1513">
        <v>6</v>
      </c>
      <c r="Z1513" s="3">
        <v>390</v>
      </c>
      <c r="AA1513" s="3">
        <v>44</v>
      </c>
    </row>
    <row r="1514" spans="1:27" x14ac:dyDescent="0.3">
      <c r="A1514" s="3" t="str">
        <f t="shared" si="230"/>
        <v>West9420049900320</v>
      </c>
      <c r="B1514" s="3" t="str">
        <f t="shared" si="231"/>
        <v>Mah9420049900320</v>
      </c>
      <c r="C1514" s="10">
        <v>9420049900320</v>
      </c>
      <c r="D1514" s="10" t="str">
        <f t="shared" si="232"/>
        <v>9420049900</v>
      </c>
      <c r="E1514" s="3" t="s">
        <v>1</v>
      </c>
      <c r="F1514" s="3" t="s">
        <v>63</v>
      </c>
      <c r="H1514" s="3">
        <v>0.57999999999999996</v>
      </c>
      <c r="I1514" s="10">
        <f t="shared" si="233"/>
        <v>28.378259653929149</v>
      </c>
      <c r="J1514" s="3">
        <v>0.61314542231242353</v>
      </c>
      <c r="K1514" s="3">
        <v>0</v>
      </c>
      <c r="L1514" s="3">
        <f t="shared" si="234"/>
        <v>0</v>
      </c>
      <c r="N1514" s="11">
        <f t="shared" si="235"/>
        <v>-3.3145422312423567E-2</v>
      </c>
      <c r="O1514" s="3">
        <v>0.61314542231242353</v>
      </c>
      <c r="P1514" s="11">
        <f t="shared" si="236"/>
        <v>-1.6217403460708497</v>
      </c>
      <c r="Q1514" s="12">
        <f t="shared" si="237"/>
        <v>-1.6217403460708497</v>
      </c>
      <c r="R1514" s="13">
        <f t="shared" si="238"/>
        <v>-12.150289115008475</v>
      </c>
      <c r="S1514" s="3" t="s">
        <v>31</v>
      </c>
      <c r="T1514" s="3" t="s">
        <v>28</v>
      </c>
      <c r="U1514" s="10">
        <v>9420049900999</v>
      </c>
      <c r="V1514" s="3">
        <v>0.1</v>
      </c>
      <c r="W1514" s="3">
        <f t="shared" si="239"/>
        <v>0</v>
      </c>
      <c r="AA1514" s="3">
        <v>44</v>
      </c>
    </row>
    <row r="1515" spans="1:27" x14ac:dyDescent="0.3">
      <c r="A1515" s="3" t="str">
        <f t="shared" si="230"/>
        <v>West9432019902319</v>
      </c>
      <c r="B1515" s="3" t="str">
        <f t="shared" si="231"/>
        <v>Mah9432019902319</v>
      </c>
      <c r="C1515" s="10">
        <v>9432019902319</v>
      </c>
      <c r="D1515" s="10" t="str">
        <f t="shared" si="232"/>
        <v>9432019902</v>
      </c>
      <c r="E1515" s="3" t="s">
        <v>1</v>
      </c>
      <c r="F1515" s="3" t="s">
        <v>63</v>
      </c>
      <c r="H1515" s="3">
        <v>2.8880000000000008</v>
      </c>
      <c r="I1515" s="10">
        <f t="shared" si="233"/>
        <v>146.69470841250336</v>
      </c>
      <c r="J1515" s="3">
        <v>0.59061435097147219</v>
      </c>
      <c r="K1515" s="3">
        <v>0</v>
      </c>
      <c r="L1515" s="3">
        <f t="shared" si="234"/>
        <v>0</v>
      </c>
      <c r="N1515" s="11">
        <f t="shared" si="235"/>
        <v>2.2973856490285285</v>
      </c>
      <c r="O1515" s="3">
        <v>0.59061435097147219</v>
      </c>
      <c r="P1515" s="11">
        <f t="shared" si="236"/>
        <v>116.69470841250335</v>
      </c>
      <c r="Q1515" s="12">
        <f t="shared" si="237"/>
        <v>116.69470841250335</v>
      </c>
      <c r="R1515" s="13">
        <f t="shared" si="238"/>
        <v>47.124925459328132</v>
      </c>
      <c r="S1515" s="3" t="s">
        <v>31</v>
      </c>
      <c r="T1515" s="3" t="s">
        <v>35</v>
      </c>
      <c r="U1515" s="10">
        <v>9432019900999</v>
      </c>
      <c r="V1515" s="3">
        <v>0.1</v>
      </c>
      <c r="W1515" s="3">
        <f t="shared" si="239"/>
        <v>0</v>
      </c>
      <c r="AA1515" s="3">
        <v>44</v>
      </c>
    </row>
    <row r="1516" spans="1:27" x14ac:dyDescent="0.3">
      <c r="A1516" s="3" t="str">
        <f t="shared" si="230"/>
        <v>West9432019902295</v>
      </c>
      <c r="B1516" s="3" t="str">
        <f t="shared" si="231"/>
        <v>Mah9432019902295</v>
      </c>
      <c r="C1516" s="10">
        <v>9432019902295</v>
      </c>
      <c r="D1516" s="10" t="str">
        <f t="shared" si="232"/>
        <v>9432019902</v>
      </c>
      <c r="E1516" s="3" t="s">
        <v>1</v>
      </c>
      <c r="F1516" s="3" t="s">
        <v>63</v>
      </c>
      <c r="H1516" s="3">
        <v>0.9880000000000001</v>
      </c>
      <c r="I1516" s="10">
        <f t="shared" si="233"/>
        <v>56.395707083536657</v>
      </c>
      <c r="J1516" s="3">
        <v>0.52557191908411538</v>
      </c>
      <c r="K1516" s="3">
        <v>0</v>
      </c>
      <c r="L1516" s="3">
        <f t="shared" si="234"/>
        <v>0</v>
      </c>
      <c r="N1516" s="11">
        <f t="shared" si="235"/>
        <v>0.46242808091588472</v>
      </c>
      <c r="O1516" s="3">
        <v>0.52557191908411538</v>
      </c>
      <c r="P1516" s="11">
        <f t="shared" si="236"/>
        <v>26.395707083536664</v>
      </c>
      <c r="Q1516" s="12">
        <f t="shared" si="237"/>
        <v>26.395707083536664</v>
      </c>
      <c r="R1516" s="13">
        <f t="shared" si="238"/>
        <v>48.704698711521544</v>
      </c>
      <c r="S1516" s="3" t="s">
        <v>31</v>
      </c>
      <c r="T1516" s="3" t="s">
        <v>35</v>
      </c>
      <c r="U1516" s="10">
        <v>9432019900999</v>
      </c>
      <c r="V1516" s="3">
        <v>0.1</v>
      </c>
      <c r="W1516" s="3">
        <f t="shared" si="239"/>
        <v>0</v>
      </c>
      <c r="AA1516" s="3">
        <v>44</v>
      </c>
    </row>
    <row r="1517" spans="1:27" x14ac:dyDescent="0.3">
      <c r="A1517" s="3" t="str">
        <f t="shared" si="230"/>
        <v>West9420049900310</v>
      </c>
      <c r="B1517" s="3" t="str">
        <f t="shared" si="231"/>
        <v>Mah9420049900310</v>
      </c>
      <c r="C1517" s="10">
        <v>9420049900310</v>
      </c>
      <c r="D1517" s="10" t="str">
        <f t="shared" si="232"/>
        <v>9420049900</v>
      </c>
      <c r="E1517" s="3" t="s">
        <v>1</v>
      </c>
      <c r="F1517" s="3" t="s">
        <v>63</v>
      </c>
      <c r="H1517" s="3">
        <v>4.9800000000000004</v>
      </c>
      <c r="I1517" s="10">
        <f t="shared" si="233"/>
        <v>845.07376690243495</v>
      </c>
      <c r="J1517" s="3">
        <v>0.17678930035612911</v>
      </c>
      <c r="K1517" s="3">
        <v>0</v>
      </c>
      <c r="L1517" s="3">
        <f t="shared" si="234"/>
        <v>0</v>
      </c>
      <c r="N1517" s="11">
        <f t="shared" si="235"/>
        <v>4.8032106996438717</v>
      </c>
      <c r="O1517" s="3">
        <v>0.17678930035612911</v>
      </c>
      <c r="P1517" s="11">
        <f t="shared" si="236"/>
        <v>815.07376690243495</v>
      </c>
      <c r="Q1517" s="12">
        <f t="shared" si="237"/>
        <v>815.07376690243507</v>
      </c>
      <c r="R1517" s="13">
        <f t="shared" si="238"/>
        <v>92.642613835035363</v>
      </c>
      <c r="S1517" s="3" t="s">
        <v>31</v>
      </c>
      <c r="T1517" s="3" t="s">
        <v>28</v>
      </c>
      <c r="U1517" s="10">
        <v>9420049900999</v>
      </c>
      <c r="V1517" s="3">
        <v>0.1</v>
      </c>
      <c r="W1517" s="3">
        <f t="shared" si="239"/>
        <v>0</v>
      </c>
      <c r="AA1517" s="3">
        <v>44</v>
      </c>
    </row>
    <row r="1518" spans="1:27" x14ac:dyDescent="0.3">
      <c r="A1518" s="3" t="str">
        <f t="shared" si="230"/>
        <v>West9420049900840</v>
      </c>
      <c r="B1518" s="3" t="str">
        <f t="shared" si="231"/>
        <v>Mah9420049900840</v>
      </c>
      <c r="C1518" s="10">
        <v>9420049900840</v>
      </c>
      <c r="D1518" s="10" t="str">
        <f t="shared" si="232"/>
        <v>9420049900</v>
      </c>
      <c r="E1518" s="3" t="s">
        <v>1</v>
      </c>
      <c r="F1518" s="3" t="s">
        <v>63</v>
      </c>
      <c r="H1518" s="3">
        <v>0.26</v>
      </c>
      <c r="I1518" s="10">
        <f t="shared" si="233"/>
        <v>119.6325085846459</v>
      </c>
      <c r="J1518" s="3">
        <v>6.5199669323001072E-2</v>
      </c>
      <c r="K1518" s="3">
        <v>0</v>
      </c>
      <c r="L1518" s="3">
        <f t="shared" si="234"/>
        <v>0</v>
      </c>
      <c r="N1518" s="11">
        <f t="shared" si="235"/>
        <v>0.19480033067699892</v>
      </c>
      <c r="O1518" s="3">
        <v>6.5199669323001072E-2</v>
      </c>
      <c r="P1518" s="11">
        <f t="shared" si="236"/>
        <v>89.632508584645905</v>
      </c>
      <c r="Q1518" s="12">
        <f t="shared" si="237"/>
        <v>89.632508584645905</v>
      </c>
      <c r="R1518" s="13">
        <f t="shared" si="238"/>
        <v>167.18429092706845</v>
      </c>
      <c r="S1518" s="3" t="s">
        <v>31</v>
      </c>
      <c r="T1518" s="3" t="s">
        <v>28</v>
      </c>
      <c r="U1518" s="10">
        <v>0</v>
      </c>
      <c r="V1518" s="3">
        <v>0</v>
      </c>
      <c r="W1518" s="3">
        <f t="shared" si="239"/>
        <v>0</v>
      </c>
      <c r="AA1518" s="3">
        <v>44</v>
      </c>
    </row>
    <row r="1519" spans="1:27" x14ac:dyDescent="0.3">
      <c r="A1519" s="3" t="str">
        <f t="shared" si="230"/>
        <v>West9420049900210</v>
      </c>
      <c r="B1519" s="3" t="str">
        <f t="shared" si="231"/>
        <v>Mah9420049900210</v>
      </c>
      <c r="C1519" s="10">
        <v>9420049900210</v>
      </c>
      <c r="D1519" s="10" t="str">
        <f t="shared" si="232"/>
        <v>9420049900</v>
      </c>
      <c r="E1519" s="3" t="s">
        <v>1</v>
      </c>
      <c r="F1519" s="3" t="s">
        <v>63</v>
      </c>
      <c r="H1519" s="3">
        <v>0.26</v>
      </c>
      <c r="I1519" s="10">
        <f t="shared" si="233"/>
        <v>175.46189842365828</v>
      </c>
      <c r="J1519" s="3">
        <v>4.4454095561913126E-2</v>
      </c>
      <c r="K1519" s="3">
        <v>0</v>
      </c>
      <c r="L1519" s="3">
        <f t="shared" si="234"/>
        <v>0</v>
      </c>
      <c r="N1519" s="11">
        <f t="shared" si="235"/>
        <v>0.21554590443808688</v>
      </c>
      <c r="O1519" s="3">
        <v>4.4454095561913126E-2</v>
      </c>
      <c r="P1519" s="11">
        <f t="shared" si="236"/>
        <v>145.46189842365828</v>
      </c>
      <c r="Q1519" s="12">
        <f t="shared" si="237"/>
        <v>145.46189842365831</v>
      </c>
      <c r="R1519" s="13">
        <f t="shared" si="238"/>
        <v>145.73828960874476</v>
      </c>
      <c r="S1519" s="3" t="s">
        <v>31</v>
      </c>
      <c r="T1519" s="3" t="s">
        <v>28</v>
      </c>
      <c r="U1519" s="10">
        <v>0</v>
      </c>
      <c r="V1519" s="3">
        <v>0</v>
      </c>
      <c r="W1519" s="3">
        <f t="shared" si="239"/>
        <v>0</v>
      </c>
      <c r="AA1519" s="3">
        <v>44</v>
      </c>
    </row>
    <row r="1520" spans="1:27" x14ac:dyDescent="0.3">
      <c r="A1520" s="3" t="str">
        <f t="shared" si="230"/>
        <v>North9330229900320</v>
      </c>
      <c r="B1520" s="3" t="str">
        <f t="shared" si="231"/>
        <v>Pan9330229900320</v>
      </c>
      <c r="C1520" s="10">
        <v>9330229900320</v>
      </c>
      <c r="D1520" s="10" t="str">
        <f t="shared" si="232"/>
        <v>9330229900</v>
      </c>
      <c r="E1520" s="3" t="s">
        <v>2</v>
      </c>
      <c r="F1520" s="3" t="s">
        <v>64</v>
      </c>
      <c r="H1520" s="3">
        <v>59.027999999999992</v>
      </c>
      <c r="I1520" s="10">
        <f t="shared" si="233"/>
        <v>23.8590261472348</v>
      </c>
      <c r="J1520" s="3">
        <v>74.220967321637119</v>
      </c>
      <c r="K1520" s="3">
        <v>88</v>
      </c>
      <c r="L1520" s="3">
        <f t="shared" si="234"/>
        <v>0</v>
      </c>
      <c r="N1520" s="11">
        <f t="shared" si="235"/>
        <v>-15.192967321637127</v>
      </c>
      <c r="O1520" s="3">
        <v>74.220967321637119</v>
      </c>
      <c r="P1520" s="11">
        <f t="shared" si="236"/>
        <v>-6.1409738527651996</v>
      </c>
      <c r="Q1520" s="12">
        <f t="shared" si="237"/>
        <v>-3.2094991134368165</v>
      </c>
      <c r="R1520" s="13">
        <f t="shared" si="238"/>
        <v>-4.2206085179727149</v>
      </c>
      <c r="S1520" s="3" t="s">
        <v>29</v>
      </c>
      <c r="T1520" s="3" t="s">
        <v>35</v>
      </c>
      <c r="U1520" s="10">
        <v>9330229900999</v>
      </c>
      <c r="V1520" s="3">
        <v>0.1</v>
      </c>
      <c r="W1520" s="3">
        <f t="shared" si="239"/>
        <v>8.8000000000000007</v>
      </c>
      <c r="AA1520" s="3">
        <v>44</v>
      </c>
    </row>
    <row r="1521" spans="1:27" x14ac:dyDescent="0.3">
      <c r="A1521" s="3" t="str">
        <f t="shared" si="230"/>
        <v>North9330209900320</v>
      </c>
      <c r="B1521" s="3" t="str">
        <f t="shared" si="231"/>
        <v>Pan9330209900320</v>
      </c>
      <c r="C1521" s="10">
        <v>9330209900320</v>
      </c>
      <c r="D1521" s="10" t="str">
        <f t="shared" si="232"/>
        <v>9330209900</v>
      </c>
      <c r="E1521" s="3" t="s">
        <v>2</v>
      </c>
      <c r="F1521" s="3" t="s">
        <v>64</v>
      </c>
      <c r="H1521" s="3">
        <v>40.76</v>
      </c>
      <c r="I1521" s="10">
        <f t="shared" si="233"/>
        <v>17.51557203060645</v>
      </c>
      <c r="J1521" s="3">
        <v>69.812164733375397</v>
      </c>
      <c r="K1521" s="3">
        <v>99</v>
      </c>
      <c r="L1521" s="3">
        <f t="shared" si="234"/>
        <v>0</v>
      </c>
      <c r="N1521" s="11">
        <f t="shared" si="235"/>
        <v>-29.052164733375399</v>
      </c>
      <c r="O1521" s="3">
        <v>69.812164733375397</v>
      </c>
      <c r="P1521" s="11">
        <f t="shared" si="236"/>
        <v>-12.484427969393552</v>
      </c>
      <c r="Q1521" s="12">
        <f t="shared" si="237"/>
        <v>-5.2576592226622534</v>
      </c>
      <c r="R1521" s="13">
        <f t="shared" si="238"/>
        <v>-3.5893160099336039</v>
      </c>
      <c r="S1521" s="3" t="s">
        <v>29</v>
      </c>
      <c r="T1521" s="3" t="s">
        <v>35</v>
      </c>
      <c r="U1521" s="10">
        <v>9330209900999</v>
      </c>
      <c r="V1521" s="3">
        <v>0.1</v>
      </c>
      <c r="W1521" s="3">
        <f t="shared" si="239"/>
        <v>9.9</v>
      </c>
      <c r="AA1521" s="3">
        <v>44</v>
      </c>
    </row>
    <row r="1522" spans="1:27" x14ac:dyDescent="0.3">
      <c r="A1522" s="3" t="str">
        <f t="shared" si="230"/>
        <v>North9330209900310</v>
      </c>
      <c r="B1522" s="3" t="str">
        <f t="shared" si="231"/>
        <v>Pan9330209900310</v>
      </c>
      <c r="C1522" s="10">
        <v>9330209900310</v>
      </c>
      <c r="D1522" s="10" t="str">
        <f t="shared" si="232"/>
        <v>9330209900</v>
      </c>
      <c r="E1522" s="3" t="s">
        <v>2</v>
      </c>
      <c r="F1522" s="3" t="s">
        <v>64</v>
      </c>
      <c r="H1522" s="3">
        <v>17.95</v>
      </c>
      <c r="I1522" s="10">
        <f t="shared" si="233"/>
        <v>33.848795956651628</v>
      </c>
      <c r="J1522" s="3">
        <v>15.908985379853059</v>
      </c>
      <c r="K1522" s="3">
        <v>0</v>
      </c>
      <c r="L1522" s="3">
        <f t="shared" si="234"/>
        <v>0</v>
      </c>
      <c r="N1522" s="11">
        <f t="shared" si="235"/>
        <v>2.0410146201469406</v>
      </c>
      <c r="O1522" s="3">
        <v>15.908985379853059</v>
      </c>
      <c r="P1522" s="11">
        <f t="shared" si="236"/>
        <v>3.8487959566516219</v>
      </c>
      <c r="Q1522" s="12">
        <f t="shared" si="237"/>
        <v>6.1900279624425423</v>
      </c>
      <c r="R1522" s="13">
        <f t="shared" si="238"/>
        <v>0.53923356032125813</v>
      </c>
      <c r="S1522" s="3" t="s">
        <v>29</v>
      </c>
      <c r="T1522" s="3" t="s">
        <v>35</v>
      </c>
      <c r="U1522" s="10">
        <v>9330209900999</v>
      </c>
      <c r="V1522" s="3">
        <v>0.1</v>
      </c>
      <c r="W1522" s="3">
        <f t="shared" si="239"/>
        <v>0</v>
      </c>
      <c r="AA1522" s="3">
        <v>44</v>
      </c>
    </row>
    <row r="1523" spans="1:27" x14ac:dyDescent="0.3">
      <c r="A1523" s="3" t="str">
        <f t="shared" si="230"/>
        <v>North9330229900310</v>
      </c>
      <c r="B1523" s="3" t="str">
        <f t="shared" si="231"/>
        <v>Pan9330229900310</v>
      </c>
      <c r="C1523" s="10">
        <v>9330229900310</v>
      </c>
      <c r="D1523" s="10" t="str">
        <f t="shared" si="232"/>
        <v>9330229900</v>
      </c>
      <c r="E1523" s="3" t="s">
        <v>2</v>
      </c>
      <c r="F1523" s="3" t="s">
        <v>64</v>
      </c>
      <c r="H1523" s="3">
        <v>11.55</v>
      </c>
      <c r="I1523" s="10">
        <f t="shared" si="233"/>
        <v>23.131898997144603</v>
      </c>
      <c r="J1523" s="3">
        <v>14.979314929689599</v>
      </c>
      <c r="K1523" s="3">
        <v>22</v>
      </c>
      <c r="L1523" s="3">
        <f t="shared" si="234"/>
        <v>0</v>
      </c>
      <c r="N1523" s="11">
        <f t="shared" si="235"/>
        <v>-3.4293149296895979</v>
      </c>
      <c r="O1523" s="3">
        <v>14.979314929689599</v>
      </c>
      <c r="P1523" s="11">
        <f t="shared" si="236"/>
        <v>-6.8681010028553953</v>
      </c>
      <c r="Q1523" s="12">
        <f t="shared" si="237"/>
        <v>-0.16841653384571015</v>
      </c>
      <c r="R1523" s="13">
        <f t="shared" si="238"/>
        <v>-2.3419374714723604</v>
      </c>
      <c r="S1523" s="3" t="s">
        <v>30</v>
      </c>
      <c r="T1523" s="3" t="s">
        <v>35</v>
      </c>
      <c r="U1523" s="10">
        <v>9330229900999</v>
      </c>
      <c r="V1523" s="3">
        <v>0.1</v>
      </c>
      <c r="W1523" s="3">
        <f t="shared" si="239"/>
        <v>2.2000000000000002</v>
      </c>
      <c r="AA1523" s="3">
        <v>44</v>
      </c>
    </row>
    <row r="1524" spans="1:27" x14ac:dyDescent="0.3">
      <c r="A1524" s="3" t="str">
        <f t="shared" si="230"/>
        <v>North9160309900320</v>
      </c>
      <c r="B1524" s="3" t="str">
        <f t="shared" si="231"/>
        <v>Pan9160309900320</v>
      </c>
      <c r="C1524" s="10">
        <v>9160309900320</v>
      </c>
      <c r="D1524" s="10" t="str">
        <f t="shared" si="232"/>
        <v>9160309900</v>
      </c>
      <c r="E1524" s="3" t="s">
        <v>2</v>
      </c>
      <c r="F1524" s="3" t="s">
        <v>64</v>
      </c>
      <c r="H1524" s="3">
        <v>34.22</v>
      </c>
      <c r="I1524" s="10">
        <f t="shared" si="233"/>
        <v>81.928515353185375</v>
      </c>
      <c r="J1524" s="3">
        <v>12.530435777756173</v>
      </c>
      <c r="K1524" s="3">
        <v>0</v>
      </c>
      <c r="L1524" s="3">
        <f t="shared" si="234"/>
        <v>0</v>
      </c>
      <c r="N1524" s="11">
        <f t="shared" si="235"/>
        <v>21.689564222243824</v>
      </c>
      <c r="O1524" s="3">
        <v>12.530435777756173</v>
      </c>
      <c r="P1524" s="11">
        <f t="shared" si="236"/>
        <v>51.928515353185368</v>
      </c>
      <c r="Q1524" s="12">
        <f t="shared" si="237"/>
        <v>45.061222020056832</v>
      </c>
      <c r="R1524" s="13">
        <f t="shared" si="238"/>
        <v>41.189863366756896</v>
      </c>
      <c r="S1524" s="3" t="s">
        <v>30</v>
      </c>
      <c r="T1524" s="3" t="s">
        <v>34</v>
      </c>
      <c r="U1524" s="10">
        <v>0</v>
      </c>
      <c r="V1524" s="3">
        <v>0</v>
      </c>
      <c r="W1524" s="3">
        <f t="shared" si="239"/>
        <v>0</v>
      </c>
      <c r="AA1524" s="3">
        <v>44</v>
      </c>
    </row>
    <row r="1525" spans="1:27" x14ac:dyDescent="0.3">
      <c r="A1525" s="3" t="str">
        <f t="shared" si="230"/>
        <v>North9330209900840</v>
      </c>
      <c r="B1525" s="3" t="str">
        <f t="shared" si="231"/>
        <v>Pan9330209900840</v>
      </c>
      <c r="C1525" s="10">
        <v>9330209900840</v>
      </c>
      <c r="D1525" s="10" t="str">
        <f t="shared" si="232"/>
        <v>9330209900</v>
      </c>
      <c r="E1525" s="3" t="s">
        <v>2</v>
      </c>
      <c r="F1525" s="3" t="s">
        <v>64</v>
      </c>
      <c r="H1525" s="3">
        <v>8.0839999999999996</v>
      </c>
      <c r="I1525" s="10">
        <f t="shared" si="233"/>
        <v>58.675585520417513</v>
      </c>
      <c r="J1525" s="3">
        <v>4.1332352774836751</v>
      </c>
      <c r="K1525" s="3">
        <v>0</v>
      </c>
      <c r="L1525" s="3">
        <f t="shared" si="234"/>
        <v>0</v>
      </c>
      <c r="N1525" s="11">
        <f t="shared" si="235"/>
        <v>3.9507647225163245</v>
      </c>
      <c r="O1525" s="3">
        <v>4.1332352774836751</v>
      </c>
      <c r="P1525" s="11">
        <f t="shared" si="236"/>
        <v>28.675585520417513</v>
      </c>
      <c r="Q1525" s="12">
        <f t="shared" si="237"/>
        <v>22.952365921904562</v>
      </c>
      <c r="R1525" s="13">
        <f t="shared" si="238"/>
        <v>16.369417439210231</v>
      </c>
      <c r="S1525" s="3" t="s">
        <v>30</v>
      </c>
      <c r="T1525" s="3" t="s">
        <v>35</v>
      </c>
      <c r="U1525" s="10">
        <v>0</v>
      </c>
      <c r="V1525" s="3">
        <v>0</v>
      </c>
      <c r="W1525" s="3">
        <f t="shared" si="239"/>
        <v>0</v>
      </c>
      <c r="AA1525" s="3">
        <v>44</v>
      </c>
    </row>
    <row r="1526" spans="1:27" x14ac:dyDescent="0.3">
      <c r="A1526" s="3" t="str">
        <f t="shared" si="230"/>
        <v>North9330229900840</v>
      </c>
      <c r="B1526" s="3" t="str">
        <f t="shared" si="231"/>
        <v>Pan9330229900840</v>
      </c>
      <c r="C1526" s="10">
        <v>9330229900840</v>
      </c>
      <c r="D1526" s="10" t="str">
        <f t="shared" si="232"/>
        <v>9330229900</v>
      </c>
      <c r="E1526" s="3" t="s">
        <v>2</v>
      </c>
      <c r="F1526" s="3" t="s">
        <v>64</v>
      </c>
      <c r="H1526" s="3">
        <v>16.283999999999999</v>
      </c>
      <c r="I1526" s="10">
        <f t="shared" si="233"/>
        <v>134.1336374944016</v>
      </c>
      <c r="J1526" s="3">
        <v>3.642039455020293</v>
      </c>
      <c r="K1526" s="3">
        <v>0</v>
      </c>
      <c r="L1526" s="3">
        <f t="shared" si="234"/>
        <v>0</v>
      </c>
      <c r="N1526" s="11">
        <f t="shared" si="235"/>
        <v>12.641960544979707</v>
      </c>
      <c r="O1526" s="3">
        <v>3.642039455020293</v>
      </c>
      <c r="P1526" s="11">
        <f t="shared" si="236"/>
        <v>104.13363749440161</v>
      </c>
      <c r="Q1526" s="12">
        <f t="shared" si="237"/>
        <v>68.093177873028409</v>
      </c>
      <c r="R1526" s="13">
        <f t="shared" si="238"/>
        <v>33.619058544193109</v>
      </c>
      <c r="S1526" s="3" t="s">
        <v>31</v>
      </c>
      <c r="T1526" s="3" t="s">
        <v>35</v>
      </c>
      <c r="U1526" s="10">
        <v>0</v>
      </c>
      <c r="V1526" s="3">
        <v>0</v>
      </c>
      <c r="W1526" s="3">
        <f t="shared" si="239"/>
        <v>0</v>
      </c>
      <c r="AA1526" s="3">
        <v>44</v>
      </c>
    </row>
    <row r="1527" spans="1:27" x14ac:dyDescent="0.3">
      <c r="A1527" s="3" t="str">
        <f t="shared" si="230"/>
        <v>North9330229902219</v>
      </c>
      <c r="B1527" s="3" t="str">
        <f t="shared" si="231"/>
        <v>Pan9330229902219</v>
      </c>
      <c r="C1527" s="10">
        <v>9330229902219</v>
      </c>
      <c r="D1527" s="10" t="str">
        <f t="shared" si="232"/>
        <v>9330229902</v>
      </c>
      <c r="E1527" s="3" t="s">
        <v>2</v>
      </c>
      <c r="F1527" s="3" t="s">
        <v>64</v>
      </c>
      <c r="H1527" s="3">
        <v>2.4959999999999996</v>
      </c>
      <c r="I1527" s="10">
        <f t="shared" si="233"/>
        <v>27.972333533549183</v>
      </c>
      <c r="J1527" s="3">
        <v>2.6769307576785164</v>
      </c>
      <c r="K1527" s="3">
        <v>0</v>
      </c>
      <c r="L1527" s="3">
        <f t="shared" si="234"/>
        <v>0</v>
      </c>
      <c r="N1527" s="11">
        <f t="shared" si="235"/>
        <v>-0.18093075767851685</v>
      </c>
      <c r="O1527" s="3">
        <v>2.6769307576785164</v>
      </c>
      <c r="P1527" s="11">
        <f t="shared" si="236"/>
        <v>-2.0276664664508171</v>
      </c>
      <c r="Q1527" s="12">
        <f t="shared" si="237"/>
        <v>12.961031658174697</v>
      </c>
      <c r="R1527" s="13">
        <f t="shared" si="238"/>
        <v>-1.5686034880965269</v>
      </c>
      <c r="S1527" s="3" t="s">
        <v>31</v>
      </c>
      <c r="T1527" s="3" t="s">
        <v>35</v>
      </c>
      <c r="U1527" s="10">
        <v>9330229900999</v>
      </c>
      <c r="V1527" s="3">
        <v>0.1</v>
      </c>
      <c r="W1527" s="3">
        <f t="shared" si="239"/>
        <v>0</v>
      </c>
      <c r="AA1527" s="3">
        <v>44</v>
      </c>
    </row>
    <row r="1528" spans="1:27" x14ac:dyDescent="0.3">
      <c r="A1528" s="3" t="str">
        <f t="shared" si="230"/>
        <v>North9330229902839</v>
      </c>
      <c r="B1528" s="3" t="str">
        <f t="shared" si="231"/>
        <v>Pan9330229902839</v>
      </c>
      <c r="C1528" s="10">
        <v>9330229902839</v>
      </c>
      <c r="D1528" s="10" t="str">
        <f t="shared" si="232"/>
        <v>9330229902</v>
      </c>
      <c r="E1528" s="3" t="s">
        <v>2</v>
      </c>
      <c r="F1528" s="3" t="s">
        <v>64</v>
      </c>
      <c r="H1528" s="3">
        <v>3.7908000000000008</v>
      </c>
      <c r="I1528" s="10">
        <f t="shared" si="233"/>
        <v>61.074289241650249</v>
      </c>
      <c r="J1528" s="3">
        <v>1.8620601469471505</v>
      </c>
      <c r="K1528" s="3">
        <v>0</v>
      </c>
      <c r="L1528" s="3">
        <f t="shared" si="234"/>
        <v>0</v>
      </c>
      <c r="N1528" s="11">
        <f t="shared" si="235"/>
        <v>1.9287398530528503</v>
      </c>
      <c r="O1528" s="3">
        <v>1.8620601469471505</v>
      </c>
      <c r="P1528" s="11">
        <f t="shared" si="236"/>
        <v>31.074289241650245</v>
      </c>
      <c r="Q1528" s="12">
        <f t="shared" si="237"/>
        <v>33.670560225315988</v>
      </c>
      <c r="R1528" s="13">
        <f t="shared" si="238"/>
        <v>48.433917155210573</v>
      </c>
      <c r="S1528" s="3" t="s">
        <v>31</v>
      </c>
      <c r="T1528" s="3" t="s">
        <v>35</v>
      </c>
      <c r="U1528" s="10">
        <v>0</v>
      </c>
      <c r="V1528" s="3">
        <v>0</v>
      </c>
      <c r="W1528" s="3">
        <f t="shared" si="239"/>
        <v>0</v>
      </c>
      <c r="AA1528" s="3">
        <v>44</v>
      </c>
    </row>
    <row r="1529" spans="1:27" x14ac:dyDescent="0.3">
      <c r="A1529" s="3" t="str">
        <f t="shared" si="230"/>
        <v>North9330229902097</v>
      </c>
      <c r="B1529" s="3" t="str">
        <f t="shared" si="231"/>
        <v>Pan9330229902097</v>
      </c>
      <c r="C1529" s="10">
        <v>9330229902097</v>
      </c>
      <c r="D1529" s="10" t="str">
        <f t="shared" si="232"/>
        <v>9330229902</v>
      </c>
      <c r="E1529" s="3" t="s">
        <v>2</v>
      </c>
      <c r="F1529" s="3" t="s">
        <v>64</v>
      </c>
      <c r="H1529" s="3">
        <v>8.0427750000000024</v>
      </c>
      <c r="I1529" s="10">
        <f t="shared" si="233"/>
        <v>131.14399210439333</v>
      </c>
      <c r="J1529" s="3">
        <v>1.8398345675487262</v>
      </c>
      <c r="K1529" s="3">
        <v>0</v>
      </c>
      <c r="L1529" s="3">
        <f t="shared" si="234"/>
        <v>0</v>
      </c>
      <c r="N1529" s="11">
        <f t="shared" si="235"/>
        <v>6.2029404324512765</v>
      </c>
      <c r="O1529" s="3">
        <v>1.8398345675487262</v>
      </c>
      <c r="P1529" s="11">
        <f t="shared" si="236"/>
        <v>101.14399210439333</v>
      </c>
      <c r="Q1529" s="12">
        <f t="shared" si="237"/>
        <v>90.154606005478698</v>
      </c>
      <c r="R1529" s="13">
        <f t="shared" si="238"/>
        <v>47.904418810658399</v>
      </c>
      <c r="S1529" s="3" t="s">
        <v>31</v>
      </c>
      <c r="T1529" s="3" t="s">
        <v>35</v>
      </c>
      <c r="U1529" s="10">
        <v>0</v>
      </c>
      <c r="V1529" s="3">
        <v>0</v>
      </c>
      <c r="W1529" s="3">
        <f t="shared" si="239"/>
        <v>0</v>
      </c>
      <c r="AA1529" s="3">
        <v>44</v>
      </c>
    </row>
    <row r="1530" spans="1:27" x14ac:dyDescent="0.3">
      <c r="A1530" s="3" t="str">
        <f t="shared" si="230"/>
        <v>North9330229902297</v>
      </c>
      <c r="B1530" s="3" t="str">
        <f t="shared" si="231"/>
        <v>Pan9330229902297</v>
      </c>
      <c r="C1530" s="10">
        <v>9330229902297</v>
      </c>
      <c r="D1530" s="10" t="str">
        <f t="shared" si="232"/>
        <v>9330229902</v>
      </c>
      <c r="E1530" s="3" t="s">
        <v>2</v>
      </c>
      <c r="F1530" s="3" t="s">
        <v>64</v>
      </c>
      <c r="H1530" s="3">
        <v>3.8902499999999995</v>
      </c>
      <c r="I1530" s="10">
        <f t="shared" si="233"/>
        <v>75.851368188430868</v>
      </c>
      <c r="J1530" s="3">
        <v>1.5386340785583963</v>
      </c>
      <c r="K1530" s="3">
        <v>0</v>
      </c>
      <c r="L1530" s="3">
        <f t="shared" si="234"/>
        <v>0</v>
      </c>
      <c r="N1530" s="11">
        <f t="shared" si="235"/>
        <v>2.3516159214416033</v>
      </c>
      <c r="O1530" s="3">
        <v>1.5386340785583963</v>
      </c>
      <c r="P1530" s="11">
        <f t="shared" si="236"/>
        <v>45.851368188430868</v>
      </c>
      <c r="Q1530" s="12">
        <f t="shared" si="237"/>
        <v>52.305130892619168</v>
      </c>
      <c r="R1530" s="13">
        <f t="shared" si="238"/>
        <v>49.054469785282997</v>
      </c>
      <c r="S1530" s="3" t="s">
        <v>31</v>
      </c>
      <c r="T1530" s="3" t="s">
        <v>35</v>
      </c>
      <c r="U1530" s="10">
        <v>9330229900999</v>
      </c>
      <c r="V1530" s="3">
        <v>0.1</v>
      </c>
      <c r="W1530" s="3">
        <f t="shared" si="239"/>
        <v>0</v>
      </c>
      <c r="AA1530" s="3">
        <v>44</v>
      </c>
    </row>
    <row r="1531" spans="1:27" x14ac:dyDescent="0.3">
      <c r="A1531" s="3" t="str">
        <f t="shared" si="230"/>
        <v>North9330229900210</v>
      </c>
      <c r="B1531" s="3" t="str">
        <f t="shared" si="231"/>
        <v>Pan9330229900210</v>
      </c>
      <c r="C1531" s="10">
        <v>9330229900210</v>
      </c>
      <c r="D1531" s="10" t="str">
        <f t="shared" si="232"/>
        <v>9330229900</v>
      </c>
      <c r="E1531" s="3" t="s">
        <v>2</v>
      </c>
      <c r="F1531" s="3" t="s">
        <v>64</v>
      </c>
      <c r="H1531" s="3">
        <v>5.6579999999999995</v>
      </c>
      <c r="I1531" s="10">
        <f t="shared" si="233"/>
        <v>139.4331638817537</v>
      </c>
      <c r="J1531" s="3">
        <v>1.2173574440579142</v>
      </c>
      <c r="K1531" s="3">
        <v>0</v>
      </c>
      <c r="L1531" s="3">
        <f t="shared" si="234"/>
        <v>0</v>
      </c>
      <c r="N1531" s="11">
        <f t="shared" si="235"/>
        <v>4.4406425559420857</v>
      </c>
      <c r="O1531" s="3">
        <v>1.2173574440579142</v>
      </c>
      <c r="P1531" s="11">
        <f t="shared" si="236"/>
        <v>109.43316388175373</v>
      </c>
      <c r="Q1531" s="12">
        <f t="shared" si="237"/>
        <v>93.26980727292937</v>
      </c>
      <c r="R1531" s="13">
        <f t="shared" si="238"/>
        <v>127.78574888635198</v>
      </c>
      <c r="S1531" s="3" t="s">
        <v>31</v>
      </c>
      <c r="T1531" s="3" t="s">
        <v>35</v>
      </c>
      <c r="U1531" s="10">
        <v>0</v>
      </c>
      <c r="V1531" s="3">
        <v>0</v>
      </c>
      <c r="W1531" s="3">
        <f t="shared" si="239"/>
        <v>0</v>
      </c>
      <c r="AA1531" s="3">
        <v>44</v>
      </c>
    </row>
    <row r="1532" spans="1:27" x14ac:dyDescent="0.3">
      <c r="A1532" s="3" t="str">
        <f t="shared" si="230"/>
        <v>North9330209900210</v>
      </c>
      <c r="B1532" s="3" t="str">
        <f t="shared" si="231"/>
        <v>Pan9330209900210</v>
      </c>
      <c r="C1532" s="10">
        <v>9330209900210</v>
      </c>
      <c r="D1532" s="10" t="str">
        <f t="shared" si="232"/>
        <v>9330209900</v>
      </c>
      <c r="E1532" s="3" t="s">
        <v>2</v>
      </c>
      <c r="F1532" s="3" t="s">
        <v>64</v>
      </c>
      <c r="H1532" s="3">
        <v>6.3989999999999991</v>
      </c>
      <c r="I1532" s="10">
        <f t="shared" si="233"/>
        <v>212.64807657997275</v>
      </c>
      <c r="J1532" s="3">
        <v>0.90275916475456019</v>
      </c>
      <c r="K1532" s="3">
        <v>0</v>
      </c>
      <c r="L1532" s="3">
        <f t="shared" si="234"/>
        <v>0</v>
      </c>
      <c r="N1532" s="11">
        <f t="shared" si="235"/>
        <v>5.4962408352454393</v>
      </c>
      <c r="O1532" s="3">
        <v>0.90275916475456019</v>
      </c>
      <c r="P1532" s="11">
        <f t="shared" si="236"/>
        <v>182.64807657997278</v>
      </c>
      <c r="Q1532" s="12">
        <f t="shared" si="237"/>
        <v>143.87146387404152</v>
      </c>
      <c r="R1532" s="13">
        <f t="shared" si="238"/>
        <v>34.674544510318469</v>
      </c>
      <c r="S1532" s="3" t="s">
        <v>31</v>
      </c>
      <c r="T1532" s="3" t="s">
        <v>35</v>
      </c>
      <c r="U1532" s="10">
        <v>0</v>
      </c>
      <c r="V1532" s="3">
        <v>0</v>
      </c>
      <c r="W1532" s="3">
        <f t="shared" si="239"/>
        <v>0</v>
      </c>
      <c r="AA1532" s="3">
        <v>44</v>
      </c>
    </row>
    <row r="1533" spans="1:27" x14ac:dyDescent="0.3">
      <c r="A1533" s="3" t="str">
        <f t="shared" si="230"/>
        <v>North9160309900210</v>
      </c>
      <c r="B1533" s="3" t="str">
        <f t="shared" si="231"/>
        <v>Pan9160309900210</v>
      </c>
      <c r="C1533" s="10">
        <v>9160309900210</v>
      </c>
      <c r="D1533" s="10" t="str">
        <f t="shared" si="232"/>
        <v>9160309900</v>
      </c>
      <c r="E1533" s="3" t="s">
        <v>2</v>
      </c>
      <c r="F1533" s="3" t="s">
        <v>64</v>
      </c>
      <c r="H1533" s="3">
        <v>0</v>
      </c>
      <c r="I1533" s="10">
        <f t="shared" si="233"/>
        <v>0</v>
      </c>
      <c r="J1533" s="3">
        <v>0</v>
      </c>
      <c r="K1533" s="3">
        <v>0</v>
      </c>
      <c r="L1533" s="3">
        <f t="shared" si="234"/>
        <v>0</v>
      </c>
      <c r="N1533" s="11">
        <f t="shared" si="235"/>
        <v>0</v>
      </c>
      <c r="O1533" s="3">
        <v>0</v>
      </c>
      <c r="P1533" s="11">
        <f t="shared" si="236"/>
        <v>9999</v>
      </c>
      <c r="Q1533" s="12">
        <f t="shared" si="237"/>
        <v>9999</v>
      </c>
      <c r="R1533" s="13">
        <f t="shared" si="238"/>
        <v>9999</v>
      </c>
      <c r="S1533" s="3" t="s">
        <v>31</v>
      </c>
      <c r="T1533" s="3" t="s">
        <v>34</v>
      </c>
      <c r="U1533" s="10" t="s">
        <v>72</v>
      </c>
      <c r="V1533" s="3" t="s">
        <v>72</v>
      </c>
      <c r="W1533" s="3">
        <f t="shared" si="239"/>
        <v>0</v>
      </c>
      <c r="AA1533" s="3">
        <v>44</v>
      </c>
    </row>
    <row r="1534" spans="1:27" x14ac:dyDescent="0.3">
      <c r="A1534" s="3" t="str">
        <f t="shared" si="230"/>
        <v>North9330209900320</v>
      </c>
      <c r="B1534" s="3" t="str">
        <f t="shared" si="231"/>
        <v>Lud9330209900320</v>
      </c>
      <c r="C1534" s="10">
        <v>9330209900320</v>
      </c>
      <c r="D1534" s="10" t="str">
        <f t="shared" si="232"/>
        <v>9330209900</v>
      </c>
      <c r="E1534" s="3" t="s">
        <v>3</v>
      </c>
      <c r="F1534" s="3" t="s">
        <v>64</v>
      </c>
      <c r="H1534" s="3">
        <v>76.28</v>
      </c>
      <c r="I1534" s="10">
        <f t="shared" si="233"/>
        <v>31.739947432768453</v>
      </c>
      <c r="J1534" s="3">
        <v>72.098418084884614</v>
      </c>
      <c r="K1534" s="3">
        <v>99</v>
      </c>
      <c r="L1534" s="3">
        <f t="shared" si="234"/>
        <v>0</v>
      </c>
      <c r="N1534" s="11">
        <f t="shared" si="235"/>
        <v>4.1815819151153875</v>
      </c>
      <c r="O1534" s="3">
        <v>72.098418084884614</v>
      </c>
      <c r="P1534" s="11">
        <f t="shared" si="236"/>
        <v>1.7399474327684534</v>
      </c>
      <c r="Q1534" s="12">
        <f t="shared" si="237"/>
        <v>-5.2576592226622534</v>
      </c>
      <c r="R1534" s="13">
        <f t="shared" si="238"/>
        <v>-3.5893160099336039</v>
      </c>
      <c r="S1534" s="3" t="s">
        <v>29</v>
      </c>
      <c r="T1534" s="3" t="s">
        <v>35</v>
      </c>
      <c r="U1534" s="10">
        <v>9330209900999</v>
      </c>
      <c r="V1534" s="3">
        <v>0.1</v>
      </c>
      <c r="W1534" s="3">
        <f t="shared" si="239"/>
        <v>9.9</v>
      </c>
      <c r="AA1534" s="3">
        <v>44</v>
      </c>
    </row>
    <row r="1535" spans="1:27" x14ac:dyDescent="0.3">
      <c r="A1535" s="3" t="str">
        <f t="shared" si="230"/>
        <v>North9330229901320</v>
      </c>
      <c r="B1535" s="3" t="str">
        <f t="shared" si="231"/>
        <v>Lud9330229901320</v>
      </c>
      <c r="C1535" s="10">
        <v>9330229901320</v>
      </c>
      <c r="D1535" s="10" t="str">
        <f t="shared" si="232"/>
        <v>9330229901</v>
      </c>
      <c r="E1535" s="3" t="s">
        <v>3</v>
      </c>
      <c r="F1535" s="3" t="s">
        <v>64</v>
      </c>
      <c r="H1535" s="3">
        <v>42.660000000000004</v>
      </c>
      <c r="I1535" s="10">
        <f t="shared" si="233"/>
        <v>86.352747358480457</v>
      </c>
      <c r="J1535" s="3">
        <v>14.820605471729841</v>
      </c>
      <c r="K1535" s="3">
        <v>0</v>
      </c>
      <c r="L1535" s="3">
        <f t="shared" si="234"/>
        <v>0</v>
      </c>
      <c r="N1535" s="11">
        <f t="shared" si="235"/>
        <v>27.839394528270162</v>
      </c>
      <c r="O1535" s="3">
        <v>14.820605471729841</v>
      </c>
      <c r="P1535" s="11">
        <f t="shared" si="236"/>
        <v>56.352747358480457</v>
      </c>
      <c r="Q1535" s="12">
        <f t="shared" si="237"/>
        <v>10.06703409702682</v>
      </c>
      <c r="R1535" s="13">
        <f t="shared" si="238"/>
        <v>5.2822110886760649</v>
      </c>
      <c r="S1535" s="3" t="s">
        <v>29</v>
      </c>
      <c r="T1535" s="3" t="s">
        <v>35</v>
      </c>
      <c r="U1535" s="10">
        <v>9330229900999</v>
      </c>
      <c r="V1535" s="3">
        <v>0.1</v>
      </c>
      <c r="W1535" s="3">
        <f t="shared" si="239"/>
        <v>0</v>
      </c>
      <c r="AA1535" s="3">
        <v>44</v>
      </c>
    </row>
    <row r="1536" spans="1:27" x14ac:dyDescent="0.3">
      <c r="A1536" s="3" t="str">
        <f t="shared" si="230"/>
        <v>North9432019900320</v>
      </c>
      <c r="B1536" s="3" t="str">
        <f t="shared" si="231"/>
        <v>Lud9432019900320</v>
      </c>
      <c r="C1536" s="10">
        <v>9432019900320</v>
      </c>
      <c r="D1536" s="10" t="str">
        <f t="shared" si="232"/>
        <v>9432019900</v>
      </c>
      <c r="E1536" s="3" t="s">
        <v>3</v>
      </c>
      <c r="F1536" s="3" t="s">
        <v>64</v>
      </c>
      <c r="H1536" s="3">
        <v>31.658000000000001</v>
      </c>
      <c r="I1536" s="10">
        <f t="shared" si="233"/>
        <v>79.172857705391635</v>
      </c>
      <c r="J1536" s="3">
        <v>11.995777688536347</v>
      </c>
      <c r="K1536" s="3">
        <v>0</v>
      </c>
      <c r="L1536" s="3">
        <f t="shared" si="234"/>
        <v>0</v>
      </c>
      <c r="N1536" s="11">
        <f t="shared" si="235"/>
        <v>19.662222311463655</v>
      </c>
      <c r="O1536" s="3">
        <v>11.995777688536347</v>
      </c>
      <c r="P1536" s="11">
        <f t="shared" si="236"/>
        <v>49.172857705391642</v>
      </c>
      <c r="Q1536" s="12">
        <f t="shared" si="237"/>
        <v>22.890277117296311</v>
      </c>
      <c r="R1536" s="13">
        <f t="shared" si="238"/>
        <v>27.973265276899198</v>
      </c>
      <c r="S1536" s="3" t="s">
        <v>29</v>
      </c>
      <c r="T1536" s="3" t="s">
        <v>35</v>
      </c>
      <c r="U1536" s="10">
        <v>9432019900999</v>
      </c>
      <c r="V1536" s="3">
        <v>0.1</v>
      </c>
      <c r="W1536" s="3">
        <f t="shared" si="239"/>
        <v>0</v>
      </c>
      <c r="AA1536" s="3">
        <v>44</v>
      </c>
    </row>
    <row r="1537" spans="1:27" x14ac:dyDescent="0.3">
      <c r="A1537" s="3" t="str">
        <f t="shared" si="230"/>
        <v>North9330209900310</v>
      </c>
      <c r="B1537" s="3" t="str">
        <f t="shared" si="231"/>
        <v>Lud9330209900310</v>
      </c>
      <c r="C1537" s="10">
        <v>9330209900310</v>
      </c>
      <c r="D1537" s="10" t="str">
        <f t="shared" si="232"/>
        <v>9330209900</v>
      </c>
      <c r="E1537" s="3" t="s">
        <v>3</v>
      </c>
      <c r="F1537" s="3" t="s">
        <v>64</v>
      </c>
      <c r="H1537" s="3">
        <v>14.79</v>
      </c>
      <c r="I1537" s="10">
        <f t="shared" si="233"/>
        <v>39.506414325146054</v>
      </c>
      <c r="J1537" s="3">
        <v>11.231087598794874</v>
      </c>
      <c r="K1537" s="3">
        <v>22</v>
      </c>
      <c r="L1537" s="3">
        <f t="shared" si="234"/>
        <v>0</v>
      </c>
      <c r="N1537" s="11">
        <f t="shared" si="235"/>
        <v>3.5589124012051254</v>
      </c>
      <c r="O1537" s="3">
        <v>11.231087598794874</v>
      </c>
      <c r="P1537" s="11">
        <f t="shared" si="236"/>
        <v>9.5064143251460518</v>
      </c>
      <c r="Q1537" s="12">
        <f t="shared" si="237"/>
        <v>6.1900279624425423</v>
      </c>
      <c r="R1537" s="13">
        <f t="shared" si="238"/>
        <v>0.53923356032125813</v>
      </c>
      <c r="S1537" s="3" t="s">
        <v>29</v>
      </c>
      <c r="T1537" s="3" t="s">
        <v>35</v>
      </c>
      <c r="U1537" s="10">
        <v>9330209900999</v>
      </c>
      <c r="V1537" s="3">
        <v>0.1</v>
      </c>
      <c r="W1537" s="3">
        <f t="shared" si="239"/>
        <v>2.2000000000000002</v>
      </c>
      <c r="AA1537" s="3">
        <v>44</v>
      </c>
    </row>
    <row r="1538" spans="1:27" x14ac:dyDescent="0.3">
      <c r="A1538" s="3" t="str">
        <f t="shared" si="230"/>
        <v>North9330209900840</v>
      </c>
      <c r="B1538" s="3" t="str">
        <f t="shared" si="231"/>
        <v>Lud9330209900840</v>
      </c>
      <c r="C1538" s="10">
        <v>9330209900840</v>
      </c>
      <c r="D1538" s="10" t="str">
        <f t="shared" si="232"/>
        <v>9330209900</v>
      </c>
      <c r="E1538" s="3" t="s">
        <v>3</v>
      </c>
      <c r="F1538" s="3" t="s">
        <v>64</v>
      </c>
      <c r="H1538" s="3">
        <v>4.2640000000000002</v>
      </c>
      <c r="I1538" s="10">
        <f t="shared" si="233"/>
        <v>44.688426098724442</v>
      </c>
      <c r="J1538" s="3">
        <v>2.8624861327047562</v>
      </c>
      <c r="K1538" s="3">
        <v>0</v>
      </c>
      <c r="L1538" s="3">
        <f t="shared" si="234"/>
        <v>0</v>
      </c>
      <c r="N1538" s="11">
        <f t="shared" si="235"/>
        <v>1.4015138672952441</v>
      </c>
      <c r="O1538" s="3">
        <v>2.8624861327047562</v>
      </c>
      <c r="P1538" s="11">
        <f t="shared" si="236"/>
        <v>14.688426098724436</v>
      </c>
      <c r="Q1538" s="12">
        <f t="shared" si="237"/>
        <v>22.952365921904562</v>
      </c>
      <c r="R1538" s="13">
        <f t="shared" si="238"/>
        <v>16.369417439210231</v>
      </c>
      <c r="S1538" s="3" t="s">
        <v>30</v>
      </c>
      <c r="T1538" s="3" t="s">
        <v>35</v>
      </c>
      <c r="U1538" s="10">
        <v>0</v>
      </c>
      <c r="V1538" s="3">
        <v>0</v>
      </c>
      <c r="W1538" s="3">
        <f t="shared" si="239"/>
        <v>0</v>
      </c>
      <c r="AA1538" s="3">
        <v>44</v>
      </c>
    </row>
    <row r="1539" spans="1:27" x14ac:dyDescent="0.3">
      <c r="A1539" s="3" t="str">
        <f t="shared" si="230"/>
        <v>North9330229901310</v>
      </c>
      <c r="B1539" s="3" t="str">
        <f t="shared" si="231"/>
        <v>Lud9330229901310</v>
      </c>
      <c r="C1539" s="10">
        <v>9330229901310</v>
      </c>
      <c r="D1539" s="10" t="str">
        <f t="shared" si="232"/>
        <v>9330229901</v>
      </c>
      <c r="E1539" s="3" t="s">
        <v>3</v>
      </c>
      <c r="F1539" s="3" t="s">
        <v>64</v>
      </c>
      <c r="H1539" s="3">
        <v>16.810000000000002</v>
      </c>
      <c r="I1539" s="10">
        <f t="shared" si="233"/>
        <v>240.66483876528514</v>
      </c>
      <c r="J1539" s="3">
        <v>2.0954452781190533</v>
      </c>
      <c r="K1539" s="3">
        <v>0</v>
      </c>
      <c r="L1539" s="3">
        <f t="shared" si="234"/>
        <v>0</v>
      </c>
      <c r="N1539" s="11">
        <f t="shared" si="235"/>
        <v>14.714554721880949</v>
      </c>
      <c r="O1539" s="3">
        <v>2.0954452781190533</v>
      </c>
      <c r="P1539" s="11">
        <f t="shared" si="236"/>
        <v>210.66483876528514</v>
      </c>
      <c r="Q1539" s="12">
        <f t="shared" si="237"/>
        <v>20.365263202941325</v>
      </c>
      <c r="R1539" s="13">
        <f t="shared" si="238"/>
        <v>9.6850554515557317</v>
      </c>
      <c r="S1539" s="3" t="s">
        <v>30</v>
      </c>
      <c r="T1539" s="3" t="s">
        <v>35</v>
      </c>
      <c r="U1539" s="10">
        <v>9330229900999</v>
      </c>
      <c r="V1539" s="3">
        <v>0.1</v>
      </c>
      <c r="W1539" s="3">
        <f t="shared" si="239"/>
        <v>0</v>
      </c>
      <c r="AA1539" s="3">
        <v>44</v>
      </c>
    </row>
    <row r="1540" spans="1:27" x14ac:dyDescent="0.3">
      <c r="A1540" s="3" t="str">
        <f t="shared" ref="A1540:A1603" si="240">_xlfn.CONCAT(F1540,C1540)</f>
        <v>North9432019900310</v>
      </c>
      <c r="B1540" s="3" t="str">
        <f t="shared" ref="B1540:B1603" si="241">_xlfn.CONCAT(E1540,C1540)</f>
        <v>Lud9432019900310</v>
      </c>
      <c r="C1540" s="10">
        <v>9432019900310</v>
      </c>
      <c r="D1540" s="10" t="str">
        <f t="shared" ref="D1540:D1603" si="242">LEFT(C1540,10)</f>
        <v>9432019900</v>
      </c>
      <c r="E1540" s="3" t="s">
        <v>3</v>
      </c>
      <c r="F1540" s="3" t="s">
        <v>64</v>
      </c>
      <c r="H1540" s="3">
        <v>17.183999999999997</v>
      </c>
      <c r="I1540" s="10">
        <f t="shared" ref="I1540:I1603" si="243">IFERROR(H1540/J1540*30,0)</f>
        <v>262.72793482453545</v>
      </c>
      <c r="J1540" s="3">
        <v>1.9621819063294252</v>
      </c>
      <c r="K1540" s="3">
        <v>0</v>
      </c>
      <c r="L1540" s="3">
        <f t="shared" ref="L1540:L1603" si="244">M1540*G1540</f>
        <v>0</v>
      </c>
      <c r="N1540" s="11">
        <f t="shared" ref="N1540:N1603" si="245">H1540-J1540+L1540</f>
        <v>15.221818093670572</v>
      </c>
      <c r="O1540" s="3">
        <v>1.9621819063294252</v>
      </c>
      <c r="P1540" s="11">
        <f t="shared" ref="P1540:P1603" si="246">IF(O1540=0,9999,N1540/O1540*30)</f>
        <v>232.72793482453542</v>
      </c>
      <c r="Q1540" s="12">
        <f t="shared" ref="Q1540:Q1603" si="247">IF(SUMIF($A:$A,$A1540,$O:$O)=0,9999,SUMIF($A:$A,$A1540,$N:$N)*30/SUMIF($A:$A,$A1540,$O:$O))</f>
        <v>23.284852189339158</v>
      </c>
      <c r="R1540" s="13">
        <f t="shared" ref="R1540:R1603" si="248">IF(SUMIF($C:$C,$C1540,$O:$O)=0,9999,SUMIF($C:$C,$C1540,$N:$N)*30/SUMIF($C:$C,$C1540,$O:$O))</f>
        <v>27.317568745609034</v>
      </c>
      <c r="S1540" s="3" t="s">
        <v>30</v>
      </c>
      <c r="T1540" s="3" t="s">
        <v>35</v>
      </c>
      <c r="U1540" s="10">
        <v>9432019900999</v>
      </c>
      <c r="V1540" s="3">
        <v>0.1</v>
      </c>
      <c r="W1540" s="3">
        <f t="shared" ref="W1540:W1603" si="249">IFERROR(K1540*V1540,0)</f>
        <v>0</v>
      </c>
      <c r="AA1540" s="3">
        <v>44</v>
      </c>
    </row>
    <row r="1541" spans="1:27" x14ac:dyDescent="0.3">
      <c r="A1541" s="3" t="str">
        <f t="shared" si="240"/>
        <v>North9432019900840</v>
      </c>
      <c r="B1541" s="3" t="str">
        <f t="shared" si="241"/>
        <v>Lud9432019900840</v>
      </c>
      <c r="C1541" s="10">
        <v>9432019900840</v>
      </c>
      <c r="D1541" s="10" t="str">
        <f t="shared" si="242"/>
        <v>9432019900</v>
      </c>
      <c r="E1541" s="3" t="s">
        <v>3</v>
      </c>
      <c r="F1541" s="3" t="s">
        <v>64</v>
      </c>
      <c r="H1541" s="3">
        <v>0.6080000000000001</v>
      </c>
      <c r="I1541" s="10">
        <f t="shared" si="243"/>
        <v>23.397369705001633</v>
      </c>
      <c r="J1541" s="3">
        <v>0.77957480819311309</v>
      </c>
      <c r="K1541" s="3">
        <v>0</v>
      </c>
      <c r="L1541" s="3">
        <f t="shared" si="244"/>
        <v>0</v>
      </c>
      <c r="N1541" s="11">
        <f t="shared" si="245"/>
        <v>-0.17157480819311299</v>
      </c>
      <c r="O1541" s="3">
        <v>0.77957480819311309</v>
      </c>
      <c r="P1541" s="11">
        <f t="shared" si="246"/>
        <v>-6.6026302949983666</v>
      </c>
      <c r="Q1541" s="12">
        <f t="shared" si="247"/>
        <v>11.849981942125453</v>
      </c>
      <c r="R1541" s="13">
        <f t="shared" si="248"/>
        <v>20.92521076025448</v>
      </c>
      <c r="S1541" s="3" t="s">
        <v>31</v>
      </c>
      <c r="T1541" s="3" t="s">
        <v>35</v>
      </c>
      <c r="U1541" s="10">
        <v>0</v>
      </c>
      <c r="V1541" s="3">
        <v>0</v>
      </c>
      <c r="W1541" s="3">
        <f t="shared" si="249"/>
        <v>0</v>
      </c>
      <c r="AA1541" s="3">
        <v>44</v>
      </c>
    </row>
    <row r="1542" spans="1:27" x14ac:dyDescent="0.3">
      <c r="A1542" s="3" t="str">
        <f t="shared" si="240"/>
        <v>North9330229901840</v>
      </c>
      <c r="B1542" s="3" t="str">
        <f t="shared" si="241"/>
        <v>Lud9330229901840</v>
      </c>
      <c r="C1542" s="10">
        <v>9330229901840</v>
      </c>
      <c r="D1542" s="10" t="str">
        <f t="shared" si="242"/>
        <v>9330229901</v>
      </c>
      <c r="E1542" s="3" t="s">
        <v>3</v>
      </c>
      <c r="F1542" s="3" t="s">
        <v>64</v>
      </c>
      <c r="H1542" s="3">
        <v>1.3840000000000003</v>
      </c>
      <c r="I1542" s="10">
        <f t="shared" si="243"/>
        <v>58.178598053496799</v>
      </c>
      <c r="J1542" s="3">
        <v>0.71366449844358992</v>
      </c>
      <c r="K1542" s="3">
        <v>0</v>
      </c>
      <c r="L1542" s="3">
        <f t="shared" si="244"/>
        <v>0</v>
      </c>
      <c r="N1542" s="11">
        <f t="shared" si="245"/>
        <v>0.67033550155641042</v>
      </c>
      <c r="O1542" s="3">
        <v>0.71366449844358992</v>
      </c>
      <c r="P1542" s="11">
        <f t="shared" si="246"/>
        <v>28.178598053496799</v>
      </c>
      <c r="Q1542" s="12">
        <f t="shared" si="247"/>
        <v>14.191948256570075</v>
      </c>
      <c r="R1542" s="13">
        <f t="shared" si="248"/>
        <v>20.316513479669023</v>
      </c>
      <c r="S1542" s="3" t="s">
        <v>31</v>
      </c>
      <c r="T1542" s="3" t="s">
        <v>35</v>
      </c>
      <c r="U1542" s="10">
        <v>0</v>
      </c>
      <c r="V1542" s="3">
        <v>0</v>
      </c>
      <c r="W1542" s="3">
        <f t="shared" si="249"/>
        <v>0</v>
      </c>
      <c r="AA1542" s="3">
        <v>44</v>
      </c>
    </row>
    <row r="1543" spans="1:27" x14ac:dyDescent="0.3">
      <c r="A1543" s="3" t="str">
        <f t="shared" si="240"/>
        <v>North9330209900210</v>
      </c>
      <c r="B1543" s="3" t="str">
        <f t="shared" si="241"/>
        <v>Lud9330209900210</v>
      </c>
      <c r="C1543" s="10">
        <v>9330209900210</v>
      </c>
      <c r="D1543" s="10" t="str">
        <f t="shared" si="242"/>
        <v>9330209900</v>
      </c>
      <c r="E1543" s="3" t="s">
        <v>3</v>
      </c>
      <c r="F1543" s="3" t="s">
        <v>64</v>
      </c>
      <c r="H1543" s="3">
        <v>2.0060000000000002</v>
      </c>
      <c r="I1543" s="10">
        <f t="shared" si="243"/>
        <v>109.92783620452963</v>
      </c>
      <c r="J1543" s="3">
        <v>0.54745005521649903</v>
      </c>
      <c r="K1543" s="3">
        <v>0</v>
      </c>
      <c r="L1543" s="3">
        <f t="shared" si="244"/>
        <v>0</v>
      </c>
      <c r="N1543" s="11">
        <f t="shared" si="245"/>
        <v>1.4585499447835013</v>
      </c>
      <c r="O1543" s="3">
        <v>0.54745005521649903</v>
      </c>
      <c r="P1543" s="11">
        <f t="shared" si="246"/>
        <v>79.927836204529626</v>
      </c>
      <c r="Q1543" s="12">
        <f t="shared" si="247"/>
        <v>143.87146387404152</v>
      </c>
      <c r="R1543" s="13">
        <f t="shared" si="248"/>
        <v>34.674544510318469</v>
      </c>
      <c r="S1543" s="3" t="s">
        <v>31</v>
      </c>
      <c r="T1543" s="3" t="s">
        <v>35</v>
      </c>
      <c r="U1543" s="10">
        <v>0</v>
      </c>
      <c r="V1543" s="3">
        <v>0</v>
      </c>
      <c r="W1543" s="3">
        <f t="shared" si="249"/>
        <v>0</v>
      </c>
      <c r="AA1543" s="3">
        <v>44</v>
      </c>
    </row>
    <row r="1544" spans="1:27" x14ac:dyDescent="0.3">
      <c r="A1544" s="3" t="str">
        <f t="shared" si="240"/>
        <v>North9330229901210</v>
      </c>
      <c r="B1544" s="3" t="str">
        <f t="shared" si="241"/>
        <v>Lud9330229901210</v>
      </c>
      <c r="C1544" s="10">
        <v>9330229901210</v>
      </c>
      <c r="D1544" s="10" t="str">
        <f t="shared" si="242"/>
        <v>9330229901</v>
      </c>
      <c r="E1544" s="3" t="s">
        <v>3</v>
      </c>
      <c r="F1544" s="3" t="s">
        <v>64</v>
      </c>
      <c r="H1544" s="3">
        <v>0.83300000000000007</v>
      </c>
      <c r="I1544" s="10">
        <f t="shared" si="243"/>
        <v>95.750689925058083</v>
      </c>
      <c r="J1544" s="3">
        <v>0.26099028654058903</v>
      </c>
      <c r="K1544" s="3">
        <v>0</v>
      </c>
      <c r="L1544" s="3">
        <f t="shared" si="244"/>
        <v>0</v>
      </c>
      <c r="N1544" s="11">
        <f t="shared" si="245"/>
        <v>0.5720097134594111</v>
      </c>
      <c r="O1544" s="3">
        <v>0.26099028654058903</v>
      </c>
      <c r="P1544" s="11">
        <f t="shared" si="246"/>
        <v>65.750689925058083</v>
      </c>
      <c r="Q1544" s="12">
        <f t="shared" si="247"/>
        <v>75.293495311231808</v>
      </c>
      <c r="R1544" s="13">
        <f t="shared" si="248"/>
        <v>40.97444806865218</v>
      </c>
      <c r="S1544" s="3" t="s">
        <v>31</v>
      </c>
      <c r="T1544" s="3" t="s">
        <v>35</v>
      </c>
      <c r="U1544" s="10">
        <v>0</v>
      </c>
      <c r="V1544" s="3">
        <v>0</v>
      </c>
      <c r="W1544" s="3">
        <f t="shared" si="249"/>
        <v>0</v>
      </c>
      <c r="AA1544" s="3">
        <v>44</v>
      </c>
    </row>
    <row r="1545" spans="1:27" x14ac:dyDescent="0.3">
      <c r="A1545" s="3" t="str">
        <f t="shared" si="240"/>
        <v>North9432019902838</v>
      </c>
      <c r="B1545" s="3" t="str">
        <f t="shared" si="241"/>
        <v>Lud9432019902838</v>
      </c>
      <c r="C1545" s="10">
        <v>9432019902838</v>
      </c>
      <c r="D1545" s="10" t="str">
        <f t="shared" si="242"/>
        <v>9432019902</v>
      </c>
      <c r="E1545" s="3" t="s">
        <v>3</v>
      </c>
      <c r="F1545" s="3" t="s">
        <v>64</v>
      </c>
      <c r="H1545" s="3">
        <v>0.66879999999999995</v>
      </c>
      <c r="I1545" s="10">
        <f t="shared" si="243"/>
        <v>83.063014140819888</v>
      </c>
      <c r="J1545" s="3">
        <v>0.24155155224664418</v>
      </c>
      <c r="K1545" s="3">
        <v>0</v>
      </c>
      <c r="L1545" s="3">
        <f t="shared" si="244"/>
        <v>0</v>
      </c>
      <c r="N1545" s="11">
        <f t="shared" si="245"/>
        <v>0.4272484477533558</v>
      </c>
      <c r="O1545" s="3">
        <v>0.24155155224664418</v>
      </c>
      <c r="P1545" s="11">
        <f t="shared" si="246"/>
        <v>53.063014140819888</v>
      </c>
      <c r="Q1545" s="12">
        <f t="shared" si="247"/>
        <v>24.900681944025639</v>
      </c>
      <c r="R1545" s="13">
        <f t="shared" si="248"/>
        <v>34.337624916396607</v>
      </c>
      <c r="S1545" s="3" t="s">
        <v>31</v>
      </c>
      <c r="T1545" s="3" t="s">
        <v>35</v>
      </c>
      <c r="U1545" s="10">
        <v>0</v>
      </c>
      <c r="V1545" s="3">
        <v>0</v>
      </c>
      <c r="W1545" s="3">
        <f t="shared" si="249"/>
        <v>0</v>
      </c>
      <c r="AA1545" s="3">
        <v>44</v>
      </c>
    </row>
    <row r="1546" spans="1:27" x14ac:dyDescent="0.3">
      <c r="A1546" s="3" t="str">
        <f t="shared" si="240"/>
        <v>North9432019900210</v>
      </c>
      <c r="B1546" s="3" t="str">
        <f t="shared" si="241"/>
        <v>Lud9432019900210</v>
      </c>
      <c r="C1546" s="10">
        <v>9432019900210</v>
      </c>
      <c r="D1546" s="10" t="str">
        <f t="shared" si="242"/>
        <v>9432019900</v>
      </c>
      <c r="E1546" s="3" t="s">
        <v>3</v>
      </c>
      <c r="F1546" s="3" t="s">
        <v>64</v>
      </c>
      <c r="H1546" s="3">
        <v>1.8760000000000001</v>
      </c>
      <c r="I1546" s="10">
        <f t="shared" si="243"/>
        <v>270.99973095088677</v>
      </c>
      <c r="J1546" s="3">
        <v>0.20767548293322705</v>
      </c>
      <c r="K1546" s="3">
        <v>0</v>
      </c>
      <c r="L1546" s="3">
        <f t="shared" si="244"/>
        <v>0</v>
      </c>
      <c r="N1546" s="11">
        <f t="shared" si="245"/>
        <v>1.6683245170667731</v>
      </c>
      <c r="O1546" s="3">
        <v>0.20767548293322705</v>
      </c>
      <c r="P1546" s="11">
        <f t="shared" si="246"/>
        <v>240.99973095088677</v>
      </c>
      <c r="Q1546" s="12">
        <f t="shared" si="247"/>
        <v>27.731268604258386</v>
      </c>
      <c r="R1546" s="13">
        <f t="shared" si="248"/>
        <v>0.18903672404124577</v>
      </c>
      <c r="S1546" s="3" t="s">
        <v>31</v>
      </c>
      <c r="T1546" s="3" t="s">
        <v>35</v>
      </c>
      <c r="U1546" s="10">
        <v>0</v>
      </c>
      <c r="V1546" s="3">
        <v>0</v>
      </c>
      <c r="W1546" s="3">
        <f t="shared" si="249"/>
        <v>0</v>
      </c>
      <c r="AA1546" s="3">
        <v>44</v>
      </c>
    </row>
    <row r="1547" spans="1:27" x14ac:dyDescent="0.3">
      <c r="A1547" s="3" t="str">
        <f t="shared" si="240"/>
        <v>North9432019902195</v>
      </c>
      <c r="B1547" s="3" t="str">
        <f t="shared" si="241"/>
        <v>Lud9432019902195</v>
      </c>
      <c r="C1547" s="10">
        <v>9432019902195</v>
      </c>
      <c r="D1547" s="10" t="str">
        <f t="shared" si="242"/>
        <v>9432019902</v>
      </c>
      <c r="E1547" s="3" t="s">
        <v>3</v>
      </c>
      <c r="F1547" s="3" t="s">
        <v>64</v>
      </c>
      <c r="H1547" s="3">
        <v>0.3629</v>
      </c>
      <c r="I1547" s="10">
        <f t="shared" si="243"/>
        <v>55.455869444007583</v>
      </c>
      <c r="J1547" s="3">
        <v>0.19631826367797431</v>
      </c>
      <c r="K1547" s="3">
        <v>0</v>
      </c>
      <c r="L1547" s="3">
        <f t="shared" si="244"/>
        <v>0</v>
      </c>
      <c r="N1547" s="11">
        <f t="shared" si="245"/>
        <v>0.16658173632202569</v>
      </c>
      <c r="O1547" s="3">
        <v>0.19631826367797431</v>
      </c>
      <c r="P1547" s="11">
        <f t="shared" si="246"/>
        <v>25.455869444007586</v>
      </c>
      <c r="Q1547" s="12">
        <f t="shared" si="247"/>
        <v>18.485700999381727</v>
      </c>
      <c r="R1547" s="13">
        <f t="shared" si="248"/>
        <v>-4.5391497566448349</v>
      </c>
      <c r="S1547" s="3" t="s">
        <v>31</v>
      </c>
      <c r="T1547" s="3" t="s">
        <v>35</v>
      </c>
      <c r="U1547" s="10">
        <v>0</v>
      </c>
      <c r="V1547" s="3">
        <v>0</v>
      </c>
      <c r="W1547" s="3">
        <f t="shared" si="249"/>
        <v>0</v>
      </c>
      <c r="AA1547" s="3">
        <v>44</v>
      </c>
    </row>
    <row r="1548" spans="1:27" x14ac:dyDescent="0.3">
      <c r="A1548" s="3" t="str">
        <f t="shared" si="240"/>
        <v>North9432019902319</v>
      </c>
      <c r="B1548" s="3" t="str">
        <f t="shared" si="241"/>
        <v>Lud9432019902319</v>
      </c>
      <c r="C1548" s="10">
        <v>9432019902319</v>
      </c>
      <c r="D1548" s="10" t="str">
        <f t="shared" si="242"/>
        <v>9432019902</v>
      </c>
      <c r="E1548" s="3" t="s">
        <v>3</v>
      </c>
      <c r="F1548" s="3" t="s">
        <v>64</v>
      </c>
      <c r="H1548" s="3">
        <v>1.349</v>
      </c>
      <c r="I1548" s="10">
        <f t="shared" si="243"/>
        <v>631.3693113212023</v>
      </c>
      <c r="J1548" s="3">
        <v>6.4098775905519614E-2</v>
      </c>
      <c r="K1548" s="3">
        <v>0</v>
      </c>
      <c r="L1548" s="3">
        <f t="shared" si="244"/>
        <v>0</v>
      </c>
      <c r="N1548" s="11">
        <f t="shared" si="245"/>
        <v>1.2849012240944804</v>
      </c>
      <c r="O1548" s="3">
        <v>6.4098775905519614E-2</v>
      </c>
      <c r="P1548" s="11">
        <f t="shared" si="246"/>
        <v>601.3693113212023</v>
      </c>
      <c r="Q1548" s="12">
        <f t="shared" si="247"/>
        <v>52.209414713469648</v>
      </c>
      <c r="R1548" s="13">
        <f t="shared" si="248"/>
        <v>47.124925459328132</v>
      </c>
      <c r="S1548" s="3" t="s">
        <v>31</v>
      </c>
      <c r="T1548" s="3" t="s">
        <v>35</v>
      </c>
      <c r="U1548" s="10">
        <v>9432019900999</v>
      </c>
      <c r="V1548" s="3">
        <v>0.1</v>
      </c>
      <c r="W1548" s="3">
        <f t="shared" si="249"/>
        <v>0</v>
      </c>
      <c r="AA1548" s="3">
        <v>44</v>
      </c>
    </row>
    <row r="1549" spans="1:27" x14ac:dyDescent="0.3">
      <c r="A1549" s="3" t="str">
        <f t="shared" si="240"/>
        <v>North9432019902295</v>
      </c>
      <c r="B1549" s="3" t="str">
        <f t="shared" si="241"/>
        <v>Lud9432019902295</v>
      </c>
      <c r="C1549" s="10">
        <v>9432019902295</v>
      </c>
      <c r="D1549" s="10" t="str">
        <f t="shared" si="242"/>
        <v>9432019902</v>
      </c>
      <c r="E1549" s="3" t="s">
        <v>3</v>
      </c>
      <c r="F1549" s="3" t="s">
        <v>64</v>
      </c>
      <c r="H1549" s="3">
        <v>0.79799999999999982</v>
      </c>
      <c r="I1549" s="10">
        <f t="shared" si="243"/>
        <v>419.22642213657622</v>
      </c>
      <c r="J1549" s="3">
        <v>5.7105179291873892E-2</v>
      </c>
      <c r="K1549" s="3">
        <v>0</v>
      </c>
      <c r="L1549" s="3">
        <f t="shared" si="244"/>
        <v>0</v>
      </c>
      <c r="N1549" s="11">
        <f t="shared" si="245"/>
        <v>0.74089482070812596</v>
      </c>
      <c r="O1549" s="3">
        <v>5.7105179291873892E-2</v>
      </c>
      <c r="P1549" s="11">
        <f t="shared" si="246"/>
        <v>389.22642213657628</v>
      </c>
      <c r="Q1549" s="12">
        <f t="shared" si="247"/>
        <v>38.98700588852774</v>
      </c>
      <c r="R1549" s="13">
        <f t="shared" si="248"/>
        <v>48.704698711521544</v>
      </c>
      <c r="S1549" s="3" t="s">
        <v>31</v>
      </c>
      <c r="T1549" s="3" t="s">
        <v>35</v>
      </c>
      <c r="U1549" s="10">
        <v>9432019900999</v>
      </c>
      <c r="V1549" s="3">
        <v>0.1</v>
      </c>
      <c r="W1549" s="3">
        <f t="shared" si="249"/>
        <v>0</v>
      </c>
      <c r="AA1549" s="3">
        <v>44</v>
      </c>
    </row>
    <row r="1550" spans="1:27" x14ac:dyDescent="0.3">
      <c r="A1550" s="3" t="str">
        <f t="shared" si="240"/>
        <v>South9330209901320</v>
      </c>
      <c r="B1550" s="3" t="str">
        <f t="shared" si="241"/>
        <v>CY9330209901320</v>
      </c>
      <c r="C1550" s="10">
        <v>9330209901320</v>
      </c>
      <c r="D1550" s="10" t="str">
        <f t="shared" si="242"/>
        <v>9330209901</v>
      </c>
      <c r="E1550" s="3" t="s">
        <v>4</v>
      </c>
      <c r="F1550" s="3" t="s">
        <v>65</v>
      </c>
      <c r="H1550" s="3">
        <v>148.48000000000002</v>
      </c>
      <c r="I1550" s="10">
        <f t="shared" si="243"/>
        <v>23.609438680730133</v>
      </c>
      <c r="J1550" s="3">
        <v>188.67030513671858</v>
      </c>
      <c r="K1550" s="3">
        <v>110</v>
      </c>
      <c r="L1550" s="3">
        <f t="shared" si="244"/>
        <v>0</v>
      </c>
      <c r="N1550" s="11">
        <f t="shared" si="245"/>
        <v>-40.190305136718564</v>
      </c>
      <c r="O1550" s="3">
        <v>188.67030513671858</v>
      </c>
      <c r="P1550" s="11">
        <f t="shared" si="246"/>
        <v>-6.3905613192698683</v>
      </c>
      <c r="Q1550" s="12">
        <f t="shared" si="247"/>
        <v>-9.9112838246483523</v>
      </c>
      <c r="R1550" s="13">
        <f t="shared" si="248"/>
        <v>-2.7737615488561329</v>
      </c>
      <c r="S1550" s="3" t="s">
        <v>29</v>
      </c>
      <c r="T1550" s="3" t="s">
        <v>35</v>
      </c>
      <c r="U1550" s="10">
        <v>9330209900999</v>
      </c>
      <c r="V1550" s="3">
        <v>0.1</v>
      </c>
      <c r="W1550" s="3">
        <f t="shared" si="249"/>
        <v>11</v>
      </c>
      <c r="AA1550" s="3">
        <v>44</v>
      </c>
    </row>
    <row r="1551" spans="1:27" x14ac:dyDescent="0.3">
      <c r="A1551" s="3" t="str">
        <f t="shared" si="240"/>
        <v>South9330219913820</v>
      </c>
      <c r="B1551" s="3" t="str">
        <f t="shared" si="241"/>
        <v>CY9330219913820</v>
      </c>
      <c r="C1551" s="10">
        <v>9330219913820</v>
      </c>
      <c r="D1551" s="10" t="str">
        <f t="shared" si="242"/>
        <v>9330219913</v>
      </c>
      <c r="E1551" s="3" t="s">
        <v>4</v>
      </c>
      <c r="F1551" s="3" t="s">
        <v>65</v>
      </c>
      <c r="H1551" s="3">
        <v>69.88</v>
      </c>
      <c r="I1551" s="10">
        <f t="shared" si="243"/>
        <v>15.929241863556637</v>
      </c>
      <c r="J1551" s="3">
        <v>131.60701670279752</v>
      </c>
      <c r="K1551" s="3">
        <v>132</v>
      </c>
      <c r="L1551" s="3">
        <f t="shared" si="244"/>
        <v>0</v>
      </c>
      <c r="N1551" s="11">
        <f t="shared" si="245"/>
        <v>-61.727016702797528</v>
      </c>
      <c r="O1551" s="3">
        <v>131.60701670279752</v>
      </c>
      <c r="P1551" s="11">
        <f t="shared" si="246"/>
        <v>-14.070758136443363</v>
      </c>
      <c r="Q1551" s="12">
        <f t="shared" si="247"/>
        <v>-19.805738404462105</v>
      </c>
      <c r="R1551" s="13">
        <f t="shared" si="248"/>
        <v>-4.4253318049699377</v>
      </c>
      <c r="S1551" s="3" t="s">
        <v>29</v>
      </c>
      <c r="T1551" s="3" t="s">
        <v>35</v>
      </c>
      <c r="U1551" s="10">
        <v>0</v>
      </c>
      <c r="V1551" s="3">
        <v>0</v>
      </c>
      <c r="W1551" s="3">
        <f t="shared" si="249"/>
        <v>0</v>
      </c>
      <c r="AA1551" s="3">
        <v>44</v>
      </c>
    </row>
    <row r="1552" spans="1:27" x14ac:dyDescent="0.3">
      <c r="A1552" s="3" t="str">
        <f t="shared" si="240"/>
        <v>South9330209901310</v>
      </c>
      <c r="B1552" s="3" t="str">
        <f t="shared" si="241"/>
        <v>CY9330209901310</v>
      </c>
      <c r="C1552" s="10">
        <v>9330209901310</v>
      </c>
      <c r="D1552" s="10" t="str">
        <f t="shared" si="242"/>
        <v>9330209901</v>
      </c>
      <c r="E1552" s="3" t="s">
        <v>4</v>
      </c>
      <c r="F1552" s="3" t="s">
        <v>65</v>
      </c>
      <c r="H1552" s="3">
        <v>30.545999999999992</v>
      </c>
      <c r="I1552" s="10">
        <f t="shared" si="243"/>
        <v>17.636129168841993</v>
      </c>
      <c r="J1552" s="3">
        <v>51.960381511549699</v>
      </c>
      <c r="K1552" s="3">
        <v>66</v>
      </c>
      <c r="L1552" s="3">
        <f t="shared" si="244"/>
        <v>0</v>
      </c>
      <c r="N1552" s="11">
        <f t="shared" si="245"/>
        <v>-21.414381511549706</v>
      </c>
      <c r="O1552" s="3">
        <v>51.960381511549699</v>
      </c>
      <c r="P1552" s="11">
        <f t="shared" si="246"/>
        <v>-12.363870831158009</v>
      </c>
      <c r="Q1552" s="12">
        <f t="shared" si="247"/>
        <v>-11.697351278170636</v>
      </c>
      <c r="R1552" s="13">
        <f t="shared" si="248"/>
        <v>0.86876647360711279</v>
      </c>
      <c r="S1552" s="3" t="s">
        <v>29</v>
      </c>
      <c r="T1552" s="3" t="s">
        <v>35</v>
      </c>
      <c r="U1552" s="10">
        <v>9330209900999</v>
      </c>
      <c r="V1552" s="3">
        <v>0.1</v>
      </c>
      <c r="W1552" s="3">
        <f t="shared" si="249"/>
        <v>6.6000000000000005</v>
      </c>
      <c r="AA1552" s="3">
        <v>44</v>
      </c>
    </row>
    <row r="1553" spans="1:27" x14ac:dyDescent="0.3">
      <c r="A1553" s="3" t="str">
        <f t="shared" si="240"/>
        <v>South9330219913810</v>
      </c>
      <c r="B1553" s="3" t="str">
        <f t="shared" si="241"/>
        <v>CY9330219913810</v>
      </c>
      <c r="C1553" s="10">
        <v>9330219913810</v>
      </c>
      <c r="D1553" s="10" t="str">
        <f t="shared" si="242"/>
        <v>9330219913</v>
      </c>
      <c r="E1553" s="3" t="s">
        <v>4</v>
      </c>
      <c r="F1553" s="3" t="s">
        <v>65</v>
      </c>
      <c r="H1553" s="3">
        <v>31.92</v>
      </c>
      <c r="I1553" s="10">
        <f t="shared" si="243"/>
        <v>25.851631348520474</v>
      </c>
      <c r="J1553" s="3">
        <v>37.042149761848776</v>
      </c>
      <c r="K1553" s="3">
        <v>33</v>
      </c>
      <c r="L1553" s="3">
        <f t="shared" si="244"/>
        <v>0</v>
      </c>
      <c r="N1553" s="11">
        <f t="shared" si="245"/>
        <v>-5.1221497618487746</v>
      </c>
      <c r="O1553" s="3">
        <v>37.042149761848776</v>
      </c>
      <c r="P1553" s="11">
        <f t="shared" si="246"/>
        <v>-4.1483686514795259</v>
      </c>
      <c r="Q1553" s="12">
        <f t="shared" si="247"/>
        <v>-11.673175630373857</v>
      </c>
      <c r="R1553" s="13">
        <f t="shared" si="248"/>
        <v>5.561298658189922</v>
      </c>
      <c r="S1553" s="3" t="s">
        <v>29</v>
      </c>
      <c r="T1553" s="3" t="s">
        <v>35</v>
      </c>
      <c r="U1553" s="10">
        <v>0</v>
      </c>
      <c r="V1553" s="3">
        <v>0</v>
      </c>
      <c r="W1553" s="3">
        <f t="shared" si="249"/>
        <v>0</v>
      </c>
      <c r="AA1553" s="3">
        <v>44</v>
      </c>
    </row>
    <row r="1554" spans="1:27" x14ac:dyDescent="0.3">
      <c r="A1554" s="3" t="str">
        <f t="shared" si="240"/>
        <v>South9330209901840</v>
      </c>
      <c r="B1554" s="3" t="str">
        <f t="shared" si="241"/>
        <v>CY9330209901840</v>
      </c>
      <c r="C1554" s="10">
        <v>9330209901840</v>
      </c>
      <c r="D1554" s="10" t="str">
        <f t="shared" si="242"/>
        <v>9330209901</v>
      </c>
      <c r="E1554" s="3" t="s">
        <v>4</v>
      </c>
      <c r="F1554" s="3" t="s">
        <v>65</v>
      </c>
      <c r="H1554" s="3">
        <v>18.244000000000003</v>
      </c>
      <c r="I1554" s="10">
        <f t="shared" si="243"/>
        <v>28.235956445995789</v>
      </c>
      <c r="J1554" s="3">
        <v>19.383795305351409</v>
      </c>
      <c r="K1554" s="3">
        <v>32</v>
      </c>
      <c r="L1554" s="3">
        <f t="shared" si="244"/>
        <v>0</v>
      </c>
      <c r="N1554" s="11">
        <f t="shared" si="245"/>
        <v>-1.1397953053514058</v>
      </c>
      <c r="O1554" s="3">
        <v>19.383795305351409</v>
      </c>
      <c r="P1554" s="11">
        <f t="shared" si="246"/>
        <v>-1.7640435540042076</v>
      </c>
      <c r="Q1554" s="12">
        <f t="shared" si="247"/>
        <v>-5.1388067658183445</v>
      </c>
      <c r="R1554" s="13">
        <f t="shared" si="248"/>
        <v>-2.4217967524396196</v>
      </c>
      <c r="S1554" s="3" t="s">
        <v>30</v>
      </c>
      <c r="T1554" s="3" t="s">
        <v>35</v>
      </c>
      <c r="U1554" s="10">
        <v>0</v>
      </c>
      <c r="V1554" s="3">
        <v>0</v>
      </c>
      <c r="W1554" s="3">
        <f t="shared" si="249"/>
        <v>0</v>
      </c>
      <c r="AA1554" s="3">
        <v>44</v>
      </c>
    </row>
    <row r="1555" spans="1:27" x14ac:dyDescent="0.3">
      <c r="A1555" s="3" t="str">
        <f t="shared" si="240"/>
        <v>South9330219913840</v>
      </c>
      <c r="B1555" s="3" t="str">
        <f t="shared" si="241"/>
        <v>CY9330219913840</v>
      </c>
      <c r="C1555" s="10">
        <v>9330219913840</v>
      </c>
      <c r="D1555" s="10" t="str">
        <f t="shared" si="242"/>
        <v>9330219913</v>
      </c>
      <c r="E1555" s="3" t="s">
        <v>4</v>
      </c>
      <c r="F1555" s="3" t="s">
        <v>65</v>
      </c>
      <c r="H1555" s="3">
        <v>12.532000000000004</v>
      </c>
      <c r="I1555" s="10">
        <f t="shared" si="243"/>
        <v>31.836045660994657</v>
      </c>
      <c r="J1555" s="3">
        <v>11.809255584170247</v>
      </c>
      <c r="K1555" s="3">
        <v>0</v>
      </c>
      <c r="L1555" s="3">
        <f t="shared" si="244"/>
        <v>0</v>
      </c>
      <c r="N1555" s="11">
        <f t="shared" si="245"/>
        <v>0.7227444158297569</v>
      </c>
      <c r="O1555" s="3">
        <v>11.809255584170247</v>
      </c>
      <c r="P1555" s="11">
        <f t="shared" si="246"/>
        <v>1.8360456609946572</v>
      </c>
      <c r="Q1555" s="12">
        <f t="shared" si="247"/>
        <v>-5.9070169669014438</v>
      </c>
      <c r="R1555" s="13">
        <f t="shared" si="248"/>
        <v>13.994224541941199</v>
      </c>
      <c r="S1555" s="3" t="s">
        <v>30</v>
      </c>
      <c r="T1555" s="3" t="s">
        <v>35</v>
      </c>
      <c r="U1555" s="10">
        <v>0</v>
      </c>
      <c r="V1555" s="3">
        <v>0</v>
      </c>
      <c r="W1555" s="3">
        <f t="shared" si="249"/>
        <v>0</v>
      </c>
      <c r="AA1555" s="3">
        <v>44</v>
      </c>
    </row>
    <row r="1556" spans="1:27" x14ac:dyDescent="0.3">
      <c r="A1556" s="3" t="str">
        <f t="shared" si="240"/>
        <v>South9160309901320</v>
      </c>
      <c r="B1556" s="3" t="str">
        <f t="shared" si="241"/>
        <v>CY9160309901320</v>
      </c>
      <c r="C1556" s="10">
        <v>9160309901320</v>
      </c>
      <c r="D1556" s="10" t="str">
        <f t="shared" si="242"/>
        <v>9160309901</v>
      </c>
      <c r="E1556" s="3" t="s">
        <v>4</v>
      </c>
      <c r="F1556" s="3" t="s">
        <v>65</v>
      </c>
      <c r="H1556" s="3">
        <v>19.62</v>
      </c>
      <c r="I1556" s="10">
        <f t="shared" si="243"/>
        <v>62.046715807720389</v>
      </c>
      <c r="J1556" s="3">
        <v>9.4864005666962523</v>
      </c>
      <c r="K1556" s="3">
        <v>0</v>
      </c>
      <c r="L1556" s="3">
        <f t="shared" si="244"/>
        <v>0</v>
      </c>
      <c r="N1556" s="11">
        <f t="shared" si="245"/>
        <v>10.133599433303749</v>
      </c>
      <c r="O1556" s="3">
        <v>9.4864005666962523</v>
      </c>
      <c r="P1556" s="11">
        <f t="shared" si="246"/>
        <v>32.046715807720389</v>
      </c>
      <c r="Q1556" s="12">
        <f t="shared" si="247"/>
        <v>66.921937795044357</v>
      </c>
      <c r="R1556" s="13">
        <f t="shared" si="248"/>
        <v>53.861568355379056</v>
      </c>
      <c r="S1556" s="3" t="s">
        <v>29</v>
      </c>
      <c r="T1556" s="3" t="s">
        <v>34</v>
      </c>
      <c r="U1556" s="10">
        <v>0</v>
      </c>
      <c r="V1556" s="3">
        <v>0</v>
      </c>
      <c r="W1556" s="3">
        <f t="shared" si="249"/>
        <v>0</v>
      </c>
      <c r="AA1556" s="3">
        <v>44</v>
      </c>
    </row>
    <row r="1557" spans="1:27" x14ac:dyDescent="0.3">
      <c r="A1557" s="3" t="str">
        <f t="shared" si="240"/>
        <v>South9432009905190</v>
      </c>
      <c r="B1557" s="3" t="str">
        <f t="shared" si="241"/>
        <v>CY9432009905190</v>
      </c>
      <c r="C1557" s="10">
        <v>9432009905190</v>
      </c>
      <c r="D1557" s="10" t="str">
        <f t="shared" si="242"/>
        <v>9432009905</v>
      </c>
      <c r="E1557" s="3" t="s">
        <v>4</v>
      </c>
      <c r="F1557" s="3" t="s">
        <v>65</v>
      </c>
      <c r="H1557" s="3">
        <v>30.817799999999998</v>
      </c>
      <c r="I1557" s="10">
        <f t="shared" si="243"/>
        <v>102.20376047594105</v>
      </c>
      <c r="J1557" s="3">
        <v>9.0459880898182501</v>
      </c>
      <c r="K1557" s="3">
        <v>0</v>
      </c>
      <c r="L1557" s="3">
        <f t="shared" si="244"/>
        <v>0</v>
      </c>
      <c r="N1557" s="11">
        <f t="shared" si="245"/>
        <v>21.771811910181746</v>
      </c>
      <c r="O1557" s="3">
        <v>9.0459880898182501</v>
      </c>
      <c r="P1557" s="11">
        <f t="shared" si="246"/>
        <v>72.203760475941039</v>
      </c>
      <c r="Q1557" s="12">
        <f t="shared" si="247"/>
        <v>72.203760475941053</v>
      </c>
      <c r="R1557" s="13">
        <f t="shared" si="248"/>
        <v>50.209638954746495</v>
      </c>
      <c r="S1557" s="3" t="s">
        <v>31</v>
      </c>
      <c r="T1557" s="3" t="s">
        <v>35</v>
      </c>
      <c r="U1557" s="10">
        <v>0</v>
      </c>
      <c r="V1557" s="3">
        <v>0</v>
      </c>
      <c r="W1557" s="3">
        <f t="shared" si="249"/>
        <v>0</v>
      </c>
      <c r="AA1557" s="3">
        <v>44</v>
      </c>
    </row>
    <row r="1558" spans="1:27" x14ac:dyDescent="0.3">
      <c r="A1558" s="3" t="str">
        <f t="shared" si="240"/>
        <v>South9330209901210</v>
      </c>
      <c r="B1558" s="3" t="str">
        <f t="shared" si="241"/>
        <v>CY9330209901210</v>
      </c>
      <c r="C1558" s="10">
        <v>9330209901210</v>
      </c>
      <c r="D1558" s="10" t="str">
        <f t="shared" si="242"/>
        <v>9330209901</v>
      </c>
      <c r="E1558" s="3" t="s">
        <v>4</v>
      </c>
      <c r="F1558" s="3" t="s">
        <v>65</v>
      </c>
      <c r="H1558" s="3">
        <v>9.3889999999999993</v>
      </c>
      <c r="I1558" s="10">
        <f t="shared" si="243"/>
        <v>31.24446091453067</v>
      </c>
      <c r="J1558" s="3">
        <v>9.0150379220979104</v>
      </c>
      <c r="K1558" s="3">
        <v>22</v>
      </c>
      <c r="L1558" s="3">
        <f t="shared" si="244"/>
        <v>0</v>
      </c>
      <c r="N1558" s="11">
        <f t="shared" si="245"/>
        <v>0.37396207790208891</v>
      </c>
      <c r="O1558" s="3">
        <v>9.0150379220979104</v>
      </c>
      <c r="P1558" s="11">
        <f t="shared" si="246"/>
        <v>1.2444609145306735</v>
      </c>
      <c r="Q1558" s="12">
        <f t="shared" si="247"/>
        <v>-2.8694449829372428</v>
      </c>
      <c r="R1558" s="13">
        <f t="shared" si="248"/>
        <v>19.010581716110313</v>
      </c>
      <c r="S1558" s="3" t="s">
        <v>30</v>
      </c>
      <c r="T1558" s="3" t="s">
        <v>35</v>
      </c>
      <c r="U1558" s="10">
        <v>0</v>
      </c>
      <c r="V1558" s="3">
        <v>0</v>
      </c>
      <c r="W1558" s="3">
        <f t="shared" si="249"/>
        <v>0</v>
      </c>
      <c r="AA1558" s="3">
        <v>44</v>
      </c>
    </row>
    <row r="1559" spans="1:27" x14ac:dyDescent="0.3">
      <c r="A1559" s="3" t="str">
        <f t="shared" si="240"/>
        <v>South9432009905836</v>
      </c>
      <c r="B1559" s="3" t="str">
        <f t="shared" si="241"/>
        <v>CY9432009905836</v>
      </c>
      <c r="C1559" s="10">
        <v>9432009905836</v>
      </c>
      <c r="D1559" s="10" t="str">
        <f t="shared" si="242"/>
        <v>9432009905</v>
      </c>
      <c r="E1559" s="3" t="s">
        <v>4</v>
      </c>
      <c r="F1559" s="3" t="s">
        <v>65</v>
      </c>
      <c r="H1559" s="3">
        <v>15.872400000000006</v>
      </c>
      <c r="I1559" s="10">
        <f t="shared" si="243"/>
        <v>68.550417183589573</v>
      </c>
      <c r="J1559" s="3">
        <v>6.9463034590253674</v>
      </c>
      <c r="K1559" s="3">
        <v>0</v>
      </c>
      <c r="L1559" s="3">
        <f t="shared" si="244"/>
        <v>0</v>
      </c>
      <c r="N1559" s="11">
        <f t="shared" si="245"/>
        <v>8.9260965409746387</v>
      </c>
      <c r="O1559" s="3">
        <v>6.9463034590253674</v>
      </c>
      <c r="P1559" s="11">
        <f t="shared" si="246"/>
        <v>38.550417183589566</v>
      </c>
      <c r="Q1559" s="12">
        <f t="shared" si="247"/>
        <v>38.550417183589566</v>
      </c>
      <c r="R1559" s="13">
        <f t="shared" si="248"/>
        <v>68.8590958598556</v>
      </c>
      <c r="S1559" s="3" t="s">
        <v>31</v>
      </c>
      <c r="T1559" s="3" t="s">
        <v>35</v>
      </c>
      <c r="U1559" s="10">
        <v>0</v>
      </c>
      <c r="V1559" s="3">
        <v>0</v>
      </c>
      <c r="W1559" s="3">
        <f t="shared" si="249"/>
        <v>0</v>
      </c>
      <c r="AA1559" s="3">
        <v>44</v>
      </c>
    </row>
    <row r="1560" spans="1:27" x14ac:dyDescent="0.3">
      <c r="A1560" s="3" t="str">
        <f t="shared" si="240"/>
        <v>South9310049900320</v>
      </c>
      <c r="B1560" s="3" t="str">
        <f t="shared" si="241"/>
        <v>CY9310049900320</v>
      </c>
      <c r="C1560" s="10">
        <v>9310049900320</v>
      </c>
      <c r="D1560" s="10" t="str">
        <f t="shared" si="242"/>
        <v>9310049900</v>
      </c>
      <c r="E1560" s="3" t="s">
        <v>4</v>
      </c>
      <c r="F1560" s="3" t="s">
        <v>65</v>
      </c>
      <c r="H1560" s="3">
        <v>16.719999999999992</v>
      </c>
      <c r="I1560" s="10">
        <f t="shared" si="243"/>
        <v>86.437734942455535</v>
      </c>
      <c r="J1560" s="3">
        <v>5.8030211033865191</v>
      </c>
      <c r="K1560" s="3">
        <v>0</v>
      </c>
      <c r="L1560" s="3">
        <f t="shared" si="244"/>
        <v>0</v>
      </c>
      <c r="N1560" s="11">
        <f t="shared" si="245"/>
        <v>10.916978896613472</v>
      </c>
      <c r="O1560" s="3">
        <v>5.8030211033865191</v>
      </c>
      <c r="P1560" s="11">
        <f t="shared" si="246"/>
        <v>56.437734942455521</v>
      </c>
      <c r="Q1560" s="12">
        <f t="shared" si="247"/>
        <v>56.437734942455521</v>
      </c>
      <c r="R1560" s="13">
        <f t="shared" si="248"/>
        <v>101.9453218079973</v>
      </c>
      <c r="S1560" s="3" t="s">
        <v>31</v>
      </c>
      <c r="T1560" s="3" t="s">
        <v>32</v>
      </c>
      <c r="U1560" s="10">
        <v>9310049900999</v>
      </c>
      <c r="V1560" s="3">
        <v>0.1</v>
      </c>
      <c r="W1560" s="3">
        <f t="shared" si="249"/>
        <v>0</v>
      </c>
      <c r="AA1560" s="3">
        <v>44</v>
      </c>
    </row>
    <row r="1561" spans="1:27" x14ac:dyDescent="0.3">
      <c r="A1561" s="3" t="str">
        <f t="shared" si="240"/>
        <v>South9330219913210</v>
      </c>
      <c r="B1561" s="3" t="str">
        <f t="shared" si="241"/>
        <v>CY9330219913210</v>
      </c>
      <c r="C1561" s="10">
        <v>9330219913210</v>
      </c>
      <c r="D1561" s="10" t="str">
        <f t="shared" si="242"/>
        <v>9330219913</v>
      </c>
      <c r="E1561" s="3" t="s">
        <v>4</v>
      </c>
      <c r="F1561" s="3" t="s">
        <v>65</v>
      </c>
      <c r="H1561" s="3">
        <v>4.6710000000000003</v>
      </c>
      <c r="I1561" s="10">
        <f t="shared" si="243"/>
        <v>36.202812857925956</v>
      </c>
      <c r="J1561" s="3">
        <v>3.8706937096276222</v>
      </c>
      <c r="K1561" s="3">
        <v>0</v>
      </c>
      <c r="L1561" s="3">
        <f t="shared" si="244"/>
        <v>0</v>
      </c>
      <c r="N1561" s="11">
        <f t="shared" si="245"/>
        <v>0.8003062903723781</v>
      </c>
      <c r="O1561" s="3">
        <v>3.8706937096276222</v>
      </c>
      <c r="P1561" s="11">
        <f t="shared" si="246"/>
        <v>6.2028128579259594</v>
      </c>
      <c r="Q1561" s="12">
        <f t="shared" si="247"/>
        <v>44.241438158824813</v>
      </c>
      <c r="R1561" s="13">
        <f t="shared" si="248"/>
        <v>24.081536979765296</v>
      </c>
      <c r="S1561" s="3" t="s">
        <v>30</v>
      </c>
      <c r="T1561" s="3" t="s">
        <v>35</v>
      </c>
      <c r="U1561" s="10">
        <v>0</v>
      </c>
      <c r="V1561" s="3">
        <v>0</v>
      </c>
      <c r="W1561" s="3">
        <f t="shared" si="249"/>
        <v>0</v>
      </c>
      <c r="AA1561" s="3">
        <v>44</v>
      </c>
    </row>
    <row r="1562" spans="1:27" x14ac:dyDescent="0.3">
      <c r="A1562" s="3" t="str">
        <f t="shared" si="240"/>
        <v>South9160709900320</v>
      </c>
      <c r="B1562" s="3" t="str">
        <f t="shared" si="241"/>
        <v>CY9160709900320</v>
      </c>
      <c r="C1562" s="10">
        <v>9160709900320</v>
      </c>
      <c r="D1562" s="10" t="str">
        <f t="shared" si="242"/>
        <v>9160709900</v>
      </c>
      <c r="E1562" s="3" t="s">
        <v>4</v>
      </c>
      <c r="F1562" s="3" t="s">
        <v>65</v>
      </c>
      <c r="H1562" s="3">
        <v>5.0199999999999996</v>
      </c>
      <c r="I1562" s="10">
        <f t="shared" si="243"/>
        <v>41.391089551729912</v>
      </c>
      <c r="J1562" s="3">
        <v>3.6384642596030861</v>
      </c>
      <c r="K1562" s="3">
        <v>0</v>
      </c>
      <c r="L1562" s="3">
        <f t="shared" si="244"/>
        <v>0</v>
      </c>
      <c r="N1562" s="11">
        <f t="shared" si="245"/>
        <v>1.3815357403969135</v>
      </c>
      <c r="O1562" s="3">
        <v>3.6384642596030861</v>
      </c>
      <c r="P1562" s="11">
        <f t="shared" si="246"/>
        <v>11.391089551729907</v>
      </c>
      <c r="Q1562" s="12">
        <f t="shared" si="247"/>
        <v>26.610670193980472</v>
      </c>
      <c r="R1562" s="13">
        <f t="shared" si="248"/>
        <v>51.472592089112787</v>
      </c>
      <c r="S1562" s="3" t="s">
        <v>30</v>
      </c>
      <c r="T1562" s="3" t="s">
        <v>34</v>
      </c>
      <c r="U1562" s="10">
        <v>0</v>
      </c>
      <c r="V1562" s="3">
        <v>0</v>
      </c>
      <c r="W1562" s="3">
        <f t="shared" si="249"/>
        <v>0</v>
      </c>
      <c r="AA1562" s="3">
        <v>44</v>
      </c>
    </row>
    <row r="1563" spans="1:27" x14ac:dyDescent="0.3">
      <c r="A1563" s="3" t="str">
        <f t="shared" si="240"/>
        <v>South9330209906097</v>
      </c>
      <c r="B1563" s="3" t="str">
        <f t="shared" si="241"/>
        <v>CY9330209906097</v>
      </c>
      <c r="C1563" s="10">
        <v>9330209906097</v>
      </c>
      <c r="D1563" s="10" t="str">
        <f t="shared" si="242"/>
        <v>9330209906</v>
      </c>
      <c r="E1563" s="3" t="s">
        <v>4</v>
      </c>
      <c r="F1563" s="3" t="s">
        <v>65</v>
      </c>
      <c r="H1563" s="3">
        <v>3.0771000000000015</v>
      </c>
      <c r="I1563" s="10">
        <f t="shared" si="243"/>
        <v>29.100101830320206</v>
      </c>
      <c r="J1563" s="3">
        <v>3.1722569404831624</v>
      </c>
      <c r="K1563" s="3">
        <v>22</v>
      </c>
      <c r="L1563" s="3">
        <f t="shared" si="244"/>
        <v>0</v>
      </c>
      <c r="N1563" s="11">
        <f t="shared" si="245"/>
        <v>-9.5156940483160923E-2</v>
      </c>
      <c r="O1563" s="3">
        <v>3.1722569404831624</v>
      </c>
      <c r="P1563" s="11">
        <f t="shared" si="246"/>
        <v>-0.89989816967979608</v>
      </c>
      <c r="Q1563" s="12">
        <f t="shared" si="247"/>
        <v>-0.89989816967979608</v>
      </c>
      <c r="R1563" s="13">
        <f t="shared" si="248"/>
        <v>11.177368667886514</v>
      </c>
      <c r="S1563" s="3" t="s">
        <v>31</v>
      </c>
      <c r="T1563" s="3" t="s">
        <v>35</v>
      </c>
      <c r="U1563" s="10">
        <v>0</v>
      </c>
      <c r="V1563" s="3">
        <v>0</v>
      </c>
      <c r="W1563" s="3">
        <f t="shared" si="249"/>
        <v>0</v>
      </c>
      <c r="AA1563" s="3">
        <v>44</v>
      </c>
    </row>
    <row r="1564" spans="1:27" x14ac:dyDescent="0.3">
      <c r="A1564" s="3" t="str">
        <f t="shared" si="240"/>
        <v>South9330229900320</v>
      </c>
      <c r="B1564" s="3" t="str">
        <f t="shared" si="241"/>
        <v>CY9330229900320</v>
      </c>
      <c r="C1564" s="10">
        <v>9330229900320</v>
      </c>
      <c r="D1564" s="10" t="str">
        <f t="shared" si="242"/>
        <v>9330229900</v>
      </c>
      <c r="E1564" s="3" t="s">
        <v>4</v>
      </c>
      <c r="F1564" s="3" t="s">
        <v>65</v>
      </c>
      <c r="H1564" s="3">
        <v>5.46</v>
      </c>
      <c r="I1564" s="10">
        <f t="shared" si="243"/>
        <v>73.174510203920292</v>
      </c>
      <c r="J1564" s="3">
        <v>2.2384844058884386</v>
      </c>
      <c r="K1564" s="3">
        <v>0</v>
      </c>
      <c r="L1564" s="3">
        <f t="shared" si="244"/>
        <v>0</v>
      </c>
      <c r="N1564" s="11">
        <f t="shared" si="245"/>
        <v>3.2215155941115614</v>
      </c>
      <c r="O1564" s="3">
        <v>2.2384844058884386</v>
      </c>
      <c r="P1564" s="11">
        <f t="shared" si="246"/>
        <v>43.174510203920292</v>
      </c>
      <c r="Q1564" s="12">
        <f t="shared" si="247"/>
        <v>-15.614968142737382</v>
      </c>
      <c r="R1564" s="13">
        <f t="shared" si="248"/>
        <v>-4.2206085179727149</v>
      </c>
      <c r="S1564" s="3" t="s">
        <v>29</v>
      </c>
      <c r="T1564" s="3" t="s">
        <v>35</v>
      </c>
      <c r="U1564" s="10">
        <v>9330229900999</v>
      </c>
      <c r="V1564" s="3">
        <v>0.1</v>
      </c>
      <c r="W1564" s="3">
        <f t="shared" si="249"/>
        <v>0</v>
      </c>
      <c r="AA1564" s="3">
        <v>44</v>
      </c>
    </row>
    <row r="1565" spans="1:27" x14ac:dyDescent="0.3">
      <c r="A1565" s="3" t="str">
        <f t="shared" si="240"/>
        <v>South9330209906219</v>
      </c>
      <c r="B1565" s="3" t="str">
        <f t="shared" si="241"/>
        <v>CY9330209906219</v>
      </c>
      <c r="C1565" s="10">
        <v>9330209906219</v>
      </c>
      <c r="D1565" s="10" t="str">
        <f t="shared" si="242"/>
        <v>9330209906</v>
      </c>
      <c r="E1565" s="3" t="s">
        <v>4</v>
      </c>
      <c r="F1565" s="3" t="s">
        <v>65</v>
      </c>
      <c r="H1565" s="3">
        <v>14.508000000000001</v>
      </c>
      <c r="I1565" s="10">
        <f t="shared" si="243"/>
        <v>207.09822703237271</v>
      </c>
      <c r="J1565" s="3">
        <v>2.1016114248624889</v>
      </c>
      <c r="K1565" s="3">
        <v>0</v>
      </c>
      <c r="L1565" s="3">
        <f t="shared" si="244"/>
        <v>0</v>
      </c>
      <c r="N1565" s="11">
        <f t="shared" si="245"/>
        <v>12.406388575137512</v>
      </c>
      <c r="O1565" s="3">
        <v>2.1016114248624889</v>
      </c>
      <c r="P1565" s="11">
        <f t="shared" si="246"/>
        <v>177.09822703237273</v>
      </c>
      <c r="Q1565" s="12">
        <f t="shared" si="247"/>
        <v>177.09822703237273</v>
      </c>
      <c r="R1565" s="13">
        <f t="shared" si="248"/>
        <v>262.31493828011588</v>
      </c>
      <c r="S1565" s="3" t="s">
        <v>31</v>
      </c>
      <c r="T1565" s="3" t="s">
        <v>35</v>
      </c>
      <c r="U1565" s="10">
        <v>9330209900999</v>
      </c>
      <c r="V1565" s="3">
        <v>0.1</v>
      </c>
      <c r="W1565" s="3">
        <f t="shared" si="249"/>
        <v>0</v>
      </c>
      <c r="AA1565" s="3">
        <v>44</v>
      </c>
    </row>
    <row r="1566" spans="1:27" x14ac:dyDescent="0.3">
      <c r="A1566" s="3" t="str">
        <f t="shared" si="240"/>
        <v>South9330209906839</v>
      </c>
      <c r="B1566" s="3" t="str">
        <f t="shared" si="241"/>
        <v>CY9330209906839</v>
      </c>
      <c r="C1566" s="10">
        <v>9330209906839</v>
      </c>
      <c r="D1566" s="10" t="str">
        <f t="shared" si="242"/>
        <v>9330209906</v>
      </c>
      <c r="E1566" s="3" t="s">
        <v>4</v>
      </c>
      <c r="F1566" s="3" t="s">
        <v>65</v>
      </c>
      <c r="H1566" s="3">
        <v>12.803700000000003</v>
      </c>
      <c r="I1566" s="10">
        <f t="shared" si="243"/>
        <v>195.8474217581709</v>
      </c>
      <c r="J1566" s="3">
        <v>1.9612767763381327</v>
      </c>
      <c r="K1566" s="3">
        <v>0</v>
      </c>
      <c r="L1566" s="3">
        <f t="shared" si="244"/>
        <v>0</v>
      </c>
      <c r="N1566" s="11">
        <f t="shared" si="245"/>
        <v>10.84242322366187</v>
      </c>
      <c r="O1566" s="3">
        <v>1.9612767763381327</v>
      </c>
      <c r="P1566" s="11">
        <f t="shared" si="246"/>
        <v>165.8474217581709</v>
      </c>
      <c r="Q1566" s="12">
        <f t="shared" si="247"/>
        <v>165.84742175817087</v>
      </c>
      <c r="R1566" s="13">
        <f t="shared" si="248"/>
        <v>111.89979041333194</v>
      </c>
      <c r="S1566" s="3" t="s">
        <v>31</v>
      </c>
      <c r="T1566" s="3" t="s">
        <v>35</v>
      </c>
      <c r="U1566" s="10">
        <v>0</v>
      </c>
      <c r="V1566" s="3">
        <v>0</v>
      </c>
      <c r="W1566" s="3">
        <f t="shared" si="249"/>
        <v>0</v>
      </c>
      <c r="AA1566" s="3">
        <v>44</v>
      </c>
    </row>
    <row r="1567" spans="1:27" x14ac:dyDescent="0.3">
      <c r="A1567" s="3" t="str">
        <f t="shared" si="240"/>
        <v>South9432019902838</v>
      </c>
      <c r="B1567" s="3" t="str">
        <f t="shared" si="241"/>
        <v>CY9432019902838</v>
      </c>
      <c r="C1567" s="10">
        <v>9432019902838</v>
      </c>
      <c r="D1567" s="10" t="str">
        <f t="shared" si="242"/>
        <v>9432019902</v>
      </c>
      <c r="E1567" s="3" t="s">
        <v>4</v>
      </c>
      <c r="F1567" s="3" t="s">
        <v>65</v>
      </c>
      <c r="H1567" s="3">
        <v>2.0367999999999999</v>
      </c>
      <c r="I1567" s="10">
        <f t="shared" si="243"/>
        <v>41.307380981398396</v>
      </c>
      <c r="J1567" s="3">
        <v>1.4792513722309446</v>
      </c>
      <c r="K1567" s="3">
        <v>0</v>
      </c>
      <c r="L1567" s="3">
        <f t="shared" si="244"/>
        <v>0</v>
      </c>
      <c r="N1567" s="11">
        <f t="shared" si="245"/>
        <v>0.55754862776905534</v>
      </c>
      <c r="O1567" s="3">
        <v>1.4792513722309446</v>
      </c>
      <c r="P1567" s="11">
        <f t="shared" si="246"/>
        <v>11.307380981398394</v>
      </c>
      <c r="Q1567" s="12">
        <f t="shared" si="247"/>
        <v>10.377588383188709</v>
      </c>
      <c r="R1567" s="13">
        <f t="shared" si="248"/>
        <v>34.337624916396607</v>
      </c>
      <c r="S1567" s="3" t="s">
        <v>31</v>
      </c>
      <c r="T1567" s="3" t="s">
        <v>35</v>
      </c>
      <c r="U1567" s="10">
        <v>0</v>
      </c>
      <c r="V1567" s="3">
        <v>0</v>
      </c>
      <c r="W1567" s="3">
        <f t="shared" si="249"/>
        <v>0</v>
      </c>
      <c r="AA1567" s="3">
        <v>44</v>
      </c>
    </row>
    <row r="1568" spans="1:27" x14ac:dyDescent="0.3">
      <c r="A1568" s="3" t="str">
        <f t="shared" si="240"/>
        <v>South9432019902319</v>
      </c>
      <c r="B1568" s="3" t="str">
        <f t="shared" si="241"/>
        <v>CY9432019902319</v>
      </c>
      <c r="C1568" s="10">
        <v>9432019902319</v>
      </c>
      <c r="D1568" s="10" t="str">
        <f t="shared" si="242"/>
        <v>9432019902</v>
      </c>
      <c r="E1568" s="3" t="s">
        <v>4</v>
      </c>
      <c r="F1568" s="3" t="s">
        <v>65</v>
      </c>
      <c r="H1568" s="3">
        <v>2.7740000000000005</v>
      </c>
      <c r="I1568" s="10">
        <f t="shared" si="243"/>
        <v>65.793983089572066</v>
      </c>
      <c r="J1568" s="3">
        <v>1.264857302934588</v>
      </c>
      <c r="K1568" s="3">
        <v>0</v>
      </c>
      <c r="L1568" s="3">
        <f t="shared" si="244"/>
        <v>0</v>
      </c>
      <c r="N1568" s="11">
        <f t="shared" si="245"/>
        <v>1.5091426970654125</v>
      </c>
      <c r="O1568" s="3">
        <v>1.264857302934588</v>
      </c>
      <c r="P1568" s="11">
        <f t="shared" si="246"/>
        <v>35.793983089572066</v>
      </c>
      <c r="Q1568" s="12">
        <f t="shared" si="247"/>
        <v>57.61998660299524</v>
      </c>
      <c r="R1568" s="13">
        <f t="shared" si="248"/>
        <v>47.124925459328132</v>
      </c>
      <c r="S1568" s="3" t="s">
        <v>31</v>
      </c>
      <c r="T1568" s="3" t="s">
        <v>35</v>
      </c>
      <c r="U1568" s="10">
        <v>9432019900999</v>
      </c>
      <c r="V1568" s="3">
        <v>0.1</v>
      </c>
      <c r="W1568" s="3">
        <f t="shared" si="249"/>
        <v>0</v>
      </c>
      <c r="AA1568" s="3">
        <v>44</v>
      </c>
    </row>
    <row r="1569" spans="1:27" x14ac:dyDescent="0.3">
      <c r="A1569" s="3" t="str">
        <f t="shared" si="240"/>
        <v>South9432019902195</v>
      </c>
      <c r="B1569" s="3" t="str">
        <f t="shared" si="241"/>
        <v>CY9432019902195</v>
      </c>
      <c r="C1569" s="10">
        <v>9432019902195</v>
      </c>
      <c r="D1569" s="10" t="str">
        <f t="shared" si="242"/>
        <v>9432019902</v>
      </c>
      <c r="E1569" s="3" t="s">
        <v>4</v>
      </c>
      <c r="F1569" s="3" t="s">
        <v>65</v>
      </c>
      <c r="H1569" s="3">
        <v>1.02505</v>
      </c>
      <c r="I1569" s="10">
        <f t="shared" si="243"/>
        <v>25.048484294006808</v>
      </c>
      <c r="J1569" s="3">
        <v>1.2276790738734524</v>
      </c>
      <c r="K1569" s="3">
        <v>0</v>
      </c>
      <c r="L1569" s="3">
        <f t="shared" si="244"/>
        <v>0</v>
      </c>
      <c r="N1569" s="11">
        <f t="shared" si="245"/>
        <v>-0.20262907387345241</v>
      </c>
      <c r="O1569" s="3">
        <v>1.2276790738734524</v>
      </c>
      <c r="P1569" s="11">
        <f t="shared" si="246"/>
        <v>-4.9515157059931898</v>
      </c>
      <c r="Q1569" s="12">
        <f t="shared" si="247"/>
        <v>-6.7384974132123574</v>
      </c>
      <c r="R1569" s="13">
        <f t="shared" si="248"/>
        <v>-4.5391497566448349</v>
      </c>
      <c r="S1569" s="3" t="s">
        <v>31</v>
      </c>
      <c r="T1569" s="3" t="s">
        <v>35</v>
      </c>
      <c r="U1569" s="10">
        <v>0</v>
      </c>
      <c r="V1569" s="3">
        <v>0</v>
      </c>
      <c r="W1569" s="3">
        <f t="shared" si="249"/>
        <v>0</v>
      </c>
      <c r="AA1569" s="3">
        <v>44</v>
      </c>
    </row>
    <row r="1570" spans="1:27" x14ac:dyDescent="0.3">
      <c r="A1570" s="3" t="str">
        <f t="shared" si="240"/>
        <v>South9432019902295</v>
      </c>
      <c r="B1570" s="3" t="str">
        <f t="shared" si="241"/>
        <v>CY9432019902295</v>
      </c>
      <c r="C1570" s="10">
        <v>9432019902295</v>
      </c>
      <c r="D1570" s="10" t="str">
        <f t="shared" si="242"/>
        <v>9432019902</v>
      </c>
      <c r="E1570" s="3" t="s">
        <v>4</v>
      </c>
      <c r="F1570" s="3" t="s">
        <v>65</v>
      </c>
      <c r="H1570" s="3">
        <v>2.1090000000000004</v>
      </c>
      <c r="I1570" s="10">
        <f t="shared" si="243"/>
        <v>60.864166929100463</v>
      </c>
      <c r="J1570" s="3">
        <v>1.03952790602888</v>
      </c>
      <c r="K1570" s="3">
        <v>0</v>
      </c>
      <c r="L1570" s="3">
        <f t="shared" si="244"/>
        <v>0</v>
      </c>
      <c r="N1570" s="11">
        <f t="shared" si="245"/>
        <v>1.0694720939711204</v>
      </c>
      <c r="O1570" s="3">
        <v>1.03952790602888</v>
      </c>
      <c r="P1570" s="11">
        <f t="shared" si="246"/>
        <v>30.86416692910046</v>
      </c>
      <c r="Q1570" s="12">
        <f t="shared" si="247"/>
        <v>28.179052934242712</v>
      </c>
      <c r="R1570" s="13">
        <f t="shared" si="248"/>
        <v>48.704698711521544</v>
      </c>
      <c r="S1570" s="3" t="s">
        <v>31</v>
      </c>
      <c r="T1570" s="3" t="s">
        <v>35</v>
      </c>
      <c r="U1570" s="10">
        <v>9432019900999</v>
      </c>
      <c r="V1570" s="3">
        <v>0.1</v>
      </c>
      <c r="W1570" s="3">
        <f t="shared" si="249"/>
        <v>0</v>
      </c>
      <c r="AA1570" s="3">
        <v>44</v>
      </c>
    </row>
    <row r="1571" spans="1:27" x14ac:dyDescent="0.3">
      <c r="A1571" s="3" t="str">
        <f t="shared" si="240"/>
        <v>South9330229900310</v>
      </c>
      <c r="B1571" s="3" t="str">
        <f t="shared" si="241"/>
        <v>CY9330229900310</v>
      </c>
      <c r="C1571" s="10">
        <v>9330229900310</v>
      </c>
      <c r="D1571" s="10" t="str">
        <f t="shared" si="242"/>
        <v>9330229900</v>
      </c>
      <c r="E1571" s="3" t="s">
        <v>4</v>
      </c>
      <c r="F1571" s="3" t="s">
        <v>65</v>
      </c>
      <c r="H1571" s="3">
        <v>1.9800000000000006</v>
      </c>
      <c r="I1571" s="10">
        <f t="shared" si="243"/>
        <v>61.158589148514324</v>
      </c>
      <c r="J1571" s="3">
        <v>0.97124542647241519</v>
      </c>
      <c r="K1571" s="3">
        <v>0</v>
      </c>
      <c r="L1571" s="3">
        <f t="shared" si="244"/>
        <v>0</v>
      </c>
      <c r="N1571" s="11">
        <f t="shared" si="245"/>
        <v>1.0087545735275856</v>
      </c>
      <c r="O1571" s="3">
        <v>0.97124542647241519</v>
      </c>
      <c r="P1571" s="11">
        <f t="shared" si="246"/>
        <v>31.158589148514327</v>
      </c>
      <c r="Q1571" s="12">
        <f t="shared" si="247"/>
        <v>-13.183180672178775</v>
      </c>
      <c r="R1571" s="13">
        <f t="shared" si="248"/>
        <v>-2.3419374714723604</v>
      </c>
      <c r="S1571" s="3" t="s">
        <v>30</v>
      </c>
      <c r="T1571" s="3" t="s">
        <v>35</v>
      </c>
      <c r="U1571" s="10">
        <v>9330229900999</v>
      </c>
      <c r="V1571" s="3">
        <v>0.1</v>
      </c>
      <c r="W1571" s="3">
        <f t="shared" si="249"/>
        <v>0</v>
      </c>
      <c r="AA1571" s="3">
        <v>44</v>
      </c>
    </row>
    <row r="1572" spans="1:27" x14ac:dyDescent="0.3">
      <c r="A1572" s="3" t="str">
        <f t="shared" si="240"/>
        <v>South9310049900310</v>
      </c>
      <c r="B1572" s="3" t="str">
        <f t="shared" si="241"/>
        <v>CY9310049900310</v>
      </c>
      <c r="C1572" s="10">
        <v>9310049900310</v>
      </c>
      <c r="D1572" s="10" t="str">
        <f t="shared" si="242"/>
        <v>9310049900</v>
      </c>
      <c r="E1572" s="3" t="s">
        <v>4</v>
      </c>
      <c r="F1572" s="3" t="s">
        <v>65</v>
      </c>
      <c r="H1572" s="3">
        <v>2.7699999999999991</v>
      </c>
      <c r="I1572" s="10">
        <f t="shared" si="243"/>
        <v>122.00539412830847</v>
      </c>
      <c r="J1572" s="3">
        <v>0.68111742594435487</v>
      </c>
      <c r="K1572" s="3">
        <v>0</v>
      </c>
      <c r="L1572" s="3">
        <f t="shared" si="244"/>
        <v>0</v>
      </c>
      <c r="N1572" s="11">
        <f t="shared" si="245"/>
        <v>2.0888825740556443</v>
      </c>
      <c r="O1572" s="3">
        <v>0.68111742594435487</v>
      </c>
      <c r="P1572" s="11">
        <f t="shared" si="246"/>
        <v>92.005394128308467</v>
      </c>
      <c r="Q1572" s="12">
        <f t="shared" si="247"/>
        <v>92.005394128308467</v>
      </c>
      <c r="R1572" s="13">
        <f t="shared" si="248"/>
        <v>114.42909577304165</v>
      </c>
      <c r="S1572" s="3" t="s">
        <v>31</v>
      </c>
      <c r="T1572" s="3" t="s">
        <v>32</v>
      </c>
      <c r="U1572" s="10">
        <v>9310049900999</v>
      </c>
      <c r="V1572" s="3">
        <v>0.1</v>
      </c>
      <c r="W1572" s="3">
        <f t="shared" si="249"/>
        <v>0</v>
      </c>
      <c r="AA1572" s="3">
        <v>44</v>
      </c>
    </row>
    <row r="1573" spans="1:27" x14ac:dyDescent="0.3">
      <c r="A1573" s="3" t="str">
        <f t="shared" si="240"/>
        <v>South9320049925240</v>
      </c>
      <c r="B1573" s="3" t="str">
        <f t="shared" si="241"/>
        <v>CY9320049925240</v>
      </c>
      <c r="C1573" s="10">
        <v>9320049925240</v>
      </c>
      <c r="D1573" s="10" t="str">
        <f t="shared" si="242"/>
        <v>9320049925</v>
      </c>
      <c r="E1573" s="3" t="s">
        <v>4</v>
      </c>
      <c r="F1573" s="3" t="s">
        <v>65</v>
      </c>
      <c r="H1573" s="3">
        <v>19.884</v>
      </c>
      <c r="I1573" s="10">
        <f t="shared" si="243"/>
        <v>943.24193155872069</v>
      </c>
      <c r="J1573" s="3">
        <v>0.63241463302446932</v>
      </c>
      <c r="K1573" s="3">
        <v>0</v>
      </c>
      <c r="L1573" s="3">
        <f t="shared" si="244"/>
        <v>0</v>
      </c>
      <c r="N1573" s="11">
        <f t="shared" si="245"/>
        <v>19.251585366975529</v>
      </c>
      <c r="O1573" s="3">
        <v>0.63241463302446932</v>
      </c>
      <c r="P1573" s="11">
        <f t="shared" si="246"/>
        <v>913.24193155872069</v>
      </c>
      <c r="Q1573" s="12">
        <f t="shared" si="247"/>
        <v>913.24193155872069</v>
      </c>
      <c r="R1573" s="13">
        <f t="shared" si="248"/>
        <v>773.65013984140387</v>
      </c>
      <c r="S1573" s="3" t="s">
        <v>31</v>
      </c>
      <c r="T1573" s="3" t="s">
        <v>28</v>
      </c>
      <c r="U1573" s="10">
        <v>0</v>
      </c>
      <c r="V1573" s="3">
        <v>0</v>
      </c>
      <c r="W1573" s="3">
        <f t="shared" si="249"/>
        <v>0</v>
      </c>
      <c r="AA1573" s="3">
        <v>44</v>
      </c>
    </row>
    <row r="1574" spans="1:27" x14ac:dyDescent="0.3">
      <c r="A1574" s="3" t="str">
        <f t="shared" si="240"/>
        <v>South9320049925210</v>
      </c>
      <c r="B1574" s="3" t="str">
        <f t="shared" si="241"/>
        <v>CY9320049925210</v>
      </c>
      <c r="C1574" s="10">
        <v>9320049925210</v>
      </c>
      <c r="D1574" s="10" t="str">
        <f t="shared" si="242"/>
        <v>9320049925</v>
      </c>
      <c r="E1574" s="3" t="s">
        <v>4</v>
      </c>
      <c r="F1574" s="3" t="s">
        <v>65</v>
      </c>
      <c r="H1574" s="3">
        <v>16.41</v>
      </c>
      <c r="I1574" s="10">
        <f t="shared" si="243"/>
        <v>908.49136840956385</v>
      </c>
      <c r="J1574" s="3">
        <v>0.541887371876562</v>
      </c>
      <c r="K1574" s="3">
        <v>0</v>
      </c>
      <c r="L1574" s="3">
        <f t="shared" si="244"/>
        <v>0</v>
      </c>
      <c r="N1574" s="11">
        <f t="shared" si="245"/>
        <v>15.868112628123438</v>
      </c>
      <c r="O1574" s="3">
        <v>0.541887371876562</v>
      </c>
      <c r="P1574" s="11">
        <f t="shared" si="246"/>
        <v>878.49136840956385</v>
      </c>
      <c r="Q1574" s="12">
        <f t="shared" si="247"/>
        <v>878.49136840956385</v>
      </c>
      <c r="R1574" s="13">
        <f t="shared" si="248"/>
        <v>564.5317523090622</v>
      </c>
      <c r="S1574" s="3" t="s">
        <v>31</v>
      </c>
      <c r="T1574" s="3" t="s">
        <v>28</v>
      </c>
      <c r="U1574" s="10">
        <v>0</v>
      </c>
      <c r="V1574" s="3">
        <v>0</v>
      </c>
      <c r="W1574" s="3">
        <f t="shared" si="249"/>
        <v>0</v>
      </c>
      <c r="AA1574" s="3">
        <v>44</v>
      </c>
    </row>
    <row r="1575" spans="1:27" x14ac:dyDescent="0.3">
      <c r="A1575" s="3" t="str">
        <f t="shared" si="240"/>
        <v>South9310019904219</v>
      </c>
      <c r="B1575" s="3" t="str">
        <f t="shared" si="241"/>
        <v>CY9310019904219</v>
      </c>
      <c r="C1575" s="10">
        <v>9310019904219</v>
      </c>
      <c r="D1575" s="10" t="str">
        <f t="shared" si="242"/>
        <v>9310019904</v>
      </c>
      <c r="E1575" s="3" t="s">
        <v>4</v>
      </c>
      <c r="F1575" s="3" t="s">
        <v>65</v>
      </c>
      <c r="H1575" s="3">
        <v>45.844500000000011</v>
      </c>
      <c r="I1575" s="10">
        <f t="shared" si="243"/>
        <v>2843.6577500578824</v>
      </c>
      <c r="J1575" s="3">
        <v>0.48364997509704022</v>
      </c>
      <c r="K1575" s="3">
        <v>0</v>
      </c>
      <c r="L1575" s="3">
        <f t="shared" si="244"/>
        <v>0</v>
      </c>
      <c r="N1575" s="11">
        <f t="shared" si="245"/>
        <v>45.360850024902973</v>
      </c>
      <c r="O1575" s="3">
        <v>0.48364997509704022</v>
      </c>
      <c r="P1575" s="11">
        <f t="shared" si="246"/>
        <v>2813.6577500578828</v>
      </c>
      <c r="Q1575" s="12">
        <f t="shared" si="247"/>
        <v>2813.6577500578824</v>
      </c>
      <c r="R1575" s="13">
        <f t="shared" si="248"/>
        <v>2628.6784222567885</v>
      </c>
      <c r="S1575" s="3" t="s">
        <v>31</v>
      </c>
      <c r="T1575" s="3" t="s">
        <v>32</v>
      </c>
      <c r="U1575" s="10">
        <v>9310019900999</v>
      </c>
      <c r="V1575" s="3">
        <v>0.1</v>
      </c>
      <c r="W1575" s="3">
        <f t="shared" si="249"/>
        <v>0</v>
      </c>
      <c r="AA1575" s="3">
        <v>44</v>
      </c>
    </row>
    <row r="1576" spans="1:27" x14ac:dyDescent="0.3">
      <c r="A1576" s="3" t="str">
        <f t="shared" si="240"/>
        <v>South9310019904839</v>
      </c>
      <c r="B1576" s="3" t="str">
        <f t="shared" si="241"/>
        <v>CY9310019904839</v>
      </c>
      <c r="C1576" s="10">
        <v>9310019904839</v>
      </c>
      <c r="D1576" s="10" t="str">
        <f t="shared" si="242"/>
        <v>9310019904</v>
      </c>
      <c r="E1576" s="3" t="s">
        <v>4</v>
      </c>
      <c r="F1576" s="3" t="s">
        <v>65</v>
      </c>
      <c r="H1576" s="3">
        <v>3.5919000000000008</v>
      </c>
      <c r="I1576" s="10">
        <f t="shared" si="243"/>
        <v>380.25153261369951</v>
      </c>
      <c r="J1576" s="3">
        <v>0.28338347319554713</v>
      </c>
      <c r="K1576" s="3">
        <v>0</v>
      </c>
      <c r="L1576" s="3">
        <f t="shared" si="244"/>
        <v>0</v>
      </c>
      <c r="N1576" s="11">
        <f t="shared" si="245"/>
        <v>3.3085165268044534</v>
      </c>
      <c r="O1576" s="3">
        <v>0.28338347319554713</v>
      </c>
      <c r="P1576" s="11">
        <f t="shared" si="246"/>
        <v>350.25153261369945</v>
      </c>
      <c r="Q1576" s="12">
        <f t="shared" si="247"/>
        <v>350.25153261369945</v>
      </c>
      <c r="R1576" s="13">
        <f t="shared" si="248"/>
        <v>1320.2160207022446</v>
      </c>
      <c r="S1576" s="3" t="s">
        <v>31</v>
      </c>
      <c r="T1576" s="3" t="s">
        <v>32</v>
      </c>
      <c r="U1576" s="10">
        <v>0</v>
      </c>
      <c r="V1576" s="3">
        <v>0</v>
      </c>
      <c r="W1576" s="3">
        <f t="shared" si="249"/>
        <v>0</v>
      </c>
      <c r="AA1576" s="3">
        <v>44</v>
      </c>
    </row>
    <row r="1577" spans="1:27" x14ac:dyDescent="0.3">
      <c r="A1577" s="3" t="str">
        <f t="shared" si="240"/>
        <v>South9330229900840</v>
      </c>
      <c r="B1577" s="3" t="str">
        <f t="shared" si="241"/>
        <v>CY9330229900840</v>
      </c>
      <c r="C1577" s="10">
        <v>9330229900840</v>
      </c>
      <c r="D1577" s="10" t="str">
        <f t="shared" si="242"/>
        <v>9330229900</v>
      </c>
      <c r="E1577" s="3" t="s">
        <v>4</v>
      </c>
      <c r="F1577" s="3" t="s">
        <v>65</v>
      </c>
      <c r="H1577" s="3">
        <v>0.77600000000000025</v>
      </c>
      <c r="I1577" s="10">
        <f t="shared" si="243"/>
        <v>93.846992744182231</v>
      </c>
      <c r="J1577" s="3">
        <v>0.24806335631296167</v>
      </c>
      <c r="K1577" s="3">
        <v>0</v>
      </c>
      <c r="L1577" s="3">
        <f t="shared" si="244"/>
        <v>0</v>
      </c>
      <c r="N1577" s="11">
        <f t="shared" si="245"/>
        <v>0.52793664368703852</v>
      </c>
      <c r="O1577" s="3">
        <v>0.24806335631296167</v>
      </c>
      <c r="P1577" s="11">
        <f t="shared" si="246"/>
        <v>63.846992744182238</v>
      </c>
      <c r="Q1577" s="12">
        <f t="shared" si="247"/>
        <v>-13.066798741625236</v>
      </c>
      <c r="R1577" s="13">
        <f t="shared" si="248"/>
        <v>33.619058544193109</v>
      </c>
      <c r="S1577" s="3" t="s">
        <v>31</v>
      </c>
      <c r="T1577" s="3" t="s">
        <v>35</v>
      </c>
      <c r="U1577" s="10">
        <v>0</v>
      </c>
      <c r="V1577" s="3">
        <v>0</v>
      </c>
      <c r="W1577" s="3">
        <f t="shared" si="249"/>
        <v>0</v>
      </c>
      <c r="AA1577" s="3">
        <v>44</v>
      </c>
    </row>
    <row r="1578" spans="1:27" x14ac:dyDescent="0.3">
      <c r="A1578" s="3" t="str">
        <f t="shared" si="240"/>
        <v>South9310019904097</v>
      </c>
      <c r="B1578" s="3" t="str">
        <f t="shared" si="241"/>
        <v>CY9310019904097</v>
      </c>
      <c r="C1578" s="10">
        <v>9310019904097</v>
      </c>
      <c r="D1578" s="10" t="str">
        <f t="shared" si="242"/>
        <v>9310019904</v>
      </c>
      <c r="E1578" s="3" t="s">
        <v>4</v>
      </c>
      <c r="F1578" s="3" t="s">
        <v>65</v>
      </c>
      <c r="H1578" s="3">
        <v>0.44947499999999996</v>
      </c>
      <c r="I1578" s="10">
        <f t="shared" si="243"/>
        <v>57.568065844244806</v>
      </c>
      <c r="J1578" s="3">
        <v>0.2342314233117152</v>
      </c>
      <c r="K1578" s="3">
        <v>0</v>
      </c>
      <c r="L1578" s="3">
        <f t="shared" si="244"/>
        <v>0</v>
      </c>
      <c r="N1578" s="11">
        <f t="shared" si="245"/>
        <v>0.21524357668828475</v>
      </c>
      <c r="O1578" s="3">
        <v>0.2342314233117152</v>
      </c>
      <c r="P1578" s="11">
        <f t="shared" si="246"/>
        <v>27.568065844244806</v>
      </c>
      <c r="Q1578" s="12">
        <f t="shared" si="247"/>
        <v>27.568065844244806</v>
      </c>
      <c r="R1578" s="13">
        <f t="shared" si="248"/>
        <v>327.66991189762103</v>
      </c>
      <c r="S1578" s="3" t="s">
        <v>31</v>
      </c>
      <c r="T1578" s="3" t="s">
        <v>32</v>
      </c>
      <c r="U1578" s="10">
        <v>0</v>
      </c>
      <c r="V1578" s="3">
        <v>0</v>
      </c>
      <c r="W1578" s="3">
        <f t="shared" si="249"/>
        <v>0</v>
      </c>
      <c r="AA1578" s="3">
        <v>44</v>
      </c>
    </row>
    <row r="1579" spans="1:27" x14ac:dyDescent="0.3">
      <c r="A1579" s="3" t="str">
        <f t="shared" si="240"/>
        <v>South9330229900210</v>
      </c>
      <c r="B1579" s="3" t="str">
        <f t="shared" si="241"/>
        <v>CY9330229900210</v>
      </c>
      <c r="C1579" s="10">
        <v>9330229900210</v>
      </c>
      <c r="D1579" s="10" t="str">
        <f t="shared" si="242"/>
        <v>9330229900</v>
      </c>
      <c r="E1579" s="3" t="s">
        <v>4</v>
      </c>
      <c r="F1579" s="3" t="s">
        <v>65</v>
      </c>
      <c r="H1579" s="3">
        <v>1.1700000000000002</v>
      </c>
      <c r="I1579" s="10">
        <f t="shared" si="243"/>
        <v>229.96671189039193</v>
      </c>
      <c r="J1579" s="3">
        <v>0.15263078604493666</v>
      </c>
      <c r="K1579" s="3">
        <v>0</v>
      </c>
      <c r="L1579" s="3">
        <f t="shared" si="244"/>
        <v>0</v>
      </c>
      <c r="N1579" s="11">
        <f t="shared" si="245"/>
        <v>1.0173692139550634</v>
      </c>
      <c r="O1579" s="3">
        <v>0.15263078604493666</v>
      </c>
      <c r="P1579" s="11">
        <f t="shared" si="246"/>
        <v>199.96671189039193</v>
      </c>
      <c r="Q1579" s="12">
        <f t="shared" si="247"/>
        <v>55.059150003184477</v>
      </c>
      <c r="R1579" s="13">
        <f t="shared" si="248"/>
        <v>127.78574888635198</v>
      </c>
      <c r="S1579" s="3" t="s">
        <v>31</v>
      </c>
      <c r="T1579" s="3" t="s">
        <v>35</v>
      </c>
      <c r="U1579" s="10">
        <v>0</v>
      </c>
      <c r="V1579" s="3">
        <v>0</v>
      </c>
      <c r="W1579" s="3">
        <f t="shared" si="249"/>
        <v>0</v>
      </c>
      <c r="AA1579" s="3">
        <v>44</v>
      </c>
    </row>
    <row r="1580" spans="1:27" x14ac:dyDescent="0.3">
      <c r="A1580" s="3" t="str">
        <f t="shared" si="240"/>
        <v>South9330209906297</v>
      </c>
      <c r="B1580" s="3" t="str">
        <f t="shared" si="241"/>
        <v>CY9330209906297</v>
      </c>
      <c r="C1580" s="10">
        <v>9330209906297</v>
      </c>
      <c r="D1580" s="10" t="str">
        <f t="shared" si="242"/>
        <v>9330209906</v>
      </c>
      <c r="E1580" s="3" t="s">
        <v>4</v>
      </c>
      <c r="F1580" s="3" t="s">
        <v>65</v>
      </c>
      <c r="H1580" s="3">
        <v>3.9097499999999994</v>
      </c>
      <c r="I1580" s="10">
        <f t="shared" si="243"/>
        <v>858.86260200005404</v>
      </c>
      <c r="J1580" s="3">
        <v>0.13656724571177986</v>
      </c>
      <c r="K1580" s="3">
        <v>0</v>
      </c>
      <c r="L1580" s="3">
        <f t="shared" si="244"/>
        <v>0</v>
      </c>
      <c r="N1580" s="11">
        <f t="shared" si="245"/>
        <v>3.7731827542882197</v>
      </c>
      <c r="O1580" s="3">
        <v>0.13656724571177986</v>
      </c>
      <c r="P1580" s="11">
        <f t="shared" si="246"/>
        <v>828.86260200005415</v>
      </c>
      <c r="Q1580" s="12">
        <f t="shared" si="247"/>
        <v>828.86260200005415</v>
      </c>
      <c r="R1580" s="13">
        <f t="shared" si="248"/>
        <v>410.83537759143599</v>
      </c>
      <c r="S1580" s="3" t="s">
        <v>31</v>
      </c>
      <c r="T1580" s="3" t="s">
        <v>35</v>
      </c>
      <c r="U1580" s="10">
        <v>9330209900999</v>
      </c>
      <c r="V1580" s="3">
        <v>0.1</v>
      </c>
      <c r="W1580" s="3">
        <f t="shared" si="249"/>
        <v>0</v>
      </c>
      <c r="AA1580" s="3">
        <v>44</v>
      </c>
    </row>
    <row r="1581" spans="1:27" x14ac:dyDescent="0.3">
      <c r="A1581" s="3" t="str">
        <f t="shared" si="240"/>
        <v>South9310049900840</v>
      </c>
      <c r="B1581" s="3" t="str">
        <f t="shared" si="241"/>
        <v>CY9310049900840</v>
      </c>
      <c r="C1581" s="10">
        <v>9310049900840</v>
      </c>
      <c r="D1581" s="10" t="str">
        <f t="shared" si="242"/>
        <v>9310049900</v>
      </c>
      <c r="E1581" s="3" t="s">
        <v>4</v>
      </c>
      <c r="F1581" s="3" t="s">
        <v>65</v>
      </c>
      <c r="H1581" s="3">
        <v>1.2960000000000007</v>
      </c>
      <c r="I1581" s="10">
        <f t="shared" si="243"/>
        <v>309.5569630603764</v>
      </c>
      <c r="J1581" s="3">
        <v>0.12559885461990664</v>
      </c>
      <c r="K1581" s="3">
        <v>0</v>
      </c>
      <c r="L1581" s="3">
        <f t="shared" si="244"/>
        <v>0</v>
      </c>
      <c r="N1581" s="11">
        <f t="shared" si="245"/>
        <v>1.170401145380094</v>
      </c>
      <c r="O1581" s="3">
        <v>0.12559885461990664</v>
      </c>
      <c r="P1581" s="11">
        <f t="shared" si="246"/>
        <v>279.55696306037635</v>
      </c>
      <c r="Q1581" s="12">
        <f t="shared" si="247"/>
        <v>279.55696306037635</v>
      </c>
      <c r="R1581" s="13">
        <f t="shared" si="248"/>
        <v>346.25931720943311</v>
      </c>
      <c r="S1581" s="3" t="s">
        <v>31</v>
      </c>
      <c r="T1581" s="3" t="s">
        <v>32</v>
      </c>
      <c r="U1581" s="10">
        <v>0</v>
      </c>
      <c r="V1581" s="3">
        <v>0</v>
      </c>
      <c r="W1581" s="3">
        <f t="shared" si="249"/>
        <v>0</v>
      </c>
      <c r="AA1581" s="3">
        <v>44</v>
      </c>
    </row>
    <row r="1582" spans="1:27" x14ac:dyDescent="0.3">
      <c r="A1582" s="3" t="str">
        <f t="shared" si="240"/>
        <v>South9310049900210</v>
      </c>
      <c r="B1582" s="3" t="str">
        <f t="shared" si="241"/>
        <v>CY9310049900210</v>
      </c>
      <c r="C1582" s="10">
        <v>9310049900210</v>
      </c>
      <c r="D1582" s="10" t="str">
        <f t="shared" si="242"/>
        <v>9310049900</v>
      </c>
      <c r="E1582" s="3" t="s">
        <v>4</v>
      </c>
      <c r="F1582" s="3" t="s">
        <v>65</v>
      </c>
      <c r="H1582" s="3">
        <v>5.8890000000000011</v>
      </c>
      <c r="I1582" s="10">
        <f t="shared" si="243"/>
        <v>1953.0807156087778</v>
      </c>
      <c r="J1582" s="3">
        <v>9.0457090988649569E-2</v>
      </c>
      <c r="K1582" s="3">
        <v>0</v>
      </c>
      <c r="L1582" s="3">
        <f t="shared" si="244"/>
        <v>0</v>
      </c>
      <c r="N1582" s="11">
        <f t="shared" si="245"/>
        <v>5.7985429090113518</v>
      </c>
      <c r="O1582" s="3">
        <v>9.0457090988649569E-2</v>
      </c>
      <c r="P1582" s="11">
        <f t="shared" si="246"/>
        <v>1923.0807156087778</v>
      </c>
      <c r="Q1582" s="12">
        <f t="shared" si="247"/>
        <v>1923.0807156087781</v>
      </c>
      <c r="R1582" s="13">
        <f t="shared" si="248"/>
        <v>2921.4982966452221</v>
      </c>
      <c r="S1582" s="3" t="s">
        <v>31</v>
      </c>
      <c r="T1582" s="3" t="s">
        <v>32</v>
      </c>
      <c r="U1582" s="10">
        <v>0</v>
      </c>
      <c r="V1582" s="3">
        <v>0</v>
      </c>
      <c r="W1582" s="3">
        <f t="shared" si="249"/>
        <v>0</v>
      </c>
      <c r="AA1582" s="3">
        <v>44</v>
      </c>
    </row>
    <row r="1583" spans="1:27" x14ac:dyDescent="0.3">
      <c r="A1583" s="3" t="str">
        <f t="shared" si="240"/>
        <v>South9420049900320</v>
      </c>
      <c r="B1583" s="3" t="str">
        <f t="shared" si="241"/>
        <v>CY9420049900320</v>
      </c>
      <c r="C1583" s="10">
        <v>9420049900320</v>
      </c>
      <c r="D1583" s="10" t="str">
        <f t="shared" si="242"/>
        <v>9420049900</v>
      </c>
      <c r="E1583" s="3" t="s">
        <v>4</v>
      </c>
      <c r="F1583" s="3" t="s">
        <v>65</v>
      </c>
      <c r="H1583" s="3">
        <v>0.96000000000000008</v>
      </c>
      <c r="I1583" s="10">
        <f t="shared" si="243"/>
        <v>735.4767763952425</v>
      </c>
      <c r="J1583" s="3">
        <v>3.9158272462600487E-2</v>
      </c>
      <c r="K1583" s="3">
        <v>0</v>
      </c>
      <c r="L1583" s="3">
        <f t="shared" si="244"/>
        <v>0</v>
      </c>
      <c r="N1583" s="11">
        <f t="shared" si="245"/>
        <v>0.92084172753739957</v>
      </c>
      <c r="O1583" s="3">
        <v>3.9158272462600487E-2</v>
      </c>
      <c r="P1583" s="11">
        <f t="shared" si="246"/>
        <v>705.4767763952425</v>
      </c>
      <c r="Q1583" s="12">
        <f t="shared" si="247"/>
        <v>-11.080777412641744</v>
      </c>
      <c r="R1583" s="13">
        <f t="shared" si="248"/>
        <v>-12.150289115008475</v>
      </c>
      <c r="S1583" s="3" t="s">
        <v>31</v>
      </c>
      <c r="T1583" s="3" t="s">
        <v>28</v>
      </c>
      <c r="U1583" s="10">
        <v>9420049900999</v>
      </c>
      <c r="V1583" s="3">
        <v>0.1</v>
      </c>
      <c r="W1583" s="3">
        <f t="shared" si="249"/>
        <v>0</v>
      </c>
      <c r="AA1583" s="3">
        <v>44</v>
      </c>
    </row>
    <row r="1584" spans="1:27" x14ac:dyDescent="0.3">
      <c r="A1584" s="3" t="str">
        <f t="shared" si="240"/>
        <v>South9310019904297</v>
      </c>
      <c r="B1584" s="3" t="str">
        <f t="shared" si="241"/>
        <v>CY9310019904297</v>
      </c>
      <c r="C1584" s="10">
        <v>9310019904297</v>
      </c>
      <c r="D1584" s="10" t="str">
        <f t="shared" si="242"/>
        <v>9310019904</v>
      </c>
      <c r="E1584" s="3" t="s">
        <v>4</v>
      </c>
      <c r="F1584" s="3" t="s">
        <v>65</v>
      </c>
      <c r="H1584" s="3">
        <v>8.4532500000000006</v>
      </c>
      <c r="I1584" s="10">
        <f t="shared" si="243"/>
        <v>7902.6432156850615</v>
      </c>
      <c r="J1584" s="3">
        <v>3.209021248696424E-2</v>
      </c>
      <c r="K1584" s="3">
        <v>0</v>
      </c>
      <c r="L1584" s="3">
        <f t="shared" si="244"/>
        <v>0</v>
      </c>
      <c r="N1584" s="11">
        <f t="shared" si="245"/>
        <v>8.4211597875130355</v>
      </c>
      <c r="O1584" s="3">
        <v>3.209021248696424E-2</v>
      </c>
      <c r="P1584" s="11">
        <f t="shared" si="246"/>
        <v>7872.6432156850615</v>
      </c>
      <c r="Q1584" s="12">
        <f t="shared" si="247"/>
        <v>7872.6432156850615</v>
      </c>
      <c r="R1584" s="13">
        <f t="shared" si="248"/>
        <v>5692.4995044516709</v>
      </c>
      <c r="S1584" s="3" t="s">
        <v>31</v>
      </c>
      <c r="T1584" s="3" t="s">
        <v>32</v>
      </c>
      <c r="U1584" s="10">
        <v>9310019900999</v>
      </c>
      <c r="V1584" s="3">
        <v>0.1</v>
      </c>
      <c r="W1584" s="3">
        <f t="shared" si="249"/>
        <v>0</v>
      </c>
      <c r="AA1584" s="3">
        <v>44</v>
      </c>
    </row>
    <row r="1585" spans="1:27" x14ac:dyDescent="0.3">
      <c r="A1585" s="3" t="str">
        <f t="shared" si="240"/>
        <v>South9420049900210</v>
      </c>
      <c r="B1585" s="3" t="str">
        <f t="shared" si="241"/>
        <v>CY9420049900210</v>
      </c>
      <c r="C1585" s="10">
        <v>9420049900210</v>
      </c>
      <c r="D1585" s="10" t="str">
        <f t="shared" si="242"/>
        <v>9420049900</v>
      </c>
      <c r="E1585" s="3" t="s">
        <v>4</v>
      </c>
      <c r="F1585" s="3" t="s">
        <v>65</v>
      </c>
      <c r="H1585" s="3">
        <v>0.27199999999999996</v>
      </c>
      <c r="I1585" s="10">
        <f t="shared" si="243"/>
        <v>378.6750244820102</v>
      </c>
      <c r="J1585" s="3">
        <v>2.1548820155652113E-2</v>
      </c>
      <c r="K1585" s="3">
        <v>0</v>
      </c>
      <c r="L1585" s="3">
        <f t="shared" si="244"/>
        <v>0</v>
      </c>
      <c r="N1585" s="11">
        <f t="shared" si="245"/>
        <v>0.25045117984434784</v>
      </c>
      <c r="O1585" s="3">
        <v>2.1548820155652113E-2</v>
      </c>
      <c r="P1585" s="11">
        <f t="shared" si="246"/>
        <v>348.6750244820102</v>
      </c>
      <c r="Q1585" s="12">
        <f t="shared" si="247"/>
        <v>124.80992080064793</v>
      </c>
      <c r="R1585" s="13">
        <f t="shared" si="248"/>
        <v>145.73828960874476</v>
      </c>
      <c r="S1585" s="3" t="s">
        <v>31</v>
      </c>
      <c r="T1585" s="3" t="s">
        <v>28</v>
      </c>
      <c r="U1585" s="10">
        <v>0</v>
      </c>
      <c r="V1585" s="3">
        <v>0</v>
      </c>
      <c r="W1585" s="3">
        <f t="shared" si="249"/>
        <v>0</v>
      </c>
      <c r="AA1585" s="3">
        <v>44</v>
      </c>
    </row>
    <row r="1586" spans="1:27" x14ac:dyDescent="0.3">
      <c r="A1586" s="3" t="str">
        <f t="shared" si="240"/>
        <v>South9160309901210</v>
      </c>
      <c r="B1586" s="3" t="str">
        <f t="shared" si="241"/>
        <v>CY9160309901210</v>
      </c>
      <c r="C1586" s="10">
        <v>9160309901210</v>
      </c>
      <c r="D1586" s="10" t="str">
        <f t="shared" si="242"/>
        <v>9160309901</v>
      </c>
      <c r="E1586" s="3" t="s">
        <v>4</v>
      </c>
      <c r="F1586" s="3" t="s">
        <v>65</v>
      </c>
      <c r="H1586" s="3">
        <v>6.9009999999999998</v>
      </c>
      <c r="I1586" s="10">
        <f t="shared" si="243"/>
        <v>0</v>
      </c>
      <c r="J1586" s="3">
        <v>0</v>
      </c>
      <c r="K1586" s="3">
        <v>0</v>
      </c>
      <c r="L1586" s="3">
        <f t="shared" si="244"/>
        <v>0</v>
      </c>
      <c r="N1586" s="11">
        <f t="shared" si="245"/>
        <v>6.9009999999999998</v>
      </c>
      <c r="O1586" s="3">
        <v>0</v>
      </c>
      <c r="P1586" s="11">
        <f t="shared" si="246"/>
        <v>9999</v>
      </c>
      <c r="Q1586" s="12">
        <f t="shared" si="247"/>
        <v>9999</v>
      </c>
      <c r="R1586" s="13">
        <f t="shared" si="248"/>
        <v>9999</v>
      </c>
      <c r="S1586" s="3" t="s">
        <v>31</v>
      </c>
      <c r="T1586" s="3" t="s">
        <v>34</v>
      </c>
      <c r="U1586" s="10">
        <v>0</v>
      </c>
      <c r="V1586" s="3">
        <v>0</v>
      </c>
      <c r="W1586" s="3">
        <f t="shared" si="249"/>
        <v>0</v>
      </c>
      <c r="AA1586" s="3">
        <v>44</v>
      </c>
    </row>
    <row r="1587" spans="1:27" x14ac:dyDescent="0.3">
      <c r="A1587" s="3" t="str">
        <f t="shared" si="240"/>
        <v>South9160709900210</v>
      </c>
      <c r="B1587" s="3" t="str">
        <f t="shared" si="241"/>
        <v>CY9160709900210</v>
      </c>
      <c r="C1587" s="10">
        <v>9160709900210</v>
      </c>
      <c r="D1587" s="10" t="str">
        <f t="shared" si="242"/>
        <v>9160709900</v>
      </c>
      <c r="E1587" s="3" t="s">
        <v>4</v>
      </c>
      <c r="F1587" s="3" t="s">
        <v>65</v>
      </c>
      <c r="H1587" s="3">
        <v>0</v>
      </c>
      <c r="I1587" s="10">
        <f t="shared" si="243"/>
        <v>0</v>
      </c>
      <c r="J1587" s="3">
        <v>0</v>
      </c>
      <c r="K1587" s="3">
        <v>0</v>
      </c>
      <c r="L1587" s="3">
        <f t="shared" si="244"/>
        <v>0</v>
      </c>
      <c r="N1587" s="11">
        <f t="shared" si="245"/>
        <v>0</v>
      </c>
      <c r="O1587" s="3">
        <v>0</v>
      </c>
      <c r="P1587" s="11">
        <f t="shared" si="246"/>
        <v>9999</v>
      </c>
      <c r="Q1587" s="12">
        <f t="shared" si="247"/>
        <v>9999</v>
      </c>
      <c r="R1587" s="13">
        <f t="shared" si="248"/>
        <v>9999</v>
      </c>
      <c r="S1587" s="3" t="s">
        <v>31</v>
      </c>
      <c r="T1587" s="3" t="s">
        <v>34</v>
      </c>
      <c r="U1587" s="10" t="s">
        <v>72</v>
      </c>
      <c r="V1587" s="3" t="s">
        <v>72</v>
      </c>
      <c r="W1587" s="3">
        <f t="shared" si="249"/>
        <v>0</v>
      </c>
      <c r="AA1587" s="3">
        <v>44</v>
      </c>
    </row>
    <row r="1588" spans="1:27" x14ac:dyDescent="0.3">
      <c r="A1588" s="3" t="str">
        <f t="shared" si="240"/>
        <v>South9420049900310</v>
      </c>
      <c r="B1588" s="3" t="str">
        <f t="shared" si="241"/>
        <v>CY9420049900310</v>
      </c>
      <c r="C1588" s="10">
        <v>9420049900310</v>
      </c>
      <c r="D1588" s="10" t="str">
        <f t="shared" si="242"/>
        <v>9420049900</v>
      </c>
      <c r="E1588" s="3" t="s">
        <v>4</v>
      </c>
      <c r="F1588" s="3" t="s">
        <v>65</v>
      </c>
      <c r="H1588" s="3">
        <v>0.36</v>
      </c>
      <c r="I1588" s="10">
        <f t="shared" si="243"/>
        <v>0</v>
      </c>
      <c r="J1588" s="3">
        <v>0</v>
      </c>
      <c r="K1588" s="3">
        <v>0</v>
      </c>
      <c r="L1588" s="3">
        <f t="shared" si="244"/>
        <v>0</v>
      </c>
      <c r="N1588" s="11">
        <f t="shared" si="245"/>
        <v>0.36</v>
      </c>
      <c r="O1588" s="3">
        <v>0</v>
      </c>
      <c r="P1588" s="11">
        <f t="shared" si="246"/>
        <v>9999</v>
      </c>
      <c r="Q1588" s="12">
        <f t="shared" si="247"/>
        <v>15.412117332558614</v>
      </c>
      <c r="R1588" s="13">
        <f t="shared" si="248"/>
        <v>92.642613835035363</v>
      </c>
      <c r="S1588" s="3" t="s">
        <v>31</v>
      </c>
      <c r="T1588" s="3" t="s">
        <v>28</v>
      </c>
      <c r="U1588" s="10">
        <v>9420049900999</v>
      </c>
      <c r="V1588" s="3">
        <v>0.1</v>
      </c>
      <c r="W1588" s="3">
        <f t="shared" si="249"/>
        <v>0</v>
      </c>
      <c r="AA1588" s="3">
        <v>44</v>
      </c>
    </row>
    <row r="1589" spans="1:27" x14ac:dyDescent="0.3">
      <c r="A1589" s="3" t="str">
        <f t="shared" si="240"/>
        <v>South9420049900840</v>
      </c>
      <c r="B1589" s="3" t="str">
        <f t="shared" si="241"/>
        <v>CY9420049900840</v>
      </c>
      <c r="C1589" s="10">
        <v>9420049900840</v>
      </c>
      <c r="D1589" s="10" t="str">
        <f t="shared" si="242"/>
        <v>9420049900</v>
      </c>
      <c r="E1589" s="3" t="s">
        <v>4</v>
      </c>
      <c r="F1589" s="3" t="s">
        <v>65</v>
      </c>
      <c r="H1589" s="3">
        <v>0.28800000000000009</v>
      </c>
      <c r="I1589" s="10">
        <f t="shared" si="243"/>
        <v>0</v>
      </c>
      <c r="J1589" s="3">
        <v>0</v>
      </c>
      <c r="K1589" s="3">
        <v>0</v>
      </c>
      <c r="L1589" s="3">
        <f t="shared" si="244"/>
        <v>0</v>
      </c>
      <c r="N1589" s="11">
        <f t="shared" si="245"/>
        <v>0.28800000000000009</v>
      </c>
      <c r="O1589" s="3">
        <v>0</v>
      </c>
      <c r="P1589" s="11">
        <f t="shared" si="246"/>
        <v>9999</v>
      </c>
      <c r="Q1589" s="12">
        <f t="shared" si="247"/>
        <v>80.421274932819514</v>
      </c>
      <c r="R1589" s="13">
        <f t="shared" si="248"/>
        <v>167.18429092706845</v>
      </c>
      <c r="S1589" s="3" t="s">
        <v>31</v>
      </c>
      <c r="T1589" s="3" t="s">
        <v>28</v>
      </c>
      <c r="U1589" s="10">
        <v>0</v>
      </c>
      <c r="V1589" s="3">
        <v>0</v>
      </c>
      <c r="W1589" s="3">
        <f t="shared" si="249"/>
        <v>0</v>
      </c>
      <c r="AA1589" s="3">
        <v>44</v>
      </c>
    </row>
    <row r="1590" spans="1:27" x14ac:dyDescent="0.3">
      <c r="A1590" s="3" t="str">
        <f t="shared" si="240"/>
        <v>South9432019901320</v>
      </c>
      <c r="B1590" s="3" t="str">
        <f t="shared" si="241"/>
        <v>CMR9432019901320</v>
      </c>
      <c r="C1590" s="10">
        <v>9432019901320</v>
      </c>
      <c r="D1590" s="10" t="str">
        <f t="shared" si="242"/>
        <v>9432019901</v>
      </c>
      <c r="E1590" s="3" t="s">
        <v>5</v>
      </c>
      <c r="F1590" s="3" t="s">
        <v>65</v>
      </c>
      <c r="H1590" s="3">
        <v>27.580000000000002</v>
      </c>
      <c r="I1590" s="10">
        <f t="shared" si="243"/>
        <v>22.829699421946902</v>
      </c>
      <c r="J1590" s="3">
        <v>36.24226428511777</v>
      </c>
      <c r="K1590" s="3">
        <v>66</v>
      </c>
      <c r="L1590" s="3">
        <f t="shared" si="244"/>
        <v>0</v>
      </c>
      <c r="N1590" s="11">
        <f t="shared" si="245"/>
        <v>-8.662264285117768</v>
      </c>
      <c r="O1590" s="3">
        <v>36.24226428511777</v>
      </c>
      <c r="P1590" s="11">
        <f t="shared" si="246"/>
        <v>-7.1703005780530962</v>
      </c>
      <c r="Q1590" s="12">
        <f t="shared" si="247"/>
        <v>-1.9830891374604698</v>
      </c>
      <c r="R1590" s="13">
        <f t="shared" si="248"/>
        <v>3.7792537227451724</v>
      </c>
      <c r="S1590" s="3" t="s">
        <v>29</v>
      </c>
      <c r="T1590" s="3" t="s">
        <v>35</v>
      </c>
      <c r="U1590" s="10">
        <v>9432019900999</v>
      </c>
      <c r="V1590" s="3">
        <v>0.1</v>
      </c>
      <c r="W1590" s="3">
        <f t="shared" si="249"/>
        <v>6.6000000000000005</v>
      </c>
      <c r="AA1590" s="3">
        <v>44</v>
      </c>
    </row>
    <row r="1591" spans="1:27" x14ac:dyDescent="0.3">
      <c r="A1591" s="3" t="str">
        <f t="shared" si="240"/>
        <v>South9432019901310</v>
      </c>
      <c r="B1591" s="3" t="str">
        <f t="shared" si="241"/>
        <v>CMR9432019901310</v>
      </c>
      <c r="C1591" s="10">
        <v>9432019901310</v>
      </c>
      <c r="D1591" s="10" t="str">
        <f t="shared" si="242"/>
        <v>9432019901</v>
      </c>
      <c r="E1591" s="3" t="s">
        <v>5</v>
      </c>
      <c r="F1591" s="3" t="s">
        <v>65</v>
      </c>
      <c r="H1591" s="3">
        <v>25.630000000000003</v>
      </c>
      <c r="I1591" s="10">
        <f t="shared" si="243"/>
        <v>45.976360771572899</v>
      </c>
      <c r="J1591" s="3">
        <v>16.723811695757561</v>
      </c>
      <c r="K1591" s="3">
        <v>0</v>
      </c>
      <c r="L1591" s="3">
        <f t="shared" si="244"/>
        <v>0</v>
      </c>
      <c r="N1591" s="11">
        <f t="shared" si="245"/>
        <v>8.9061883042424412</v>
      </c>
      <c r="O1591" s="3">
        <v>16.723811695757561</v>
      </c>
      <c r="P1591" s="11">
        <f t="shared" si="246"/>
        <v>15.976360771572905</v>
      </c>
      <c r="Q1591" s="12">
        <f t="shared" si="247"/>
        <v>9.1874954675189535</v>
      </c>
      <c r="R1591" s="13">
        <f t="shared" si="248"/>
        <v>9.7787517796553676</v>
      </c>
      <c r="S1591" s="3" t="s">
        <v>29</v>
      </c>
      <c r="T1591" s="3" t="s">
        <v>35</v>
      </c>
      <c r="U1591" s="10">
        <v>9432019900999</v>
      </c>
      <c r="V1591" s="3">
        <v>0.1</v>
      </c>
      <c r="W1591" s="3">
        <f t="shared" si="249"/>
        <v>0</v>
      </c>
      <c r="AA1591" s="3">
        <v>44</v>
      </c>
    </row>
    <row r="1592" spans="1:27" x14ac:dyDescent="0.3">
      <c r="A1592" s="3" t="str">
        <f t="shared" si="240"/>
        <v>South9432019900320</v>
      </c>
      <c r="B1592" s="3" t="str">
        <f t="shared" si="241"/>
        <v>CMR9432019900320</v>
      </c>
      <c r="C1592" s="10">
        <v>9432019900320</v>
      </c>
      <c r="D1592" s="10" t="str">
        <f t="shared" si="242"/>
        <v>9432019900</v>
      </c>
      <c r="E1592" s="3" t="s">
        <v>5</v>
      </c>
      <c r="F1592" s="3" t="s">
        <v>65</v>
      </c>
      <c r="H1592" s="3">
        <v>24.62</v>
      </c>
      <c r="I1592" s="10">
        <f t="shared" si="243"/>
        <v>61.666699726008126</v>
      </c>
      <c r="J1592" s="3">
        <v>11.977290876302451</v>
      </c>
      <c r="K1592" s="3">
        <v>0</v>
      </c>
      <c r="L1592" s="3">
        <f t="shared" si="244"/>
        <v>0</v>
      </c>
      <c r="N1592" s="11">
        <f t="shared" si="245"/>
        <v>12.64270912369755</v>
      </c>
      <c r="O1592" s="3">
        <v>11.977290876302451</v>
      </c>
      <c r="P1592" s="11">
        <f t="shared" si="246"/>
        <v>31.666699726008133</v>
      </c>
      <c r="Q1592" s="12">
        <f t="shared" si="247"/>
        <v>30.00519582231772</v>
      </c>
      <c r="R1592" s="13">
        <f t="shared" si="248"/>
        <v>27.973265276899198</v>
      </c>
      <c r="S1592" s="3" t="s">
        <v>29</v>
      </c>
      <c r="T1592" s="3" t="s">
        <v>35</v>
      </c>
      <c r="U1592" s="10">
        <v>9432019900999</v>
      </c>
      <c r="V1592" s="3">
        <v>0.1</v>
      </c>
      <c r="W1592" s="3">
        <f t="shared" si="249"/>
        <v>0</v>
      </c>
      <c r="AA1592" s="3">
        <v>44</v>
      </c>
    </row>
    <row r="1593" spans="1:27" x14ac:dyDescent="0.3">
      <c r="A1593" s="3" t="str">
        <f t="shared" si="240"/>
        <v>South9432019901840</v>
      </c>
      <c r="B1593" s="3" t="str">
        <f t="shared" si="241"/>
        <v>CMR9432019901840</v>
      </c>
      <c r="C1593" s="10">
        <v>9432019901840</v>
      </c>
      <c r="D1593" s="10" t="str">
        <f t="shared" si="242"/>
        <v>9432019901</v>
      </c>
      <c r="E1593" s="3" t="s">
        <v>5</v>
      </c>
      <c r="F1593" s="3" t="s">
        <v>65</v>
      </c>
      <c r="H1593" s="3">
        <v>6.7440000000000007</v>
      </c>
      <c r="I1593" s="10">
        <f t="shared" si="243"/>
        <v>24.246369485925019</v>
      </c>
      <c r="J1593" s="3">
        <v>8.3443420309769039</v>
      </c>
      <c r="K1593" s="3">
        <v>0</v>
      </c>
      <c r="L1593" s="3">
        <f t="shared" si="244"/>
        <v>0</v>
      </c>
      <c r="N1593" s="11">
        <f t="shared" si="245"/>
        <v>-1.6003420309769032</v>
      </c>
      <c r="O1593" s="3">
        <v>8.3443420309769039</v>
      </c>
      <c r="P1593" s="11">
        <f t="shared" si="246"/>
        <v>-5.7536305140749793</v>
      </c>
      <c r="Q1593" s="12">
        <f t="shared" si="247"/>
        <v>-7.19097875873788</v>
      </c>
      <c r="R1593" s="13">
        <f t="shared" si="248"/>
        <v>4.9551947325973327</v>
      </c>
      <c r="S1593" s="3" t="s">
        <v>30</v>
      </c>
      <c r="T1593" s="3" t="s">
        <v>35</v>
      </c>
      <c r="U1593" s="10">
        <v>0</v>
      </c>
      <c r="V1593" s="3">
        <v>0</v>
      </c>
      <c r="W1593" s="3">
        <f t="shared" si="249"/>
        <v>0</v>
      </c>
      <c r="AA1593" s="3">
        <v>44</v>
      </c>
    </row>
    <row r="1594" spans="1:27" x14ac:dyDescent="0.3">
      <c r="A1594" s="3" t="str">
        <f t="shared" si="240"/>
        <v>South9432019900310</v>
      </c>
      <c r="B1594" s="3" t="str">
        <f t="shared" si="241"/>
        <v>CMR9432019900310</v>
      </c>
      <c r="C1594" s="10">
        <v>9432019900310</v>
      </c>
      <c r="D1594" s="10" t="str">
        <f t="shared" si="242"/>
        <v>9432019900</v>
      </c>
      <c r="E1594" s="3" t="s">
        <v>5</v>
      </c>
      <c r="F1594" s="3" t="s">
        <v>65</v>
      </c>
      <c r="H1594" s="3">
        <v>13.68</v>
      </c>
      <c r="I1594" s="10">
        <f t="shared" si="243"/>
        <v>95.800995682936858</v>
      </c>
      <c r="J1594" s="3">
        <v>4.2838803195559736</v>
      </c>
      <c r="K1594" s="3">
        <v>0</v>
      </c>
      <c r="L1594" s="3">
        <f t="shared" si="244"/>
        <v>0</v>
      </c>
      <c r="N1594" s="11">
        <f t="shared" si="245"/>
        <v>9.396119680444027</v>
      </c>
      <c r="O1594" s="3">
        <v>4.2838803195559736</v>
      </c>
      <c r="P1594" s="11">
        <f t="shared" si="246"/>
        <v>65.800995682936858</v>
      </c>
      <c r="Q1594" s="12">
        <f t="shared" si="247"/>
        <v>53.374737691069733</v>
      </c>
      <c r="R1594" s="13">
        <f t="shared" si="248"/>
        <v>27.317568745609034</v>
      </c>
      <c r="S1594" s="3" t="s">
        <v>30</v>
      </c>
      <c r="T1594" s="3" t="s">
        <v>35</v>
      </c>
      <c r="U1594" s="10">
        <v>9432019900999</v>
      </c>
      <c r="V1594" s="3">
        <v>0.1</v>
      </c>
      <c r="W1594" s="3">
        <f t="shared" si="249"/>
        <v>0</v>
      </c>
      <c r="AA1594" s="3">
        <v>44</v>
      </c>
    </row>
    <row r="1595" spans="1:27" x14ac:dyDescent="0.3">
      <c r="A1595" s="3" t="str">
        <f t="shared" si="240"/>
        <v>South9432019901210</v>
      </c>
      <c r="B1595" s="3" t="str">
        <f t="shared" si="241"/>
        <v>CMR9432019901210</v>
      </c>
      <c r="C1595" s="10">
        <v>9432019901210</v>
      </c>
      <c r="D1595" s="10" t="str">
        <f t="shared" si="242"/>
        <v>9432019901</v>
      </c>
      <c r="E1595" s="3" t="s">
        <v>5</v>
      </c>
      <c r="F1595" s="3" t="s">
        <v>65</v>
      </c>
      <c r="H1595" s="3">
        <v>10.962</v>
      </c>
      <c r="I1595" s="10">
        <f t="shared" si="243"/>
        <v>103.52772820652081</v>
      </c>
      <c r="J1595" s="3">
        <v>3.1765402921232693</v>
      </c>
      <c r="K1595" s="3">
        <v>0</v>
      </c>
      <c r="L1595" s="3">
        <f t="shared" si="244"/>
        <v>0</v>
      </c>
      <c r="N1595" s="11">
        <f t="shared" si="245"/>
        <v>7.7854597078767309</v>
      </c>
      <c r="O1595" s="3">
        <v>3.1765402921232693</v>
      </c>
      <c r="P1595" s="11">
        <f t="shared" si="246"/>
        <v>73.527728206520806</v>
      </c>
      <c r="Q1595" s="12">
        <f t="shared" si="247"/>
        <v>30.706278515346867</v>
      </c>
      <c r="R1595" s="13">
        <f t="shared" si="248"/>
        <v>24.563491916296034</v>
      </c>
      <c r="S1595" s="3" t="s">
        <v>30</v>
      </c>
      <c r="T1595" s="3" t="s">
        <v>35</v>
      </c>
      <c r="U1595" s="10">
        <v>0</v>
      </c>
      <c r="V1595" s="3">
        <v>0</v>
      </c>
      <c r="W1595" s="3">
        <f t="shared" si="249"/>
        <v>0</v>
      </c>
      <c r="AA1595" s="3">
        <v>44</v>
      </c>
    </row>
    <row r="1596" spans="1:27" x14ac:dyDescent="0.3">
      <c r="A1596" s="3" t="str">
        <f t="shared" si="240"/>
        <v>South9432019900840</v>
      </c>
      <c r="B1596" s="3" t="str">
        <f t="shared" si="241"/>
        <v>CMR9432019900840</v>
      </c>
      <c r="C1596" s="10">
        <v>9432019900840</v>
      </c>
      <c r="D1596" s="10" t="str">
        <f t="shared" si="242"/>
        <v>9432019900</v>
      </c>
      <c r="E1596" s="3" t="s">
        <v>5</v>
      </c>
      <c r="F1596" s="3" t="s">
        <v>65</v>
      </c>
      <c r="H1596" s="3">
        <v>1.8160000000000007</v>
      </c>
      <c r="I1596" s="10">
        <f t="shared" si="243"/>
        <v>41.394125982422722</v>
      </c>
      <c r="J1596" s="3">
        <v>1.3161287672346067</v>
      </c>
      <c r="K1596" s="3">
        <v>0</v>
      </c>
      <c r="L1596" s="3">
        <f t="shared" si="244"/>
        <v>0</v>
      </c>
      <c r="N1596" s="11">
        <f t="shared" si="245"/>
        <v>0.49987123276539402</v>
      </c>
      <c r="O1596" s="3">
        <v>1.3161287672346067</v>
      </c>
      <c r="P1596" s="11">
        <f t="shared" si="246"/>
        <v>11.394125982422723</v>
      </c>
      <c r="Q1596" s="12">
        <f t="shared" si="247"/>
        <v>18.086713659666046</v>
      </c>
      <c r="R1596" s="13">
        <f t="shared" si="248"/>
        <v>20.92521076025448</v>
      </c>
      <c r="S1596" s="3" t="s">
        <v>31</v>
      </c>
      <c r="T1596" s="3" t="s">
        <v>35</v>
      </c>
      <c r="U1596" s="10">
        <v>0</v>
      </c>
      <c r="V1596" s="3">
        <v>0</v>
      </c>
      <c r="W1596" s="3">
        <f t="shared" si="249"/>
        <v>0</v>
      </c>
      <c r="AA1596" s="3">
        <v>44</v>
      </c>
    </row>
    <row r="1597" spans="1:27" x14ac:dyDescent="0.3">
      <c r="A1597" s="3" t="str">
        <f t="shared" si="240"/>
        <v>South9432019902838</v>
      </c>
      <c r="B1597" s="3" t="str">
        <f t="shared" si="241"/>
        <v>CMR9432019902838</v>
      </c>
      <c r="C1597" s="10">
        <v>9432019902838</v>
      </c>
      <c r="D1597" s="10" t="str">
        <f t="shared" si="242"/>
        <v>9432019902</v>
      </c>
      <c r="E1597" s="3" t="s">
        <v>5</v>
      </c>
      <c r="F1597" s="3" t="s">
        <v>65</v>
      </c>
      <c r="H1597" s="3">
        <v>1.3680000000000001</v>
      </c>
      <c r="I1597" s="10">
        <f t="shared" si="243"/>
        <v>39.068271084501859</v>
      </c>
      <c r="J1597" s="3">
        <v>1.0504688039876</v>
      </c>
      <c r="K1597" s="3">
        <v>0</v>
      </c>
      <c r="L1597" s="3">
        <f t="shared" si="244"/>
        <v>0</v>
      </c>
      <c r="N1597" s="11">
        <f t="shared" si="245"/>
        <v>0.3175311960124001</v>
      </c>
      <c r="O1597" s="3">
        <v>1.0504688039876</v>
      </c>
      <c r="P1597" s="11">
        <f t="shared" si="246"/>
        <v>9.068271084501859</v>
      </c>
      <c r="Q1597" s="12">
        <f t="shared" si="247"/>
        <v>10.377588383188709</v>
      </c>
      <c r="R1597" s="13">
        <f t="shared" si="248"/>
        <v>34.337624916396607</v>
      </c>
      <c r="S1597" s="3" t="s">
        <v>31</v>
      </c>
      <c r="T1597" s="3" t="s">
        <v>35</v>
      </c>
      <c r="U1597" s="10">
        <v>0</v>
      </c>
      <c r="V1597" s="3">
        <v>0</v>
      </c>
      <c r="W1597" s="3">
        <f t="shared" si="249"/>
        <v>0</v>
      </c>
      <c r="AA1597" s="3">
        <v>44</v>
      </c>
    </row>
    <row r="1598" spans="1:27" x14ac:dyDescent="0.3">
      <c r="A1598" s="3" t="str">
        <f t="shared" si="240"/>
        <v>South9432019902195</v>
      </c>
      <c r="B1598" s="3" t="str">
        <f t="shared" si="241"/>
        <v>CMR9432019902195</v>
      </c>
      <c r="C1598" s="10">
        <v>9432019902195</v>
      </c>
      <c r="D1598" s="10" t="str">
        <f t="shared" si="242"/>
        <v>9432019902</v>
      </c>
      <c r="E1598" s="3" t="s">
        <v>5</v>
      </c>
      <c r="F1598" s="3" t="s">
        <v>65</v>
      </c>
      <c r="H1598" s="3">
        <v>0.51300000000000001</v>
      </c>
      <c r="I1598" s="10">
        <f t="shared" si="243"/>
        <v>20.359291477100431</v>
      </c>
      <c r="J1598" s="3">
        <v>0.75592021546084975</v>
      </c>
      <c r="K1598" s="3">
        <v>0</v>
      </c>
      <c r="L1598" s="3">
        <f t="shared" si="244"/>
        <v>0</v>
      </c>
      <c r="N1598" s="11">
        <f t="shared" si="245"/>
        <v>-0.24292021546084974</v>
      </c>
      <c r="O1598" s="3">
        <v>0.75592021546084975</v>
      </c>
      <c r="P1598" s="11">
        <f t="shared" si="246"/>
        <v>-9.640708522899569</v>
      </c>
      <c r="Q1598" s="12">
        <f t="shared" si="247"/>
        <v>-6.7384974132123574</v>
      </c>
      <c r="R1598" s="13">
        <f t="shared" si="248"/>
        <v>-4.5391497566448349</v>
      </c>
      <c r="S1598" s="3" t="s">
        <v>31</v>
      </c>
      <c r="T1598" s="3" t="s">
        <v>35</v>
      </c>
      <c r="U1598" s="10">
        <v>0</v>
      </c>
      <c r="V1598" s="3">
        <v>0</v>
      </c>
      <c r="W1598" s="3">
        <f t="shared" si="249"/>
        <v>0</v>
      </c>
      <c r="AA1598" s="3">
        <v>44</v>
      </c>
    </row>
    <row r="1599" spans="1:27" x14ac:dyDescent="0.3">
      <c r="A1599" s="3" t="str">
        <f t="shared" si="240"/>
        <v>South9432019902295</v>
      </c>
      <c r="B1599" s="3" t="str">
        <f t="shared" si="241"/>
        <v>CMR9432019902295</v>
      </c>
      <c r="C1599" s="10">
        <v>9432019902295</v>
      </c>
      <c r="D1599" s="10" t="str">
        <f t="shared" si="242"/>
        <v>9432019902</v>
      </c>
      <c r="E1599" s="3" t="s">
        <v>5</v>
      </c>
      <c r="F1599" s="3" t="s">
        <v>65</v>
      </c>
      <c r="H1599" s="3">
        <v>0.79800000000000004</v>
      </c>
      <c r="I1599" s="10">
        <f t="shared" si="243"/>
        <v>52.104053453016306</v>
      </c>
      <c r="J1599" s="3">
        <v>0.4594652126554295</v>
      </c>
      <c r="K1599" s="3">
        <v>0</v>
      </c>
      <c r="L1599" s="3">
        <f t="shared" si="244"/>
        <v>0</v>
      </c>
      <c r="N1599" s="11">
        <f t="shared" si="245"/>
        <v>0.33853478734457054</v>
      </c>
      <c r="O1599" s="3">
        <v>0.4594652126554295</v>
      </c>
      <c r="P1599" s="11">
        <f t="shared" si="246"/>
        <v>22.104053453016302</v>
      </c>
      <c r="Q1599" s="12">
        <f t="shared" si="247"/>
        <v>28.179052934242712</v>
      </c>
      <c r="R1599" s="13">
        <f t="shared" si="248"/>
        <v>48.704698711521544</v>
      </c>
      <c r="S1599" s="3" t="s">
        <v>31</v>
      </c>
      <c r="T1599" s="3" t="s">
        <v>35</v>
      </c>
      <c r="U1599" s="10">
        <v>9432019900999</v>
      </c>
      <c r="V1599" s="3">
        <v>0.1</v>
      </c>
      <c r="W1599" s="3">
        <f t="shared" si="249"/>
        <v>0</v>
      </c>
      <c r="AA1599" s="3">
        <v>44</v>
      </c>
    </row>
    <row r="1600" spans="1:27" x14ac:dyDescent="0.3">
      <c r="A1600" s="3" t="str">
        <f t="shared" si="240"/>
        <v>South9432019902319</v>
      </c>
      <c r="B1600" s="3" t="str">
        <f t="shared" si="241"/>
        <v>CMR9432019902319</v>
      </c>
      <c r="C1600" s="10">
        <v>9432019902319</v>
      </c>
      <c r="D1600" s="10" t="str">
        <f t="shared" si="242"/>
        <v>9432019902</v>
      </c>
      <c r="E1600" s="3" t="s">
        <v>5</v>
      </c>
      <c r="F1600" s="3" t="s">
        <v>65</v>
      </c>
      <c r="H1600" s="3">
        <v>1.9570000000000003</v>
      </c>
      <c r="I1600" s="10">
        <f t="shared" si="243"/>
        <v>165.39025230119</v>
      </c>
      <c r="J1600" s="3">
        <v>0.35497859869688086</v>
      </c>
      <c r="K1600" s="3">
        <v>0</v>
      </c>
      <c r="L1600" s="3">
        <f t="shared" si="244"/>
        <v>0</v>
      </c>
      <c r="N1600" s="11">
        <f t="shared" si="245"/>
        <v>1.6020214013031193</v>
      </c>
      <c r="O1600" s="3">
        <v>0.35497859869688086</v>
      </c>
      <c r="P1600" s="11">
        <f t="shared" si="246"/>
        <v>135.39025230119</v>
      </c>
      <c r="Q1600" s="12">
        <f t="shared" si="247"/>
        <v>57.61998660299524</v>
      </c>
      <c r="R1600" s="13">
        <f t="shared" si="248"/>
        <v>47.124925459328132</v>
      </c>
      <c r="S1600" s="3" t="s">
        <v>31</v>
      </c>
      <c r="T1600" s="3" t="s">
        <v>35</v>
      </c>
      <c r="U1600" s="10">
        <v>9432019900999</v>
      </c>
      <c r="V1600" s="3">
        <v>0.1</v>
      </c>
      <c r="W1600" s="3">
        <f t="shared" si="249"/>
        <v>0</v>
      </c>
      <c r="AA1600" s="3">
        <v>44</v>
      </c>
    </row>
    <row r="1601" spans="1:27" x14ac:dyDescent="0.3">
      <c r="A1601" s="3" t="str">
        <f t="shared" si="240"/>
        <v>South9432019900210</v>
      </c>
      <c r="B1601" s="3" t="str">
        <f t="shared" si="241"/>
        <v>CMR9432019900210</v>
      </c>
      <c r="C1601" s="10">
        <v>9432019900210</v>
      </c>
      <c r="D1601" s="10" t="str">
        <f t="shared" si="242"/>
        <v>9432019900</v>
      </c>
      <c r="E1601" s="3" t="s">
        <v>5</v>
      </c>
      <c r="F1601" s="3" t="s">
        <v>65</v>
      </c>
      <c r="H1601" s="3">
        <v>0.17200000000000001</v>
      </c>
      <c r="I1601" s="10">
        <f t="shared" si="243"/>
        <v>14.62829904396146</v>
      </c>
      <c r="J1601" s="3">
        <v>0.3527409430510679</v>
      </c>
      <c r="K1601" s="3">
        <v>0</v>
      </c>
      <c r="L1601" s="3">
        <f t="shared" si="244"/>
        <v>0</v>
      </c>
      <c r="N1601" s="11">
        <f t="shared" si="245"/>
        <v>-0.18074094305106789</v>
      </c>
      <c r="O1601" s="3">
        <v>0.3527409430510679</v>
      </c>
      <c r="P1601" s="11">
        <f t="shared" si="246"/>
        <v>-15.371700956038538</v>
      </c>
      <c r="Q1601" s="12">
        <f t="shared" si="247"/>
        <v>-7.1297818243710553</v>
      </c>
      <c r="R1601" s="13">
        <f t="shared" si="248"/>
        <v>0.18903672404124577</v>
      </c>
      <c r="S1601" s="3" t="s">
        <v>31</v>
      </c>
      <c r="T1601" s="3" t="s">
        <v>35</v>
      </c>
      <c r="U1601" s="10">
        <v>0</v>
      </c>
      <c r="V1601" s="3">
        <v>0</v>
      </c>
      <c r="W1601" s="3">
        <f t="shared" si="249"/>
        <v>0</v>
      </c>
      <c r="AA1601" s="3">
        <v>44</v>
      </c>
    </row>
    <row r="1602" spans="1:27" x14ac:dyDescent="0.3">
      <c r="A1602" s="3" t="str">
        <f t="shared" si="240"/>
        <v>East9330209900320</v>
      </c>
      <c r="B1602" s="3" t="str">
        <f t="shared" si="241"/>
        <v>KGP9330209900320</v>
      </c>
      <c r="C1602" s="10">
        <v>9330209900320</v>
      </c>
      <c r="D1602" s="10" t="str">
        <f t="shared" si="242"/>
        <v>9330209900</v>
      </c>
      <c r="E1602" s="3" t="s">
        <v>6</v>
      </c>
      <c r="F1602" s="3" t="s">
        <v>66</v>
      </c>
      <c r="H1602" s="3">
        <v>23.059999999999995</v>
      </c>
      <c r="I1602" s="10">
        <f t="shared" si="243"/>
        <v>33.851350249009947</v>
      </c>
      <c r="J1602" s="3">
        <v>20.436407851123548</v>
      </c>
      <c r="K1602" s="3">
        <v>44</v>
      </c>
      <c r="L1602" s="3">
        <f t="shared" si="244"/>
        <v>0</v>
      </c>
      <c r="N1602" s="11">
        <f t="shared" si="245"/>
        <v>2.6235921488764475</v>
      </c>
      <c r="O1602" s="3">
        <v>20.436407851123548</v>
      </c>
      <c r="P1602" s="11">
        <f t="shared" si="246"/>
        <v>3.8513502490099429</v>
      </c>
      <c r="Q1602" s="12">
        <f t="shared" si="247"/>
        <v>3.8513502490099429</v>
      </c>
      <c r="R1602" s="13">
        <f t="shared" si="248"/>
        <v>-3.5893160099336039</v>
      </c>
      <c r="S1602" s="3" t="s">
        <v>29</v>
      </c>
      <c r="T1602" s="3" t="s">
        <v>35</v>
      </c>
      <c r="U1602" s="10">
        <v>9330209900999</v>
      </c>
      <c r="V1602" s="3">
        <v>0.1</v>
      </c>
      <c r="W1602" s="3">
        <f t="shared" si="249"/>
        <v>4.4000000000000004</v>
      </c>
      <c r="AA1602" s="3">
        <v>44</v>
      </c>
    </row>
    <row r="1603" spans="1:27" x14ac:dyDescent="0.3">
      <c r="A1603" s="3" t="str">
        <f t="shared" si="240"/>
        <v>East9330209905219</v>
      </c>
      <c r="B1603" s="3" t="str">
        <f t="shared" si="241"/>
        <v>KGP9330209905219</v>
      </c>
      <c r="C1603" s="10">
        <v>9330209905219</v>
      </c>
      <c r="D1603" s="10" t="str">
        <f t="shared" si="242"/>
        <v>9330209905</v>
      </c>
      <c r="E1603" s="3" t="s">
        <v>6</v>
      </c>
      <c r="F1603" s="3" t="s">
        <v>66</v>
      </c>
      <c r="H1603" s="3">
        <v>61.171500000000009</v>
      </c>
      <c r="I1603" s="10">
        <f t="shared" si="243"/>
        <v>96.526198579595302</v>
      </c>
      <c r="J1603" s="3">
        <v>19.011885135896485</v>
      </c>
      <c r="K1603" s="3">
        <v>0</v>
      </c>
      <c r="L1603" s="3">
        <f t="shared" si="244"/>
        <v>0</v>
      </c>
      <c r="N1603" s="11">
        <f t="shared" si="245"/>
        <v>42.159614864103524</v>
      </c>
      <c r="O1603" s="3">
        <v>19.011885135896485</v>
      </c>
      <c r="P1603" s="11">
        <f t="shared" si="246"/>
        <v>66.526198579595302</v>
      </c>
      <c r="Q1603" s="12">
        <f t="shared" si="247"/>
        <v>66.526198579595302</v>
      </c>
      <c r="R1603" s="13">
        <f t="shared" si="248"/>
        <v>59.056908514868326</v>
      </c>
      <c r="S1603" s="3" t="s">
        <v>30</v>
      </c>
      <c r="T1603" s="3" t="s">
        <v>35</v>
      </c>
      <c r="U1603" s="10">
        <v>9330209900999</v>
      </c>
      <c r="V1603" s="3">
        <v>0.1</v>
      </c>
      <c r="W1603" s="3">
        <f t="shared" si="249"/>
        <v>0</v>
      </c>
      <c r="AA1603" s="3">
        <v>44</v>
      </c>
    </row>
    <row r="1604" spans="1:27" x14ac:dyDescent="0.3">
      <c r="A1604" s="3" t="str">
        <f t="shared" ref="A1604:A1667" si="250">_xlfn.CONCAT(F1604,C1604)</f>
        <v>East9330229900320</v>
      </c>
      <c r="B1604" s="3" t="str">
        <f t="shared" ref="B1604:B1667" si="251">_xlfn.CONCAT(E1604,C1604)</f>
        <v>KGP9330229900320</v>
      </c>
      <c r="C1604" s="10">
        <v>9330229900320</v>
      </c>
      <c r="D1604" s="10" t="str">
        <f t="shared" ref="D1604:D1667" si="252">LEFT(C1604,10)</f>
        <v>9330229900</v>
      </c>
      <c r="E1604" s="3" t="s">
        <v>6</v>
      </c>
      <c r="F1604" s="3" t="s">
        <v>66</v>
      </c>
      <c r="H1604" s="3">
        <v>11.946</v>
      </c>
      <c r="I1604" s="10">
        <f t="shared" ref="I1604:I1667" si="253">IFERROR(H1604/J1604*30,0)</f>
        <v>26.535987814369935</v>
      </c>
      <c r="J1604" s="3">
        <v>13.505432792139276</v>
      </c>
      <c r="K1604" s="3">
        <v>11</v>
      </c>
      <c r="L1604" s="3">
        <f t="shared" ref="L1604:L1667" si="254">M1604*G1604</f>
        <v>0</v>
      </c>
      <c r="N1604" s="11">
        <f t="shared" ref="N1604:N1667" si="255">H1604-J1604+L1604</f>
        <v>-1.5594327921392761</v>
      </c>
      <c r="O1604" s="3">
        <v>13.505432792139276</v>
      </c>
      <c r="P1604" s="11">
        <f t="shared" ref="P1604:P1667" si="256">IF(O1604=0,9999,N1604/O1604*30)</f>
        <v>-3.4640121856300619</v>
      </c>
      <c r="Q1604" s="12">
        <f t="shared" ref="Q1604:Q1667" si="257">IF(SUMIF($A:$A,$A1604,$O:$O)=0,9999,SUMIF($A:$A,$A1604,$N:$N)*30/SUMIF($A:$A,$A1604,$O:$O))</f>
        <v>-3.4640121856300619</v>
      </c>
      <c r="R1604" s="13">
        <f t="shared" ref="R1604:R1667" si="258">IF(SUMIF($C:$C,$C1604,$O:$O)=0,9999,SUMIF($C:$C,$C1604,$N:$N)*30/SUMIF($C:$C,$C1604,$O:$O))</f>
        <v>-4.2206085179727149</v>
      </c>
      <c r="S1604" s="3" t="s">
        <v>29</v>
      </c>
      <c r="T1604" s="3" t="s">
        <v>35</v>
      </c>
      <c r="U1604" s="10">
        <v>9330229900999</v>
      </c>
      <c r="V1604" s="3">
        <v>0.1</v>
      </c>
      <c r="W1604" s="3">
        <f t="shared" ref="W1604:W1667" si="259">IFERROR(K1604*V1604,0)</f>
        <v>1.1000000000000001</v>
      </c>
      <c r="AA1604" s="3">
        <v>44</v>
      </c>
    </row>
    <row r="1605" spans="1:27" x14ac:dyDescent="0.3">
      <c r="A1605" s="3" t="str">
        <f t="shared" si="250"/>
        <v>East9330209905297</v>
      </c>
      <c r="B1605" s="3" t="str">
        <f t="shared" si="251"/>
        <v>KGP9330209905297</v>
      </c>
      <c r="C1605" s="10">
        <v>9330209905297</v>
      </c>
      <c r="D1605" s="10" t="str">
        <f t="shared" si="252"/>
        <v>9330209905</v>
      </c>
      <c r="E1605" s="3" t="s">
        <v>6</v>
      </c>
      <c r="F1605" s="3" t="s">
        <v>66</v>
      </c>
      <c r="H1605" s="3">
        <v>37.459500000000006</v>
      </c>
      <c r="I1605" s="10">
        <f t="shared" si="253"/>
        <v>112.03382311372791</v>
      </c>
      <c r="J1605" s="3">
        <v>10.030765431071849</v>
      </c>
      <c r="K1605" s="3">
        <v>0</v>
      </c>
      <c r="L1605" s="3">
        <f t="shared" si="254"/>
        <v>0</v>
      </c>
      <c r="N1605" s="11">
        <f t="shared" si="255"/>
        <v>27.428734568928157</v>
      </c>
      <c r="O1605" s="3">
        <v>10.030765431071849</v>
      </c>
      <c r="P1605" s="11">
        <f t="shared" si="256"/>
        <v>82.033823113727905</v>
      </c>
      <c r="Q1605" s="12">
        <f t="shared" si="257"/>
        <v>82.033823113727905</v>
      </c>
      <c r="R1605" s="13">
        <f t="shared" si="258"/>
        <v>74.369067441379258</v>
      </c>
      <c r="S1605" s="3" t="s">
        <v>30</v>
      </c>
      <c r="T1605" s="3" t="s">
        <v>35</v>
      </c>
      <c r="U1605" s="10">
        <v>9330209900999</v>
      </c>
      <c r="V1605" s="3">
        <v>0.1</v>
      </c>
      <c r="W1605" s="3">
        <f t="shared" si="259"/>
        <v>0</v>
      </c>
      <c r="AA1605" s="3">
        <v>44</v>
      </c>
    </row>
    <row r="1606" spans="1:27" x14ac:dyDescent="0.3">
      <c r="A1606" s="3" t="str">
        <f t="shared" si="250"/>
        <v>East9330209905839</v>
      </c>
      <c r="B1606" s="3" t="str">
        <f t="shared" si="251"/>
        <v>KGP9330209905839</v>
      </c>
      <c r="C1606" s="10">
        <v>9330209905839</v>
      </c>
      <c r="D1606" s="10" t="str">
        <f t="shared" si="252"/>
        <v>9330209905</v>
      </c>
      <c r="E1606" s="3" t="s">
        <v>6</v>
      </c>
      <c r="F1606" s="3" t="s">
        <v>66</v>
      </c>
      <c r="H1606" s="3">
        <v>25.511849999999999</v>
      </c>
      <c r="I1606" s="10">
        <f t="shared" si="253"/>
        <v>97.738030626837471</v>
      </c>
      <c r="J1606" s="3">
        <v>7.8306826430963943</v>
      </c>
      <c r="K1606" s="3">
        <v>0</v>
      </c>
      <c r="L1606" s="3">
        <f t="shared" si="254"/>
        <v>0</v>
      </c>
      <c r="N1606" s="11">
        <f t="shared" si="255"/>
        <v>17.681167356903604</v>
      </c>
      <c r="O1606" s="3">
        <v>7.8306826430963943</v>
      </c>
      <c r="P1606" s="11">
        <f t="shared" si="256"/>
        <v>67.738030626837471</v>
      </c>
      <c r="Q1606" s="12">
        <f t="shared" si="257"/>
        <v>67.738030626837471</v>
      </c>
      <c r="R1606" s="13">
        <f t="shared" si="258"/>
        <v>74.319799473626375</v>
      </c>
      <c r="S1606" s="3" t="s">
        <v>30</v>
      </c>
      <c r="T1606" s="3" t="s">
        <v>35</v>
      </c>
      <c r="U1606" s="10">
        <v>0</v>
      </c>
      <c r="V1606" s="3">
        <v>0</v>
      </c>
      <c r="W1606" s="3">
        <f t="shared" si="259"/>
        <v>0</v>
      </c>
      <c r="AA1606" s="3">
        <v>44</v>
      </c>
    </row>
    <row r="1607" spans="1:27" x14ac:dyDescent="0.3">
      <c r="A1607" s="3" t="str">
        <f t="shared" si="250"/>
        <v>East9330209900310</v>
      </c>
      <c r="B1607" s="3" t="str">
        <f t="shared" si="251"/>
        <v>KGP9330209900310</v>
      </c>
      <c r="C1607" s="10">
        <v>9330209900310</v>
      </c>
      <c r="D1607" s="10" t="str">
        <f t="shared" si="252"/>
        <v>9330209900</v>
      </c>
      <c r="E1607" s="3" t="s">
        <v>6</v>
      </c>
      <c r="F1607" s="3" t="s">
        <v>66</v>
      </c>
      <c r="H1607" s="3">
        <v>18.470000000000002</v>
      </c>
      <c r="I1607" s="10">
        <f t="shared" si="253"/>
        <v>78.298462885751363</v>
      </c>
      <c r="J1607" s="3">
        <v>7.0767672771368586</v>
      </c>
      <c r="K1607" s="3">
        <v>0</v>
      </c>
      <c r="L1607" s="3">
        <f t="shared" si="254"/>
        <v>0</v>
      </c>
      <c r="N1607" s="11">
        <f t="shared" si="255"/>
        <v>11.393232722863143</v>
      </c>
      <c r="O1607" s="3">
        <v>7.0767672771368586</v>
      </c>
      <c r="P1607" s="11">
        <f t="shared" si="256"/>
        <v>48.298462885751356</v>
      </c>
      <c r="Q1607" s="12">
        <f t="shared" si="257"/>
        <v>48.298462885751363</v>
      </c>
      <c r="R1607" s="13">
        <f t="shared" si="258"/>
        <v>0.53923356032125813</v>
      </c>
      <c r="S1607" s="3" t="s">
        <v>29</v>
      </c>
      <c r="T1607" s="3" t="s">
        <v>35</v>
      </c>
      <c r="U1607" s="10">
        <v>9330209900999</v>
      </c>
      <c r="V1607" s="3">
        <v>0.1</v>
      </c>
      <c r="W1607" s="3">
        <f t="shared" si="259"/>
        <v>0</v>
      </c>
      <c r="AA1607" s="3">
        <v>44</v>
      </c>
    </row>
    <row r="1608" spans="1:27" x14ac:dyDescent="0.3">
      <c r="A1608" s="3" t="str">
        <f t="shared" si="250"/>
        <v>East9330229902219</v>
      </c>
      <c r="B1608" s="3" t="str">
        <f t="shared" si="251"/>
        <v>KGP9330229902219</v>
      </c>
      <c r="C1608" s="10">
        <v>9330229902219</v>
      </c>
      <c r="D1608" s="10" t="str">
        <f t="shared" si="252"/>
        <v>9330229902</v>
      </c>
      <c r="E1608" s="3" t="s">
        <v>6</v>
      </c>
      <c r="F1608" s="3" t="s">
        <v>66</v>
      </c>
      <c r="H1608" s="3">
        <v>5.1674999999999986</v>
      </c>
      <c r="I1608" s="10">
        <f t="shared" si="253"/>
        <v>24.70864938473056</v>
      </c>
      <c r="J1608" s="3">
        <v>6.2741187341385904</v>
      </c>
      <c r="K1608" s="3">
        <v>32</v>
      </c>
      <c r="L1608" s="3">
        <f t="shared" si="254"/>
        <v>0</v>
      </c>
      <c r="N1608" s="11">
        <f t="shared" si="255"/>
        <v>-1.1066187341385918</v>
      </c>
      <c r="O1608" s="3">
        <v>6.2741187341385904</v>
      </c>
      <c r="P1608" s="11">
        <f t="shared" si="256"/>
        <v>-5.2913506152694403</v>
      </c>
      <c r="Q1608" s="12">
        <f t="shared" si="257"/>
        <v>-5.2913506152694403</v>
      </c>
      <c r="R1608" s="13">
        <f t="shared" si="258"/>
        <v>-1.5686034880965269</v>
      </c>
      <c r="S1608" s="3" t="s">
        <v>31</v>
      </c>
      <c r="T1608" s="3" t="s">
        <v>35</v>
      </c>
      <c r="U1608" s="10">
        <v>9330229900999</v>
      </c>
      <c r="V1608" s="3">
        <v>0.1</v>
      </c>
      <c r="W1608" s="3">
        <f t="shared" si="259"/>
        <v>3.2</v>
      </c>
      <c r="AA1608" s="3">
        <v>44</v>
      </c>
    </row>
    <row r="1609" spans="1:27" x14ac:dyDescent="0.3">
      <c r="A1609" s="3" t="str">
        <f t="shared" si="250"/>
        <v>East9330209905097</v>
      </c>
      <c r="B1609" s="3" t="str">
        <f t="shared" si="251"/>
        <v>KGP9330209905097</v>
      </c>
      <c r="C1609" s="10">
        <v>9330209905097</v>
      </c>
      <c r="D1609" s="10" t="str">
        <f t="shared" si="252"/>
        <v>9330209905</v>
      </c>
      <c r="E1609" s="3" t="s">
        <v>6</v>
      </c>
      <c r="F1609" s="3" t="s">
        <v>66</v>
      </c>
      <c r="H1609" s="3">
        <v>25.492349999999995</v>
      </c>
      <c r="I1609" s="10">
        <f t="shared" si="253"/>
        <v>143.17876781152091</v>
      </c>
      <c r="J1609" s="3">
        <v>5.3413680791465952</v>
      </c>
      <c r="K1609" s="3">
        <v>0</v>
      </c>
      <c r="L1609" s="3">
        <f t="shared" si="254"/>
        <v>0</v>
      </c>
      <c r="N1609" s="11">
        <f t="shared" si="255"/>
        <v>20.1509819208534</v>
      </c>
      <c r="O1609" s="3">
        <v>5.3413680791465952</v>
      </c>
      <c r="P1609" s="11">
        <f t="shared" si="256"/>
        <v>113.17876781152093</v>
      </c>
      <c r="Q1609" s="12">
        <f t="shared" si="257"/>
        <v>113.17876781152093</v>
      </c>
      <c r="R1609" s="13">
        <f t="shared" si="258"/>
        <v>48.121719198428629</v>
      </c>
      <c r="S1609" s="3" t="s">
        <v>30</v>
      </c>
      <c r="T1609" s="3" t="s">
        <v>35</v>
      </c>
      <c r="U1609" s="10">
        <v>0</v>
      </c>
      <c r="V1609" s="3">
        <v>0</v>
      </c>
      <c r="W1609" s="3">
        <f t="shared" si="259"/>
        <v>0</v>
      </c>
      <c r="AA1609" s="3">
        <v>44</v>
      </c>
    </row>
    <row r="1610" spans="1:27" x14ac:dyDescent="0.3">
      <c r="A1610" s="3" t="str">
        <f t="shared" si="250"/>
        <v>East9330229900310</v>
      </c>
      <c r="B1610" s="3" t="str">
        <f t="shared" si="251"/>
        <v>KGP9330229900310</v>
      </c>
      <c r="C1610" s="10">
        <v>9330229900310</v>
      </c>
      <c r="D1610" s="10" t="str">
        <f t="shared" si="252"/>
        <v>9330229900</v>
      </c>
      <c r="E1610" s="3" t="s">
        <v>6</v>
      </c>
      <c r="F1610" s="3" t="s">
        <v>66</v>
      </c>
      <c r="H1610" s="3">
        <v>6.7099999999999991</v>
      </c>
      <c r="I1610" s="10">
        <f t="shared" si="253"/>
        <v>47.020403045732053</v>
      </c>
      <c r="J1610" s="3">
        <v>4.2811202576085012</v>
      </c>
      <c r="K1610" s="3">
        <v>0</v>
      </c>
      <c r="L1610" s="3">
        <f t="shared" si="254"/>
        <v>0</v>
      </c>
      <c r="N1610" s="11">
        <f t="shared" si="255"/>
        <v>2.4288797423914978</v>
      </c>
      <c r="O1610" s="3">
        <v>4.2811202576085012</v>
      </c>
      <c r="P1610" s="11">
        <f t="shared" si="256"/>
        <v>17.020403045732056</v>
      </c>
      <c r="Q1610" s="12">
        <f t="shared" si="257"/>
        <v>17.020403045732053</v>
      </c>
      <c r="R1610" s="13">
        <f t="shared" si="258"/>
        <v>-2.3419374714723604</v>
      </c>
      <c r="S1610" s="3" t="s">
        <v>30</v>
      </c>
      <c r="T1610" s="3" t="s">
        <v>35</v>
      </c>
      <c r="U1610" s="10">
        <v>9330229900999</v>
      </c>
      <c r="V1610" s="3">
        <v>0.1</v>
      </c>
      <c r="W1610" s="3">
        <f t="shared" si="259"/>
        <v>0</v>
      </c>
      <c r="AA1610" s="3">
        <v>44</v>
      </c>
    </row>
    <row r="1611" spans="1:27" x14ac:dyDescent="0.3">
      <c r="A1611" s="3" t="str">
        <f t="shared" si="250"/>
        <v>East9330229902297</v>
      </c>
      <c r="B1611" s="3" t="str">
        <f t="shared" si="251"/>
        <v>KGP9330229902297</v>
      </c>
      <c r="C1611" s="10">
        <v>9330229902297</v>
      </c>
      <c r="D1611" s="10" t="str">
        <f t="shared" si="252"/>
        <v>9330229902</v>
      </c>
      <c r="E1611" s="3" t="s">
        <v>6</v>
      </c>
      <c r="F1611" s="3" t="s">
        <v>66</v>
      </c>
      <c r="H1611" s="3">
        <v>7.0005000000000006</v>
      </c>
      <c r="I1611" s="10">
        <f t="shared" si="253"/>
        <v>83.380471189699207</v>
      </c>
      <c r="J1611" s="3">
        <v>2.5187552553186485</v>
      </c>
      <c r="K1611" s="3">
        <v>0</v>
      </c>
      <c r="L1611" s="3">
        <f t="shared" si="254"/>
        <v>0</v>
      </c>
      <c r="N1611" s="11">
        <f t="shared" si="255"/>
        <v>4.4817447446813521</v>
      </c>
      <c r="O1611" s="3">
        <v>2.5187552553186485</v>
      </c>
      <c r="P1611" s="11">
        <f t="shared" si="256"/>
        <v>53.380471189699193</v>
      </c>
      <c r="Q1611" s="12">
        <f t="shared" si="257"/>
        <v>53.3804711896992</v>
      </c>
      <c r="R1611" s="13">
        <f t="shared" si="258"/>
        <v>49.054469785282997</v>
      </c>
      <c r="S1611" s="3" t="s">
        <v>31</v>
      </c>
      <c r="T1611" s="3" t="s">
        <v>35</v>
      </c>
      <c r="U1611" s="10">
        <v>9330229900999</v>
      </c>
      <c r="V1611" s="3">
        <v>0.1</v>
      </c>
      <c r="W1611" s="3">
        <f t="shared" si="259"/>
        <v>0</v>
      </c>
      <c r="AA1611" s="3">
        <v>44</v>
      </c>
    </row>
    <row r="1612" spans="1:27" x14ac:dyDescent="0.3">
      <c r="A1612" s="3" t="str">
        <f t="shared" si="250"/>
        <v>East9432019905836</v>
      </c>
      <c r="B1612" s="3" t="str">
        <f t="shared" si="251"/>
        <v>KGP9432019905836</v>
      </c>
      <c r="C1612" s="10">
        <v>9432019905836</v>
      </c>
      <c r="D1612" s="10" t="str">
        <f t="shared" si="252"/>
        <v>9432019905</v>
      </c>
      <c r="E1612" s="3" t="s">
        <v>6</v>
      </c>
      <c r="F1612" s="3" t="s">
        <v>66</v>
      </c>
      <c r="H1612" s="3">
        <v>3.9923999999999995</v>
      </c>
      <c r="I1612" s="10">
        <f t="shared" si="253"/>
        <v>49.336454923229013</v>
      </c>
      <c r="J1612" s="3">
        <v>2.4276571996584195</v>
      </c>
      <c r="K1612" s="3">
        <v>0</v>
      </c>
      <c r="L1612" s="3">
        <f t="shared" si="254"/>
        <v>0</v>
      </c>
      <c r="N1612" s="11">
        <f t="shared" si="255"/>
        <v>1.56474280034158</v>
      </c>
      <c r="O1612" s="3">
        <v>2.4276571996584195</v>
      </c>
      <c r="P1612" s="11">
        <f t="shared" si="256"/>
        <v>19.336454923229009</v>
      </c>
      <c r="Q1612" s="12">
        <f t="shared" si="257"/>
        <v>19.336454923229009</v>
      </c>
      <c r="R1612" s="13">
        <f t="shared" si="258"/>
        <v>34.586958853076986</v>
      </c>
      <c r="S1612" s="3" t="s">
        <v>31</v>
      </c>
      <c r="T1612" s="3" t="s">
        <v>35</v>
      </c>
      <c r="U1612" s="10">
        <v>0</v>
      </c>
      <c r="V1612" s="3">
        <v>0</v>
      </c>
      <c r="W1612" s="3">
        <f t="shared" si="259"/>
        <v>0</v>
      </c>
      <c r="AA1612" s="3">
        <v>44</v>
      </c>
    </row>
    <row r="1613" spans="1:27" x14ac:dyDescent="0.3">
      <c r="A1613" s="3" t="str">
        <f t="shared" si="250"/>
        <v>East9330209900840</v>
      </c>
      <c r="B1613" s="3" t="str">
        <f t="shared" si="251"/>
        <v>KGP9330209900840</v>
      </c>
      <c r="C1613" s="10">
        <v>9330209900840</v>
      </c>
      <c r="D1613" s="10" t="str">
        <f t="shared" si="252"/>
        <v>9330209900</v>
      </c>
      <c r="E1613" s="3" t="s">
        <v>6</v>
      </c>
      <c r="F1613" s="3" t="s">
        <v>66</v>
      </c>
      <c r="H1613" s="3">
        <v>4.3800000000000008</v>
      </c>
      <c r="I1613" s="10">
        <f t="shared" si="253"/>
        <v>57.87769522450251</v>
      </c>
      <c r="J1613" s="3">
        <v>2.2703046396424553</v>
      </c>
      <c r="K1613" s="3">
        <v>0</v>
      </c>
      <c r="L1613" s="3">
        <f t="shared" si="254"/>
        <v>0</v>
      </c>
      <c r="N1613" s="11">
        <f t="shared" si="255"/>
        <v>2.1096953603575455</v>
      </c>
      <c r="O1613" s="3">
        <v>2.2703046396424553</v>
      </c>
      <c r="P1613" s="11">
        <f t="shared" si="256"/>
        <v>27.877695224502506</v>
      </c>
      <c r="Q1613" s="12">
        <f t="shared" si="257"/>
        <v>27.877695224502506</v>
      </c>
      <c r="R1613" s="13">
        <f t="shared" si="258"/>
        <v>16.369417439210231</v>
      </c>
      <c r="S1613" s="3" t="s">
        <v>30</v>
      </c>
      <c r="T1613" s="3" t="s">
        <v>35</v>
      </c>
      <c r="U1613" s="10">
        <v>0</v>
      </c>
      <c r="V1613" s="3">
        <v>0</v>
      </c>
      <c r="W1613" s="3">
        <f t="shared" si="259"/>
        <v>0</v>
      </c>
      <c r="AA1613" s="3">
        <v>44</v>
      </c>
    </row>
    <row r="1614" spans="1:27" x14ac:dyDescent="0.3">
      <c r="A1614" s="3" t="str">
        <f t="shared" si="250"/>
        <v>East9330209906097</v>
      </c>
      <c r="B1614" s="3" t="str">
        <f t="shared" si="251"/>
        <v>KGP9330209906097</v>
      </c>
      <c r="C1614" s="10">
        <v>9330209906097</v>
      </c>
      <c r="D1614" s="10" t="str">
        <f t="shared" si="252"/>
        <v>9330209906</v>
      </c>
      <c r="E1614" s="3" t="s">
        <v>6</v>
      </c>
      <c r="F1614" s="3" t="s">
        <v>66</v>
      </c>
      <c r="H1614" s="3">
        <v>3.9965249999999983</v>
      </c>
      <c r="I1614" s="10">
        <f t="shared" si="253"/>
        <v>60.514541338234331</v>
      </c>
      <c r="J1614" s="3">
        <v>1.9812717298783746</v>
      </c>
      <c r="K1614" s="3">
        <v>0</v>
      </c>
      <c r="L1614" s="3">
        <f t="shared" si="254"/>
        <v>0</v>
      </c>
      <c r="N1614" s="11">
        <f t="shared" si="255"/>
        <v>2.0152532701216237</v>
      </c>
      <c r="O1614" s="3">
        <v>1.9812717298783746</v>
      </c>
      <c r="P1614" s="11">
        <f t="shared" si="256"/>
        <v>30.514541338234334</v>
      </c>
      <c r="Q1614" s="12">
        <f t="shared" si="257"/>
        <v>30.514541338234334</v>
      </c>
      <c r="R1614" s="13">
        <f t="shared" si="258"/>
        <v>11.177368667886514</v>
      </c>
      <c r="S1614" s="3" t="s">
        <v>31</v>
      </c>
      <c r="T1614" s="3" t="s">
        <v>35</v>
      </c>
      <c r="U1614" s="10">
        <v>0</v>
      </c>
      <c r="V1614" s="3">
        <v>0</v>
      </c>
      <c r="W1614" s="3">
        <f t="shared" si="259"/>
        <v>0</v>
      </c>
      <c r="AA1614" s="3">
        <v>44</v>
      </c>
    </row>
    <row r="1615" spans="1:27" x14ac:dyDescent="0.3">
      <c r="A1615" s="3" t="str">
        <f t="shared" si="250"/>
        <v>East9432019905190</v>
      </c>
      <c r="B1615" s="3" t="str">
        <f t="shared" si="251"/>
        <v>KGP9432019905190</v>
      </c>
      <c r="C1615" s="10">
        <v>9432019905190</v>
      </c>
      <c r="D1615" s="10" t="str">
        <f t="shared" si="252"/>
        <v>9432019905</v>
      </c>
      <c r="E1615" s="3" t="s">
        <v>6</v>
      </c>
      <c r="F1615" s="3" t="s">
        <v>66</v>
      </c>
      <c r="H1615" s="3">
        <v>23.039099999999998</v>
      </c>
      <c r="I1615" s="10">
        <f t="shared" si="253"/>
        <v>350.92526214569278</v>
      </c>
      <c r="J1615" s="3">
        <v>1.9695732241500681</v>
      </c>
      <c r="K1615" s="3">
        <v>0</v>
      </c>
      <c r="L1615" s="3">
        <f t="shared" si="254"/>
        <v>0</v>
      </c>
      <c r="N1615" s="11">
        <f t="shared" si="255"/>
        <v>21.06952677584993</v>
      </c>
      <c r="O1615" s="3">
        <v>1.9695732241500681</v>
      </c>
      <c r="P1615" s="11">
        <f t="shared" si="256"/>
        <v>320.92526214569278</v>
      </c>
      <c r="Q1615" s="12">
        <f t="shared" si="257"/>
        <v>320.92526214569278</v>
      </c>
      <c r="R1615" s="13">
        <f t="shared" si="258"/>
        <v>142.64339705839231</v>
      </c>
      <c r="S1615" s="3" t="s">
        <v>31</v>
      </c>
      <c r="T1615" s="3" t="s">
        <v>35</v>
      </c>
      <c r="U1615" s="10">
        <v>0</v>
      </c>
      <c r="V1615" s="3">
        <v>0</v>
      </c>
      <c r="W1615" s="3">
        <f t="shared" si="259"/>
        <v>0</v>
      </c>
      <c r="AA1615" s="3">
        <v>44</v>
      </c>
    </row>
    <row r="1616" spans="1:27" x14ac:dyDescent="0.3">
      <c r="A1616" s="3" t="str">
        <f t="shared" si="250"/>
        <v>East9330229902839</v>
      </c>
      <c r="B1616" s="3" t="str">
        <f t="shared" si="251"/>
        <v>KGP9330229902839</v>
      </c>
      <c r="C1616" s="10">
        <v>9330229902839</v>
      </c>
      <c r="D1616" s="10" t="str">
        <f t="shared" si="252"/>
        <v>9330229902</v>
      </c>
      <c r="E1616" s="3" t="s">
        <v>6</v>
      </c>
      <c r="F1616" s="3" t="s">
        <v>66</v>
      </c>
      <c r="H1616" s="3">
        <v>7.0901999999999994</v>
      </c>
      <c r="I1616" s="10">
        <f t="shared" si="253"/>
        <v>118.75647177168432</v>
      </c>
      <c r="J1616" s="3">
        <v>1.7911108070719604</v>
      </c>
      <c r="K1616" s="3">
        <v>0</v>
      </c>
      <c r="L1616" s="3">
        <f t="shared" si="254"/>
        <v>0</v>
      </c>
      <c r="N1616" s="11">
        <f t="shared" si="255"/>
        <v>5.2990891929280393</v>
      </c>
      <c r="O1616" s="3">
        <v>1.7911108070719604</v>
      </c>
      <c r="P1616" s="11">
        <f t="shared" si="256"/>
        <v>88.756471771684318</v>
      </c>
      <c r="Q1616" s="12">
        <f t="shared" si="257"/>
        <v>88.756471771684332</v>
      </c>
      <c r="R1616" s="13">
        <f t="shared" si="258"/>
        <v>48.433917155210573</v>
      </c>
      <c r="S1616" s="3" t="s">
        <v>31</v>
      </c>
      <c r="T1616" s="3" t="s">
        <v>35</v>
      </c>
      <c r="U1616" s="10">
        <v>0</v>
      </c>
      <c r="V1616" s="3">
        <v>0</v>
      </c>
      <c r="W1616" s="3">
        <f t="shared" si="259"/>
        <v>0</v>
      </c>
      <c r="AA1616" s="3">
        <v>44</v>
      </c>
    </row>
    <row r="1617" spans="1:27" x14ac:dyDescent="0.3">
      <c r="A1617" s="3" t="str">
        <f t="shared" si="250"/>
        <v>East9330209906839</v>
      </c>
      <c r="B1617" s="3" t="str">
        <f t="shared" si="251"/>
        <v>KGP9330209906839</v>
      </c>
      <c r="C1617" s="10">
        <v>9330209906839</v>
      </c>
      <c r="D1617" s="10" t="str">
        <f t="shared" si="252"/>
        <v>9330209906</v>
      </c>
      <c r="E1617" s="3" t="s">
        <v>6</v>
      </c>
      <c r="F1617" s="3" t="s">
        <v>66</v>
      </c>
      <c r="H1617" s="3">
        <v>4.9218000000000002</v>
      </c>
      <c r="I1617" s="10">
        <f t="shared" si="253"/>
        <v>82.664136763308505</v>
      </c>
      <c r="J1617" s="3">
        <v>1.7861917607967819</v>
      </c>
      <c r="K1617" s="3">
        <v>0</v>
      </c>
      <c r="L1617" s="3">
        <f t="shared" si="254"/>
        <v>0</v>
      </c>
      <c r="N1617" s="11">
        <f t="shared" si="255"/>
        <v>3.1356082392032185</v>
      </c>
      <c r="O1617" s="3">
        <v>1.7861917607967819</v>
      </c>
      <c r="P1617" s="11">
        <f t="shared" si="256"/>
        <v>52.664136763308505</v>
      </c>
      <c r="Q1617" s="12">
        <f t="shared" si="257"/>
        <v>52.664136763308505</v>
      </c>
      <c r="R1617" s="13">
        <f t="shared" si="258"/>
        <v>111.89979041333194</v>
      </c>
      <c r="S1617" s="3" t="s">
        <v>31</v>
      </c>
      <c r="T1617" s="3" t="s">
        <v>35</v>
      </c>
      <c r="U1617" s="10">
        <v>0</v>
      </c>
      <c r="V1617" s="3">
        <v>0</v>
      </c>
      <c r="W1617" s="3">
        <f t="shared" si="259"/>
        <v>0</v>
      </c>
      <c r="AA1617" s="3">
        <v>44</v>
      </c>
    </row>
    <row r="1618" spans="1:27" x14ac:dyDescent="0.3">
      <c r="A1618" s="3" t="str">
        <f t="shared" si="250"/>
        <v>East9330229902097</v>
      </c>
      <c r="B1618" s="3" t="str">
        <f t="shared" si="251"/>
        <v>KGP9330229902097</v>
      </c>
      <c r="C1618" s="10">
        <v>9330229902097</v>
      </c>
      <c r="D1618" s="10" t="str">
        <f t="shared" si="252"/>
        <v>9330229902</v>
      </c>
      <c r="E1618" s="3" t="s">
        <v>6</v>
      </c>
      <c r="F1618" s="3" t="s">
        <v>66</v>
      </c>
      <c r="H1618" s="3">
        <v>1.7862</v>
      </c>
      <c r="I1618" s="10">
        <f t="shared" si="253"/>
        <v>51.171874169634158</v>
      </c>
      <c r="J1618" s="3">
        <v>1.0471768108856643</v>
      </c>
      <c r="K1618" s="3">
        <v>12</v>
      </c>
      <c r="L1618" s="3">
        <f t="shared" si="254"/>
        <v>0</v>
      </c>
      <c r="N1618" s="11">
        <f t="shared" si="255"/>
        <v>0.73902318911433573</v>
      </c>
      <c r="O1618" s="3">
        <v>1.0471768108856643</v>
      </c>
      <c r="P1618" s="11">
        <f t="shared" si="256"/>
        <v>21.171874169634158</v>
      </c>
      <c r="Q1618" s="12">
        <f t="shared" si="257"/>
        <v>21.171874169634158</v>
      </c>
      <c r="R1618" s="13">
        <f t="shared" si="258"/>
        <v>47.904418810658399</v>
      </c>
      <c r="S1618" s="3" t="s">
        <v>31</v>
      </c>
      <c r="T1618" s="3" t="s">
        <v>35</v>
      </c>
      <c r="U1618" s="10">
        <v>0</v>
      </c>
      <c r="V1618" s="3">
        <v>0</v>
      </c>
      <c r="W1618" s="3">
        <f t="shared" si="259"/>
        <v>0</v>
      </c>
      <c r="AA1618" s="3">
        <v>44</v>
      </c>
    </row>
    <row r="1619" spans="1:27" x14ac:dyDescent="0.3">
      <c r="A1619" s="3" t="str">
        <f t="shared" si="250"/>
        <v>East9330229900840</v>
      </c>
      <c r="B1619" s="3" t="str">
        <f t="shared" si="251"/>
        <v>KGP9330229900840</v>
      </c>
      <c r="C1619" s="10">
        <v>9330229900840</v>
      </c>
      <c r="D1619" s="10" t="str">
        <f t="shared" si="252"/>
        <v>9330229900</v>
      </c>
      <c r="E1619" s="3" t="s">
        <v>6</v>
      </c>
      <c r="F1619" s="3" t="s">
        <v>66</v>
      </c>
      <c r="H1619" s="3">
        <v>1.4000000000000001</v>
      </c>
      <c r="I1619" s="10">
        <f t="shared" si="253"/>
        <v>41.684032022950291</v>
      </c>
      <c r="J1619" s="3">
        <v>1.00758007231344</v>
      </c>
      <c r="K1619" s="3">
        <v>0</v>
      </c>
      <c r="L1619" s="3">
        <f t="shared" si="254"/>
        <v>0</v>
      </c>
      <c r="N1619" s="11">
        <f t="shared" si="255"/>
        <v>0.39241992768656009</v>
      </c>
      <c r="O1619" s="3">
        <v>1.00758007231344</v>
      </c>
      <c r="P1619" s="11">
        <f t="shared" si="256"/>
        <v>11.684032022950291</v>
      </c>
      <c r="Q1619" s="12">
        <f t="shared" si="257"/>
        <v>11.684032022950291</v>
      </c>
      <c r="R1619" s="13">
        <f t="shared" si="258"/>
        <v>33.619058544193109</v>
      </c>
      <c r="S1619" s="3" t="s">
        <v>31</v>
      </c>
      <c r="T1619" s="3" t="s">
        <v>35</v>
      </c>
      <c r="U1619" s="10">
        <v>0</v>
      </c>
      <c r="V1619" s="3">
        <v>0</v>
      </c>
      <c r="W1619" s="3">
        <f t="shared" si="259"/>
        <v>0</v>
      </c>
      <c r="AA1619" s="3">
        <v>44</v>
      </c>
    </row>
    <row r="1620" spans="1:27" x14ac:dyDescent="0.3">
      <c r="A1620" s="3" t="str">
        <f t="shared" si="250"/>
        <v>East9330209900210</v>
      </c>
      <c r="B1620" s="3" t="str">
        <f t="shared" si="251"/>
        <v>KGP9330209900210</v>
      </c>
      <c r="C1620" s="10">
        <v>9330209900210</v>
      </c>
      <c r="D1620" s="10" t="str">
        <f t="shared" si="252"/>
        <v>9330209900</v>
      </c>
      <c r="E1620" s="3" t="s">
        <v>6</v>
      </c>
      <c r="F1620" s="3" t="s">
        <v>66</v>
      </c>
      <c r="H1620" s="3">
        <v>1.8550000000000006</v>
      </c>
      <c r="I1620" s="10">
        <f t="shared" si="253"/>
        <v>76.768260581869555</v>
      </c>
      <c r="J1620" s="3">
        <v>0.72490896078923195</v>
      </c>
      <c r="K1620" s="3">
        <v>0</v>
      </c>
      <c r="L1620" s="3">
        <f t="shared" si="254"/>
        <v>0</v>
      </c>
      <c r="N1620" s="11">
        <f t="shared" si="255"/>
        <v>1.1300910392107686</v>
      </c>
      <c r="O1620" s="3">
        <v>0.72490896078923195</v>
      </c>
      <c r="P1620" s="11">
        <f t="shared" si="256"/>
        <v>46.768260581869555</v>
      </c>
      <c r="Q1620" s="12">
        <f t="shared" si="257"/>
        <v>46.768260581869555</v>
      </c>
      <c r="R1620" s="13">
        <f t="shared" si="258"/>
        <v>34.674544510318469</v>
      </c>
      <c r="S1620" s="3" t="s">
        <v>31</v>
      </c>
      <c r="T1620" s="3" t="s">
        <v>35</v>
      </c>
      <c r="U1620" s="10">
        <v>0</v>
      </c>
      <c r="V1620" s="3">
        <v>0</v>
      </c>
      <c r="W1620" s="3">
        <f t="shared" si="259"/>
        <v>0</v>
      </c>
      <c r="AA1620" s="3">
        <v>44</v>
      </c>
    </row>
    <row r="1621" spans="1:27" x14ac:dyDescent="0.3">
      <c r="A1621" s="3" t="str">
        <f t="shared" si="250"/>
        <v>East9330209906219</v>
      </c>
      <c r="B1621" s="3" t="str">
        <f t="shared" si="251"/>
        <v>KGP9330209906219</v>
      </c>
      <c r="C1621" s="10">
        <v>9330209906219</v>
      </c>
      <c r="D1621" s="10" t="str">
        <f t="shared" si="252"/>
        <v>9330209906</v>
      </c>
      <c r="E1621" s="3" t="s">
        <v>6</v>
      </c>
      <c r="F1621" s="3" t="s">
        <v>66</v>
      </c>
      <c r="H1621" s="3">
        <v>11.017499999999998</v>
      </c>
      <c r="I1621" s="10">
        <f t="shared" si="253"/>
        <v>638.02248573841757</v>
      </c>
      <c r="J1621" s="3">
        <v>0.51804600525554467</v>
      </c>
      <c r="K1621" s="3">
        <v>0</v>
      </c>
      <c r="L1621" s="3">
        <f t="shared" si="254"/>
        <v>0</v>
      </c>
      <c r="N1621" s="11">
        <f t="shared" si="255"/>
        <v>10.499453994744453</v>
      </c>
      <c r="O1621" s="3">
        <v>0.51804600525554467</v>
      </c>
      <c r="P1621" s="11">
        <f t="shared" si="256"/>
        <v>608.02248573841757</v>
      </c>
      <c r="Q1621" s="12">
        <f t="shared" si="257"/>
        <v>608.02248573841757</v>
      </c>
      <c r="R1621" s="13">
        <f t="shared" si="258"/>
        <v>262.31493828011588</v>
      </c>
      <c r="S1621" s="3" t="s">
        <v>31</v>
      </c>
      <c r="T1621" s="3" t="s">
        <v>35</v>
      </c>
      <c r="U1621" s="10">
        <v>9330209900999</v>
      </c>
      <c r="V1621" s="3">
        <v>0.1</v>
      </c>
      <c r="W1621" s="3">
        <f t="shared" si="259"/>
        <v>0</v>
      </c>
      <c r="AA1621" s="3">
        <v>44</v>
      </c>
    </row>
    <row r="1622" spans="1:27" x14ac:dyDescent="0.3">
      <c r="A1622" s="3" t="str">
        <f t="shared" si="250"/>
        <v>East9330229900210</v>
      </c>
      <c r="B1622" s="3" t="str">
        <f t="shared" si="251"/>
        <v>KGP9330229900210</v>
      </c>
      <c r="C1622" s="10">
        <v>9330229900210</v>
      </c>
      <c r="D1622" s="10" t="str">
        <f t="shared" si="252"/>
        <v>9330229900</v>
      </c>
      <c r="E1622" s="3" t="s">
        <v>6</v>
      </c>
      <c r="F1622" s="3" t="s">
        <v>66</v>
      </c>
      <c r="H1622" s="3">
        <v>6.5709999999999988</v>
      </c>
      <c r="I1622" s="10">
        <f t="shared" si="253"/>
        <v>397.31190746812752</v>
      </c>
      <c r="J1622" s="3">
        <v>0.49615930530804386</v>
      </c>
      <c r="K1622" s="3">
        <v>0</v>
      </c>
      <c r="L1622" s="3">
        <f t="shared" si="254"/>
        <v>0</v>
      </c>
      <c r="N1622" s="11">
        <f t="shared" si="255"/>
        <v>6.0748406946919546</v>
      </c>
      <c r="O1622" s="3">
        <v>0.49615930530804386</v>
      </c>
      <c r="P1622" s="11">
        <f t="shared" si="256"/>
        <v>367.31190746812752</v>
      </c>
      <c r="Q1622" s="12">
        <f t="shared" si="257"/>
        <v>367.31190746812752</v>
      </c>
      <c r="R1622" s="13">
        <f t="shared" si="258"/>
        <v>127.78574888635198</v>
      </c>
      <c r="S1622" s="3" t="s">
        <v>31</v>
      </c>
      <c r="T1622" s="3" t="s">
        <v>35</v>
      </c>
      <c r="U1622" s="10">
        <v>0</v>
      </c>
      <c r="V1622" s="3">
        <v>0</v>
      </c>
      <c r="W1622" s="3">
        <f t="shared" si="259"/>
        <v>0</v>
      </c>
      <c r="AA1622" s="3">
        <v>44</v>
      </c>
    </row>
    <row r="1623" spans="1:27" x14ac:dyDescent="0.3">
      <c r="A1623" s="3" t="str">
        <f t="shared" si="250"/>
        <v>East9320049925210</v>
      </c>
      <c r="B1623" s="3" t="str">
        <f t="shared" si="251"/>
        <v>KGP9320049925210</v>
      </c>
      <c r="C1623" s="10">
        <v>9320049925210</v>
      </c>
      <c r="D1623" s="10" t="str">
        <f t="shared" si="252"/>
        <v>9320049925</v>
      </c>
      <c r="E1623" s="3" t="s">
        <v>6</v>
      </c>
      <c r="F1623" s="3" t="s">
        <v>66</v>
      </c>
      <c r="H1623" s="3">
        <v>1.9410000000000007</v>
      </c>
      <c r="I1623" s="10">
        <f t="shared" si="253"/>
        <v>151.60041184115215</v>
      </c>
      <c r="J1623" s="3">
        <v>0.3841018589119255</v>
      </c>
      <c r="K1623" s="3">
        <v>0</v>
      </c>
      <c r="L1623" s="3">
        <f t="shared" si="254"/>
        <v>0</v>
      </c>
      <c r="N1623" s="11">
        <f t="shared" si="255"/>
        <v>1.5568981410880753</v>
      </c>
      <c r="O1623" s="3">
        <v>0.3841018589119255</v>
      </c>
      <c r="P1623" s="11">
        <f t="shared" si="256"/>
        <v>121.60041184115215</v>
      </c>
      <c r="Q1623" s="12">
        <f t="shared" si="257"/>
        <v>121.60041184115215</v>
      </c>
      <c r="R1623" s="13">
        <f t="shared" si="258"/>
        <v>564.5317523090622</v>
      </c>
      <c r="S1623" s="3" t="s">
        <v>31</v>
      </c>
      <c r="T1623" s="3" t="s">
        <v>28</v>
      </c>
      <c r="U1623" s="10">
        <v>0</v>
      </c>
      <c r="V1623" s="3">
        <v>0</v>
      </c>
      <c r="W1623" s="3">
        <f t="shared" si="259"/>
        <v>0</v>
      </c>
      <c r="AA1623" s="3">
        <v>44</v>
      </c>
    </row>
    <row r="1624" spans="1:27" x14ac:dyDescent="0.3">
      <c r="A1624" s="3" t="str">
        <f t="shared" si="250"/>
        <v>East9310019904219</v>
      </c>
      <c r="B1624" s="3" t="str">
        <f t="shared" si="251"/>
        <v>KGP9310019904219</v>
      </c>
      <c r="C1624" s="10">
        <v>9310019904219</v>
      </c>
      <c r="D1624" s="10" t="str">
        <f t="shared" si="252"/>
        <v>9310019904</v>
      </c>
      <c r="E1624" s="3" t="s">
        <v>6</v>
      </c>
      <c r="F1624" s="3" t="s">
        <v>66</v>
      </c>
      <c r="H1624" s="3">
        <v>19.402500000000014</v>
      </c>
      <c r="I1624" s="10">
        <f t="shared" si="253"/>
        <v>2304.4787693559838</v>
      </c>
      <c r="J1624" s="3">
        <v>0.25258423194875812</v>
      </c>
      <c r="K1624" s="3">
        <v>0</v>
      </c>
      <c r="L1624" s="3">
        <f t="shared" si="254"/>
        <v>0</v>
      </c>
      <c r="N1624" s="11">
        <f t="shared" si="255"/>
        <v>19.149915768051255</v>
      </c>
      <c r="O1624" s="3">
        <v>0.25258423194875812</v>
      </c>
      <c r="P1624" s="11">
        <f t="shared" si="256"/>
        <v>2274.4787693559833</v>
      </c>
      <c r="Q1624" s="12">
        <f t="shared" si="257"/>
        <v>2274.4787693559833</v>
      </c>
      <c r="R1624" s="13">
        <f t="shared" si="258"/>
        <v>2628.6784222567885</v>
      </c>
      <c r="S1624" s="3" t="s">
        <v>31</v>
      </c>
      <c r="T1624" s="3" t="s">
        <v>32</v>
      </c>
      <c r="U1624" s="10">
        <v>9310019900999</v>
      </c>
      <c r="V1624" s="3">
        <v>0.1</v>
      </c>
      <c r="W1624" s="3">
        <f t="shared" si="259"/>
        <v>0</v>
      </c>
      <c r="AA1624" s="3">
        <v>44</v>
      </c>
    </row>
    <row r="1625" spans="1:27" x14ac:dyDescent="0.3">
      <c r="A1625" s="3" t="str">
        <f t="shared" si="250"/>
        <v>East9330209906297</v>
      </c>
      <c r="B1625" s="3" t="str">
        <f t="shared" si="251"/>
        <v>KGP9330209906297</v>
      </c>
      <c r="C1625" s="10">
        <v>9330209906297</v>
      </c>
      <c r="D1625" s="10" t="str">
        <f t="shared" si="252"/>
        <v>9330209906</v>
      </c>
      <c r="E1625" s="3" t="s">
        <v>6</v>
      </c>
      <c r="F1625" s="3" t="s">
        <v>66</v>
      </c>
      <c r="H1625" s="3">
        <v>1.3260000000000001</v>
      </c>
      <c r="I1625" s="10">
        <f t="shared" si="253"/>
        <v>181.03276279296324</v>
      </c>
      <c r="J1625" s="3">
        <v>0.21973923054742361</v>
      </c>
      <c r="K1625" s="3">
        <v>0</v>
      </c>
      <c r="L1625" s="3">
        <f t="shared" si="254"/>
        <v>0</v>
      </c>
      <c r="N1625" s="11">
        <f t="shared" si="255"/>
        <v>1.1062607694525766</v>
      </c>
      <c r="O1625" s="3">
        <v>0.21973923054742361</v>
      </c>
      <c r="P1625" s="11">
        <f t="shared" si="256"/>
        <v>151.03276279296327</v>
      </c>
      <c r="Q1625" s="12">
        <f t="shared" si="257"/>
        <v>151.03276279296327</v>
      </c>
      <c r="R1625" s="13">
        <f t="shared" si="258"/>
        <v>410.83537759143599</v>
      </c>
      <c r="S1625" s="3" t="s">
        <v>31</v>
      </c>
      <c r="T1625" s="3" t="s">
        <v>35</v>
      </c>
      <c r="U1625" s="10">
        <v>9330209900999</v>
      </c>
      <c r="V1625" s="3">
        <v>0.1</v>
      </c>
      <c r="W1625" s="3">
        <f t="shared" si="259"/>
        <v>0</v>
      </c>
      <c r="AA1625" s="3">
        <v>44</v>
      </c>
    </row>
    <row r="1626" spans="1:27" x14ac:dyDescent="0.3">
      <c r="A1626" s="3" t="str">
        <f t="shared" si="250"/>
        <v>East9320049925240</v>
      </c>
      <c r="B1626" s="3" t="str">
        <f t="shared" si="251"/>
        <v>KGP9320049925240</v>
      </c>
      <c r="C1626" s="10">
        <v>9320049925240</v>
      </c>
      <c r="D1626" s="10" t="str">
        <f t="shared" si="252"/>
        <v>9320049925</v>
      </c>
      <c r="E1626" s="3" t="s">
        <v>6</v>
      </c>
      <c r="F1626" s="3" t="s">
        <v>66</v>
      </c>
      <c r="H1626" s="3">
        <v>2.0600000000000005</v>
      </c>
      <c r="I1626" s="10">
        <f t="shared" si="253"/>
        <v>330.92760175255609</v>
      </c>
      <c r="J1626" s="3">
        <v>0.18674779520570067</v>
      </c>
      <c r="K1626" s="3">
        <v>0</v>
      </c>
      <c r="L1626" s="3">
        <f t="shared" si="254"/>
        <v>0</v>
      </c>
      <c r="N1626" s="11">
        <f t="shared" si="255"/>
        <v>1.8732522047942999</v>
      </c>
      <c r="O1626" s="3">
        <v>0.18674779520570067</v>
      </c>
      <c r="P1626" s="11">
        <f t="shared" si="256"/>
        <v>300.92760175255609</v>
      </c>
      <c r="Q1626" s="12">
        <f t="shared" si="257"/>
        <v>300.92760175255609</v>
      </c>
      <c r="R1626" s="13">
        <f t="shared" si="258"/>
        <v>773.65013984140387</v>
      </c>
      <c r="S1626" s="3" t="s">
        <v>31</v>
      </c>
      <c r="T1626" s="3" t="s">
        <v>28</v>
      </c>
      <c r="U1626" s="10">
        <v>0</v>
      </c>
      <c r="V1626" s="3">
        <v>0</v>
      </c>
      <c r="W1626" s="3">
        <f t="shared" si="259"/>
        <v>0</v>
      </c>
      <c r="AA1626" s="3">
        <v>44</v>
      </c>
    </row>
    <row r="1627" spans="1:27" x14ac:dyDescent="0.3">
      <c r="A1627" s="3" t="str">
        <f t="shared" si="250"/>
        <v>East9310019904297</v>
      </c>
      <c r="B1627" s="3" t="str">
        <f t="shared" si="251"/>
        <v>KGP9310019904297</v>
      </c>
      <c r="C1627" s="10">
        <v>9310019904297</v>
      </c>
      <c r="D1627" s="10" t="str">
        <f t="shared" si="252"/>
        <v>9310019904</v>
      </c>
      <c r="E1627" s="3" t="s">
        <v>6</v>
      </c>
      <c r="F1627" s="3" t="s">
        <v>66</v>
      </c>
      <c r="H1627" s="3">
        <v>10.081500000000002</v>
      </c>
      <c r="I1627" s="10">
        <f t="shared" si="253"/>
        <v>4647.4548874793136</v>
      </c>
      <c r="J1627" s="3">
        <v>6.5077554774079838E-2</v>
      </c>
      <c r="K1627" s="3">
        <v>0</v>
      </c>
      <c r="L1627" s="3">
        <f t="shared" si="254"/>
        <v>0</v>
      </c>
      <c r="N1627" s="11">
        <f t="shared" si="255"/>
        <v>10.016422445225922</v>
      </c>
      <c r="O1627" s="3">
        <v>6.5077554774079838E-2</v>
      </c>
      <c r="P1627" s="11">
        <f t="shared" si="256"/>
        <v>4617.4548874793136</v>
      </c>
      <c r="Q1627" s="12">
        <f t="shared" si="257"/>
        <v>4617.4548874793136</v>
      </c>
      <c r="R1627" s="13">
        <f t="shared" si="258"/>
        <v>5692.4995044516709</v>
      </c>
      <c r="S1627" s="3" t="s">
        <v>31</v>
      </c>
      <c r="T1627" s="3" t="s">
        <v>32</v>
      </c>
      <c r="U1627" s="10">
        <v>9310019900999</v>
      </c>
      <c r="V1627" s="3">
        <v>0.1</v>
      </c>
      <c r="W1627" s="3">
        <f t="shared" si="259"/>
        <v>0</v>
      </c>
      <c r="AA1627" s="3">
        <v>44</v>
      </c>
    </row>
    <row r="1628" spans="1:27" x14ac:dyDescent="0.3">
      <c r="A1628" s="3" t="str">
        <f t="shared" si="250"/>
        <v>East9310019904839</v>
      </c>
      <c r="B1628" s="3" t="str">
        <f t="shared" si="251"/>
        <v>KGP9310019904839</v>
      </c>
      <c r="C1628" s="10">
        <v>9310019904839</v>
      </c>
      <c r="D1628" s="10" t="str">
        <f t="shared" si="252"/>
        <v>9310019904</v>
      </c>
      <c r="E1628" s="3" t="s">
        <v>6</v>
      </c>
      <c r="F1628" s="3" t="s">
        <v>66</v>
      </c>
      <c r="H1628" s="3">
        <v>11.945699999999999</v>
      </c>
      <c r="I1628" s="10">
        <f t="shared" si="253"/>
        <v>5795.0121317554167</v>
      </c>
      <c r="J1628" s="3">
        <v>6.1841285549033481E-2</v>
      </c>
      <c r="K1628" s="3">
        <v>0</v>
      </c>
      <c r="L1628" s="3">
        <f t="shared" si="254"/>
        <v>0</v>
      </c>
      <c r="N1628" s="11">
        <f t="shared" si="255"/>
        <v>11.883858714450966</v>
      </c>
      <c r="O1628" s="3">
        <v>6.1841285549033481E-2</v>
      </c>
      <c r="P1628" s="11">
        <f t="shared" si="256"/>
        <v>5765.0121317554167</v>
      </c>
      <c r="Q1628" s="12">
        <f t="shared" si="257"/>
        <v>5765.0121317554167</v>
      </c>
      <c r="R1628" s="13">
        <f t="shared" si="258"/>
        <v>1320.2160207022446</v>
      </c>
      <c r="S1628" s="3" t="s">
        <v>31</v>
      </c>
      <c r="T1628" s="3" t="s">
        <v>32</v>
      </c>
      <c r="U1628" s="10">
        <v>0</v>
      </c>
      <c r="V1628" s="3">
        <v>0</v>
      </c>
      <c r="W1628" s="3">
        <f t="shared" si="259"/>
        <v>0</v>
      </c>
      <c r="AA1628" s="3">
        <v>44</v>
      </c>
    </row>
    <row r="1629" spans="1:27" x14ac:dyDescent="0.3">
      <c r="A1629" s="3" t="str">
        <f t="shared" si="250"/>
        <v>East9310019904097</v>
      </c>
      <c r="B1629" s="3" t="str">
        <f t="shared" si="251"/>
        <v>KGP9310019904097</v>
      </c>
      <c r="C1629" s="10">
        <v>9310019904097</v>
      </c>
      <c r="D1629" s="10" t="str">
        <f t="shared" si="252"/>
        <v>9310019904</v>
      </c>
      <c r="E1629" s="3" t="s">
        <v>6</v>
      </c>
      <c r="F1629" s="3" t="s">
        <v>66</v>
      </c>
      <c r="H1629" s="3">
        <v>2.4735749999999999</v>
      </c>
      <c r="I1629" s="10">
        <f t="shared" si="253"/>
        <v>6781.2777796192695</v>
      </c>
      <c r="J1629" s="3">
        <v>1.0942959780091226E-2</v>
      </c>
      <c r="K1629" s="3">
        <v>0</v>
      </c>
      <c r="L1629" s="3">
        <f t="shared" si="254"/>
        <v>0</v>
      </c>
      <c r="N1629" s="11">
        <f t="shared" si="255"/>
        <v>2.4626320402199084</v>
      </c>
      <c r="O1629" s="3">
        <v>1.0942959780091226E-2</v>
      </c>
      <c r="P1629" s="11">
        <f t="shared" si="256"/>
        <v>6751.2777796192686</v>
      </c>
      <c r="Q1629" s="12">
        <f t="shared" si="257"/>
        <v>6751.2777796192686</v>
      </c>
      <c r="R1629" s="13">
        <f t="shared" si="258"/>
        <v>327.66991189762103</v>
      </c>
      <c r="S1629" s="3" t="s">
        <v>31</v>
      </c>
      <c r="T1629" s="3" t="s">
        <v>32</v>
      </c>
      <c r="U1629" s="10">
        <v>0</v>
      </c>
      <c r="V1629" s="3">
        <v>0</v>
      </c>
      <c r="W1629" s="3">
        <f t="shared" si="259"/>
        <v>0</v>
      </c>
      <c r="AA1629" s="3">
        <v>44</v>
      </c>
    </row>
    <row r="1630" spans="1:27" x14ac:dyDescent="0.3">
      <c r="A1630" s="3" t="str">
        <f t="shared" si="250"/>
        <v>West9330229902219</v>
      </c>
      <c r="B1630" s="3" t="str">
        <f t="shared" si="251"/>
        <v>Mah9330229902219</v>
      </c>
      <c r="C1630" s="10">
        <v>9330229902219</v>
      </c>
      <c r="D1630" s="10" t="str">
        <f t="shared" si="252"/>
        <v>9330229902</v>
      </c>
      <c r="E1630" s="3" t="s">
        <v>1</v>
      </c>
      <c r="F1630" s="3" t="s">
        <v>63</v>
      </c>
      <c r="H1630" s="3">
        <v>1.1895</v>
      </c>
      <c r="I1630" s="10">
        <f t="shared" si="253"/>
        <v>27.504813398879861</v>
      </c>
      <c r="J1630" s="3">
        <v>1.2974092746054871</v>
      </c>
      <c r="K1630" s="3">
        <v>0</v>
      </c>
      <c r="L1630" s="3">
        <f t="shared" si="254"/>
        <v>0</v>
      </c>
      <c r="M1630" s="32"/>
      <c r="N1630" s="11">
        <f t="shared" si="255"/>
        <v>-0.10790927460548705</v>
      </c>
      <c r="O1630" s="3">
        <v>1.2974092746054871</v>
      </c>
      <c r="P1630" s="11">
        <f t="shared" si="256"/>
        <v>-2.4951866011201398</v>
      </c>
      <c r="Q1630" s="12">
        <f t="shared" si="257"/>
        <v>-2.4951866011201398</v>
      </c>
      <c r="R1630" s="13">
        <f t="shared" si="258"/>
        <v>-1.5686034880965269</v>
      </c>
      <c r="S1630" s="3" t="s">
        <v>31</v>
      </c>
      <c r="T1630" s="3" t="s">
        <v>35</v>
      </c>
      <c r="U1630" s="10">
        <v>9330229900999</v>
      </c>
      <c r="V1630" s="3">
        <v>0.1</v>
      </c>
      <c r="W1630" s="3">
        <f t="shared" si="259"/>
        <v>0</v>
      </c>
      <c r="Y1630" s="3">
        <v>0</v>
      </c>
      <c r="Z1630" s="3">
        <v>2535</v>
      </c>
      <c r="AA1630" s="3">
        <v>45</v>
      </c>
    </row>
    <row r="1631" spans="1:27" x14ac:dyDescent="0.3">
      <c r="A1631" s="3" t="str">
        <f t="shared" si="250"/>
        <v>West9330229902839</v>
      </c>
      <c r="B1631" s="3" t="str">
        <f t="shared" si="251"/>
        <v>Mah9330229902839</v>
      </c>
      <c r="C1631" s="10">
        <v>9330229902839</v>
      </c>
      <c r="D1631" s="10" t="str">
        <f t="shared" si="252"/>
        <v>9330229902</v>
      </c>
      <c r="E1631" s="3" t="s">
        <v>1</v>
      </c>
      <c r="F1631" s="3" t="s">
        <v>63</v>
      </c>
      <c r="H1631" s="3">
        <v>1.4469000000000001</v>
      </c>
      <c r="I1631" s="10">
        <f t="shared" si="253"/>
        <v>68.860979791737705</v>
      </c>
      <c r="J1631" s="3">
        <v>0.63035699072652751</v>
      </c>
      <c r="K1631" s="3">
        <v>0</v>
      </c>
      <c r="L1631" s="3">
        <f t="shared" si="254"/>
        <v>0</v>
      </c>
      <c r="N1631" s="11">
        <f t="shared" si="255"/>
        <v>0.81654300927347256</v>
      </c>
      <c r="O1631" s="3">
        <v>0.63035699072652751</v>
      </c>
      <c r="P1631" s="11">
        <f t="shared" si="256"/>
        <v>38.860979791737705</v>
      </c>
      <c r="Q1631" s="12">
        <f t="shared" si="257"/>
        <v>38.860979791737705</v>
      </c>
      <c r="R1631" s="13">
        <f t="shared" si="258"/>
        <v>48.433917155210573</v>
      </c>
      <c r="S1631" s="3" t="s">
        <v>31</v>
      </c>
      <c r="T1631" s="3" t="s">
        <v>35</v>
      </c>
      <c r="U1631" s="10">
        <v>0</v>
      </c>
      <c r="V1631" s="3">
        <v>0</v>
      </c>
      <c r="W1631" s="3">
        <f t="shared" si="259"/>
        <v>0</v>
      </c>
      <c r="AA1631" s="3">
        <v>45</v>
      </c>
    </row>
    <row r="1632" spans="1:27" x14ac:dyDescent="0.3">
      <c r="A1632" s="3" t="str">
        <f t="shared" si="250"/>
        <v>West9330229902097</v>
      </c>
      <c r="B1632" s="3" t="str">
        <f t="shared" si="251"/>
        <v>Mah9330229902097</v>
      </c>
      <c r="C1632" s="10">
        <v>9330229902097</v>
      </c>
      <c r="D1632" s="10" t="str">
        <f t="shared" si="252"/>
        <v>9330229902</v>
      </c>
      <c r="E1632" s="3" t="s">
        <v>1</v>
      </c>
      <c r="F1632" s="3" t="s">
        <v>63</v>
      </c>
      <c r="H1632" s="3">
        <v>0.96330000000000005</v>
      </c>
      <c r="I1632" s="10">
        <f t="shared" si="253"/>
        <v>49.005729523684792</v>
      </c>
      <c r="J1632" s="3">
        <v>0.5897065563738404</v>
      </c>
      <c r="K1632" s="3">
        <v>0</v>
      </c>
      <c r="L1632" s="3">
        <f t="shared" si="254"/>
        <v>0</v>
      </c>
      <c r="N1632" s="11">
        <f t="shared" si="255"/>
        <v>0.37359344362615965</v>
      </c>
      <c r="O1632" s="3">
        <v>0.5897065563738404</v>
      </c>
      <c r="P1632" s="11">
        <f t="shared" si="256"/>
        <v>19.005729523684792</v>
      </c>
      <c r="Q1632" s="12">
        <f t="shared" si="257"/>
        <v>19.005729523684796</v>
      </c>
      <c r="R1632" s="13">
        <f t="shared" si="258"/>
        <v>47.904418810658399</v>
      </c>
      <c r="S1632" s="3" t="s">
        <v>31</v>
      </c>
      <c r="T1632" s="3" t="s">
        <v>35</v>
      </c>
      <c r="U1632" s="10">
        <v>0</v>
      </c>
      <c r="V1632" s="3">
        <v>0</v>
      </c>
      <c r="W1632" s="3">
        <f t="shared" si="259"/>
        <v>0</v>
      </c>
      <c r="AA1632" s="3">
        <v>45</v>
      </c>
    </row>
    <row r="1633" spans="1:27" x14ac:dyDescent="0.3">
      <c r="A1633" s="3" t="str">
        <f t="shared" si="250"/>
        <v>West9330229902297</v>
      </c>
      <c r="B1633" s="3" t="str">
        <f t="shared" si="251"/>
        <v>Mah9330229902297</v>
      </c>
      <c r="C1633" s="10">
        <v>9330229902297</v>
      </c>
      <c r="D1633" s="10" t="str">
        <f t="shared" si="252"/>
        <v>9330229902</v>
      </c>
      <c r="E1633" s="3" t="s">
        <v>1</v>
      </c>
      <c r="F1633" s="3" t="s">
        <v>63</v>
      </c>
      <c r="H1633" s="3">
        <v>0.8384999999999998</v>
      </c>
      <c r="I1633" s="10">
        <f t="shared" si="253"/>
        <v>89.368412415710353</v>
      </c>
      <c r="J1633" s="3">
        <v>0.28147529222056444</v>
      </c>
      <c r="K1633" s="3">
        <v>0</v>
      </c>
      <c r="L1633" s="3">
        <f t="shared" si="254"/>
        <v>0</v>
      </c>
      <c r="N1633" s="11">
        <f t="shared" si="255"/>
        <v>0.55702470777943536</v>
      </c>
      <c r="O1633" s="3">
        <v>0.28147529222056444</v>
      </c>
      <c r="P1633" s="11">
        <f t="shared" si="256"/>
        <v>59.368412415710367</v>
      </c>
      <c r="Q1633" s="12">
        <f t="shared" si="257"/>
        <v>59.368412415710367</v>
      </c>
      <c r="R1633" s="13">
        <f t="shared" si="258"/>
        <v>49.054469785282997</v>
      </c>
      <c r="S1633" s="3" t="s">
        <v>31</v>
      </c>
      <c r="T1633" s="3" t="s">
        <v>35</v>
      </c>
      <c r="U1633" s="10">
        <v>9330229900999</v>
      </c>
      <c r="V1633" s="3">
        <v>0.1</v>
      </c>
      <c r="W1633" s="3">
        <f t="shared" si="259"/>
        <v>0</v>
      </c>
      <c r="AA1633" s="3">
        <v>45</v>
      </c>
    </row>
    <row r="1634" spans="1:27" x14ac:dyDescent="0.3">
      <c r="A1634" s="3" t="str">
        <f t="shared" si="250"/>
        <v>North9420049901320</v>
      </c>
      <c r="B1634" s="3" t="str">
        <f t="shared" si="251"/>
        <v>Lud9420049901320</v>
      </c>
      <c r="C1634" s="10">
        <v>9420049901320</v>
      </c>
      <c r="D1634" s="10" t="str">
        <f t="shared" si="252"/>
        <v>9420049901</v>
      </c>
      <c r="E1634" s="3" t="s">
        <v>3</v>
      </c>
      <c r="F1634" s="3" t="s">
        <v>64</v>
      </c>
      <c r="H1634" s="3">
        <v>0.22</v>
      </c>
      <c r="I1634" s="10">
        <f t="shared" si="253"/>
        <v>2.3434851860592061</v>
      </c>
      <c r="J1634" s="3">
        <v>2.8163182081379103</v>
      </c>
      <c r="K1634" s="3">
        <v>0</v>
      </c>
      <c r="L1634" s="3">
        <f t="shared" si="254"/>
        <v>0</v>
      </c>
      <c r="N1634" s="11">
        <f t="shared" si="255"/>
        <v>-2.5963182081379101</v>
      </c>
      <c r="O1634" s="3">
        <v>2.8163182081379103</v>
      </c>
      <c r="P1634" s="11">
        <f t="shared" si="256"/>
        <v>-27.656514813940792</v>
      </c>
      <c r="Q1634" s="12">
        <f t="shared" si="257"/>
        <v>113.62827965644966</v>
      </c>
      <c r="R1634" s="13">
        <f t="shared" si="258"/>
        <v>68.696520476184929</v>
      </c>
      <c r="S1634" s="3" t="s">
        <v>31</v>
      </c>
      <c r="T1634" s="3" t="s">
        <v>28</v>
      </c>
      <c r="U1634" s="10">
        <v>9420049900999</v>
      </c>
      <c r="V1634" s="3">
        <v>0.1</v>
      </c>
      <c r="W1634" s="3">
        <f t="shared" si="259"/>
        <v>0</v>
      </c>
      <c r="AA1634" s="3">
        <v>45</v>
      </c>
    </row>
    <row r="1635" spans="1:27" x14ac:dyDescent="0.3">
      <c r="A1635" s="3" t="str">
        <f t="shared" si="250"/>
        <v>North9420049900320</v>
      </c>
      <c r="B1635" s="3" t="str">
        <f t="shared" si="251"/>
        <v>Lud9420049900320</v>
      </c>
      <c r="C1635" s="10">
        <v>9420049900320</v>
      </c>
      <c r="D1635" s="10" t="str">
        <f t="shared" si="252"/>
        <v>9420049900</v>
      </c>
      <c r="E1635" s="3" t="s">
        <v>3</v>
      </c>
      <c r="F1635" s="3" t="s">
        <v>64</v>
      </c>
      <c r="H1635" s="3">
        <v>1.1000000000000001</v>
      </c>
      <c r="I1635" s="10">
        <f t="shared" si="253"/>
        <v>12.633966581499571</v>
      </c>
      <c r="J1635" s="3">
        <v>2.6120062758693092</v>
      </c>
      <c r="K1635" s="3">
        <v>0</v>
      </c>
      <c r="L1635" s="3">
        <f t="shared" si="254"/>
        <v>0</v>
      </c>
      <c r="N1635" s="11">
        <f t="shared" si="255"/>
        <v>-1.5120062758693091</v>
      </c>
      <c r="O1635" s="3">
        <v>2.6120062758693092</v>
      </c>
      <c r="P1635" s="11">
        <f t="shared" si="256"/>
        <v>-17.366033418500429</v>
      </c>
      <c r="Q1635" s="12">
        <f t="shared" si="257"/>
        <v>-16.891364756497051</v>
      </c>
      <c r="R1635" s="13">
        <f t="shared" si="258"/>
        <v>-12.150289115008475</v>
      </c>
      <c r="S1635" s="3" t="s">
        <v>31</v>
      </c>
      <c r="T1635" s="3" t="s">
        <v>28</v>
      </c>
      <c r="U1635" s="10">
        <v>9420049900999</v>
      </c>
      <c r="V1635" s="3">
        <v>0.1</v>
      </c>
      <c r="W1635" s="3">
        <f t="shared" si="259"/>
        <v>0</v>
      </c>
      <c r="AA1635" s="3">
        <v>45</v>
      </c>
    </row>
    <row r="1636" spans="1:27" x14ac:dyDescent="0.3">
      <c r="A1636" s="3" t="str">
        <f t="shared" si="250"/>
        <v>North9330229902219</v>
      </c>
      <c r="B1636" s="3" t="str">
        <f t="shared" si="251"/>
        <v>Lud9330229902219</v>
      </c>
      <c r="C1636" s="10">
        <v>9330229902219</v>
      </c>
      <c r="D1636" s="10" t="str">
        <f t="shared" si="252"/>
        <v>9330229902</v>
      </c>
      <c r="E1636" s="3" t="s">
        <v>3</v>
      </c>
      <c r="F1636" s="3" t="s">
        <v>64</v>
      </c>
      <c r="H1636" s="3">
        <v>2.4860550000000008</v>
      </c>
      <c r="I1636" s="10">
        <f t="shared" si="253"/>
        <v>92.985951869320076</v>
      </c>
      <c r="J1636" s="3">
        <v>0.80207438328765013</v>
      </c>
      <c r="K1636" s="3">
        <v>0</v>
      </c>
      <c r="L1636" s="3">
        <f t="shared" si="254"/>
        <v>0</v>
      </c>
      <c r="N1636" s="11">
        <f t="shared" si="255"/>
        <v>1.6839806167123506</v>
      </c>
      <c r="O1636" s="3">
        <v>0.80207438328765013</v>
      </c>
      <c r="P1636" s="11">
        <f t="shared" si="256"/>
        <v>62.985951869320083</v>
      </c>
      <c r="Q1636" s="12">
        <f t="shared" si="257"/>
        <v>12.961031658174697</v>
      </c>
      <c r="R1636" s="13">
        <f t="shared" si="258"/>
        <v>-1.5686034880965269</v>
      </c>
      <c r="S1636" s="3" t="s">
        <v>31</v>
      </c>
      <c r="T1636" s="3" t="s">
        <v>35</v>
      </c>
      <c r="U1636" s="10">
        <v>9330229900999</v>
      </c>
      <c r="V1636" s="3">
        <v>0.1</v>
      </c>
      <c r="W1636" s="3">
        <f t="shared" si="259"/>
        <v>0</v>
      </c>
      <c r="AA1636" s="3">
        <v>45</v>
      </c>
    </row>
    <row r="1637" spans="1:27" x14ac:dyDescent="0.3">
      <c r="A1637" s="3" t="str">
        <f t="shared" si="250"/>
        <v>North9420049900310</v>
      </c>
      <c r="B1637" s="3" t="str">
        <f t="shared" si="251"/>
        <v>Lud9420049900310</v>
      </c>
      <c r="C1637" s="10">
        <v>9420049900310</v>
      </c>
      <c r="D1637" s="10" t="str">
        <f t="shared" si="252"/>
        <v>9420049900</v>
      </c>
      <c r="E1637" s="3" t="s">
        <v>3</v>
      </c>
      <c r="F1637" s="3" t="s">
        <v>64</v>
      </c>
      <c r="H1637" s="3">
        <v>0.72000000000000008</v>
      </c>
      <c r="I1637" s="10">
        <f t="shared" si="253"/>
        <v>32.297135073175248</v>
      </c>
      <c r="J1637" s="3">
        <v>0.66878997010295593</v>
      </c>
      <c r="K1637" s="3">
        <v>0</v>
      </c>
      <c r="L1637" s="3">
        <f t="shared" si="254"/>
        <v>0</v>
      </c>
      <c r="N1637" s="11">
        <f t="shared" si="255"/>
        <v>5.1210029897044151E-2</v>
      </c>
      <c r="O1637" s="3">
        <v>0.66878997010295593</v>
      </c>
      <c r="P1637" s="11">
        <f t="shared" si="256"/>
        <v>2.2971350731752467</v>
      </c>
      <c r="Q1637" s="12">
        <f t="shared" si="257"/>
        <v>41.491317753689756</v>
      </c>
      <c r="R1637" s="13">
        <f t="shared" si="258"/>
        <v>92.642613835035363</v>
      </c>
      <c r="S1637" s="3" t="s">
        <v>31</v>
      </c>
      <c r="T1637" s="3" t="s">
        <v>28</v>
      </c>
      <c r="U1637" s="10">
        <v>9420049900999</v>
      </c>
      <c r="V1637" s="3">
        <v>0.1</v>
      </c>
      <c r="W1637" s="3">
        <f t="shared" si="259"/>
        <v>0</v>
      </c>
      <c r="AA1637" s="3">
        <v>45</v>
      </c>
    </row>
    <row r="1638" spans="1:27" x14ac:dyDescent="0.3">
      <c r="A1638" s="3" t="str">
        <f t="shared" si="250"/>
        <v>North9420049901310</v>
      </c>
      <c r="B1638" s="3" t="str">
        <f t="shared" si="251"/>
        <v>Lud9420049901310</v>
      </c>
      <c r="C1638" s="10">
        <v>9420049901310</v>
      </c>
      <c r="D1638" s="10" t="str">
        <f t="shared" si="252"/>
        <v>9420049901</v>
      </c>
      <c r="E1638" s="3" t="s">
        <v>3</v>
      </c>
      <c r="F1638" s="3" t="s">
        <v>64</v>
      </c>
      <c r="H1638" s="3">
        <v>1.0399999999999998</v>
      </c>
      <c r="I1638" s="10">
        <f t="shared" si="253"/>
        <v>85.909195723826471</v>
      </c>
      <c r="J1638" s="3">
        <v>0.36317416007826547</v>
      </c>
      <c r="K1638" s="3">
        <v>0</v>
      </c>
      <c r="L1638" s="3">
        <f t="shared" si="254"/>
        <v>0</v>
      </c>
      <c r="N1638" s="11">
        <f t="shared" si="255"/>
        <v>0.6768258399217344</v>
      </c>
      <c r="O1638" s="3">
        <v>0.36317416007826547</v>
      </c>
      <c r="P1638" s="11">
        <f t="shared" si="256"/>
        <v>55.909195723826478</v>
      </c>
      <c r="Q1638" s="12">
        <f t="shared" si="257"/>
        <v>29.653324165141942</v>
      </c>
      <c r="R1638" s="13">
        <f t="shared" si="258"/>
        <v>170.13190436797507</v>
      </c>
      <c r="S1638" s="3" t="s">
        <v>31</v>
      </c>
      <c r="T1638" s="3" t="s">
        <v>28</v>
      </c>
      <c r="U1638" s="10">
        <v>9420049900999</v>
      </c>
      <c r="V1638" s="3">
        <v>0.1</v>
      </c>
      <c r="W1638" s="3">
        <f t="shared" si="259"/>
        <v>0</v>
      </c>
      <c r="AA1638" s="3">
        <v>45</v>
      </c>
    </row>
    <row r="1639" spans="1:27" x14ac:dyDescent="0.3">
      <c r="A1639" s="3" t="str">
        <f t="shared" si="250"/>
        <v>North9330229902839</v>
      </c>
      <c r="B1639" s="3" t="str">
        <f t="shared" si="251"/>
        <v>Lud9330229902839</v>
      </c>
      <c r="C1639" s="10">
        <v>9330229902839</v>
      </c>
      <c r="D1639" s="10" t="str">
        <f t="shared" si="252"/>
        <v>9330229902</v>
      </c>
      <c r="E1639" s="3" t="s">
        <v>3</v>
      </c>
      <c r="F1639" s="3" t="s">
        <v>64</v>
      </c>
      <c r="H1639" s="3">
        <v>0.88919999999999988</v>
      </c>
      <c r="I1639" s="10">
        <f t="shared" si="253"/>
        <v>77.763389790521543</v>
      </c>
      <c r="J1639" s="3">
        <v>0.34304060139172959</v>
      </c>
      <c r="K1639" s="3">
        <v>0</v>
      </c>
      <c r="L1639" s="3">
        <f t="shared" si="254"/>
        <v>0</v>
      </c>
      <c r="N1639" s="11">
        <f t="shared" si="255"/>
        <v>0.54615939860827023</v>
      </c>
      <c r="O1639" s="3">
        <v>0.34304060139172959</v>
      </c>
      <c r="P1639" s="11">
        <f t="shared" si="256"/>
        <v>47.763389790521543</v>
      </c>
      <c r="Q1639" s="12">
        <f t="shared" si="257"/>
        <v>33.670560225315988</v>
      </c>
      <c r="R1639" s="13">
        <f t="shared" si="258"/>
        <v>48.433917155210573</v>
      </c>
      <c r="S1639" s="3" t="s">
        <v>31</v>
      </c>
      <c r="T1639" s="3" t="s">
        <v>35</v>
      </c>
      <c r="U1639" s="10">
        <v>0</v>
      </c>
      <c r="V1639" s="3">
        <v>0</v>
      </c>
      <c r="W1639" s="3">
        <f t="shared" si="259"/>
        <v>0</v>
      </c>
      <c r="AA1639" s="3">
        <v>45</v>
      </c>
    </row>
    <row r="1640" spans="1:27" x14ac:dyDescent="0.3">
      <c r="A1640" s="3" t="str">
        <f t="shared" si="250"/>
        <v>North9330229902097</v>
      </c>
      <c r="B1640" s="3" t="str">
        <f t="shared" si="251"/>
        <v>Lud9330229902097</v>
      </c>
      <c r="C1640" s="10">
        <v>9330229902097</v>
      </c>
      <c r="D1640" s="10" t="str">
        <f t="shared" si="252"/>
        <v>9330229902</v>
      </c>
      <c r="E1640" s="3" t="s">
        <v>3</v>
      </c>
      <c r="F1640" s="3" t="s">
        <v>64</v>
      </c>
      <c r="H1640" s="3">
        <v>0.57232499999999997</v>
      </c>
      <c r="I1640" s="10">
        <f t="shared" si="253"/>
        <v>55.178194650758776</v>
      </c>
      <c r="J1640" s="3">
        <v>0.3111691150584589</v>
      </c>
      <c r="K1640" s="3">
        <v>0</v>
      </c>
      <c r="L1640" s="3">
        <f t="shared" si="254"/>
        <v>0</v>
      </c>
      <c r="N1640" s="11">
        <f t="shared" si="255"/>
        <v>0.26115588494154107</v>
      </c>
      <c r="O1640" s="3">
        <v>0.3111691150584589</v>
      </c>
      <c r="P1640" s="11">
        <f t="shared" si="256"/>
        <v>25.178194650758776</v>
      </c>
      <c r="Q1640" s="12">
        <f t="shared" si="257"/>
        <v>90.154606005478698</v>
      </c>
      <c r="R1640" s="13">
        <f t="shared" si="258"/>
        <v>47.904418810658399</v>
      </c>
      <c r="S1640" s="3" t="s">
        <v>31</v>
      </c>
      <c r="T1640" s="3" t="s">
        <v>35</v>
      </c>
      <c r="U1640" s="10">
        <v>0</v>
      </c>
      <c r="V1640" s="3">
        <v>0</v>
      </c>
      <c r="W1640" s="3">
        <f t="shared" si="259"/>
        <v>0</v>
      </c>
      <c r="AA1640" s="3">
        <v>45</v>
      </c>
    </row>
    <row r="1641" spans="1:27" x14ac:dyDescent="0.3">
      <c r="A1641" s="3" t="str">
        <f t="shared" si="250"/>
        <v>North9330229902297</v>
      </c>
      <c r="B1641" s="3" t="str">
        <f t="shared" si="251"/>
        <v>Lud9330229902297</v>
      </c>
      <c r="C1641" s="10">
        <v>9330229902297</v>
      </c>
      <c r="D1641" s="10" t="str">
        <f t="shared" si="252"/>
        <v>9330229902</v>
      </c>
      <c r="E1641" s="3" t="s">
        <v>3</v>
      </c>
      <c r="F1641" s="3" t="s">
        <v>64</v>
      </c>
      <c r="H1641" s="3">
        <v>1.0335000000000001</v>
      </c>
      <c r="I1641" s="10">
        <f t="shared" si="253"/>
        <v>121.08508035973729</v>
      </c>
      <c r="J1641" s="3">
        <v>0.25605962277008704</v>
      </c>
      <c r="K1641" s="3">
        <v>0</v>
      </c>
      <c r="L1641" s="3">
        <f t="shared" si="254"/>
        <v>0</v>
      </c>
      <c r="N1641" s="11">
        <f t="shared" si="255"/>
        <v>0.77744037722991299</v>
      </c>
      <c r="O1641" s="3">
        <v>0.25605962277008704</v>
      </c>
      <c r="P1641" s="11">
        <f t="shared" si="256"/>
        <v>91.085080359737276</v>
      </c>
      <c r="Q1641" s="12">
        <f t="shared" si="257"/>
        <v>52.305130892619168</v>
      </c>
      <c r="R1641" s="13">
        <f t="shared" si="258"/>
        <v>49.054469785282997</v>
      </c>
      <c r="S1641" s="3" t="s">
        <v>31</v>
      </c>
      <c r="T1641" s="3" t="s">
        <v>35</v>
      </c>
      <c r="U1641" s="10">
        <v>9330229900999</v>
      </c>
      <c r="V1641" s="3">
        <v>0.1</v>
      </c>
      <c r="W1641" s="3">
        <f t="shared" si="259"/>
        <v>0</v>
      </c>
      <c r="AA1641" s="3">
        <v>45</v>
      </c>
    </row>
    <row r="1642" spans="1:27" x14ac:dyDescent="0.3">
      <c r="A1642" s="3" t="str">
        <f t="shared" si="250"/>
        <v>North9420049900840</v>
      </c>
      <c r="B1642" s="3" t="str">
        <f t="shared" si="251"/>
        <v>Lud9420049900840</v>
      </c>
      <c r="C1642" s="10">
        <v>9420049900840</v>
      </c>
      <c r="D1642" s="10" t="str">
        <f t="shared" si="252"/>
        <v>9420049900</v>
      </c>
      <c r="E1642" s="3" t="s">
        <v>3</v>
      </c>
      <c r="F1642" s="3" t="s">
        <v>64</v>
      </c>
      <c r="H1642" s="3">
        <v>0.83199999999999996</v>
      </c>
      <c r="I1642" s="10">
        <f t="shared" si="253"/>
        <v>232.24641433926271</v>
      </c>
      <c r="J1642" s="3">
        <v>0.10747205751705918</v>
      </c>
      <c r="K1642" s="3">
        <v>0</v>
      </c>
      <c r="L1642" s="3">
        <f t="shared" si="254"/>
        <v>0</v>
      </c>
      <c r="N1642" s="11">
        <f t="shared" si="255"/>
        <v>0.72452794248294072</v>
      </c>
      <c r="O1642" s="3">
        <v>0.10747205751705918</v>
      </c>
      <c r="P1642" s="11">
        <f t="shared" si="256"/>
        <v>202.24641433926269</v>
      </c>
      <c r="Q1642" s="12">
        <f t="shared" si="257"/>
        <v>219.46494742213062</v>
      </c>
      <c r="R1642" s="13">
        <f t="shared" si="258"/>
        <v>167.18429092706845</v>
      </c>
      <c r="S1642" s="3" t="s">
        <v>31</v>
      </c>
      <c r="T1642" s="3" t="s">
        <v>28</v>
      </c>
      <c r="U1642" s="10">
        <v>0</v>
      </c>
      <c r="V1642" s="3">
        <v>0</v>
      </c>
      <c r="W1642" s="3">
        <f t="shared" si="259"/>
        <v>0</v>
      </c>
      <c r="AA1642" s="3">
        <v>45</v>
      </c>
    </row>
    <row r="1643" spans="1:27" x14ac:dyDescent="0.3">
      <c r="A1643" s="3" t="str">
        <f t="shared" si="250"/>
        <v>North9420049901840</v>
      </c>
      <c r="B1643" s="3" t="str">
        <f t="shared" si="251"/>
        <v>Lud9420049901840</v>
      </c>
      <c r="C1643" s="10">
        <v>9420049901840</v>
      </c>
      <c r="D1643" s="10" t="str">
        <f t="shared" si="252"/>
        <v>9420049901</v>
      </c>
      <c r="E1643" s="3" t="s">
        <v>3</v>
      </c>
      <c r="F1643" s="3" t="s">
        <v>64</v>
      </c>
      <c r="H1643" s="3">
        <v>0.26400000000000001</v>
      </c>
      <c r="I1643" s="10">
        <f t="shared" si="253"/>
        <v>74.279720941029566</v>
      </c>
      <c r="J1643" s="3">
        <v>0.10662398700026975</v>
      </c>
      <c r="K1643" s="3">
        <v>0</v>
      </c>
      <c r="L1643" s="3">
        <f t="shared" si="254"/>
        <v>0</v>
      </c>
      <c r="N1643" s="11">
        <f t="shared" si="255"/>
        <v>0.15737601299973025</v>
      </c>
      <c r="O1643" s="3">
        <v>0.10662398700026975</v>
      </c>
      <c r="P1643" s="11">
        <f t="shared" si="256"/>
        <v>44.279720941029552</v>
      </c>
      <c r="Q1643" s="12">
        <f t="shared" si="257"/>
        <v>73.661129129422036</v>
      </c>
      <c r="R1643" s="13">
        <f t="shared" si="258"/>
        <v>99.630784822686721</v>
      </c>
      <c r="S1643" s="3" t="s">
        <v>31</v>
      </c>
      <c r="T1643" s="3" t="s">
        <v>28</v>
      </c>
      <c r="U1643" s="10">
        <v>0</v>
      </c>
      <c r="V1643" s="3">
        <v>0</v>
      </c>
      <c r="W1643" s="3">
        <f t="shared" si="259"/>
        <v>0</v>
      </c>
      <c r="AA1643" s="3">
        <v>45</v>
      </c>
    </row>
    <row r="1644" spans="1:27" x14ac:dyDescent="0.3">
      <c r="A1644" s="3" t="str">
        <f t="shared" si="250"/>
        <v>North9420049901210</v>
      </c>
      <c r="B1644" s="3" t="str">
        <f t="shared" si="251"/>
        <v>Lud9420049901210</v>
      </c>
      <c r="C1644" s="10">
        <v>9420049901210</v>
      </c>
      <c r="D1644" s="10" t="str">
        <f t="shared" si="252"/>
        <v>9420049901</v>
      </c>
      <c r="E1644" s="3" t="s">
        <v>3</v>
      </c>
      <c r="F1644" s="3" t="s">
        <v>64</v>
      </c>
      <c r="H1644" s="3">
        <v>9.0180000000000007</v>
      </c>
      <c r="I1644" s="10">
        <f t="shared" si="253"/>
        <v>5250.773607482648</v>
      </c>
      <c r="J1644" s="3">
        <v>5.1523836338033181E-2</v>
      </c>
      <c r="K1644" s="3">
        <v>0</v>
      </c>
      <c r="L1644" s="3">
        <f t="shared" si="254"/>
        <v>0</v>
      </c>
      <c r="N1644" s="11">
        <f t="shared" si="255"/>
        <v>8.9664761636619676</v>
      </c>
      <c r="O1644" s="3">
        <v>5.1523836338033181E-2</v>
      </c>
      <c r="P1644" s="11">
        <f t="shared" si="256"/>
        <v>5220.773607482648</v>
      </c>
      <c r="Q1644" s="12">
        <f t="shared" si="257"/>
        <v>2621.3359743903925</v>
      </c>
      <c r="R1644" s="13">
        <f t="shared" si="258"/>
        <v>1134.7604804875584</v>
      </c>
      <c r="S1644" s="3" t="s">
        <v>31</v>
      </c>
      <c r="T1644" s="3" t="s">
        <v>28</v>
      </c>
      <c r="U1644" s="10">
        <v>0</v>
      </c>
      <c r="V1644" s="3">
        <v>0</v>
      </c>
      <c r="W1644" s="3">
        <f t="shared" si="259"/>
        <v>0</v>
      </c>
      <c r="AA1644" s="3">
        <v>45</v>
      </c>
    </row>
    <row r="1645" spans="1:27" x14ac:dyDescent="0.3">
      <c r="A1645" s="3" t="str">
        <f t="shared" si="250"/>
        <v>North9420049900210</v>
      </c>
      <c r="B1645" s="3" t="str">
        <f t="shared" si="251"/>
        <v>Lud9420049900210</v>
      </c>
      <c r="C1645" s="10">
        <v>9420049900210</v>
      </c>
      <c r="D1645" s="10" t="str">
        <f t="shared" si="252"/>
        <v>9420049900</v>
      </c>
      <c r="E1645" s="3" t="s">
        <v>3</v>
      </c>
      <c r="F1645" s="3" t="s">
        <v>64</v>
      </c>
      <c r="H1645" s="3">
        <v>0.27</v>
      </c>
      <c r="I1645" s="10">
        <f t="shared" si="253"/>
        <v>332.71941929270577</v>
      </c>
      <c r="J1645" s="3">
        <v>2.4344836911590444E-2</v>
      </c>
      <c r="K1645" s="3">
        <v>0</v>
      </c>
      <c r="L1645" s="3">
        <f t="shared" si="254"/>
        <v>0</v>
      </c>
      <c r="N1645" s="11">
        <f t="shared" si="255"/>
        <v>0.24565516308840957</v>
      </c>
      <c r="O1645" s="3">
        <v>2.4344836911590444E-2</v>
      </c>
      <c r="P1645" s="11">
        <f t="shared" si="256"/>
        <v>302.71941929270571</v>
      </c>
      <c r="Q1645" s="12">
        <f t="shared" si="257"/>
        <v>142.1656860405663</v>
      </c>
      <c r="R1645" s="13">
        <f t="shared" si="258"/>
        <v>145.73828960874476</v>
      </c>
      <c r="S1645" s="3" t="s">
        <v>31</v>
      </c>
      <c r="T1645" s="3" t="s">
        <v>28</v>
      </c>
      <c r="U1645" s="10">
        <v>0</v>
      </c>
      <c r="V1645" s="3">
        <v>0</v>
      </c>
      <c r="W1645" s="3">
        <f t="shared" si="259"/>
        <v>0</v>
      </c>
      <c r="AA1645" s="3">
        <v>45</v>
      </c>
    </row>
    <row r="1646" spans="1:27" x14ac:dyDescent="0.3">
      <c r="A1646" s="3" t="str">
        <f t="shared" si="250"/>
        <v>South9360029900320</v>
      </c>
      <c r="B1646" s="3" t="str">
        <f t="shared" si="251"/>
        <v>CMR9360029900320</v>
      </c>
      <c r="C1646" s="10">
        <v>9360029900320</v>
      </c>
      <c r="D1646" s="10" t="str">
        <f t="shared" si="252"/>
        <v>9360029900</v>
      </c>
      <c r="E1646" s="3" t="s">
        <v>5</v>
      </c>
      <c r="F1646" s="3" t="s">
        <v>65</v>
      </c>
      <c r="H1646" s="3">
        <v>63.58</v>
      </c>
      <c r="I1646" s="10">
        <f t="shared" si="253"/>
        <v>17.590205050059449</v>
      </c>
      <c r="J1646" s="3">
        <v>108.43534765921068</v>
      </c>
      <c r="K1646" s="3">
        <v>213.75</v>
      </c>
      <c r="L1646" s="3">
        <f t="shared" si="254"/>
        <v>0</v>
      </c>
      <c r="N1646" s="11">
        <f t="shared" si="255"/>
        <v>-44.855347659210679</v>
      </c>
      <c r="O1646" s="3">
        <v>108.43534765921068</v>
      </c>
      <c r="P1646" s="11">
        <f t="shared" si="256"/>
        <v>-12.409794949940549</v>
      </c>
      <c r="Q1646" s="12">
        <f t="shared" si="257"/>
        <v>-16.207249636030692</v>
      </c>
      <c r="R1646" s="13">
        <f t="shared" si="258"/>
        <v>-17.132899621612285</v>
      </c>
      <c r="S1646" s="3" t="s">
        <v>29</v>
      </c>
      <c r="T1646" s="3" t="s">
        <v>33</v>
      </c>
      <c r="U1646" s="10">
        <v>9360029900999</v>
      </c>
      <c r="V1646" s="3">
        <v>0.1</v>
      </c>
      <c r="W1646" s="3">
        <f t="shared" si="259"/>
        <v>21.375</v>
      </c>
      <c r="AA1646" s="3">
        <v>45</v>
      </c>
    </row>
    <row r="1647" spans="1:27" x14ac:dyDescent="0.3">
      <c r="A1647" s="3" t="str">
        <f t="shared" si="250"/>
        <v>South9330229901320</v>
      </c>
      <c r="B1647" s="3" t="str">
        <f t="shared" si="251"/>
        <v>CMR9330229901320</v>
      </c>
      <c r="C1647" s="10">
        <v>9330229901320</v>
      </c>
      <c r="D1647" s="10" t="str">
        <f t="shared" si="252"/>
        <v>9330229901</v>
      </c>
      <c r="E1647" s="3" t="s">
        <v>5</v>
      </c>
      <c r="F1647" s="3" t="s">
        <v>65</v>
      </c>
      <c r="H1647" s="3">
        <v>12.979999999999999</v>
      </c>
      <c r="I1647" s="10">
        <f t="shared" si="253"/>
        <v>19.006496870563215</v>
      </c>
      <c r="J1647" s="3">
        <v>20.48773125588929</v>
      </c>
      <c r="K1647" s="3">
        <v>0</v>
      </c>
      <c r="L1647" s="3">
        <f t="shared" si="254"/>
        <v>0</v>
      </c>
      <c r="N1647" s="11">
        <f t="shared" si="255"/>
        <v>-7.5077312558892917</v>
      </c>
      <c r="O1647" s="3">
        <v>20.48773125588929</v>
      </c>
      <c r="P1647" s="11">
        <f t="shared" si="256"/>
        <v>-10.993503129436785</v>
      </c>
      <c r="Q1647" s="12">
        <f t="shared" si="257"/>
        <v>-9.1141617744355301</v>
      </c>
      <c r="R1647" s="13">
        <f t="shared" si="258"/>
        <v>5.2822110886760649</v>
      </c>
      <c r="S1647" s="3" t="s">
        <v>29</v>
      </c>
      <c r="T1647" s="3" t="s">
        <v>35</v>
      </c>
      <c r="U1647" s="10">
        <v>9330229900999</v>
      </c>
      <c r="V1647" s="3">
        <v>0.1</v>
      </c>
      <c r="W1647" s="3">
        <f t="shared" si="259"/>
        <v>0</v>
      </c>
      <c r="AA1647" s="3">
        <v>45</v>
      </c>
    </row>
    <row r="1648" spans="1:27" x14ac:dyDescent="0.3">
      <c r="A1648" s="3" t="str">
        <f t="shared" si="250"/>
        <v>South9360029900310</v>
      </c>
      <c r="B1648" s="3" t="str">
        <f t="shared" si="251"/>
        <v>CMR9360029900310</v>
      </c>
      <c r="C1648" s="10">
        <v>9360029900310</v>
      </c>
      <c r="D1648" s="10" t="str">
        <f t="shared" si="252"/>
        <v>9360029900</v>
      </c>
      <c r="E1648" s="3" t="s">
        <v>5</v>
      </c>
      <c r="F1648" s="3" t="s">
        <v>65</v>
      </c>
      <c r="H1648" s="3">
        <v>15.24</v>
      </c>
      <c r="I1648" s="10">
        <f t="shared" si="253"/>
        <v>26.055163050087693</v>
      </c>
      <c r="J1648" s="3">
        <v>17.547385872085773</v>
      </c>
      <c r="K1648" s="3">
        <v>22.5</v>
      </c>
      <c r="L1648" s="3">
        <f t="shared" si="254"/>
        <v>0</v>
      </c>
      <c r="N1648" s="11">
        <f t="shared" si="255"/>
        <v>-2.3073858720857725</v>
      </c>
      <c r="O1648" s="3">
        <v>17.547385872085773</v>
      </c>
      <c r="P1648" s="11">
        <f t="shared" si="256"/>
        <v>-3.9448369499123088</v>
      </c>
      <c r="Q1648" s="12">
        <f t="shared" si="257"/>
        <v>-5.194050252342727</v>
      </c>
      <c r="R1648" s="13">
        <f t="shared" si="258"/>
        <v>-3.3162661745390394</v>
      </c>
      <c r="S1648" s="3" t="s">
        <v>29</v>
      </c>
      <c r="T1648" s="3" t="s">
        <v>33</v>
      </c>
      <c r="U1648" s="10">
        <v>9360029900999</v>
      </c>
      <c r="V1648" s="3">
        <v>0.1</v>
      </c>
      <c r="W1648" s="3">
        <f t="shared" si="259"/>
        <v>2.25</v>
      </c>
      <c r="AA1648" s="3">
        <v>45</v>
      </c>
    </row>
    <row r="1649" spans="1:27" x14ac:dyDescent="0.3">
      <c r="A1649" s="3" t="str">
        <f t="shared" si="250"/>
        <v>South9420049900320</v>
      </c>
      <c r="B1649" s="3" t="str">
        <f t="shared" si="251"/>
        <v>CMR9420049900320</v>
      </c>
      <c r="C1649" s="10">
        <v>9420049900320</v>
      </c>
      <c r="D1649" s="10" t="str">
        <f t="shared" si="252"/>
        <v>9420049900</v>
      </c>
      <c r="E1649" s="3" t="s">
        <v>5</v>
      </c>
      <c r="F1649" s="3" t="s">
        <v>65</v>
      </c>
      <c r="H1649" s="3">
        <v>3.6199999999999997</v>
      </c>
      <c r="I1649" s="10">
        <f t="shared" si="253"/>
        <v>15.034686545865094</v>
      </c>
      <c r="J1649" s="3">
        <v>7.2232965861112444</v>
      </c>
      <c r="K1649" s="3">
        <v>22.5</v>
      </c>
      <c r="L1649" s="3">
        <f t="shared" si="254"/>
        <v>0</v>
      </c>
      <c r="N1649" s="11">
        <f t="shared" si="255"/>
        <v>-3.6032965861112447</v>
      </c>
      <c r="O1649" s="3">
        <v>7.2232965861112444</v>
      </c>
      <c r="P1649" s="11">
        <f t="shared" si="256"/>
        <v>-14.965313454134906</v>
      </c>
      <c r="Q1649" s="12">
        <f t="shared" si="257"/>
        <v>-11.080777412641744</v>
      </c>
      <c r="R1649" s="13">
        <f t="shared" si="258"/>
        <v>-12.150289115008475</v>
      </c>
      <c r="S1649" s="3" t="s">
        <v>31</v>
      </c>
      <c r="T1649" s="3" t="s">
        <v>28</v>
      </c>
      <c r="U1649" s="10">
        <v>9420049900999</v>
      </c>
      <c r="V1649" s="3">
        <v>0.1</v>
      </c>
      <c r="W1649" s="3">
        <f t="shared" si="259"/>
        <v>2.25</v>
      </c>
      <c r="AA1649" s="3">
        <v>45</v>
      </c>
    </row>
    <row r="1650" spans="1:27" x14ac:dyDescent="0.3">
      <c r="A1650" s="3" t="str">
        <f t="shared" si="250"/>
        <v>South9330229901310</v>
      </c>
      <c r="B1650" s="3" t="str">
        <f t="shared" si="251"/>
        <v>CMR9330229901310</v>
      </c>
      <c r="C1650" s="10">
        <v>9330229901310</v>
      </c>
      <c r="D1650" s="10" t="str">
        <f t="shared" si="252"/>
        <v>9330229901</v>
      </c>
      <c r="E1650" s="3" t="s">
        <v>5</v>
      </c>
      <c r="F1650" s="3" t="s">
        <v>65</v>
      </c>
      <c r="H1650" s="3">
        <v>9.61</v>
      </c>
      <c r="I1650" s="10">
        <f t="shared" si="253"/>
        <v>56.271365745029136</v>
      </c>
      <c r="J1650" s="3">
        <v>5.1233872891287993</v>
      </c>
      <c r="K1650" s="3">
        <v>0</v>
      </c>
      <c r="L1650" s="3">
        <f t="shared" si="254"/>
        <v>0</v>
      </c>
      <c r="N1650" s="11">
        <f t="shared" si="255"/>
        <v>4.4866127108712002</v>
      </c>
      <c r="O1650" s="3">
        <v>5.1233872891287993</v>
      </c>
      <c r="P1650" s="11">
        <f t="shared" si="256"/>
        <v>26.271365745029133</v>
      </c>
      <c r="Q1650" s="12">
        <f t="shared" si="257"/>
        <v>11.825524546816492</v>
      </c>
      <c r="R1650" s="13">
        <f t="shared" si="258"/>
        <v>9.6850554515557317</v>
      </c>
      <c r="S1650" s="3" t="s">
        <v>30</v>
      </c>
      <c r="T1650" s="3" t="s">
        <v>35</v>
      </c>
      <c r="U1650" s="10">
        <v>9330229900999</v>
      </c>
      <c r="V1650" s="3">
        <v>0.1</v>
      </c>
      <c r="W1650" s="3">
        <f t="shared" si="259"/>
        <v>0</v>
      </c>
      <c r="AA1650" s="3">
        <v>45</v>
      </c>
    </row>
    <row r="1651" spans="1:27" x14ac:dyDescent="0.3">
      <c r="A1651" s="3" t="str">
        <f t="shared" si="250"/>
        <v>South9360029900840</v>
      </c>
      <c r="B1651" s="3" t="str">
        <f t="shared" si="251"/>
        <v>CMR9360029900840</v>
      </c>
      <c r="C1651" s="10">
        <v>9360029900840</v>
      </c>
      <c r="D1651" s="10" t="str">
        <f t="shared" si="252"/>
        <v>9360029900</v>
      </c>
      <c r="E1651" s="3" t="s">
        <v>5</v>
      </c>
      <c r="F1651" s="3" t="s">
        <v>65</v>
      </c>
      <c r="H1651" s="3">
        <v>1.8400000000000005</v>
      </c>
      <c r="I1651" s="10">
        <f t="shared" si="253"/>
        <v>12.425775328812108</v>
      </c>
      <c r="J1651" s="3">
        <v>4.4423787280304126</v>
      </c>
      <c r="K1651" s="3">
        <v>11.25</v>
      </c>
      <c r="L1651" s="3">
        <f t="shared" si="254"/>
        <v>0</v>
      </c>
      <c r="N1651" s="11">
        <f t="shared" si="255"/>
        <v>-2.6023787280304118</v>
      </c>
      <c r="O1651" s="3">
        <v>4.4423787280304126</v>
      </c>
      <c r="P1651" s="11">
        <f t="shared" si="256"/>
        <v>-17.574224671187892</v>
      </c>
      <c r="Q1651" s="12">
        <f t="shared" si="257"/>
        <v>-3.5958657648513799</v>
      </c>
      <c r="R1651" s="13">
        <f t="shared" si="258"/>
        <v>-5.4655961298356379</v>
      </c>
      <c r="S1651" s="3" t="s">
        <v>30</v>
      </c>
      <c r="T1651" s="3" t="s">
        <v>33</v>
      </c>
      <c r="U1651" s="10">
        <v>0</v>
      </c>
      <c r="V1651" s="3">
        <v>0</v>
      </c>
      <c r="W1651" s="3">
        <f t="shared" si="259"/>
        <v>0</v>
      </c>
      <c r="AA1651" s="3">
        <v>45</v>
      </c>
    </row>
    <row r="1652" spans="1:27" x14ac:dyDescent="0.3">
      <c r="A1652" s="3" t="str">
        <f t="shared" si="250"/>
        <v>South9330229901840</v>
      </c>
      <c r="B1652" s="3" t="str">
        <f t="shared" si="251"/>
        <v>CMR9330229901840</v>
      </c>
      <c r="C1652" s="10">
        <v>9330229901840</v>
      </c>
      <c r="D1652" s="10" t="str">
        <f t="shared" si="252"/>
        <v>9330229901</v>
      </c>
      <c r="E1652" s="3" t="s">
        <v>5</v>
      </c>
      <c r="F1652" s="3" t="s">
        <v>65</v>
      </c>
      <c r="H1652" s="3">
        <v>1.1120000000000001</v>
      </c>
      <c r="I1652" s="10">
        <f t="shared" si="253"/>
        <v>22.56551346046691</v>
      </c>
      <c r="J1652" s="3">
        <v>1.47836210589421</v>
      </c>
      <c r="K1652" s="3">
        <v>0</v>
      </c>
      <c r="L1652" s="3">
        <f t="shared" si="254"/>
        <v>0</v>
      </c>
      <c r="N1652" s="11">
        <f t="shared" si="255"/>
        <v>-0.36636210589420992</v>
      </c>
      <c r="O1652" s="3">
        <v>1.47836210589421</v>
      </c>
      <c r="P1652" s="11">
        <f t="shared" si="256"/>
        <v>-7.4344865395330899</v>
      </c>
      <c r="Q1652" s="12">
        <f t="shared" si="257"/>
        <v>33.975478678314502</v>
      </c>
      <c r="R1652" s="13">
        <f t="shared" si="258"/>
        <v>20.316513479669023</v>
      </c>
      <c r="S1652" s="3" t="s">
        <v>31</v>
      </c>
      <c r="T1652" s="3" t="s">
        <v>35</v>
      </c>
      <c r="U1652" s="10">
        <v>0</v>
      </c>
      <c r="V1652" s="3">
        <v>0</v>
      </c>
      <c r="W1652" s="3">
        <f t="shared" si="259"/>
        <v>0</v>
      </c>
      <c r="AA1652" s="3">
        <v>45</v>
      </c>
    </row>
    <row r="1653" spans="1:27" x14ac:dyDescent="0.3">
      <c r="A1653" s="3" t="str">
        <f t="shared" si="250"/>
        <v>South9420049900310</v>
      </c>
      <c r="B1653" s="3" t="str">
        <f t="shared" si="251"/>
        <v>CMR9420049900310</v>
      </c>
      <c r="C1653" s="10">
        <v>9420049900310</v>
      </c>
      <c r="D1653" s="10" t="str">
        <f t="shared" si="252"/>
        <v>9420049900</v>
      </c>
      <c r="E1653" s="3" t="s">
        <v>5</v>
      </c>
      <c r="F1653" s="3" t="s">
        <v>65</v>
      </c>
      <c r="H1653" s="3">
        <v>1.3600000000000003</v>
      </c>
      <c r="I1653" s="10">
        <f t="shared" si="253"/>
        <v>35.907255565278902</v>
      </c>
      <c r="J1653" s="3">
        <v>1.1362606068800263</v>
      </c>
      <c r="K1653" s="3">
        <v>0</v>
      </c>
      <c r="L1653" s="3">
        <f t="shared" si="254"/>
        <v>0</v>
      </c>
      <c r="N1653" s="11">
        <f t="shared" si="255"/>
        <v>0.22373939311997404</v>
      </c>
      <c r="O1653" s="3">
        <v>1.1362606068800263</v>
      </c>
      <c r="P1653" s="11">
        <f t="shared" si="256"/>
        <v>5.9072555652789047</v>
      </c>
      <c r="Q1653" s="12">
        <f t="shared" si="257"/>
        <v>15.412117332558614</v>
      </c>
      <c r="R1653" s="13">
        <f t="shared" si="258"/>
        <v>92.642613835035363</v>
      </c>
      <c r="S1653" s="3" t="s">
        <v>31</v>
      </c>
      <c r="T1653" s="3" t="s">
        <v>28</v>
      </c>
      <c r="U1653" s="10">
        <v>9420049900999</v>
      </c>
      <c r="V1653" s="3">
        <v>0.1</v>
      </c>
      <c r="W1653" s="3">
        <f t="shared" si="259"/>
        <v>0</v>
      </c>
      <c r="AA1653" s="3">
        <v>45</v>
      </c>
    </row>
    <row r="1654" spans="1:27" x14ac:dyDescent="0.3">
      <c r="A1654" s="3" t="str">
        <f t="shared" si="250"/>
        <v>South9330229901210</v>
      </c>
      <c r="B1654" s="3" t="str">
        <f t="shared" si="251"/>
        <v>CMR9330229901210</v>
      </c>
      <c r="C1654" s="10">
        <v>9330229901210</v>
      </c>
      <c r="D1654" s="10" t="str">
        <f t="shared" si="252"/>
        <v>9330229901</v>
      </c>
      <c r="E1654" s="3" t="s">
        <v>5</v>
      </c>
      <c r="F1654" s="3" t="s">
        <v>65</v>
      </c>
      <c r="H1654" s="3">
        <v>0.55200000000000005</v>
      </c>
      <c r="I1654" s="10">
        <f t="shared" si="253"/>
        <v>29.210260584777281</v>
      </c>
      <c r="J1654" s="3">
        <v>0.56692407628263775</v>
      </c>
      <c r="K1654" s="3">
        <v>0</v>
      </c>
      <c r="L1654" s="3">
        <f t="shared" si="254"/>
        <v>0</v>
      </c>
      <c r="N1654" s="11">
        <f t="shared" si="255"/>
        <v>-1.4924076282637699E-2</v>
      </c>
      <c r="O1654" s="3">
        <v>0.56692407628263775</v>
      </c>
      <c r="P1654" s="11">
        <f t="shared" si="256"/>
        <v>-0.78973941522271984</v>
      </c>
      <c r="Q1654" s="12">
        <f t="shared" si="257"/>
        <v>18.549798698062951</v>
      </c>
      <c r="R1654" s="13">
        <f t="shared" si="258"/>
        <v>40.97444806865218</v>
      </c>
      <c r="S1654" s="3" t="s">
        <v>31</v>
      </c>
      <c r="T1654" s="3" t="s">
        <v>35</v>
      </c>
      <c r="U1654" s="10">
        <v>0</v>
      </c>
      <c r="V1654" s="3">
        <v>0</v>
      </c>
      <c r="W1654" s="3">
        <f t="shared" si="259"/>
        <v>0</v>
      </c>
      <c r="AA1654" s="3">
        <v>45</v>
      </c>
    </row>
    <row r="1655" spans="1:27" x14ac:dyDescent="0.3">
      <c r="A1655" s="3" t="str">
        <f t="shared" si="250"/>
        <v>South9360029900210</v>
      </c>
      <c r="B1655" s="3" t="str">
        <f t="shared" si="251"/>
        <v>CMR9360029900210</v>
      </c>
      <c r="C1655" s="10">
        <v>9360029900210</v>
      </c>
      <c r="D1655" s="10" t="str">
        <f t="shared" si="252"/>
        <v>9360029900</v>
      </c>
      <c r="E1655" s="3" t="s">
        <v>5</v>
      </c>
      <c r="F1655" s="3" t="s">
        <v>65</v>
      </c>
      <c r="H1655" s="3">
        <v>0.55599999999999994</v>
      </c>
      <c r="I1655" s="10">
        <f t="shared" si="253"/>
        <v>56.510663006882261</v>
      </c>
      <c r="J1655" s="3">
        <v>0.29516553359086573</v>
      </c>
      <c r="K1655" s="3">
        <v>0</v>
      </c>
      <c r="L1655" s="3">
        <f t="shared" si="254"/>
        <v>0</v>
      </c>
      <c r="N1655" s="11">
        <f t="shared" si="255"/>
        <v>0.26083446640913421</v>
      </c>
      <c r="O1655" s="3">
        <v>0.29516553359086573</v>
      </c>
      <c r="P1655" s="11">
        <f t="shared" si="256"/>
        <v>26.510663006882258</v>
      </c>
      <c r="Q1655" s="12">
        <f t="shared" si="257"/>
        <v>25.175773703665989</v>
      </c>
      <c r="R1655" s="13">
        <f t="shared" si="258"/>
        <v>28.25136322109687</v>
      </c>
      <c r="S1655" s="3" t="s">
        <v>31</v>
      </c>
      <c r="T1655" s="3" t="s">
        <v>33</v>
      </c>
      <c r="U1655" s="10">
        <v>0</v>
      </c>
      <c r="V1655" s="3">
        <v>0</v>
      </c>
      <c r="W1655" s="3">
        <f t="shared" si="259"/>
        <v>0</v>
      </c>
      <c r="AA1655" s="3">
        <v>45</v>
      </c>
    </row>
    <row r="1656" spans="1:27" x14ac:dyDescent="0.3">
      <c r="A1656" s="3" t="str">
        <f t="shared" si="250"/>
        <v>South9420049900840</v>
      </c>
      <c r="B1656" s="3" t="str">
        <f t="shared" si="251"/>
        <v>CMR9420049900840</v>
      </c>
      <c r="C1656" s="10">
        <v>9420049900840</v>
      </c>
      <c r="D1656" s="10" t="str">
        <f t="shared" si="252"/>
        <v>9420049900</v>
      </c>
      <c r="E1656" s="3" t="s">
        <v>5</v>
      </c>
      <c r="F1656" s="3" t="s">
        <v>65</v>
      </c>
      <c r="H1656" s="3">
        <v>0.26800000000000002</v>
      </c>
      <c r="I1656" s="10">
        <f t="shared" si="253"/>
        <v>53.224643312941772</v>
      </c>
      <c r="J1656" s="3">
        <v>0.15105784650782328</v>
      </c>
      <c r="K1656" s="3">
        <v>0</v>
      </c>
      <c r="L1656" s="3">
        <f t="shared" si="254"/>
        <v>0</v>
      </c>
      <c r="N1656" s="11">
        <f t="shared" si="255"/>
        <v>0.11694215349217674</v>
      </c>
      <c r="O1656" s="3">
        <v>0.15105784650782328</v>
      </c>
      <c r="P1656" s="11">
        <f t="shared" si="256"/>
        <v>23.224643312941772</v>
      </c>
      <c r="Q1656" s="12">
        <f t="shared" si="257"/>
        <v>80.421274932819514</v>
      </c>
      <c r="R1656" s="13">
        <f t="shared" si="258"/>
        <v>167.18429092706845</v>
      </c>
      <c r="S1656" s="3" t="s">
        <v>31</v>
      </c>
      <c r="T1656" s="3" t="s">
        <v>28</v>
      </c>
      <c r="U1656" s="10">
        <v>0</v>
      </c>
      <c r="V1656" s="3">
        <v>0</v>
      </c>
      <c r="W1656" s="3">
        <f t="shared" si="259"/>
        <v>0</v>
      </c>
      <c r="AA1656" s="3">
        <v>45</v>
      </c>
    </row>
    <row r="1657" spans="1:27" x14ac:dyDescent="0.3">
      <c r="A1657" s="3" t="str">
        <f t="shared" si="250"/>
        <v>South9420049900210</v>
      </c>
      <c r="B1657" s="3" t="str">
        <f t="shared" si="251"/>
        <v>CMR9420049900210</v>
      </c>
      <c r="C1657" s="10">
        <v>9420049900210</v>
      </c>
      <c r="D1657" s="10" t="str">
        <f t="shared" si="252"/>
        <v>9420049900</v>
      </c>
      <c r="E1657" s="3" t="s">
        <v>5</v>
      </c>
      <c r="F1657" s="3" t="s">
        <v>65</v>
      </c>
      <c r="H1657" s="3">
        <v>0.193</v>
      </c>
      <c r="I1657" s="10">
        <f t="shared" si="253"/>
        <v>84.449501070470887</v>
      </c>
      <c r="J1657" s="3">
        <v>6.8561683924791894E-2</v>
      </c>
      <c r="K1657" s="3">
        <v>0</v>
      </c>
      <c r="L1657" s="3">
        <f t="shared" si="254"/>
        <v>0</v>
      </c>
      <c r="N1657" s="11">
        <f t="shared" si="255"/>
        <v>0.12443831607520811</v>
      </c>
      <c r="O1657" s="3">
        <v>6.8561683924791894E-2</v>
      </c>
      <c r="P1657" s="11">
        <f t="shared" si="256"/>
        <v>54.449501070470895</v>
      </c>
      <c r="Q1657" s="12">
        <f t="shared" si="257"/>
        <v>124.80992080064793</v>
      </c>
      <c r="R1657" s="13">
        <f t="shared" si="258"/>
        <v>145.73828960874476</v>
      </c>
      <c r="S1657" s="3" t="s">
        <v>31</v>
      </c>
      <c r="T1657" s="3" t="s">
        <v>28</v>
      </c>
      <c r="U1657" s="10">
        <v>0</v>
      </c>
      <c r="V1657" s="3">
        <v>0</v>
      </c>
      <c r="W1657" s="3">
        <f t="shared" si="259"/>
        <v>0</v>
      </c>
      <c r="AA1657" s="3">
        <v>45</v>
      </c>
    </row>
    <row r="1658" spans="1:27" x14ac:dyDescent="0.3">
      <c r="A1658" s="3" t="str">
        <f t="shared" si="250"/>
        <v>East9420049901320</v>
      </c>
      <c r="B1658" s="3" t="str">
        <f t="shared" si="251"/>
        <v>KGP9420049901320</v>
      </c>
      <c r="C1658" s="10">
        <v>9420049901320</v>
      </c>
      <c r="D1658" s="10" t="str">
        <f t="shared" si="252"/>
        <v>9420049901</v>
      </c>
      <c r="E1658" s="3" t="s">
        <v>6</v>
      </c>
      <c r="F1658" s="3" t="s">
        <v>66</v>
      </c>
      <c r="H1658" s="3">
        <v>0.62000000000000011</v>
      </c>
      <c r="I1658" s="10">
        <f t="shared" si="253"/>
        <v>42.722589946180207</v>
      </c>
      <c r="J1658" s="3">
        <v>0.43536686384021567</v>
      </c>
      <c r="K1658" s="3">
        <v>0</v>
      </c>
      <c r="L1658" s="3">
        <f t="shared" si="254"/>
        <v>0</v>
      </c>
      <c r="N1658" s="11">
        <f t="shared" si="255"/>
        <v>0.18463313615978444</v>
      </c>
      <c r="O1658" s="3">
        <v>0.43536686384021567</v>
      </c>
      <c r="P1658" s="11">
        <f t="shared" si="256"/>
        <v>12.722589946180204</v>
      </c>
      <c r="Q1658" s="12">
        <f t="shared" si="257"/>
        <v>12.722589946180202</v>
      </c>
      <c r="R1658" s="13">
        <f t="shared" si="258"/>
        <v>68.696520476184929</v>
      </c>
      <c r="S1658" s="3" t="s">
        <v>31</v>
      </c>
      <c r="T1658" s="3" t="s">
        <v>28</v>
      </c>
      <c r="U1658" s="10">
        <v>9420049900999</v>
      </c>
      <c r="V1658" s="3">
        <v>0.1</v>
      </c>
      <c r="W1658" s="3">
        <f t="shared" si="259"/>
        <v>0</v>
      </c>
      <c r="AA1658" s="3">
        <v>45</v>
      </c>
    </row>
    <row r="1659" spans="1:27" x14ac:dyDescent="0.3">
      <c r="A1659" s="3" t="str">
        <f t="shared" si="250"/>
        <v>East9420049901310</v>
      </c>
      <c r="B1659" s="3" t="str">
        <f t="shared" si="251"/>
        <v>KGP9420049901310</v>
      </c>
      <c r="C1659" s="10">
        <v>9420049901310</v>
      </c>
      <c r="D1659" s="10" t="str">
        <f t="shared" si="252"/>
        <v>9420049901</v>
      </c>
      <c r="E1659" s="3" t="s">
        <v>6</v>
      </c>
      <c r="F1659" s="3" t="s">
        <v>66</v>
      </c>
      <c r="H1659" s="3">
        <v>1.1400000000000001</v>
      </c>
      <c r="I1659" s="10">
        <f t="shared" si="253"/>
        <v>139.3248715215006</v>
      </c>
      <c r="J1659" s="3">
        <v>0.24546945298795603</v>
      </c>
      <c r="K1659" s="3">
        <v>0</v>
      </c>
      <c r="L1659" s="3">
        <f t="shared" si="254"/>
        <v>0</v>
      </c>
      <c r="N1659" s="11">
        <f t="shared" si="255"/>
        <v>0.89453054701204415</v>
      </c>
      <c r="O1659" s="3">
        <v>0.24546945298795603</v>
      </c>
      <c r="P1659" s="11">
        <f t="shared" si="256"/>
        <v>109.3248715215006</v>
      </c>
      <c r="Q1659" s="12">
        <f t="shared" si="257"/>
        <v>109.3248715215006</v>
      </c>
      <c r="R1659" s="13">
        <f t="shared" si="258"/>
        <v>170.13190436797507</v>
      </c>
      <c r="S1659" s="3" t="s">
        <v>31</v>
      </c>
      <c r="T1659" s="3" t="s">
        <v>28</v>
      </c>
      <c r="U1659" s="10">
        <v>9420049900999</v>
      </c>
      <c r="V1659" s="3">
        <v>0.1</v>
      </c>
      <c r="W1659" s="3">
        <f t="shared" si="259"/>
        <v>0</v>
      </c>
      <c r="AA1659" s="3">
        <v>45</v>
      </c>
    </row>
    <row r="1660" spans="1:27" x14ac:dyDescent="0.3">
      <c r="A1660" s="3" t="str">
        <f t="shared" si="250"/>
        <v>East9420049900320</v>
      </c>
      <c r="B1660" s="3" t="str">
        <f t="shared" si="251"/>
        <v>KGP9420049900320</v>
      </c>
      <c r="C1660" s="10">
        <v>9420049900320</v>
      </c>
      <c r="D1660" s="10" t="str">
        <f t="shared" si="252"/>
        <v>9420049900</v>
      </c>
      <c r="E1660" s="3" t="s">
        <v>6</v>
      </c>
      <c r="F1660" s="3" t="s">
        <v>66</v>
      </c>
      <c r="H1660" s="3">
        <v>0.44000000000000006</v>
      </c>
      <c r="I1660" s="10">
        <f t="shared" si="253"/>
        <v>147.33723404740749</v>
      </c>
      <c r="J1660" s="3">
        <v>8.9590388236504739E-2</v>
      </c>
      <c r="K1660" s="3">
        <v>0</v>
      </c>
      <c r="L1660" s="3">
        <f t="shared" si="254"/>
        <v>0</v>
      </c>
      <c r="N1660" s="11">
        <f t="shared" si="255"/>
        <v>0.35040961176349533</v>
      </c>
      <c r="O1660" s="3">
        <v>8.9590388236504739E-2</v>
      </c>
      <c r="P1660" s="11">
        <f t="shared" si="256"/>
        <v>117.33723404740751</v>
      </c>
      <c r="Q1660" s="12">
        <f t="shared" si="257"/>
        <v>117.33723404740751</v>
      </c>
      <c r="R1660" s="13">
        <f t="shared" si="258"/>
        <v>-12.150289115008475</v>
      </c>
      <c r="S1660" s="3" t="s">
        <v>31</v>
      </c>
      <c r="T1660" s="3" t="s">
        <v>28</v>
      </c>
      <c r="U1660" s="10">
        <v>9420049900999</v>
      </c>
      <c r="V1660" s="3">
        <v>0.1</v>
      </c>
      <c r="W1660" s="3">
        <f t="shared" si="259"/>
        <v>0</v>
      </c>
      <c r="AA1660" s="3">
        <v>45</v>
      </c>
    </row>
    <row r="1661" spans="1:27" x14ac:dyDescent="0.3">
      <c r="A1661" s="3" t="str">
        <f t="shared" si="250"/>
        <v>East9420049901840</v>
      </c>
      <c r="B1661" s="3" t="str">
        <f t="shared" si="251"/>
        <v>KGP9420049901840</v>
      </c>
      <c r="C1661" s="10">
        <v>9420049901840</v>
      </c>
      <c r="D1661" s="10" t="str">
        <f t="shared" si="252"/>
        <v>9420049901</v>
      </c>
      <c r="E1661" s="3" t="s">
        <v>6</v>
      </c>
      <c r="F1661" s="3" t="s">
        <v>66</v>
      </c>
      <c r="H1661" s="3">
        <v>0.08</v>
      </c>
      <c r="I1661" s="10">
        <f t="shared" si="253"/>
        <v>28.429705495202061</v>
      </c>
      <c r="J1661" s="3">
        <v>8.4418742937911753E-2</v>
      </c>
      <c r="K1661" s="3">
        <v>0</v>
      </c>
      <c r="L1661" s="3">
        <f t="shared" si="254"/>
        <v>0</v>
      </c>
      <c r="N1661" s="11">
        <f t="shared" si="255"/>
        <v>-4.4187429379117515E-3</v>
      </c>
      <c r="O1661" s="3">
        <v>8.4418742937911753E-2</v>
      </c>
      <c r="P1661" s="11">
        <f t="shared" si="256"/>
        <v>-1.5702945047979378</v>
      </c>
      <c r="Q1661" s="12">
        <f t="shared" si="257"/>
        <v>-1.5702945047979378</v>
      </c>
      <c r="R1661" s="13">
        <f t="shared" si="258"/>
        <v>99.630784822686721</v>
      </c>
      <c r="S1661" s="3" t="s">
        <v>31</v>
      </c>
      <c r="T1661" s="3" t="s">
        <v>28</v>
      </c>
      <c r="U1661" s="10">
        <v>0</v>
      </c>
      <c r="V1661" s="3">
        <v>0</v>
      </c>
      <c r="W1661" s="3">
        <f t="shared" si="259"/>
        <v>0</v>
      </c>
      <c r="AA1661" s="3">
        <v>45</v>
      </c>
    </row>
    <row r="1662" spans="1:27" x14ac:dyDescent="0.3">
      <c r="A1662" s="3" t="str">
        <f t="shared" si="250"/>
        <v>East9420049901210</v>
      </c>
      <c r="B1662" s="3" t="str">
        <f t="shared" si="251"/>
        <v>KGP9420049901210</v>
      </c>
      <c r="C1662" s="10">
        <v>9420049901210</v>
      </c>
      <c r="D1662" s="10" t="str">
        <f t="shared" si="252"/>
        <v>9420049901</v>
      </c>
      <c r="E1662" s="3" t="s">
        <v>6</v>
      </c>
      <c r="F1662" s="3" t="s">
        <v>66</v>
      </c>
      <c r="H1662" s="3">
        <v>1.1510000000000002</v>
      </c>
      <c r="I1662" s="10">
        <f t="shared" si="253"/>
        <v>1393.9810518191641</v>
      </c>
      <c r="J1662" s="3">
        <v>2.4770781464308923E-2</v>
      </c>
      <c r="K1662" s="3">
        <v>0</v>
      </c>
      <c r="L1662" s="3">
        <f t="shared" si="254"/>
        <v>0</v>
      </c>
      <c r="N1662" s="11">
        <f t="shared" si="255"/>
        <v>1.1262292185356912</v>
      </c>
      <c r="O1662" s="3">
        <v>2.4770781464308923E-2</v>
      </c>
      <c r="P1662" s="11">
        <f t="shared" si="256"/>
        <v>1363.9810518191641</v>
      </c>
      <c r="Q1662" s="12">
        <f t="shared" si="257"/>
        <v>1363.9810518191641</v>
      </c>
      <c r="R1662" s="13">
        <f t="shared" si="258"/>
        <v>1134.7604804875584</v>
      </c>
      <c r="S1662" s="3" t="s">
        <v>31</v>
      </c>
      <c r="T1662" s="3" t="s">
        <v>28</v>
      </c>
      <c r="U1662" s="10">
        <v>0</v>
      </c>
      <c r="V1662" s="3">
        <v>0</v>
      </c>
      <c r="W1662" s="3">
        <f t="shared" si="259"/>
        <v>0</v>
      </c>
      <c r="AA1662" s="3">
        <v>45</v>
      </c>
    </row>
    <row r="1663" spans="1:27" x14ac:dyDescent="0.3">
      <c r="A1663" s="3" t="str">
        <f t="shared" si="250"/>
        <v>East9420049900310</v>
      </c>
      <c r="B1663" s="3" t="str">
        <f t="shared" si="251"/>
        <v>KGP9420049900310</v>
      </c>
      <c r="C1663" s="10">
        <v>9420049900310</v>
      </c>
      <c r="D1663" s="10" t="str">
        <f t="shared" si="252"/>
        <v>9420049900</v>
      </c>
      <c r="E1663" s="3" t="s">
        <v>6</v>
      </c>
      <c r="F1663" s="3" t="s">
        <v>66</v>
      </c>
      <c r="H1663" s="3">
        <v>0.55000000000000016</v>
      </c>
      <c r="I1663" s="10">
        <f t="shared" si="253"/>
        <v>670.72191572394104</v>
      </c>
      <c r="J1663" s="3">
        <v>2.4600359125272944E-2</v>
      </c>
      <c r="K1663" s="3">
        <v>0</v>
      </c>
      <c r="L1663" s="3">
        <f t="shared" si="254"/>
        <v>0</v>
      </c>
      <c r="N1663" s="11">
        <f t="shared" si="255"/>
        <v>0.52539964087472724</v>
      </c>
      <c r="O1663" s="3">
        <v>2.4600359125272944E-2</v>
      </c>
      <c r="P1663" s="11">
        <f t="shared" si="256"/>
        <v>640.72191572394115</v>
      </c>
      <c r="Q1663" s="12">
        <f t="shared" si="257"/>
        <v>640.72191572394115</v>
      </c>
      <c r="R1663" s="13">
        <f t="shared" si="258"/>
        <v>92.642613835035363</v>
      </c>
      <c r="S1663" s="3" t="s">
        <v>31</v>
      </c>
      <c r="T1663" s="3" t="s">
        <v>28</v>
      </c>
      <c r="U1663" s="10">
        <v>9420049900999</v>
      </c>
      <c r="V1663" s="3">
        <v>0.1</v>
      </c>
      <c r="W1663" s="3">
        <f t="shared" si="259"/>
        <v>0</v>
      </c>
      <c r="AA1663" s="3">
        <v>45</v>
      </c>
    </row>
    <row r="1664" spans="1:27" x14ac:dyDescent="0.3">
      <c r="A1664" s="3" t="str">
        <f t="shared" si="250"/>
        <v>East9420049900840</v>
      </c>
      <c r="B1664" s="3" t="str">
        <f t="shared" si="251"/>
        <v>KGP9420049900840</v>
      </c>
      <c r="C1664" s="10">
        <v>9420049900840</v>
      </c>
      <c r="D1664" s="10" t="str">
        <f t="shared" si="252"/>
        <v>9420049900</v>
      </c>
      <c r="E1664" s="3" t="s">
        <v>6</v>
      </c>
      <c r="F1664" s="3" t="s">
        <v>66</v>
      </c>
      <c r="H1664" s="3">
        <v>0.22400000000000003</v>
      </c>
      <c r="I1664" s="10">
        <f t="shared" si="253"/>
        <v>0</v>
      </c>
      <c r="J1664" s="3">
        <v>0</v>
      </c>
      <c r="K1664" s="3">
        <v>0</v>
      </c>
      <c r="L1664" s="3">
        <f t="shared" si="254"/>
        <v>0</v>
      </c>
      <c r="N1664" s="11">
        <f t="shared" si="255"/>
        <v>0.22400000000000003</v>
      </c>
      <c r="O1664" s="3">
        <v>0</v>
      </c>
      <c r="P1664" s="11">
        <f t="shared" si="256"/>
        <v>9999</v>
      </c>
      <c r="Q1664" s="12">
        <f t="shared" si="257"/>
        <v>9999</v>
      </c>
      <c r="R1664" s="13">
        <f t="shared" si="258"/>
        <v>167.18429092706845</v>
      </c>
      <c r="S1664" s="3" t="s">
        <v>31</v>
      </c>
      <c r="T1664" s="3" t="s">
        <v>28</v>
      </c>
      <c r="U1664" s="10">
        <v>0</v>
      </c>
      <c r="V1664" s="3">
        <v>0</v>
      </c>
      <c r="W1664" s="3">
        <f t="shared" si="259"/>
        <v>0</v>
      </c>
      <c r="AA1664" s="3">
        <v>45</v>
      </c>
    </row>
    <row r="1665" spans="1:27" x14ac:dyDescent="0.3">
      <c r="A1665" s="3" t="str">
        <f t="shared" si="250"/>
        <v>East9420049900210</v>
      </c>
      <c r="B1665" s="3" t="str">
        <f t="shared" si="251"/>
        <v>KGP9420049900210</v>
      </c>
      <c r="C1665" s="10">
        <v>9420049900210</v>
      </c>
      <c r="D1665" s="10" t="str">
        <f t="shared" si="252"/>
        <v>9420049900</v>
      </c>
      <c r="E1665" s="3" t="s">
        <v>6</v>
      </c>
      <c r="F1665" s="3" t="s">
        <v>66</v>
      </c>
      <c r="H1665" s="3">
        <v>7.3999999999999996E-2</v>
      </c>
      <c r="I1665" s="10">
        <f t="shared" si="253"/>
        <v>0</v>
      </c>
      <c r="J1665" s="3">
        <v>0</v>
      </c>
      <c r="K1665" s="3">
        <v>0</v>
      </c>
      <c r="L1665" s="3">
        <f t="shared" si="254"/>
        <v>0</v>
      </c>
      <c r="N1665" s="11">
        <f t="shared" si="255"/>
        <v>7.3999999999999996E-2</v>
      </c>
      <c r="O1665" s="3">
        <v>0</v>
      </c>
      <c r="P1665" s="11">
        <f t="shared" si="256"/>
        <v>9999</v>
      </c>
      <c r="Q1665" s="12">
        <f t="shared" si="257"/>
        <v>9999</v>
      </c>
      <c r="R1665" s="13">
        <f t="shared" si="258"/>
        <v>145.73828960874476</v>
      </c>
      <c r="S1665" s="3" t="s">
        <v>31</v>
      </c>
      <c r="T1665" s="3" t="s">
        <v>28</v>
      </c>
      <c r="U1665" s="10">
        <v>0</v>
      </c>
      <c r="V1665" s="3">
        <v>0</v>
      </c>
      <c r="W1665" s="3">
        <f t="shared" si="259"/>
        <v>0</v>
      </c>
      <c r="AA1665" s="3">
        <v>45</v>
      </c>
    </row>
    <row r="1666" spans="1:27" x14ac:dyDescent="0.3">
      <c r="A1666" s="3" t="str">
        <f t="shared" si="250"/>
        <v>West9330209900320</v>
      </c>
      <c r="B1666" s="3" t="str">
        <f t="shared" si="251"/>
        <v>Mah9330209900320</v>
      </c>
      <c r="C1666" s="14">
        <v>9330209900320</v>
      </c>
      <c r="D1666" s="10" t="str">
        <f t="shared" si="252"/>
        <v>9330209900</v>
      </c>
      <c r="E1666" s="3" t="s">
        <v>1</v>
      </c>
      <c r="F1666" s="3" t="s">
        <v>63</v>
      </c>
      <c r="H1666" s="3">
        <v>35.199999999999989</v>
      </c>
      <c r="I1666" s="10">
        <f t="shared" si="253"/>
        <v>61.866235636818544</v>
      </c>
      <c r="J1666" s="3">
        <v>17.069084438871869</v>
      </c>
      <c r="K1666" s="3">
        <v>0</v>
      </c>
      <c r="L1666" s="3">
        <f t="shared" si="254"/>
        <v>0</v>
      </c>
      <c r="M1666" s="32"/>
      <c r="N1666" s="11">
        <f t="shared" si="255"/>
        <v>18.13091556112812</v>
      </c>
      <c r="O1666" s="3">
        <v>17.069084438871869</v>
      </c>
      <c r="P1666" s="11">
        <f t="shared" si="256"/>
        <v>31.866235636818544</v>
      </c>
      <c r="Q1666" s="12">
        <f t="shared" si="257"/>
        <v>31.866235636818544</v>
      </c>
      <c r="R1666" s="13">
        <f t="shared" si="258"/>
        <v>-3.5893160099336039</v>
      </c>
      <c r="S1666" s="3" t="s">
        <v>29</v>
      </c>
      <c r="T1666" s="3" t="s">
        <v>35</v>
      </c>
      <c r="U1666" s="10">
        <v>9330209900999</v>
      </c>
      <c r="V1666" s="3">
        <v>0.1</v>
      </c>
      <c r="W1666" s="3">
        <f t="shared" si="259"/>
        <v>0</v>
      </c>
      <c r="Y1666" s="3">
        <v>0</v>
      </c>
      <c r="Z1666" s="3">
        <v>0</v>
      </c>
      <c r="AA1666" s="3">
        <v>46</v>
      </c>
    </row>
    <row r="1667" spans="1:27" x14ac:dyDescent="0.3">
      <c r="A1667" s="3" t="str">
        <f t="shared" si="250"/>
        <v>West9160309900320</v>
      </c>
      <c r="B1667" s="3" t="str">
        <f t="shared" si="251"/>
        <v>Mah9160309900320</v>
      </c>
      <c r="C1667" s="14">
        <v>9160309900320</v>
      </c>
      <c r="D1667" s="10" t="str">
        <f t="shared" si="252"/>
        <v>9160309900</v>
      </c>
      <c r="E1667" s="3" t="s">
        <v>1</v>
      </c>
      <c r="F1667" s="3" t="s">
        <v>63</v>
      </c>
      <c r="H1667" s="3">
        <v>29.779999999999994</v>
      </c>
      <c r="I1667" s="10">
        <f t="shared" si="253"/>
        <v>72.938210019403826</v>
      </c>
      <c r="J1667" s="3">
        <v>12.248723950893883</v>
      </c>
      <c r="K1667" s="3">
        <v>0</v>
      </c>
      <c r="L1667" s="3">
        <f t="shared" si="254"/>
        <v>0</v>
      </c>
      <c r="M1667" s="32"/>
      <c r="N1667" s="11">
        <f t="shared" si="255"/>
        <v>17.531276049106111</v>
      </c>
      <c r="O1667" s="3">
        <v>12.248723950893883</v>
      </c>
      <c r="P1667" s="11">
        <f t="shared" si="256"/>
        <v>42.938210019403826</v>
      </c>
      <c r="Q1667" s="12">
        <f t="shared" si="257"/>
        <v>42.938210019403826</v>
      </c>
      <c r="R1667" s="13">
        <f t="shared" si="258"/>
        <v>41.189863366756896</v>
      </c>
      <c r="S1667" s="3" t="s">
        <v>30</v>
      </c>
      <c r="T1667" s="3" t="s">
        <v>34</v>
      </c>
      <c r="U1667" s="10">
        <v>0</v>
      </c>
      <c r="V1667" s="3">
        <v>0</v>
      </c>
      <c r="W1667" s="3">
        <f t="shared" si="259"/>
        <v>0</v>
      </c>
      <c r="Y1667" s="3">
        <v>0</v>
      </c>
      <c r="Z1667" s="3">
        <v>576</v>
      </c>
      <c r="AA1667" s="3">
        <v>46</v>
      </c>
    </row>
    <row r="1668" spans="1:27" x14ac:dyDescent="0.3">
      <c r="A1668" s="3" t="str">
        <f t="shared" ref="A1668:A1731" si="260">_xlfn.CONCAT(F1668,C1668)</f>
        <v>West9410059900820</v>
      </c>
      <c r="B1668" s="3" t="str">
        <f t="shared" ref="B1668:B1731" si="261">_xlfn.CONCAT(E1668,C1668)</f>
        <v>Mah9410059900820</v>
      </c>
      <c r="C1668" s="10">
        <v>9410059900820</v>
      </c>
      <c r="D1668" s="10" t="str">
        <f t="shared" ref="D1668:D1731" si="262">LEFT(C1668,10)</f>
        <v>9410059900</v>
      </c>
      <c r="E1668" s="3" t="s">
        <v>1</v>
      </c>
      <c r="F1668" s="3" t="s">
        <v>63</v>
      </c>
      <c r="H1668" s="3">
        <v>2.16</v>
      </c>
      <c r="I1668" s="10">
        <f t="shared" ref="I1668:I1731" si="263">IFERROR(H1668/J1668*30,0)</f>
        <v>10.744761249604446</v>
      </c>
      <c r="J1668" s="3">
        <v>6.0308459624810684</v>
      </c>
      <c r="K1668" s="3">
        <v>0</v>
      </c>
      <c r="L1668" s="3">
        <f t="shared" ref="L1668:L1731" si="264">M1668*G1668</f>
        <v>0</v>
      </c>
      <c r="M1668" s="32"/>
      <c r="N1668" s="11">
        <f t="shared" ref="N1668:N1731" si="265">H1668-J1668+L1668</f>
        <v>-3.8708459624810683</v>
      </c>
      <c r="O1668" s="3">
        <v>6.0308459624810684</v>
      </c>
      <c r="P1668" s="11">
        <f t="shared" ref="P1668:P1731" si="266">IF(O1668=0,9999,N1668/O1668*30)</f>
        <v>-19.255238750395556</v>
      </c>
      <c r="Q1668" s="12">
        <f t="shared" ref="Q1668:Q1731" si="267">IF(SUMIF($A:$A,$A1668,$O:$O)=0,9999,SUMIF($A:$A,$A1668,$N:$N)*30/SUMIF($A:$A,$A1668,$O:$O))</f>
        <v>-19.255238750395556</v>
      </c>
      <c r="R1668" s="13">
        <f t="shared" ref="R1668:R1731" si="268">IF(SUMIF($C:$C,$C1668,$O:$O)=0,9999,SUMIF($C:$C,$C1668,$N:$N)*30/SUMIF($C:$C,$C1668,$O:$O))</f>
        <v>1.7095469951111055</v>
      </c>
      <c r="S1668" s="3" t="s">
        <v>30</v>
      </c>
      <c r="T1668" s="3" t="s">
        <v>32</v>
      </c>
      <c r="U1668" s="10">
        <v>0</v>
      </c>
      <c r="V1668" s="3">
        <v>0</v>
      </c>
      <c r="W1668" s="3">
        <f t="shared" ref="W1668:W1731" si="269">IFERROR(K1668*V1668,0)</f>
        <v>0</v>
      </c>
      <c r="Y1668" s="3">
        <v>0</v>
      </c>
      <c r="Z1668" s="3">
        <v>195</v>
      </c>
      <c r="AA1668" s="3">
        <v>46</v>
      </c>
    </row>
    <row r="1669" spans="1:27" x14ac:dyDescent="0.3">
      <c r="A1669" s="3" t="str">
        <f t="shared" si="260"/>
        <v>West9330209900310</v>
      </c>
      <c r="B1669" s="3" t="str">
        <f t="shared" si="261"/>
        <v>Mah9330209900310</v>
      </c>
      <c r="C1669" s="10">
        <v>9330209900310</v>
      </c>
      <c r="D1669" s="10" t="str">
        <f t="shared" si="262"/>
        <v>9330209900</v>
      </c>
      <c r="E1669" s="3" t="s">
        <v>1</v>
      </c>
      <c r="F1669" s="3" t="s">
        <v>63</v>
      </c>
      <c r="H1669" s="3">
        <v>4.4899999999999993</v>
      </c>
      <c r="I1669" s="10">
        <f t="shared" si="263"/>
        <v>41.101812854129776</v>
      </c>
      <c r="J1669" s="3">
        <v>3.2772277095915432</v>
      </c>
      <c r="K1669" s="3">
        <v>23</v>
      </c>
      <c r="L1669" s="3">
        <f t="shared" si="264"/>
        <v>0</v>
      </c>
      <c r="M1669" s="32"/>
      <c r="N1669" s="11">
        <f t="shared" si="265"/>
        <v>1.2127722904084561</v>
      </c>
      <c r="O1669" s="3">
        <v>3.2772277095915432</v>
      </c>
      <c r="P1669" s="11">
        <f t="shared" si="266"/>
        <v>11.101812854129777</v>
      </c>
      <c r="Q1669" s="12">
        <f t="shared" si="267"/>
        <v>11.101812854129777</v>
      </c>
      <c r="R1669" s="13">
        <f t="shared" si="268"/>
        <v>0.53923356032125813</v>
      </c>
      <c r="S1669" s="3" t="s">
        <v>29</v>
      </c>
      <c r="T1669" s="3" t="s">
        <v>35</v>
      </c>
      <c r="U1669" s="10">
        <v>9330209900999</v>
      </c>
      <c r="V1669" s="3">
        <v>0.1</v>
      </c>
      <c r="W1669" s="3">
        <f t="shared" si="269"/>
        <v>2.3000000000000003</v>
      </c>
      <c r="Y1669" s="3">
        <v>0</v>
      </c>
      <c r="Z1669" s="3">
        <v>112</v>
      </c>
      <c r="AA1669" s="3">
        <v>46</v>
      </c>
    </row>
    <row r="1670" spans="1:27" x14ac:dyDescent="0.3">
      <c r="A1670" s="3" t="str">
        <f t="shared" si="260"/>
        <v>West9410059900810</v>
      </c>
      <c r="B1670" s="3" t="str">
        <f t="shared" si="261"/>
        <v>Mah9410059900810</v>
      </c>
      <c r="C1670" s="10">
        <v>9410059900810</v>
      </c>
      <c r="D1670" s="10" t="str">
        <f t="shared" si="262"/>
        <v>9410059900</v>
      </c>
      <c r="E1670" s="3" t="s">
        <v>1</v>
      </c>
      <c r="F1670" s="3" t="s">
        <v>63</v>
      </c>
      <c r="H1670" s="3">
        <v>2.9399999999999995</v>
      </c>
      <c r="I1670" s="10">
        <f t="shared" si="263"/>
        <v>32.202627510402479</v>
      </c>
      <c r="J1670" s="3">
        <v>2.7389069407925972</v>
      </c>
      <c r="K1670" s="3">
        <v>0</v>
      </c>
      <c r="L1670" s="3">
        <f t="shared" si="264"/>
        <v>0</v>
      </c>
      <c r="M1670" s="32"/>
      <c r="N1670" s="11">
        <f t="shared" si="265"/>
        <v>0.20109305920740228</v>
      </c>
      <c r="O1670" s="3">
        <v>2.7389069407925972</v>
      </c>
      <c r="P1670" s="11">
        <f t="shared" si="266"/>
        <v>2.2026275104024791</v>
      </c>
      <c r="Q1670" s="12">
        <f t="shared" si="267"/>
        <v>2.2026275104024791</v>
      </c>
      <c r="R1670" s="13">
        <f t="shared" si="268"/>
        <v>-2.4886755234162909</v>
      </c>
      <c r="S1670" s="3" t="s">
        <v>31</v>
      </c>
      <c r="T1670" s="3" t="s">
        <v>32</v>
      </c>
      <c r="U1670" s="10">
        <v>0</v>
      </c>
      <c r="V1670" s="3">
        <v>0</v>
      </c>
      <c r="W1670" s="3">
        <f t="shared" si="269"/>
        <v>0</v>
      </c>
      <c r="Y1670" s="3">
        <v>0</v>
      </c>
      <c r="Z1670" s="3">
        <v>0</v>
      </c>
      <c r="AA1670" s="3">
        <v>46</v>
      </c>
    </row>
    <row r="1671" spans="1:27" x14ac:dyDescent="0.3">
      <c r="A1671" s="3" t="str">
        <f t="shared" si="260"/>
        <v>West9410059900840</v>
      </c>
      <c r="B1671" s="3" t="str">
        <f t="shared" si="261"/>
        <v>Mah9410059900840</v>
      </c>
      <c r="C1671" s="10">
        <v>9410059900840</v>
      </c>
      <c r="D1671" s="10" t="str">
        <f t="shared" si="262"/>
        <v>9410059900</v>
      </c>
      <c r="E1671" s="3" t="s">
        <v>1</v>
      </c>
      <c r="F1671" s="3" t="s">
        <v>63</v>
      </c>
      <c r="H1671" s="3">
        <v>4.62</v>
      </c>
      <c r="I1671" s="10">
        <f t="shared" si="263"/>
        <v>90.11572361166273</v>
      </c>
      <c r="J1671" s="3">
        <v>1.5380223832776554</v>
      </c>
      <c r="K1671" s="3">
        <v>0</v>
      </c>
      <c r="L1671" s="3">
        <f t="shared" si="264"/>
        <v>0</v>
      </c>
      <c r="M1671" s="32"/>
      <c r="N1671" s="11">
        <f t="shared" si="265"/>
        <v>3.0819776167223445</v>
      </c>
      <c r="O1671" s="3">
        <v>1.5380223832776554</v>
      </c>
      <c r="P1671" s="11">
        <f t="shared" si="266"/>
        <v>60.11572361166273</v>
      </c>
      <c r="Q1671" s="12">
        <f t="shared" si="267"/>
        <v>60.115723611662737</v>
      </c>
      <c r="R1671" s="13">
        <f t="shared" si="268"/>
        <v>376.09378425700692</v>
      </c>
      <c r="S1671" s="3" t="s">
        <v>31</v>
      </c>
      <c r="T1671" s="3" t="s">
        <v>32</v>
      </c>
      <c r="U1671" s="10">
        <v>0</v>
      </c>
      <c r="V1671" s="3">
        <v>0</v>
      </c>
      <c r="W1671" s="3">
        <f t="shared" si="269"/>
        <v>0</v>
      </c>
      <c r="Y1671" s="3">
        <v>0</v>
      </c>
      <c r="Z1671" s="3">
        <v>54</v>
      </c>
      <c r="AA1671" s="3">
        <v>46</v>
      </c>
    </row>
    <row r="1672" spans="1:27" x14ac:dyDescent="0.3">
      <c r="A1672" s="3" t="str">
        <f t="shared" si="260"/>
        <v>West9330209900840</v>
      </c>
      <c r="B1672" s="3" t="str">
        <f t="shared" si="261"/>
        <v>Mah9330209900840</v>
      </c>
      <c r="C1672" s="10">
        <v>9330209900840</v>
      </c>
      <c r="D1672" s="10" t="str">
        <f t="shared" si="262"/>
        <v>9330209900</v>
      </c>
      <c r="E1672" s="3" t="s">
        <v>1</v>
      </c>
      <c r="F1672" s="3" t="s">
        <v>63</v>
      </c>
      <c r="H1672" s="3">
        <v>1.6400000000000003</v>
      </c>
      <c r="I1672" s="10">
        <f t="shared" si="263"/>
        <v>55.5291559535682</v>
      </c>
      <c r="J1672" s="3">
        <v>0.88602103084620198</v>
      </c>
      <c r="K1672" s="3">
        <v>23</v>
      </c>
      <c r="L1672" s="3">
        <f t="shared" si="264"/>
        <v>0</v>
      </c>
      <c r="M1672" s="32"/>
      <c r="N1672" s="11">
        <f t="shared" si="265"/>
        <v>0.75397896915379836</v>
      </c>
      <c r="O1672" s="3">
        <v>0.88602103084620198</v>
      </c>
      <c r="P1672" s="11">
        <f t="shared" si="266"/>
        <v>25.5291559535682</v>
      </c>
      <c r="Q1672" s="12">
        <f t="shared" si="267"/>
        <v>25.5291559535682</v>
      </c>
      <c r="R1672" s="13">
        <f t="shared" si="268"/>
        <v>16.369417439210231</v>
      </c>
      <c r="S1672" s="3" t="s">
        <v>30</v>
      </c>
      <c r="T1672" s="3" t="s">
        <v>35</v>
      </c>
      <c r="U1672" s="10">
        <v>0</v>
      </c>
      <c r="V1672" s="3">
        <v>0</v>
      </c>
      <c r="W1672" s="3">
        <f t="shared" si="269"/>
        <v>0</v>
      </c>
      <c r="Y1672" s="3">
        <v>0</v>
      </c>
      <c r="Z1672" s="3">
        <v>55</v>
      </c>
      <c r="AA1672" s="3">
        <v>46</v>
      </c>
    </row>
    <row r="1673" spans="1:27" ht="15.6" x14ac:dyDescent="0.3">
      <c r="A1673" s="3" t="str">
        <f t="shared" si="260"/>
        <v>West9410059900210</v>
      </c>
      <c r="B1673" s="3" t="str">
        <f t="shared" si="261"/>
        <v>Mah9410059900210</v>
      </c>
      <c r="C1673" s="10">
        <v>9410059900210</v>
      </c>
      <c r="D1673" s="10" t="str">
        <f t="shared" si="262"/>
        <v>9410059900</v>
      </c>
      <c r="E1673" s="3" t="s">
        <v>1</v>
      </c>
      <c r="F1673" s="3" t="s">
        <v>63</v>
      </c>
      <c r="H1673" s="3">
        <v>0.61699999999999999</v>
      </c>
      <c r="I1673" s="10">
        <f t="shared" si="263"/>
        <v>25.555254329792064</v>
      </c>
      <c r="J1673" s="3">
        <v>0.72431288537094407</v>
      </c>
      <c r="K1673" s="3">
        <v>0</v>
      </c>
      <c r="L1673" s="3">
        <f t="shared" si="264"/>
        <v>0</v>
      </c>
      <c r="N1673" s="11">
        <f t="shared" si="265"/>
        <v>-0.10731288537094408</v>
      </c>
      <c r="O1673" s="3">
        <v>0.72431288537094407</v>
      </c>
      <c r="P1673" s="11">
        <f t="shared" si="266"/>
        <v>-4.4447456702079382</v>
      </c>
      <c r="Q1673" s="12">
        <f t="shared" si="267"/>
        <v>-4.4447456702079382</v>
      </c>
      <c r="R1673" s="13">
        <f t="shared" si="268"/>
        <v>190.32630093769362</v>
      </c>
      <c r="S1673" s="3" t="s">
        <v>31</v>
      </c>
      <c r="T1673" s="3" t="s">
        <v>32</v>
      </c>
      <c r="U1673" s="10">
        <v>0</v>
      </c>
      <c r="V1673" s="3">
        <v>0</v>
      </c>
      <c r="W1673" s="3">
        <f t="shared" si="269"/>
        <v>0</v>
      </c>
      <c r="Y1673">
        <v>3</v>
      </c>
      <c r="Z1673" s="3">
        <v>92</v>
      </c>
      <c r="AA1673" s="3">
        <v>46</v>
      </c>
    </row>
    <row r="1674" spans="1:27" x14ac:dyDescent="0.3">
      <c r="A1674" s="3" t="str">
        <f t="shared" si="260"/>
        <v>West9330209900210</v>
      </c>
      <c r="B1674" s="3" t="str">
        <f t="shared" si="261"/>
        <v>Mah9330209900210</v>
      </c>
      <c r="C1674" s="10">
        <v>9330209900210</v>
      </c>
      <c r="D1674" s="10" t="str">
        <f t="shared" si="262"/>
        <v>9330209900</v>
      </c>
      <c r="E1674" s="3" t="s">
        <v>1</v>
      </c>
      <c r="F1674" s="3" t="s">
        <v>63</v>
      </c>
      <c r="H1674" s="3">
        <v>1.1870000000000003</v>
      </c>
      <c r="I1674" s="10">
        <f t="shared" si="263"/>
        <v>101.83647484427495</v>
      </c>
      <c r="J1674" s="3">
        <v>0.34967824695870192</v>
      </c>
      <c r="K1674" s="3">
        <v>0</v>
      </c>
      <c r="L1674" s="3">
        <f t="shared" si="264"/>
        <v>0</v>
      </c>
      <c r="N1674" s="11">
        <f t="shared" si="265"/>
        <v>0.83732175304129841</v>
      </c>
      <c r="O1674" s="3">
        <v>0.34967824695870192</v>
      </c>
      <c r="P1674" s="11">
        <f t="shared" si="266"/>
        <v>71.836474844274946</v>
      </c>
      <c r="Q1674" s="12">
        <f t="shared" si="267"/>
        <v>71.836474844274946</v>
      </c>
      <c r="R1674" s="13">
        <f t="shared" si="268"/>
        <v>34.674544510318469</v>
      </c>
      <c r="S1674" s="3" t="s">
        <v>31</v>
      </c>
      <c r="T1674" s="3" t="s">
        <v>35</v>
      </c>
      <c r="U1674" s="10">
        <v>0</v>
      </c>
      <c r="V1674" s="3">
        <v>0</v>
      </c>
      <c r="W1674" s="3">
        <f t="shared" si="269"/>
        <v>0</v>
      </c>
      <c r="AA1674" s="3">
        <v>46</v>
      </c>
    </row>
    <row r="1675" spans="1:27" x14ac:dyDescent="0.3">
      <c r="A1675" s="3" t="str">
        <f t="shared" si="260"/>
        <v>West9160309900210</v>
      </c>
      <c r="B1675" s="3" t="str">
        <f t="shared" si="261"/>
        <v>Mah9160309900210</v>
      </c>
      <c r="C1675" s="10">
        <v>9160309900210</v>
      </c>
      <c r="D1675" s="10" t="str">
        <f t="shared" si="262"/>
        <v>9160309900</v>
      </c>
      <c r="E1675" s="3" t="s">
        <v>1</v>
      </c>
      <c r="F1675" s="3" t="s">
        <v>63</v>
      </c>
      <c r="H1675" s="3">
        <v>0</v>
      </c>
      <c r="I1675" s="10">
        <f t="shared" si="263"/>
        <v>0</v>
      </c>
      <c r="J1675" s="3">
        <v>0</v>
      </c>
      <c r="K1675" s="3">
        <v>0</v>
      </c>
      <c r="L1675" s="3">
        <f t="shared" si="264"/>
        <v>0</v>
      </c>
      <c r="N1675" s="11">
        <f t="shared" si="265"/>
        <v>0</v>
      </c>
      <c r="O1675" s="3">
        <v>0</v>
      </c>
      <c r="P1675" s="11">
        <f t="shared" si="266"/>
        <v>9999</v>
      </c>
      <c r="Q1675" s="12">
        <f t="shared" si="267"/>
        <v>9999</v>
      </c>
      <c r="R1675" s="13">
        <f t="shared" si="268"/>
        <v>9999</v>
      </c>
      <c r="S1675" s="3" t="s">
        <v>31</v>
      </c>
      <c r="T1675" s="3" t="s">
        <v>34</v>
      </c>
      <c r="U1675" s="10" t="s">
        <v>72</v>
      </c>
      <c r="V1675" s="3" t="s">
        <v>72</v>
      </c>
      <c r="W1675" s="3">
        <f t="shared" si="269"/>
        <v>0</v>
      </c>
      <c r="AA1675" s="3">
        <v>46</v>
      </c>
    </row>
    <row r="1676" spans="1:27" x14ac:dyDescent="0.3">
      <c r="A1676" s="3" t="str">
        <f t="shared" si="260"/>
        <v>North9360039900320</v>
      </c>
      <c r="B1676" s="3" t="str">
        <f t="shared" si="261"/>
        <v>Pan9360039900320</v>
      </c>
      <c r="C1676" s="10">
        <v>9360039900320</v>
      </c>
      <c r="D1676" s="10" t="str">
        <f t="shared" si="262"/>
        <v>9360039900</v>
      </c>
      <c r="E1676" s="3" t="s">
        <v>2</v>
      </c>
      <c r="F1676" s="3" t="s">
        <v>64</v>
      </c>
      <c r="H1676" s="3">
        <v>74.239999999999995</v>
      </c>
      <c r="I1676" s="10">
        <f t="shared" si="263"/>
        <v>4.8591189120917182</v>
      </c>
      <c r="J1676" s="3">
        <v>458.35470180770926</v>
      </c>
      <c r="K1676" s="3">
        <v>736</v>
      </c>
      <c r="L1676" s="3">
        <f t="shared" si="264"/>
        <v>0</v>
      </c>
      <c r="N1676" s="11">
        <f t="shared" si="265"/>
        <v>-384.11470180770925</v>
      </c>
      <c r="O1676" s="3">
        <v>458.35470180770926</v>
      </c>
      <c r="P1676" s="11">
        <f t="shared" si="266"/>
        <v>-25.140881087908284</v>
      </c>
      <c r="Q1676" s="12">
        <f t="shared" si="267"/>
        <v>-21.906561598420257</v>
      </c>
      <c r="R1676" s="13">
        <f t="shared" si="268"/>
        <v>-20.402843801646455</v>
      </c>
      <c r="S1676" s="3" t="s">
        <v>29</v>
      </c>
      <c r="T1676" s="3" t="s">
        <v>33</v>
      </c>
      <c r="U1676" s="10">
        <v>9360039900999</v>
      </c>
      <c r="V1676" s="3">
        <v>0.1</v>
      </c>
      <c r="W1676" s="3">
        <f t="shared" si="269"/>
        <v>73.600000000000009</v>
      </c>
      <c r="AA1676" s="3">
        <v>46</v>
      </c>
    </row>
    <row r="1677" spans="1:27" x14ac:dyDescent="0.3">
      <c r="A1677" s="3" t="str">
        <f t="shared" si="260"/>
        <v>North9360099900320</v>
      </c>
      <c r="B1677" s="3" t="str">
        <f t="shared" si="261"/>
        <v>Pan9360099900320</v>
      </c>
      <c r="C1677" s="10">
        <v>9360099900320</v>
      </c>
      <c r="D1677" s="10" t="str">
        <f t="shared" si="262"/>
        <v>9360099900</v>
      </c>
      <c r="E1677" s="3" t="s">
        <v>2</v>
      </c>
      <c r="F1677" s="3" t="s">
        <v>64</v>
      </c>
      <c r="H1677" s="3">
        <v>12.059999999999999</v>
      </c>
      <c r="I1677" s="10">
        <f t="shared" si="263"/>
        <v>5.3609132952871361</v>
      </c>
      <c r="J1677" s="3">
        <v>67.488500572852772</v>
      </c>
      <c r="K1677" s="3">
        <v>161</v>
      </c>
      <c r="L1677" s="3">
        <f t="shared" si="264"/>
        <v>0</v>
      </c>
      <c r="N1677" s="11">
        <f t="shared" si="265"/>
        <v>-55.428500572852769</v>
      </c>
      <c r="O1677" s="3">
        <v>67.488500572852772</v>
      </c>
      <c r="P1677" s="11">
        <f t="shared" si="266"/>
        <v>-24.639086704712859</v>
      </c>
      <c r="Q1677" s="12">
        <f t="shared" si="267"/>
        <v>-25.456089401429484</v>
      </c>
      <c r="R1677" s="13">
        <f t="shared" si="268"/>
        <v>-20.309151298123236</v>
      </c>
      <c r="S1677" s="3" t="s">
        <v>29</v>
      </c>
      <c r="T1677" s="3" t="s">
        <v>33</v>
      </c>
      <c r="U1677" s="10">
        <v>9360099900999</v>
      </c>
      <c r="V1677" s="3">
        <v>0.1</v>
      </c>
      <c r="W1677" s="3">
        <f t="shared" si="269"/>
        <v>16.100000000000001</v>
      </c>
      <c r="AA1677" s="3">
        <v>46</v>
      </c>
    </row>
    <row r="1678" spans="1:27" x14ac:dyDescent="0.3">
      <c r="A1678" s="3" t="str">
        <f t="shared" si="260"/>
        <v>North9360039900310</v>
      </c>
      <c r="B1678" s="3" t="str">
        <f t="shared" si="261"/>
        <v>Pan9360039900310</v>
      </c>
      <c r="C1678" s="10">
        <v>9360039900310</v>
      </c>
      <c r="D1678" s="10" t="str">
        <f t="shared" si="262"/>
        <v>9360039900</v>
      </c>
      <c r="E1678" s="3" t="s">
        <v>2</v>
      </c>
      <c r="F1678" s="3" t="s">
        <v>64</v>
      </c>
      <c r="H1678" s="3">
        <v>25.06</v>
      </c>
      <c r="I1678" s="10">
        <f t="shared" si="263"/>
        <v>16.509705312957522</v>
      </c>
      <c r="J1678" s="3">
        <v>45.536851551793312</v>
      </c>
      <c r="K1678" s="3">
        <v>46</v>
      </c>
      <c r="L1678" s="3">
        <f t="shared" si="264"/>
        <v>0</v>
      </c>
      <c r="N1678" s="11">
        <f t="shared" si="265"/>
        <v>-20.476851551793313</v>
      </c>
      <c r="O1678" s="3">
        <v>45.536851551793312</v>
      </c>
      <c r="P1678" s="11">
        <f t="shared" si="266"/>
        <v>-13.49029468704248</v>
      </c>
      <c r="Q1678" s="12">
        <f t="shared" si="267"/>
        <v>-15.411155088948481</v>
      </c>
      <c r="R1678" s="13">
        <f t="shared" si="268"/>
        <v>-10.711161244724483</v>
      </c>
      <c r="S1678" s="3" t="s">
        <v>29</v>
      </c>
      <c r="T1678" s="3" t="s">
        <v>33</v>
      </c>
      <c r="U1678" s="10">
        <v>9360039900999</v>
      </c>
      <c r="V1678" s="3">
        <v>0.1</v>
      </c>
      <c r="W1678" s="3">
        <f t="shared" si="269"/>
        <v>4.6000000000000005</v>
      </c>
      <c r="AA1678" s="3">
        <v>46</v>
      </c>
    </row>
    <row r="1679" spans="1:27" x14ac:dyDescent="0.3">
      <c r="A1679" s="3" t="str">
        <f t="shared" si="260"/>
        <v>North9181709900320</v>
      </c>
      <c r="B1679" s="3" t="str">
        <f t="shared" si="261"/>
        <v>Pan9181709900320</v>
      </c>
      <c r="C1679" s="10">
        <v>9181709900320</v>
      </c>
      <c r="D1679" s="10" t="str">
        <f t="shared" si="262"/>
        <v>9181709900</v>
      </c>
      <c r="E1679" s="3" t="s">
        <v>2</v>
      </c>
      <c r="F1679" s="3" t="s">
        <v>64</v>
      </c>
      <c r="H1679" s="3">
        <v>20.46</v>
      </c>
      <c r="I1679" s="10">
        <f t="shared" si="263"/>
        <v>26.933788928645566</v>
      </c>
      <c r="J1679" s="3">
        <v>22.78921846555313</v>
      </c>
      <c r="K1679" s="3">
        <v>46</v>
      </c>
      <c r="L1679" s="3">
        <f t="shared" si="264"/>
        <v>0</v>
      </c>
      <c r="N1679" s="11">
        <f t="shared" si="265"/>
        <v>-2.3292184655531294</v>
      </c>
      <c r="O1679" s="3">
        <v>22.78921846555313</v>
      </c>
      <c r="P1679" s="11">
        <f t="shared" si="266"/>
        <v>-3.0662110713544326</v>
      </c>
      <c r="Q1679" s="12">
        <f t="shared" si="267"/>
        <v>-6.6515018463766413</v>
      </c>
      <c r="R1679" s="13">
        <f t="shared" si="268"/>
        <v>36.002851558501796</v>
      </c>
      <c r="S1679" s="3" t="s">
        <v>29</v>
      </c>
      <c r="T1679" s="3" t="s">
        <v>34</v>
      </c>
      <c r="U1679" s="10">
        <v>0</v>
      </c>
      <c r="V1679" s="3">
        <v>0</v>
      </c>
      <c r="W1679" s="3">
        <f t="shared" si="269"/>
        <v>0</v>
      </c>
      <c r="AA1679" s="3">
        <v>46</v>
      </c>
    </row>
    <row r="1680" spans="1:27" x14ac:dyDescent="0.3">
      <c r="A1680" s="3" t="str">
        <f t="shared" si="260"/>
        <v>North9360039900840</v>
      </c>
      <c r="B1680" s="3" t="str">
        <f t="shared" si="261"/>
        <v>Pan9360039900840</v>
      </c>
      <c r="C1680" s="10">
        <v>9360039900840</v>
      </c>
      <c r="D1680" s="10" t="str">
        <f t="shared" si="262"/>
        <v>9360039900</v>
      </c>
      <c r="E1680" s="3" t="s">
        <v>2</v>
      </c>
      <c r="F1680" s="3" t="s">
        <v>64</v>
      </c>
      <c r="H1680" s="3">
        <v>2.2080000000000002</v>
      </c>
      <c r="I1680" s="10">
        <f t="shared" si="263"/>
        <v>4.6218539680626574</v>
      </c>
      <c r="J1680" s="3">
        <v>14.331911059441332</v>
      </c>
      <c r="K1680" s="3">
        <v>0</v>
      </c>
      <c r="L1680" s="3">
        <f t="shared" si="264"/>
        <v>0</v>
      </c>
      <c r="N1680" s="11">
        <f t="shared" si="265"/>
        <v>-12.123911059441332</v>
      </c>
      <c r="O1680" s="3">
        <v>14.331911059441332</v>
      </c>
      <c r="P1680" s="11">
        <f t="shared" si="266"/>
        <v>-25.378146031937341</v>
      </c>
      <c r="Q1680" s="12">
        <f t="shared" si="267"/>
        <v>-24.43781990220084</v>
      </c>
      <c r="R1680" s="13">
        <f t="shared" si="268"/>
        <v>-18.707730516871298</v>
      </c>
      <c r="S1680" s="3" t="s">
        <v>30</v>
      </c>
      <c r="T1680" s="3" t="s">
        <v>33</v>
      </c>
      <c r="U1680" s="10">
        <v>0</v>
      </c>
      <c r="V1680" s="3">
        <v>0</v>
      </c>
      <c r="W1680" s="3">
        <f t="shared" si="269"/>
        <v>0</v>
      </c>
      <c r="AA1680" s="3">
        <v>46</v>
      </c>
    </row>
    <row r="1681" spans="1:27" x14ac:dyDescent="0.3">
      <c r="A1681" s="3" t="str">
        <f t="shared" si="260"/>
        <v>North9360099900310</v>
      </c>
      <c r="B1681" s="3" t="str">
        <f t="shared" si="261"/>
        <v>Pan9360099900310</v>
      </c>
      <c r="C1681" s="10">
        <v>9360099900310</v>
      </c>
      <c r="D1681" s="10" t="str">
        <f t="shared" si="262"/>
        <v>9360099900</v>
      </c>
      <c r="E1681" s="3" t="s">
        <v>2</v>
      </c>
      <c r="F1681" s="3" t="s">
        <v>64</v>
      </c>
      <c r="H1681" s="3">
        <v>1.9800000000000002</v>
      </c>
      <c r="I1681" s="10">
        <f t="shared" si="263"/>
        <v>5.9840117257904941</v>
      </c>
      <c r="J1681" s="3">
        <v>9.9264511371179189</v>
      </c>
      <c r="K1681" s="3">
        <v>23</v>
      </c>
      <c r="L1681" s="3">
        <f t="shared" si="264"/>
        <v>0</v>
      </c>
      <c r="N1681" s="11">
        <f t="shared" si="265"/>
        <v>-7.9464511371179185</v>
      </c>
      <c r="O1681" s="3">
        <v>9.9264511371179189</v>
      </c>
      <c r="P1681" s="11">
        <f t="shared" si="266"/>
        <v>-24.015988274209505</v>
      </c>
      <c r="Q1681" s="12">
        <f t="shared" si="267"/>
        <v>-15.740385258118526</v>
      </c>
      <c r="R1681" s="13">
        <f t="shared" si="268"/>
        <v>1.7950782691611549</v>
      </c>
      <c r="S1681" s="3" t="s">
        <v>31</v>
      </c>
      <c r="T1681" s="3" t="s">
        <v>33</v>
      </c>
      <c r="U1681" s="10">
        <v>9360099900999</v>
      </c>
      <c r="V1681" s="3">
        <v>0.1</v>
      </c>
      <c r="W1681" s="3">
        <f t="shared" si="269"/>
        <v>2.3000000000000003</v>
      </c>
      <c r="AA1681" s="3">
        <v>46</v>
      </c>
    </row>
    <row r="1682" spans="1:27" x14ac:dyDescent="0.3">
      <c r="A1682" s="3" t="str">
        <f t="shared" si="260"/>
        <v>North9360039900210</v>
      </c>
      <c r="B1682" s="3" t="str">
        <f t="shared" si="261"/>
        <v>Pan9360039900210</v>
      </c>
      <c r="C1682" s="10">
        <v>9360039900210</v>
      </c>
      <c r="D1682" s="10" t="str">
        <f t="shared" si="262"/>
        <v>9360039900</v>
      </c>
      <c r="E1682" s="3" t="s">
        <v>2</v>
      </c>
      <c r="F1682" s="3" t="s">
        <v>64</v>
      </c>
      <c r="H1682" s="3">
        <v>2.9389999999999992</v>
      </c>
      <c r="I1682" s="10">
        <f t="shared" si="263"/>
        <v>13.311972815940734</v>
      </c>
      <c r="J1682" s="3">
        <v>6.6233608811474394</v>
      </c>
      <c r="K1682" s="3">
        <v>23</v>
      </c>
      <c r="L1682" s="3">
        <f t="shared" si="264"/>
        <v>0</v>
      </c>
      <c r="N1682" s="11">
        <f t="shared" si="265"/>
        <v>-3.6843608811474402</v>
      </c>
      <c r="O1682" s="3">
        <v>6.6233608811474394</v>
      </c>
      <c r="P1682" s="11">
        <f t="shared" si="266"/>
        <v>-16.688027184059269</v>
      </c>
      <c r="Q1682" s="12">
        <f t="shared" si="267"/>
        <v>-13.345291376787827</v>
      </c>
      <c r="R1682" s="13">
        <f t="shared" si="268"/>
        <v>-6.5668161431774514</v>
      </c>
      <c r="S1682" s="3" t="s">
        <v>30</v>
      </c>
      <c r="T1682" s="3" t="s">
        <v>33</v>
      </c>
      <c r="U1682" s="10">
        <v>0</v>
      </c>
      <c r="V1682" s="3">
        <v>0</v>
      </c>
      <c r="W1682" s="3">
        <f t="shared" si="269"/>
        <v>0</v>
      </c>
      <c r="AA1682" s="3">
        <v>46</v>
      </c>
    </row>
    <row r="1683" spans="1:27" x14ac:dyDescent="0.3">
      <c r="A1683" s="3" t="str">
        <f t="shared" si="260"/>
        <v>North9360099900240</v>
      </c>
      <c r="B1683" s="3" t="str">
        <f t="shared" si="261"/>
        <v>Pan9360099900240</v>
      </c>
      <c r="C1683" s="10">
        <v>9360099900240</v>
      </c>
      <c r="D1683" s="10" t="str">
        <f t="shared" si="262"/>
        <v>9360099900</v>
      </c>
      <c r="E1683" s="3" t="s">
        <v>2</v>
      </c>
      <c r="F1683" s="3" t="s">
        <v>64</v>
      </c>
      <c r="H1683" s="3">
        <v>0.9920000000000001</v>
      </c>
      <c r="I1683" s="10">
        <f t="shared" si="263"/>
        <v>7.7331170606898976</v>
      </c>
      <c r="J1683" s="3">
        <v>3.8483834870779794</v>
      </c>
      <c r="K1683" s="3">
        <v>11.5</v>
      </c>
      <c r="L1683" s="3">
        <f t="shared" si="264"/>
        <v>0</v>
      </c>
      <c r="N1683" s="11">
        <f t="shared" si="265"/>
        <v>-2.8563834870779794</v>
      </c>
      <c r="O1683" s="3">
        <v>3.8483834870779794</v>
      </c>
      <c r="P1683" s="11">
        <f t="shared" si="266"/>
        <v>-22.266882939310104</v>
      </c>
      <c r="Q1683" s="12">
        <f t="shared" si="267"/>
        <v>-18.119227699087268</v>
      </c>
      <c r="R1683" s="13">
        <f t="shared" si="268"/>
        <v>-16.096257444310101</v>
      </c>
      <c r="S1683" s="3" t="s">
        <v>31</v>
      </c>
      <c r="T1683" s="3" t="s">
        <v>33</v>
      </c>
      <c r="U1683" s="10">
        <v>0</v>
      </c>
      <c r="V1683" s="3">
        <v>0</v>
      </c>
      <c r="W1683" s="3">
        <f t="shared" si="269"/>
        <v>0</v>
      </c>
      <c r="AA1683" s="3">
        <v>46</v>
      </c>
    </row>
    <row r="1684" spans="1:27" x14ac:dyDescent="0.3">
      <c r="A1684" s="3" t="str">
        <f t="shared" si="260"/>
        <v>North9410059900820</v>
      </c>
      <c r="B1684" s="3" t="str">
        <f t="shared" si="261"/>
        <v>Pan9410059900820</v>
      </c>
      <c r="C1684" s="10">
        <v>9410059900820</v>
      </c>
      <c r="D1684" s="10" t="str">
        <f t="shared" si="262"/>
        <v>9410059900</v>
      </c>
      <c r="E1684" s="3" t="s">
        <v>2</v>
      </c>
      <c r="F1684" s="3" t="s">
        <v>64</v>
      </c>
      <c r="H1684" s="3">
        <v>3.2800000000000002</v>
      </c>
      <c r="I1684" s="10">
        <f t="shared" si="263"/>
        <v>26.877617006240708</v>
      </c>
      <c r="J1684" s="3">
        <v>3.6610388479437197</v>
      </c>
      <c r="K1684" s="3">
        <v>0</v>
      </c>
      <c r="L1684" s="3">
        <f t="shared" si="264"/>
        <v>0</v>
      </c>
      <c r="N1684" s="11">
        <f t="shared" si="265"/>
        <v>-0.38103884794371945</v>
      </c>
      <c r="O1684" s="3">
        <v>3.6610388479437197</v>
      </c>
      <c r="P1684" s="11">
        <f t="shared" si="266"/>
        <v>-3.1223829937592926</v>
      </c>
      <c r="Q1684" s="12">
        <f t="shared" si="267"/>
        <v>61.362575207084795</v>
      </c>
      <c r="R1684" s="13">
        <f t="shared" si="268"/>
        <v>1.7095469951111055</v>
      </c>
      <c r="S1684" s="3" t="s">
        <v>30</v>
      </c>
      <c r="T1684" s="3" t="s">
        <v>32</v>
      </c>
      <c r="U1684" s="10">
        <v>0</v>
      </c>
      <c r="V1684" s="3">
        <v>0</v>
      </c>
      <c r="W1684" s="3">
        <f t="shared" si="269"/>
        <v>0</v>
      </c>
      <c r="AA1684" s="3">
        <v>46</v>
      </c>
    </row>
    <row r="1685" spans="1:27" x14ac:dyDescent="0.3">
      <c r="A1685" s="3" t="str">
        <f t="shared" si="260"/>
        <v>North9360099900210</v>
      </c>
      <c r="B1685" s="3" t="str">
        <f t="shared" si="261"/>
        <v>Pan9360099900210</v>
      </c>
      <c r="C1685" s="10">
        <v>9360099900210</v>
      </c>
      <c r="D1685" s="10" t="str">
        <f t="shared" si="262"/>
        <v>9360099900</v>
      </c>
      <c r="E1685" s="3" t="s">
        <v>2</v>
      </c>
      <c r="F1685" s="3" t="s">
        <v>64</v>
      </c>
      <c r="H1685" s="3">
        <v>13.193</v>
      </c>
      <c r="I1685" s="10">
        <f t="shared" si="263"/>
        <v>189.44565588753684</v>
      </c>
      <c r="J1685" s="3">
        <v>2.0892007164046986</v>
      </c>
      <c r="K1685" s="3">
        <v>0</v>
      </c>
      <c r="L1685" s="3">
        <f t="shared" si="264"/>
        <v>0</v>
      </c>
      <c r="N1685" s="11">
        <f t="shared" si="265"/>
        <v>11.103799283595301</v>
      </c>
      <c r="O1685" s="3">
        <v>2.0892007164046986</v>
      </c>
      <c r="P1685" s="11">
        <f t="shared" si="266"/>
        <v>159.44565588753684</v>
      </c>
      <c r="Q1685" s="12">
        <f t="shared" si="267"/>
        <v>135.96531782442926</v>
      </c>
      <c r="R1685" s="13">
        <f t="shared" si="268"/>
        <v>126.13949734777879</v>
      </c>
      <c r="S1685" s="3" t="s">
        <v>31</v>
      </c>
      <c r="T1685" s="3" t="s">
        <v>33</v>
      </c>
      <c r="U1685" s="10">
        <v>0</v>
      </c>
      <c r="V1685" s="3">
        <v>0</v>
      </c>
      <c r="W1685" s="3">
        <f t="shared" si="269"/>
        <v>0</v>
      </c>
      <c r="AA1685" s="3">
        <v>46</v>
      </c>
    </row>
    <row r="1686" spans="1:27" x14ac:dyDescent="0.3">
      <c r="A1686" s="3" t="str">
        <f t="shared" si="260"/>
        <v>North9410059900810</v>
      </c>
      <c r="B1686" s="3" t="str">
        <f t="shared" si="261"/>
        <v>Pan9410059900810</v>
      </c>
      <c r="C1686" s="10">
        <v>9410059900810</v>
      </c>
      <c r="D1686" s="10" t="str">
        <f t="shared" si="262"/>
        <v>9410059900</v>
      </c>
      <c r="E1686" s="3" t="s">
        <v>2</v>
      </c>
      <c r="F1686" s="3" t="s">
        <v>64</v>
      </c>
      <c r="H1686" s="3">
        <v>0.73000000000000009</v>
      </c>
      <c r="I1686" s="10">
        <f t="shared" si="263"/>
        <v>50.934767958822825</v>
      </c>
      <c r="J1686" s="3">
        <v>0.429961711373744</v>
      </c>
      <c r="K1686" s="3">
        <v>0</v>
      </c>
      <c r="L1686" s="3">
        <f t="shared" si="264"/>
        <v>0</v>
      </c>
      <c r="N1686" s="11">
        <f t="shared" si="265"/>
        <v>0.30003828862625609</v>
      </c>
      <c r="O1686" s="3">
        <v>0.429961711373744</v>
      </c>
      <c r="P1686" s="11">
        <f t="shared" si="266"/>
        <v>20.934767958822825</v>
      </c>
      <c r="Q1686" s="12">
        <f t="shared" si="267"/>
        <v>34.933052286909984</v>
      </c>
      <c r="R1686" s="13">
        <f t="shared" si="268"/>
        <v>-2.4886755234162909</v>
      </c>
      <c r="S1686" s="3" t="s">
        <v>31</v>
      </c>
      <c r="T1686" s="3" t="s">
        <v>32</v>
      </c>
      <c r="U1686" s="10">
        <v>0</v>
      </c>
      <c r="V1686" s="3">
        <v>0</v>
      </c>
      <c r="W1686" s="3">
        <f t="shared" si="269"/>
        <v>0</v>
      </c>
      <c r="AA1686" s="3">
        <v>46</v>
      </c>
    </row>
    <row r="1687" spans="1:27" x14ac:dyDescent="0.3">
      <c r="A1687" s="3" t="str">
        <f t="shared" si="260"/>
        <v>North9410059900840</v>
      </c>
      <c r="B1687" s="3" t="str">
        <f t="shared" si="261"/>
        <v>Pan9410059900840</v>
      </c>
      <c r="C1687" s="10">
        <v>9410059900840</v>
      </c>
      <c r="D1687" s="10" t="str">
        <f t="shared" si="262"/>
        <v>9410059900</v>
      </c>
      <c r="E1687" s="3" t="s">
        <v>2</v>
      </c>
      <c r="F1687" s="3" t="s">
        <v>64</v>
      </c>
      <c r="H1687" s="3">
        <v>1.6640000000000004</v>
      </c>
      <c r="I1687" s="10">
        <f t="shared" si="263"/>
        <v>592.56005038185913</v>
      </c>
      <c r="J1687" s="3">
        <v>8.4244626292019578E-2</v>
      </c>
      <c r="K1687" s="3">
        <v>0</v>
      </c>
      <c r="L1687" s="3">
        <f t="shared" si="264"/>
        <v>0</v>
      </c>
      <c r="N1687" s="11">
        <f t="shared" si="265"/>
        <v>1.5797553737079808</v>
      </c>
      <c r="O1687" s="3">
        <v>8.4244626292019578E-2</v>
      </c>
      <c r="P1687" s="11">
        <f t="shared" si="266"/>
        <v>562.56005038185913</v>
      </c>
      <c r="Q1687" s="12">
        <f t="shared" si="267"/>
        <v>5492.781679901188</v>
      </c>
      <c r="R1687" s="13">
        <f t="shared" si="268"/>
        <v>376.09378425700692</v>
      </c>
      <c r="S1687" s="3" t="s">
        <v>31</v>
      </c>
      <c r="T1687" s="3" t="s">
        <v>32</v>
      </c>
      <c r="U1687" s="10">
        <v>0</v>
      </c>
      <c r="V1687" s="3">
        <v>0</v>
      </c>
      <c r="W1687" s="3">
        <f t="shared" si="269"/>
        <v>0</v>
      </c>
      <c r="AA1687" s="3">
        <v>46</v>
      </c>
    </row>
    <row r="1688" spans="1:27" x14ac:dyDescent="0.3">
      <c r="A1688" s="3" t="str">
        <f t="shared" si="260"/>
        <v>North9181709900210</v>
      </c>
      <c r="B1688" s="3" t="str">
        <f t="shared" si="261"/>
        <v>Pan9181709900210</v>
      </c>
      <c r="C1688" s="10">
        <v>9181709900210</v>
      </c>
      <c r="D1688" s="10" t="str">
        <f t="shared" si="262"/>
        <v>9181709900</v>
      </c>
      <c r="E1688" s="3" t="s">
        <v>2</v>
      </c>
      <c r="F1688" s="3" t="s">
        <v>64</v>
      </c>
      <c r="H1688" s="3">
        <v>0</v>
      </c>
      <c r="I1688" s="10">
        <f t="shared" si="263"/>
        <v>0</v>
      </c>
      <c r="J1688" s="3">
        <v>0</v>
      </c>
      <c r="K1688" s="3">
        <v>0</v>
      </c>
      <c r="L1688" s="3">
        <f t="shared" si="264"/>
        <v>0</v>
      </c>
      <c r="N1688" s="11">
        <f t="shared" si="265"/>
        <v>0</v>
      </c>
      <c r="O1688" s="3">
        <v>0</v>
      </c>
      <c r="P1688" s="11">
        <f t="shared" si="266"/>
        <v>9999</v>
      </c>
      <c r="Q1688" s="12">
        <f t="shared" si="267"/>
        <v>9999</v>
      </c>
      <c r="R1688" s="13">
        <f t="shared" si="268"/>
        <v>9999</v>
      </c>
      <c r="S1688" s="3" t="s">
        <v>31</v>
      </c>
      <c r="T1688" s="3" t="s">
        <v>34</v>
      </c>
      <c r="U1688" s="10" t="s">
        <v>72</v>
      </c>
      <c r="V1688" s="3" t="s">
        <v>72</v>
      </c>
      <c r="W1688" s="3">
        <f t="shared" si="269"/>
        <v>0</v>
      </c>
      <c r="AA1688" s="3">
        <v>46</v>
      </c>
    </row>
    <row r="1689" spans="1:27" x14ac:dyDescent="0.3">
      <c r="A1689" s="3" t="str">
        <f t="shared" si="260"/>
        <v>North9410059900210</v>
      </c>
      <c r="B1689" s="3" t="str">
        <f t="shared" si="261"/>
        <v>Pan9410059900210</v>
      </c>
      <c r="C1689" s="10">
        <v>9410059900210</v>
      </c>
      <c r="D1689" s="10" t="str">
        <f t="shared" si="262"/>
        <v>9410059900</v>
      </c>
      <c r="E1689" s="3" t="s">
        <v>2</v>
      </c>
      <c r="F1689" s="3" t="s">
        <v>64</v>
      </c>
      <c r="H1689" s="3">
        <v>1.964</v>
      </c>
      <c r="I1689" s="10">
        <f t="shared" si="263"/>
        <v>0</v>
      </c>
      <c r="J1689" s="3">
        <v>0</v>
      </c>
      <c r="K1689" s="3">
        <v>0</v>
      </c>
      <c r="L1689" s="3">
        <f t="shared" si="264"/>
        <v>0</v>
      </c>
      <c r="N1689" s="11">
        <f t="shared" si="265"/>
        <v>1.964</v>
      </c>
      <c r="O1689" s="3">
        <v>0</v>
      </c>
      <c r="P1689" s="11">
        <f t="shared" si="266"/>
        <v>9999</v>
      </c>
      <c r="Q1689" s="12">
        <f t="shared" si="267"/>
        <v>9999</v>
      </c>
      <c r="R1689" s="13">
        <f t="shared" si="268"/>
        <v>190.32630093769362</v>
      </c>
      <c r="S1689" s="3" t="s">
        <v>31</v>
      </c>
      <c r="T1689" s="3" t="s">
        <v>32</v>
      </c>
      <c r="U1689" s="10">
        <v>0</v>
      </c>
      <c r="V1689" s="3">
        <v>0</v>
      </c>
      <c r="W1689" s="3">
        <f t="shared" si="269"/>
        <v>0</v>
      </c>
      <c r="AA1689" s="3">
        <v>46</v>
      </c>
    </row>
    <row r="1690" spans="1:27" x14ac:dyDescent="0.3">
      <c r="A1690" s="3" t="str">
        <f t="shared" si="260"/>
        <v>North9330229900320</v>
      </c>
      <c r="B1690" s="3" t="str">
        <f t="shared" si="261"/>
        <v>Lud9330229900320</v>
      </c>
      <c r="C1690" s="10">
        <v>9330229900320</v>
      </c>
      <c r="D1690" s="10" t="str">
        <f t="shared" si="262"/>
        <v>9330229900</v>
      </c>
      <c r="E1690" s="3" t="s">
        <v>3</v>
      </c>
      <c r="F1690" s="3" t="s">
        <v>64</v>
      </c>
      <c r="H1690" s="3">
        <v>62.825999999999986</v>
      </c>
      <c r="I1690" s="10">
        <f t="shared" si="263"/>
        <v>30.286771889582202</v>
      </c>
      <c r="J1690" s="3">
        <v>62.23112872086282</v>
      </c>
      <c r="K1690" s="3">
        <v>92</v>
      </c>
      <c r="L1690" s="3">
        <f t="shared" si="264"/>
        <v>0</v>
      </c>
      <c r="N1690" s="11">
        <f t="shared" si="265"/>
        <v>0.5948712791371662</v>
      </c>
      <c r="O1690" s="3">
        <v>62.23112872086282</v>
      </c>
      <c r="P1690" s="11">
        <f t="shared" si="266"/>
        <v>0.28677188958220062</v>
      </c>
      <c r="Q1690" s="12">
        <f t="shared" si="267"/>
        <v>-3.2094991134368165</v>
      </c>
      <c r="R1690" s="13">
        <f t="shared" si="268"/>
        <v>-4.2206085179727149</v>
      </c>
      <c r="S1690" s="3" t="s">
        <v>29</v>
      </c>
      <c r="T1690" s="3" t="s">
        <v>35</v>
      </c>
      <c r="U1690" s="10">
        <v>9330229900999</v>
      </c>
      <c r="V1690" s="3">
        <v>0.1</v>
      </c>
      <c r="W1690" s="3">
        <f t="shared" si="269"/>
        <v>9.2000000000000011</v>
      </c>
      <c r="AA1690" s="3">
        <v>46</v>
      </c>
    </row>
    <row r="1691" spans="1:27" x14ac:dyDescent="0.3">
      <c r="A1691" s="3" t="str">
        <f t="shared" si="260"/>
        <v>North9330229900310</v>
      </c>
      <c r="B1691" s="3" t="str">
        <f t="shared" si="261"/>
        <v>Lud9330229900310</v>
      </c>
      <c r="C1691" s="10">
        <v>9330229900310</v>
      </c>
      <c r="D1691" s="10" t="str">
        <f t="shared" si="262"/>
        <v>9330229900</v>
      </c>
      <c r="E1691" s="3" t="s">
        <v>3</v>
      </c>
      <c r="F1691" s="3" t="s">
        <v>64</v>
      </c>
      <c r="H1691" s="3">
        <v>12.17</v>
      </c>
      <c r="I1691" s="10">
        <f t="shared" si="263"/>
        <v>41.139890786366045</v>
      </c>
      <c r="J1691" s="3">
        <v>8.8745981824773317</v>
      </c>
      <c r="K1691" s="3">
        <v>0</v>
      </c>
      <c r="L1691" s="3">
        <f t="shared" si="264"/>
        <v>0</v>
      </c>
      <c r="N1691" s="11">
        <f t="shared" si="265"/>
        <v>3.2954018175226683</v>
      </c>
      <c r="O1691" s="3">
        <v>8.8745981824773317</v>
      </c>
      <c r="P1691" s="11">
        <f t="shared" si="266"/>
        <v>11.139890786366042</v>
      </c>
      <c r="Q1691" s="12">
        <f t="shared" si="267"/>
        <v>-0.16841653384571015</v>
      </c>
      <c r="R1691" s="13">
        <f t="shared" si="268"/>
        <v>-2.3419374714723604</v>
      </c>
      <c r="S1691" s="3" t="s">
        <v>30</v>
      </c>
      <c r="T1691" s="3" t="s">
        <v>35</v>
      </c>
      <c r="U1691" s="10">
        <v>9330229900999</v>
      </c>
      <c r="V1691" s="3">
        <v>0.1</v>
      </c>
      <c r="W1691" s="3">
        <f t="shared" si="269"/>
        <v>0</v>
      </c>
      <c r="AA1691" s="3">
        <v>46</v>
      </c>
    </row>
    <row r="1692" spans="1:27" x14ac:dyDescent="0.3">
      <c r="A1692" s="3" t="str">
        <f t="shared" si="260"/>
        <v>North9160309900320</v>
      </c>
      <c r="B1692" s="3" t="str">
        <f t="shared" si="261"/>
        <v>Lud9160309900320</v>
      </c>
      <c r="C1692" s="10">
        <v>9160309900320</v>
      </c>
      <c r="D1692" s="10" t="str">
        <f t="shared" si="262"/>
        <v>9160309900</v>
      </c>
      <c r="E1692" s="3" t="s">
        <v>3</v>
      </c>
      <c r="F1692" s="3" t="s">
        <v>64</v>
      </c>
      <c r="H1692" s="3">
        <v>4.4399999999999995</v>
      </c>
      <c r="I1692" s="10">
        <f t="shared" si="263"/>
        <v>45.601581082979365</v>
      </c>
      <c r="J1692" s="3">
        <v>2.9209513538055027</v>
      </c>
      <c r="K1692" s="3">
        <v>0</v>
      </c>
      <c r="L1692" s="3">
        <f t="shared" si="264"/>
        <v>0</v>
      </c>
      <c r="N1692" s="11">
        <f t="shared" si="265"/>
        <v>1.5190486461944968</v>
      </c>
      <c r="O1692" s="3">
        <v>2.9209513538055027</v>
      </c>
      <c r="P1692" s="11">
        <f t="shared" si="266"/>
        <v>15.601581082979369</v>
      </c>
      <c r="Q1692" s="12">
        <f t="shared" si="267"/>
        <v>45.061222020056832</v>
      </c>
      <c r="R1692" s="13">
        <f t="shared" si="268"/>
        <v>41.189863366756896</v>
      </c>
      <c r="S1692" s="3" t="s">
        <v>30</v>
      </c>
      <c r="T1692" s="3" t="s">
        <v>34</v>
      </c>
      <c r="U1692" s="10">
        <v>0</v>
      </c>
      <c r="V1692" s="3">
        <v>0</v>
      </c>
      <c r="W1692" s="3">
        <f t="shared" si="269"/>
        <v>0</v>
      </c>
      <c r="AA1692" s="3">
        <v>46</v>
      </c>
    </row>
    <row r="1693" spans="1:27" x14ac:dyDescent="0.3">
      <c r="A1693" s="3" t="str">
        <f t="shared" si="260"/>
        <v>North9330229900840</v>
      </c>
      <c r="B1693" s="3" t="str">
        <f t="shared" si="261"/>
        <v>Lud9330229900840</v>
      </c>
      <c r="C1693" s="10">
        <v>9330229900840</v>
      </c>
      <c r="D1693" s="10" t="str">
        <f t="shared" si="262"/>
        <v>9330229900</v>
      </c>
      <c r="E1693" s="3" t="s">
        <v>3</v>
      </c>
      <c r="F1693" s="3" t="s">
        <v>64</v>
      </c>
      <c r="H1693" s="3">
        <v>1.4400000000000004</v>
      </c>
      <c r="I1693" s="10">
        <f t="shared" si="263"/>
        <v>24.289845449867762</v>
      </c>
      <c r="J1693" s="3">
        <v>1.7785209909697139</v>
      </c>
      <c r="K1693" s="3">
        <v>0</v>
      </c>
      <c r="L1693" s="3">
        <f t="shared" si="264"/>
        <v>0</v>
      </c>
      <c r="N1693" s="11">
        <f t="shared" si="265"/>
        <v>-0.33852099096971355</v>
      </c>
      <c r="O1693" s="3">
        <v>1.7785209909697139</v>
      </c>
      <c r="P1693" s="11">
        <f t="shared" si="266"/>
        <v>-5.7101545501322368</v>
      </c>
      <c r="Q1693" s="12">
        <f t="shared" si="267"/>
        <v>68.093177873028409</v>
      </c>
      <c r="R1693" s="13">
        <f t="shared" si="268"/>
        <v>33.619058544193109</v>
      </c>
      <c r="S1693" s="3" t="s">
        <v>31</v>
      </c>
      <c r="T1693" s="3" t="s">
        <v>35</v>
      </c>
      <c r="U1693" s="10">
        <v>0</v>
      </c>
      <c r="V1693" s="3">
        <v>0</v>
      </c>
      <c r="W1693" s="3">
        <f t="shared" si="269"/>
        <v>0</v>
      </c>
      <c r="AA1693" s="3">
        <v>46</v>
      </c>
    </row>
    <row r="1694" spans="1:27" x14ac:dyDescent="0.3">
      <c r="A1694" s="3" t="str">
        <f t="shared" si="260"/>
        <v>North9330229900210</v>
      </c>
      <c r="B1694" s="3" t="str">
        <f t="shared" si="261"/>
        <v>Lud9330229900210</v>
      </c>
      <c r="C1694" s="10">
        <v>9330229900210</v>
      </c>
      <c r="D1694" s="10" t="str">
        <f t="shared" si="262"/>
        <v>9330229900</v>
      </c>
      <c r="E1694" s="3" t="s">
        <v>3</v>
      </c>
      <c r="F1694" s="3" t="s">
        <v>64</v>
      </c>
      <c r="H1694" s="3">
        <v>2.0310000000000001</v>
      </c>
      <c r="I1694" s="10">
        <f t="shared" si="263"/>
        <v>93.178858664441066</v>
      </c>
      <c r="J1694" s="3">
        <v>0.6539036952515509</v>
      </c>
      <c r="K1694" s="3">
        <v>0</v>
      </c>
      <c r="L1694" s="3">
        <f t="shared" si="264"/>
        <v>0</v>
      </c>
      <c r="N1694" s="11">
        <f t="shared" si="265"/>
        <v>1.3770963047484492</v>
      </c>
      <c r="O1694" s="3">
        <v>0.6539036952515509</v>
      </c>
      <c r="P1694" s="11">
        <f t="shared" si="266"/>
        <v>63.178858664441066</v>
      </c>
      <c r="Q1694" s="12">
        <f t="shared" si="267"/>
        <v>93.26980727292937</v>
      </c>
      <c r="R1694" s="13">
        <f t="shared" si="268"/>
        <v>127.78574888635198</v>
      </c>
      <c r="S1694" s="3" t="s">
        <v>31</v>
      </c>
      <c r="T1694" s="3" t="s">
        <v>35</v>
      </c>
      <c r="U1694" s="10">
        <v>0</v>
      </c>
      <c r="V1694" s="3">
        <v>0</v>
      </c>
      <c r="W1694" s="3">
        <f t="shared" si="269"/>
        <v>0</v>
      </c>
      <c r="AA1694" s="3">
        <v>46</v>
      </c>
    </row>
    <row r="1695" spans="1:27" x14ac:dyDescent="0.3">
      <c r="A1695" s="3" t="str">
        <f t="shared" si="260"/>
        <v>North9160309900210</v>
      </c>
      <c r="B1695" s="3" t="str">
        <f t="shared" si="261"/>
        <v>Lud9160309900210</v>
      </c>
      <c r="C1695" s="10">
        <v>9160309900210</v>
      </c>
      <c r="D1695" s="10" t="str">
        <f t="shared" si="262"/>
        <v>9160309900</v>
      </c>
      <c r="E1695" s="3" t="s">
        <v>3</v>
      </c>
      <c r="F1695" s="3" t="s">
        <v>64</v>
      </c>
      <c r="H1695" s="3">
        <v>0</v>
      </c>
      <c r="I1695" s="10">
        <f t="shared" si="263"/>
        <v>0</v>
      </c>
      <c r="J1695" s="3">
        <v>0</v>
      </c>
      <c r="K1695" s="3">
        <v>0</v>
      </c>
      <c r="L1695" s="3">
        <f t="shared" si="264"/>
        <v>0</v>
      </c>
      <c r="N1695" s="11">
        <f t="shared" si="265"/>
        <v>0</v>
      </c>
      <c r="O1695" s="3">
        <v>0</v>
      </c>
      <c r="P1695" s="11">
        <f t="shared" si="266"/>
        <v>9999</v>
      </c>
      <c r="Q1695" s="12">
        <f t="shared" si="267"/>
        <v>9999</v>
      </c>
      <c r="R1695" s="13">
        <f t="shared" si="268"/>
        <v>9999</v>
      </c>
      <c r="S1695" s="3" t="s">
        <v>31</v>
      </c>
      <c r="T1695" s="3" t="s">
        <v>34</v>
      </c>
      <c r="U1695" s="10" t="s">
        <v>72</v>
      </c>
      <c r="V1695" s="3" t="s">
        <v>72</v>
      </c>
      <c r="W1695" s="3">
        <f t="shared" si="269"/>
        <v>0</v>
      </c>
      <c r="AA1695" s="3">
        <v>46</v>
      </c>
    </row>
    <row r="1696" spans="1:27" x14ac:dyDescent="0.3">
      <c r="A1696" s="3" t="str">
        <f t="shared" si="260"/>
        <v>South9330239900320</v>
      </c>
      <c r="B1696" s="3" t="str">
        <f t="shared" si="261"/>
        <v>CMR9330239900320</v>
      </c>
      <c r="C1696" s="10">
        <v>9330239900320</v>
      </c>
      <c r="D1696" s="10" t="str">
        <f t="shared" si="262"/>
        <v>9330239900</v>
      </c>
      <c r="E1696" s="3" t="s">
        <v>5</v>
      </c>
      <c r="F1696" s="3" t="s">
        <v>65</v>
      </c>
      <c r="H1696" s="3">
        <v>34.78</v>
      </c>
      <c r="I1696" s="10">
        <f t="shared" si="263"/>
        <v>77.685733969943655</v>
      </c>
      <c r="J1696" s="3">
        <v>13.431037420637461</v>
      </c>
      <c r="K1696" s="3">
        <v>0</v>
      </c>
      <c r="L1696" s="3">
        <f t="shared" si="264"/>
        <v>0</v>
      </c>
      <c r="N1696" s="11">
        <f t="shared" si="265"/>
        <v>21.348962579362542</v>
      </c>
      <c r="O1696" s="3">
        <v>13.431037420637461</v>
      </c>
      <c r="P1696" s="11">
        <f t="shared" si="266"/>
        <v>47.685733969943662</v>
      </c>
      <c r="Q1696" s="12">
        <f t="shared" si="267"/>
        <v>40.852153626770018</v>
      </c>
      <c r="R1696" s="13">
        <f t="shared" si="268"/>
        <v>49.457242370391903</v>
      </c>
      <c r="S1696" s="3" t="s">
        <v>31</v>
      </c>
      <c r="T1696" s="3" t="s">
        <v>35</v>
      </c>
      <c r="U1696" s="10">
        <v>9330239900999</v>
      </c>
      <c r="V1696" s="3">
        <v>0.1</v>
      </c>
      <c r="W1696" s="3">
        <f t="shared" si="269"/>
        <v>0</v>
      </c>
      <c r="AA1696" s="3">
        <v>46</v>
      </c>
    </row>
    <row r="1697" spans="1:27" x14ac:dyDescent="0.3">
      <c r="A1697" s="3" t="str">
        <f t="shared" si="260"/>
        <v>South9330239900310</v>
      </c>
      <c r="B1697" s="3" t="str">
        <f t="shared" si="261"/>
        <v>CMR9330239900310</v>
      </c>
      <c r="C1697" s="10">
        <v>9330239900310</v>
      </c>
      <c r="D1697" s="10" t="str">
        <f t="shared" si="262"/>
        <v>9330239900</v>
      </c>
      <c r="E1697" s="3" t="s">
        <v>5</v>
      </c>
      <c r="F1697" s="3" t="s">
        <v>65</v>
      </c>
      <c r="H1697" s="3">
        <v>6.98</v>
      </c>
      <c r="I1697" s="10">
        <f t="shared" si="263"/>
        <v>54.414254880367487</v>
      </c>
      <c r="J1697" s="3">
        <v>3.8482563155624678</v>
      </c>
      <c r="K1697" s="3">
        <v>0</v>
      </c>
      <c r="L1697" s="3">
        <f t="shared" si="264"/>
        <v>0</v>
      </c>
      <c r="N1697" s="11">
        <f t="shared" si="265"/>
        <v>3.1317436844375326</v>
      </c>
      <c r="O1697" s="3">
        <v>3.8482563155624678</v>
      </c>
      <c r="P1697" s="11">
        <f t="shared" si="266"/>
        <v>24.414254880367483</v>
      </c>
      <c r="Q1697" s="12">
        <f t="shared" si="267"/>
        <v>20.124444540465525</v>
      </c>
      <c r="R1697" s="13">
        <f t="shared" si="268"/>
        <v>86.092170811049129</v>
      </c>
      <c r="S1697" s="3" t="s">
        <v>31</v>
      </c>
      <c r="T1697" s="3" t="s">
        <v>35</v>
      </c>
      <c r="U1697" s="10">
        <v>9330239900999</v>
      </c>
      <c r="V1697" s="3">
        <v>0.1</v>
      </c>
      <c r="W1697" s="3">
        <f t="shared" si="269"/>
        <v>0</v>
      </c>
      <c r="AA1697" s="3">
        <v>46</v>
      </c>
    </row>
    <row r="1698" spans="1:27" x14ac:dyDescent="0.3">
      <c r="A1698" s="3" t="str">
        <f t="shared" si="260"/>
        <v>South9330239900840</v>
      </c>
      <c r="B1698" s="3" t="str">
        <f t="shared" si="261"/>
        <v>CMR9330239900840</v>
      </c>
      <c r="C1698" s="10">
        <v>9330239900840</v>
      </c>
      <c r="D1698" s="10" t="str">
        <f t="shared" si="262"/>
        <v>9330239900</v>
      </c>
      <c r="E1698" s="3" t="s">
        <v>5</v>
      </c>
      <c r="F1698" s="3" t="s">
        <v>65</v>
      </c>
      <c r="H1698" s="3">
        <v>1.1040000000000001</v>
      </c>
      <c r="I1698" s="10">
        <f t="shared" si="263"/>
        <v>27.972873072786427</v>
      </c>
      <c r="J1698" s="3">
        <v>1.1840042284473449</v>
      </c>
      <c r="K1698" s="3">
        <v>0</v>
      </c>
      <c r="L1698" s="3">
        <f t="shared" si="264"/>
        <v>0</v>
      </c>
      <c r="N1698" s="11">
        <f t="shared" si="265"/>
        <v>-8.0004228447344783E-2</v>
      </c>
      <c r="O1698" s="3">
        <v>1.1840042284473449</v>
      </c>
      <c r="P1698" s="11">
        <f t="shared" si="266"/>
        <v>-2.0271269272135726</v>
      </c>
      <c r="Q1698" s="12">
        <f t="shared" si="267"/>
        <v>9.5179907738437919</v>
      </c>
      <c r="R1698" s="13">
        <f t="shared" si="268"/>
        <v>10.604359305730044</v>
      </c>
      <c r="S1698" s="3" t="s">
        <v>31</v>
      </c>
      <c r="T1698" s="3" t="s">
        <v>35</v>
      </c>
      <c r="U1698" s="10">
        <v>0</v>
      </c>
      <c r="V1698" s="3">
        <v>0</v>
      </c>
      <c r="W1698" s="3">
        <f t="shared" si="269"/>
        <v>0</v>
      </c>
      <c r="AA1698" s="3">
        <v>46</v>
      </c>
    </row>
    <row r="1699" spans="1:27" x14ac:dyDescent="0.3">
      <c r="A1699" s="3" t="str">
        <f t="shared" si="260"/>
        <v>South9330239900210</v>
      </c>
      <c r="B1699" s="3" t="str">
        <f t="shared" si="261"/>
        <v>CMR9330239900210</v>
      </c>
      <c r="C1699" s="10">
        <v>9330239900210</v>
      </c>
      <c r="D1699" s="10" t="str">
        <f t="shared" si="262"/>
        <v>9330239900</v>
      </c>
      <c r="E1699" s="3" t="s">
        <v>5</v>
      </c>
      <c r="F1699" s="3" t="s">
        <v>65</v>
      </c>
      <c r="H1699" s="3">
        <v>0.49199999999999999</v>
      </c>
      <c r="I1699" s="10">
        <f t="shared" si="263"/>
        <v>41.127578295038298</v>
      </c>
      <c r="J1699" s="3">
        <v>0.35888327521050933</v>
      </c>
      <c r="K1699" s="3">
        <v>0</v>
      </c>
      <c r="L1699" s="3">
        <f t="shared" si="264"/>
        <v>0</v>
      </c>
      <c r="N1699" s="11">
        <f t="shared" si="265"/>
        <v>0.13311672478949066</v>
      </c>
      <c r="O1699" s="3">
        <v>0.35888327521050933</v>
      </c>
      <c r="P1699" s="11">
        <f t="shared" si="266"/>
        <v>11.127578295038298</v>
      </c>
      <c r="Q1699" s="12">
        <f t="shared" si="267"/>
        <v>27.239043254449943</v>
      </c>
      <c r="R1699" s="13">
        <f t="shared" si="268"/>
        <v>66.324218176236982</v>
      </c>
      <c r="S1699" s="3" t="s">
        <v>31</v>
      </c>
      <c r="T1699" s="3" t="s">
        <v>35</v>
      </c>
      <c r="U1699" s="10">
        <v>0</v>
      </c>
      <c r="V1699" s="3">
        <v>0</v>
      </c>
      <c r="W1699" s="3">
        <f t="shared" si="269"/>
        <v>0</v>
      </c>
      <c r="AA1699" s="3">
        <v>46</v>
      </c>
    </row>
    <row r="1700" spans="1:27" x14ac:dyDescent="0.3">
      <c r="A1700" s="3" t="str">
        <f t="shared" si="260"/>
        <v>East9360039900320</v>
      </c>
      <c r="B1700" s="3" t="str">
        <f t="shared" si="261"/>
        <v>KGP9360039900320</v>
      </c>
      <c r="C1700" s="10">
        <v>9360039900320</v>
      </c>
      <c r="D1700" s="10" t="str">
        <f t="shared" si="262"/>
        <v>9360039900</v>
      </c>
      <c r="E1700" s="3" t="s">
        <v>6</v>
      </c>
      <c r="F1700" s="3" t="s">
        <v>66</v>
      </c>
      <c r="H1700" s="3">
        <v>67.88</v>
      </c>
      <c r="I1700" s="10">
        <f t="shared" si="263"/>
        <v>11.294630733153523</v>
      </c>
      <c r="J1700" s="3">
        <v>180.29805914968819</v>
      </c>
      <c r="K1700" s="3">
        <v>275.5</v>
      </c>
      <c r="L1700" s="3">
        <f t="shared" si="264"/>
        <v>0</v>
      </c>
      <c r="N1700" s="11">
        <f t="shared" si="265"/>
        <v>-112.41805914968819</v>
      </c>
      <c r="O1700" s="3">
        <v>180.29805914968819</v>
      </c>
      <c r="P1700" s="11">
        <f t="shared" si="266"/>
        <v>-18.705369266846478</v>
      </c>
      <c r="Q1700" s="12">
        <f t="shared" si="267"/>
        <v>-18.705369266846478</v>
      </c>
      <c r="R1700" s="13">
        <f t="shared" si="268"/>
        <v>-20.402843801646455</v>
      </c>
      <c r="S1700" s="3" t="s">
        <v>29</v>
      </c>
      <c r="T1700" s="3" t="s">
        <v>33</v>
      </c>
      <c r="U1700" s="10">
        <v>9360039900999</v>
      </c>
      <c r="V1700" s="3">
        <v>0.1</v>
      </c>
      <c r="W1700" s="3">
        <f t="shared" si="269"/>
        <v>27.55</v>
      </c>
      <c r="AA1700" s="3">
        <v>46</v>
      </c>
    </row>
    <row r="1701" spans="1:27" x14ac:dyDescent="0.3">
      <c r="A1701" s="3" t="str">
        <f t="shared" si="260"/>
        <v>East9320039901320</v>
      </c>
      <c r="B1701" s="3" t="str">
        <f t="shared" si="261"/>
        <v>KGP9320039901320</v>
      </c>
      <c r="C1701" s="10">
        <v>9320039901320</v>
      </c>
      <c r="D1701" s="10" t="str">
        <f t="shared" si="262"/>
        <v>9320039901</v>
      </c>
      <c r="E1701" s="3" t="s">
        <v>6</v>
      </c>
      <c r="F1701" s="3" t="s">
        <v>66</v>
      </c>
      <c r="H1701" s="3">
        <v>65.239999999999981</v>
      </c>
      <c r="I1701" s="10">
        <f t="shared" si="263"/>
        <v>26.268388958411435</v>
      </c>
      <c r="J1701" s="3">
        <v>74.507804917106711</v>
      </c>
      <c r="K1701" s="3">
        <v>72</v>
      </c>
      <c r="L1701" s="3">
        <f t="shared" si="264"/>
        <v>0</v>
      </c>
      <c r="N1701" s="11">
        <f t="shared" si="265"/>
        <v>-9.26780491710673</v>
      </c>
      <c r="O1701" s="3">
        <v>74.507804917106711</v>
      </c>
      <c r="P1701" s="11">
        <f t="shared" si="266"/>
        <v>-3.7316110415885611</v>
      </c>
      <c r="Q1701" s="12">
        <f t="shared" si="267"/>
        <v>-3.7316110415885615</v>
      </c>
      <c r="R1701" s="13">
        <f t="shared" si="268"/>
        <v>-7.7301793479032082</v>
      </c>
      <c r="S1701" s="3" t="s">
        <v>29</v>
      </c>
      <c r="T1701" s="3" t="s">
        <v>28</v>
      </c>
      <c r="U1701" s="10">
        <v>9320039900999</v>
      </c>
      <c r="V1701" s="3">
        <v>0.1</v>
      </c>
      <c r="W1701" s="3">
        <f t="shared" si="269"/>
        <v>7.2</v>
      </c>
      <c r="AA1701" s="3">
        <v>46</v>
      </c>
    </row>
    <row r="1702" spans="1:27" x14ac:dyDescent="0.3">
      <c r="A1702" s="3" t="str">
        <f t="shared" si="260"/>
        <v>East9360039900310</v>
      </c>
      <c r="B1702" s="3" t="str">
        <f t="shared" si="261"/>
        <v>KGP9360039900310</v>
      </c>
      <c r="C1702" s="10">
        <v>9360039900310</v>
      </c>
      <c r="D1702" s="10" t="str">
        <f t="shared" si="262"/>
        <v>9360039900</v>
      </c>
      <c r="E1702" s="3" t="s">
        <v>6</v>
      </c>
      <c r="F1702" s="3" t="s">
        <v>66</v>
      </c>
      <c r="H1702" s="3">
        <v>25.83</v>
      </c>
      <c r="I1702" s="10">
        <f t="shared" si="263"/>
        <v>28.892320804694663</v>
      </c>
      <c r="J1702" s="3">
        <v>26.820275367913254</v>
      </c>
      <c r="K1702" s="3">
        <v>23</v>
      </c>
      <c r="L1702" s="3">
        <f t="shared" si="264"/>
        <v>0</v>
      </c>
      <c r="N1702" s="11">
        <f t="shared" si="265"/>
        <v>-0.99027536791325588</v>
      </c>
      <c r="O1702" s="3">
        <v>26.820275367913254</v>
      </c>
      <c r="P1702" s="11">
        <f t="shared" si="266"/>
        <v>-1.107679195305336</v>
      </c>
      <c r="Q1702" s="12">
        <f t="shared" si="267"/>
        <v>-1.107679195305336</v>
      </c>
      <c r="R1702" s="13">
        <f t="shared" si="268"/>
        <v>-10.711161244724483</v>
      </c>
      <c r="S1702" s="3" t="s">
        <v>29</v>
      </c>
      <c r="T1702" s="3" t="s">
        <v>33</v>
      </c>
      <c r="U1702" s="10">
        <v>9360039900999</v>
      </c>
      <c r="V1702" s="3">
        <v>0.1</v>
      </c>
      <c r="W1702" s="3">
        <f t="shared" si="269"/>
        <v>2.3000000000000003</v>
      </c>
      <c r="AA1702" s="3">
        <v>46</v>
      </c>
    </row>
    <row r="1703" spans="1:27" x14ac:dyDescent="0.3">
      <c r="A1703" s="3" t="str">
        <f t="shared" si="260"/>
        <v>East9320039901310</v>
      </c>
      <c r="B1703" s="3" t="str">
        <f t="shared" si="261"/>
        <v>KGP9320039901310</v>
      </c>
      <c r="C1703" s="10">
        <v>9320039901310</v>
      </c>
      <c r="D1703" s="10" t="str">
        <f t="shared" si="262"/>
        <v>9320039901</v>
      </c>
      <c r="E1703" s="3" t="s">
        <v>6</v>
      </c>
      <c r="F1703" s="3" t="s">
        <v>66</v>
      </c>
      <c r="H1703" s="3">
        <v>32.199999999999989</v>
      </c>
      <c r="I1703" s="10">
        <f t="shared" si="263"/>
        <v>41.203859742210952</v>
      </c>
      <c r="J1703" s="3">
        <v>23.444405598012189</v>
      </c>
      <c r="K1703" s="3">
        <v>11.5</v>
      </c>
      <c r="L1703" s="3">
        <f t="shared" si="264"/>
        <v>0</v>
      </c>
      <c r="N1703" s="11">
        <f t="shared" si="265"/>
        <v>8.7555944019877998</v>
      </c>
      <c r="O1703" s="3">
        <v>23.444405598012189</v>
      </c>
      <c r="P1703" s="11">
        <f t="shared" si="266"/>
        <v>11.203859742210959</v>
      </c>
      <c r="Q1703" s="12">
        <f t="shared" si="267"/>
        <v>11.203859742210959</v>
      </c>
      <c r="R1703" s="13">
        <f t="shared" si="268"/>
        <v>5.5999242697400797</v>
      </c>
      <c r="S1703" s="3" t="s">
        <v>29</v>
      </c>
      <c r="T1703" s="3" t="s">
        <v>28</v>
      </c>
      <c r="U1703" s="10">
        <v>9320039900999</v>
      </c>
      <c r="V1703" s="3">
        <v>0.1</v>
      </c>
      <c r="W1703" s="3">
        <f t="shared" si="269"/>
        <v>1.1500000000000001</v>
      </c>
      <c r="AA1703" s="3">
        <v>46</v>
      </c>
    </row>
    <row r="1704" spans="1:27" x14ac:dyDescent="0.3">
      <c r="A1704" s="3" t="str">
        <f t="shared" si="260"/>
        <v>East9320039901840</v>
      </c>
      <c r="B1704" s="3" t="str">
        <f t="shared" si="261"/>
        <v>KGP9320039901840</v>
      </c>
      <c r="C1704" s="10">
        <v>9320039901840</v>
      </c>
      <c r="D1704" s="10" t="str">
        <f t="shared" si="262"/>
        <v>9320039901</v>
      </c>
      <c r="E1704" s="3" t="s">
        <v>6</v>
      </c>
      <c r="F1704" s="3" t="s">
        <v>66</v>
      </c>
      <c r="H1704" s="3">
        <v>13.428000000000003</v>
      </c>
      <c r="I1704" s="10">
        <f t="shared" si="263"/>
        <v>41.819610421373724</v>
      </c>
      <c r="J1704" s="3">
        <v>9.6328013566121413</v>
      </c>
      <c r="K1704" s="3">
        <v>11.5</v>
      </c>
      <c r="L1704" s="3">
        <f t="shared" si="264"/>
        <v>0</v>
      </c>
      <c r="N1704" s="11">
        <f t="shared" si="265"/>
        <v>3.7951986433878613</v>
      </c>
      <c r="O1704" s="3">
        <v>9.6328013566121413</v>
      </c>
      <c r="P1704" s="11">
        <f t="shared" si="266"/>
        <v>11.819610421373726</v>
      </c>
      <c r="Q1704" s="12">
        <f t="shared" si="267"/>
        <v>11.819610421373726</v>
      </c>
      <c r="R1704" s="13">
        <f t="shared" si="268"/>
        <v>11.907427871935532</v>
      </c>
      <c r="S1704" s="3" t="s">
        <v>30</v>
      </c>
      <c r="T1704" s="3" t="s">
        <v>28</v>
      </c>
      <c r="U1704" s="10">
        <v>0</v>
      </c>
      <c r="V1704" s="3">
        <v>0</v>
      </c>
      <c r="W1704" s="3">
        <f t="shared" si="269"/>
        <v>0</v>
      </c>
      <c r="AA1704" s="3">
        <v>46</v>
      </c>
    </row>
    <row r="1705" spans="1:27" x14ac:dyDescent="0.3">
      <c r="A1705" s="3" t="str">
        <f t="shared" si="260"/>
        <v>East9360039900840</v>
      </c>
      <c r="B1705" s="3" t="str">
        <f t="shared" si="261"/>
        <v>KGP9360039900840</v>
      </c>
      <c r="C1705" s="10">
        <v>9360039900840</v>
      </c>
      <c r="D1705" s="10" t="str">
        <f t="shared" si="262"/>
        <v>9360039900</v>
      </c>
      <c r="E1705" s="3" t="s">
        <v>6</v>
      </c>
      <c r="F1705" s="3" t="s">
        <v>66</v>
      </c>
      <c r="H1705" s="3">
        <v>11.736000000000002</v>
      </c>
      <c r="I1705" s="10">
        <f t="shared" si="263"/>
        <v>38.388684191054018</v>
      </c>
      <c r="J1705" s="3">
        <v>9.1714526668264309</v>
      </c>
      <c r="K1705" s="3">
        <v>11.5</v>
      </c>
      <c r="L1705" s="3">
        <f t="shared" si="264"/>
        <v>0</v>
      </c>
      <c r="N1705" s="11">
        <f t="shared" si="265"/>
        <v>2.5645473331735715</v>
      </c>
      <c r="O1705" s="3">
        <v>9.1714526668264309</v>
      </c>
      <c r="P1705" s="11">
        <f t="shared" si="266"/>
        <v>8.3886841910540237</v>
      </c>
      <c r="Q1705" s="12">
        <f t="shared" si="267"/>
        <v>8.3886841910540237</v>
      </c>
      <c r="R1705" s="13">
        <f t="shared" si="268"/>
        <v>-18.707730516871298</v>
      </c>
      <c r="S1705" s="3" t="s">
        <v>30</v>
      </c>
      <c r="T1705" s="3" t="s">
        <v>33</v>
      </c>
      <c r="U1705" s="10">
        <v>0</v>
      </c>
      <c r="V1705" s="3">
        <v>0</v>
      </c>
      <c r="W1705" s="3">
        <f t="shared" si="269"/>
        <v>0</v>
      </c>
      <c r="AA1705" s="3">
        <v>46</v>
      </c>
    </row>
    <row r="1706" spans="1:27" x14ac:dyDescent="0.3">
      <c r="A1706" s="3" t="str">
        <f t="shared" si="260"/>
        <v>East9181709900320</v>
      </c>
      <c r="B1706" s="3" t="str">
        <f t="shared" si="261"/>
        <v>KGP9181709900320</v>
      </c>
      <c r="C1706" s="10">
        <v>9181709900320</v>
      </c>
      <c r="D1706" s="10" t="str">
        <f t="shared" si="262"/>
        <v>9181709900</v>
      </c>
      <c r="E1706" s="3" t="s">
        <v>6</v>
      </c>
      <c r="F1706" s="3" t="s">
        <v>66</v>
      </c>
      <c r="H1706" s="3">
        <v>37.14</v>
      </c>
      <c r="I1706" s="10">
        <f t="shared" si="263"/>
        <v>122.07299101378513</v>
      </c>
      <c r="J1706" s="3">
        <v>9.1273261246968111</v>
      </c>
      <c r="K1706" s="3">
        <v>0</v>
      </c>
      <c r="L1706" s="3">
        <f t="shared" si="264"/>
        <v>0</v>
      </c>
      <c r="N1706" s="11">
        <f t="shared" si="265"/>
        <v>28.012673875303189</v>
      </c>
      <c r="O1706" s="3">
        <v>9.1273261246968111</v>
      </c>
      <c r="P1706" s="11">
        <f t="shared" si="266"/>
        <v>92.072991013785128</v>
      </c>
      <c r="Q1706" s="12">
        <f t="shared" si="267"/>
        <v>92.072991013785128</v>
      </c>
      <c r="R1706" s="13">
        <f t="shared" si="268"/>
        <v>36.002851558501796</v>
      </c>
      <c r="S1706" s="3" t="s">
        <v>29</v>
      </c>
      <c r="T1706" s="3" t="s">
        <v>34</v>
      </c>
      <c r="U1706" s="10">
        <v>0</v>
      </c>
      <c r="V1706" s="3">
        <v>0</v>
      </c>
      <c r="W1706" s="3">
        <f t="shared" si="269"/>
        <v>0</v>
      </c>
      <c r="AA1706" s="3">
        <v>46</v>
      </c>
    </row>
    <row r="1707" spans="1:27" x14ac:dyDescent="0.3">
      <c r="A1707" s="3" t="str">
        <f t="shared" si="260"/>
        <v>East9360099900320</v>
      </c>
      <c r="B1707" s="3" t="str">
        <f t="shared" si="261"/>
        <v>KGP9360099900320</v>
      </c>
      <c r="C1707" s="10">
        <v>9360099900320</v>
      </c>
      <c r="D1707" s="10" t="str">
        <f t="shared" si="262"/>
        <v>9360099900</v>
      </c>
      <c r="E1707" s="3" t="s">
        <v>6</v>
      </c>
      <c r="F1707" s="3" t="s">
        <v>66</v>
      </c>
      <c r="H1707" s="3">
        <v>18.239999999999998</v>
      </c>
      <c r="I1707" s="10">
        <f t="shared" si="263"/>
        <v>60.88719268013763</v>
      </c>
      <c r="J1707" s="3">
        <v>8.9871116718197008</v>
      </c>
      <c r="K1707" s="3">
        <v>0</v>
      </c>
      <c r="L1707" s="3">
        <f t="shared" si="264"/>
        <v>0</v>
      </c>
      <c r="N1707" s="11">
        <f t="shared" si="265"/>
        <v>9.2528883281802976</v>
      </c>
      <c r="O1707" s="3">
        <v>8.9871116718197008</v>
      </c>
      <c r="P1707" s="11">
        <f t="shared" si="266"/>
        <v>30.887192680137634</v>
      </c>
      <c r="Q1707" s="12">
        <f t="shared" si="267"/>
        <v>30.887192680137634</v>
      </c>
      <c r="R1707" s="13">
        <f t="shared" si="268"/>
        <v>-20.309151298123236</v>
      </c>
      <c r="S1707" s="3" t="s">
        <v>29</v>
      </c>
      <c r="T1707" s="3" t="s">
        <v>33</v>
      </c>
      <c r="U1707" s="10">
        <v>9360099900999</v>
      </c>
      <c r="V1707" s="3">
        <v>0.1</v>
      </c>
      <c r="W1707" s="3">
        <f t="shared" si="269"/>
        <v>0</v>
      </c>
      <c r="AA1707" s="3">
        <v>46</v>
      </c>
    </row>
    <row r="1708" spans="1:27" x14ac:dyDescent="0.3">
      <c r="A1708" s="3" t="str">
        <f t="shared" si="260"/>
        <v>East9410059900820</v>
      </c>
      <c r="B1708" s="3" t="str">
        <f t="shared" si="261"/>
        <v>KGP9410059900820</v>
      </c>
      <c r="C1708" s="10">
        <v>9410059900820</v>
      </c>
      <c r="D1708" s="10" t="str">
        <f t="shared" si="262"/>
        <v>9410059900</v>
      </c>
      <c r="E1708" s="3" t="s">
        <v>6</v>
      </c>
      <c r="F1708" s="3" t="s">
        <v>66</v>
      </c>
      <c r="H1708" s="3">
        <v>5.18</v>
      </c>
      <c r="I1708" s="10">
        <f t="shared" si="263"/>
        <v>19.175282189846108</v>
      </c>
      <c r="J1708" s="3">
        <v>8.1041832115664505</v>
      </c>
      <c r="K1708" s="3">
        <v>34</v>
      </c>
      <c r="L1708" s="3">
        <f t="shared" si="264"/>
        <v>0</v>
      </c>
      <c r="N1708" s="11">
        <f t="shared" si="265"/>
        <v>-2.9241832115664508</v>
      </c>
      <c r="O1708" s="3">
        <v>8.1041832115664505</v>
      </c>
      <c r="P1708" s="11">
        <f t="shared" si="266"/>
        <v>-10.824717810153892</v>
      </c>
      <c r="Q1708" s="12">
        <f t="shared" si="267"/>
        <v>-10.824717810153892</v>
      </c>
      <c r="R1708" s="13">
        <f t="shared" si="268"/>
        <v>1.7095469951111055</v>
      </c>
      <c r="S1708" s="3" t="s">
        <v>30</v>
      </c>
      <c r="T1708" s="3" t="s">
        <v>32</v>
      </c>
      <c r="U1708" s="10">
        <v>0</v>
      </c>
      <c r="V1708" s="3">
        <v>0</v>
      </c>
      <c r="W1708" s="3">
        <f t="shared" si="269"/>
        <v>0</v>
      </c>
      <c r="AA1708" s="3">
        <v>46</v>
      </c>
    </row>
    <row r="1709" spans="1:27" x14ac:dyDescent="0.3">
      <c r="A1709" s="3" t="str">
        <f t="shared" si="260"/>
        <v>East9310039905219</v>
      </c>
      <c r="B1709" s="3" t="str">
        <f t="shared" si="261"/>
        <v>KGP9310039905219</v>
      </c>
      <c r="C1709" s="10">
        <v>9310039905219</v>
      </c>
      <c r="D1709" s="10" t="str">
        <f t="shared" si="262"/>
        <v>9310039905</v>
      </c>
      <c r="E1709" s="3" t="s">
        <v>6</v>
      </c>
      <c r="F1709" s="3" t="s">
        <v>66</v>
      </c>
      <c r="H1709" s="3">
        <v>9.2625000000000046</v>
      </c>
      <c r="I1709" s="10">
        <f t="shared" si="263"/>
        <v>52.155969458562701</v>
      </c>
      <c r="J1709" s="3">
        <v>5.3277698197282772</v>
      </c>
      <c r="K1709" s="3">
        <v>0</v>
      </c>
      <c r="L1709" s="3">
        <f t="shared" si="264"/>
        <v>0</v>
      </c>
      <c r="N1709" s="11">
        <f t="shared" si="265"/>
        <v>3.9347301802717274</v>
      </c>
      <c r="O1709" s="3">
        <v>5.3277698197282772</v>
      </c>
      <c r="P1709" s="11">
        <f t="shared" si="266"/>
        <v>22.155969458562701</v>
      </c>
      <c r="Q1709" s="12">
        <f t="shared" si="267"/>
        <v>22.155969458562701</v>
      </c>
      <c r="R1709" s="13">
        <f t="shared" si="268"/>
        <v>51.607111455156293</v>
      </c>
      <c r="S1709" s="3" t="s">
        <v>31</v>
      </c>
      <c r="T1709" s="3" t="s">
        <v>32</v>
      </c>
      <c r="U1709" s="10">
        <v>9310039900999</v>
      </c>
      <c r="V1709" s="3">
        <v>0.1</v>
      </c>
      <c r="W1709" s="3">
        <f t="shared" si="269"/>
        <v>0</v>
      </c>
      <c r="AA1709" s="3">
        <v>46</v>
      </c>
    </row>
    <row r="1710" spans="1:27" x14ac:dyDescent="0.3">
      <c r="A1710" s="3" t="str">
        <f t="shared" si="260"/>
        <v>East9360039900210</v>
      </c>
      <c r="B1710" s="3" t="str">
        <f t="shared" si="261"/>
        <v>KGP9360039900210</v>
      </c>
      <c r="C1710" s="10">
        <v>9360039900210</v>
      </c>
      <c r="D1710" s="10" t="str">
        <f t="shared" si="262"/>
        <v>9360039900</v>
      </c>
      <c r="E1710" s="3" t="s">
        <v>6</v>
      </c>
      <c r="F1710" s="3" t="s">
        <v>66</v>
      </c>
      <c r="H1710" s="3">
        <v>1.651</v>
      </c>
      <c r="I1710" s="10">
        <f t="shared" si="263"/>
        <v>10.371771463519561</v>
      </c>
      <c r="J1710" s="3">
        <v>4.7754619521082722</v>
      </c>
      <c r="K1710" s="3">
        <v>11.5</v>
      </c>
      <c r="L1710" s="3">
        <f t="shared" si="264"/>
        <v>0</v>
      </c>
      <c r="N1710" s="11">
        <f t="shared" si="265"/>
        <v>-3.1244619521082724</v>
      </c>
      <c r="O1710" s="3">
        <v>4.7754619521082722</v>
      </c>
      <c r="P1710" s="11">
        <f t="shared" si="266"/>
        <v>-19.628228536480439</v>
      </c>
      <c r="Q1710" s="12">
        <f t="shared" si="267"/>
        <v>-19.628228536480439</v>
      </c>
      <c r="R1710" s="13">
        <f t="shared" si="268"/>
        <v>-6.5668161431774514</v>
      </c>
      <c r="S1710" s="3" t="s">
        <v>30</v>
      </c>
      <c r="T1710" s="3" t="s">
        <v>33</v>
      </c>
      <c r="U1710" s="10">
        <v>0</v>
      </c>
      <c r="V1710" s="3">
        <v>0</v>
      </c>
      <c r="W1710" s="3">
        <f t="shared" si="269"/>
        <v>0</v>
      </c>
      <c r="AA1710" s="3">
        <v>46</v>
      </c>
    </row>
    <row r="1711" spans="1:27" x14ac:dyDescent="0.3">
      <c r="A1711" s="3" t="str">
        <f t="shared" si="260"/>
        <v>East9320039901210</v>
      </c>
      <c r="B1711" s="3" t="str">
        <f t="shared" si="261"/>
        <v>KGP9320039901210</v>
      </c>
      <c r="C1711" s="10">
        <v>9320039901210</v>
      </c>
      <c r="D1711" s="10" t="str">
        <f t="shared" si="262"/>
        <v>9320039901</v>
      </c>
      <c r="E1711" s="3" t="s">
        <v>6</v>
      </c>
      <c r="F1711" s="3" t="s">
        <v>66</v>
      </c>
      <c r="H1711" s="3">
        <v>3.2329999999999992</v>
      </c>
      <c r="I1711" s="10">
        <f t="shared" si="263"/>
        <v>22.174315938433967</v>
      </c>
      <c r="J1711" s="3">
        <v>4.3739793493196606</v>
      </c>
      <c r="K1711" s="3">
        <v>11.5</v>
      </c>
      <c r="L1711" s="3">
        <f t="shared" si="264"/>
        <v>0</v>
      </c>
      <c r="N1711" s="11">
        <f t="shared" si="265"/>
        <v>-1.1409793493196614</v>
      </c>
      <c r="O1711" s="3">
        <v>4.3739793493196606</v>
      </c>
      <c r="P1711" s="11">
        <f t="shared" si="266"/>
        <v>-7.8256840615660348</v>
      </c>
      <c r="Q1711" s="12">
        <f t="shared" si="267"/>
        <v>-7.8256840615660348</v>
      </c>
      <c r="R1711" s="13">
        <f t="shared" si="268"/>
        <v>17.999842974581782</v>
      </c>
      <c r="S1711" s="3" t="s">
        <v>30</v>
      </c>
      <c r="T1711" s="3" t="s">
        <v>28</v>
      </c>
      <c r="U1711" s="10">
        <v>0</v>
      </c>
      <c r="V1711" s="3">
        <v>0</v>
      </c>
      <c r="W1711" s="3">
        <f t="shared" si="269"/>
        <v>0</v>
      </c>
      <c r="AA1711" s="3">
        <v>46</v>
      </c>
    </row>
    <row r="1712" spans="1:27" x14ac:dyDescent="0.3">
      <c r="A1712" s="3" t="str">
        <f t="shared" si="260"/>
        <v>East9410059900810</v>
      </c>
      <c r="B1712" s="3" t="str">
        <f t="shared" si="261"/>
        <v>KGP9410059900810</v>
      </c>
      <c r="C1712" s="10">
        <v>9410059900810</v>
      </c>
      <c r="D1712" s="10" t="str">
        <f t="shared" si="262"/>
        <v>9410059900</v>
      </c>
      <c r="E1712" s="3" t="s">
        <v>6</v>
      </c>
      <c r="F1712" s="3" t="s">
        <v>66</v>
      </c>
      <c r="H1712" s="3">
        <v>2.11</v>
      </c>
      <c r="I1712" s="10">
        <f t="shared" si="263"/>
        <v>23.875064965292488</v>
      </c>
      <c r="J1712" s="3">
        <v>2.6513016861742611</v>
      </c>
      <c r="K1712" s="3">
        <v>12</v>
      </c>
      <c r="L1712" s="3">
        <f t="shared" si="264"/>
        <v>0</v>
      </c>
      <c r="N1712" s="11">
        <f t="shared" si="265"/>
        <v>-0.54130168617426122</v>
      </c>
      <c r="O1712" s="3">
        <v>2.6513016861742611</v>
      </c>
      <c r="P1712" s="11">
        <f t="shared" si="266"/>
        <v>-6.1249350347075131</v>
      </c>
      <c r="Q1712" s="12">
        <f t="shared" si="267"/>
        <v>-6.1249350347075131</v>
      </c>
      <c r="R1712" s="13">
        <f t="shared" si="268"/>
        <v>-2.4886755234162909</v>
      </c>
      <c r="S1712" s="3" t="s">
        <v>31</v>
      </c>
      <c r="T1712" s="3" t="s">
        <v>32</v>
      </c>
      <c r="U1712" s="10">
        <v>0</v>
      </c>
      <c r="V1712" s="3">
        <v>0</v>
      </c>
      <c r="W1712" s="3">
        <f t="shared" si="269"/>
        <v>0</v>
      </c>
      <c r="AA1712" s="3">
        <v>46</v>
      </c>
    </row>
    <row r="1713" spans="1:27" x14ac:dyDescent="0.3">
      <c r="A1713" s="3" t="str">
        <f t="shared" si="260"/>
        <v>East9160309900320</v>
      </c>
      <c r="B1713" s="3" t="str">
        <f t="shared" si="261"/>
        <v>KGP9160309900320</v>
      </c>
      <c r="C1713" s="10">
        <v>9160309900320</v>
      </c>
      <c r="D1713" s="10" t="str">
        <f t="shared" si="262"/>
        <v>9160309900</v>
      </c>
      <c r="E1713" s="3" t="s">
        <v>6</v>
      </c>
      <c r="F1713" s="3" t="s">
        <v>66</v>
      </c>
      <c r="H1713" s="3">
        <v>11.56</v>
      </c>
      <c r="I1713" s="10">
        <f t="shared" si="263"/>
        <v>138.62907766445798</v>
      </c>
      <c r="J1713" s="3">
        <v>2.5016396692720209</v>
      </c>
      <c r="K1713" s="3">
        <v>0</v>
      </c>
      <c r="L1713" s="3">
        <f t="shared" si="264"/>
        <v>0</v>
      </c>
      <c r="N1713" s="11">
        <f t="shared" si="265"/>
        <v>9.0583603307279787</v>
      </c>
      <c r="O1713" s="3">
        <v>2.5016396692720209</v>
      </c>
      <c r="P1713" s="11">
        <f t="shared" si="266"/>
        <v>108.62907766445799</v>
      </c>
      <c r="Q1713" s="12">
        <f t="shared" si="267"/>
        <v>108.62907766445801</v>
      </c>
      <c r="R1713" s="13">
        <f t="shared" si="268"/>
        <v>41.189863366756896</v>
      </c>
      <c r="S1713" s="3" t="s">
        <v>30</v>
      </c>
      <c r="T1713" s="3" t="s">
        <v>34</v>
      </c>
      <c r="U1713" s="10">
        <v>0</v>
      </c>
      <c r="V1713" s="3">
        <v>0</v>
      </c>
      <c r="W1713" s="3">
        <f t="shared" si="269"/>
        <v>0</v>
      </c>
      <c r="AA1713" s="3">
        <v>46</v>
      </c>
    </row>
    <row r="1714" spans="1:27" x14ac:dyDescent="0.3">
      <c r="A1714" s="3" t="str">
        <f t="shared" si="260"/>
        <v>East9360099900310</v>
      </c>
      <c r="B1714" s="3" t="str">
        <f t="shared" si="261"/>
        <v>KGP9360099900310</v>
      </c>
      <c r="C1714" s="10">
        <v>9360099900310</v>
      </c>
      <c r="D1714" s="10" t="str">
        <f t="shared" si="262"/>
        <v>9360099900</v>
      </c>
      <c r="E1714" s="3" t="s">
        <v>6</v>
      </c>
      <c r="F1714" s="3" t="s">
        <v>66</v>
      </c>
      <c r="H1714" s="3">
        <v>9.9999999999999982</v>
      </c>
      <c r="I1714" s="10">
        <f t="shared" si="263"/>
        <v>123.01105558654447</v>
      </c>
      <c r="J1714" s="3">
        <v>2.4388051835628293</v>
      </c>
      <c r="K1714" s="3">
        <v>0</v>
      </c>
      <c r="L1714" s="3">
        <f t="shared" si="264"/>
        <v>0</v>
      </c>
      <c r="N1714" s="11">
        <f t="shared" si="265"/>
        <v>7.561194816437169</v>
      </c>
      <c r="O1714" s="3">
        <v>2.4388051835628293</v>
      </c>
      <c r="P1714" s="11">
        <f t="shared" si="266"/>
        <v>93.011055586544458</v>
      </c>
      <c r="Q1714" s="12">
        <f t="shared" si="267"/>
        <v>93.011055586544458</v>
      </c>
      <c r="R1714" s="13">
        <f t="shared" si="268"/>
        <v>1.7950782691611549</v>
      </c>
      <c r="S1714" s="3" t="s">
        <v>31</v>
      </c>
      <c r="T1714" s="3" t="s">
        <v>33</v>
      </c>
      <c r="U1714" s="10">
        <v>9360099900999</v>
      </c>
      <c r="V1714" s="3">
        <v>0.1</v>
      </c>
      <c r="W1714" s="3">
        <f t="shared" si="269"/>
        <v>0</v>
      </c>
      <c r="AA1714" s="3">
        <v>46</v>
      </c>
    </row>
    <row r="1715" spans="1:27" x14ac:dyDescent="0.3">
      <c r="A1715" s="3" t="str">
        <f t="shared" si="260"/>
        <v>East9310039905297</v>
      </c>
      <c r="B1715" s="3" t="str">
        <f t="shared" si="261"/>
        <v>KGP9310039905297</v>
      </c>
      <c r="C1715" s="10">
        <v>9310039905297</v>
      </c>
      <c r="D1715" s="10" t="str">
        <f t="shared" si="262"/>
        <v>9310039905</v>
      </c>
      <c r="E1715" s="3" t="s">
        <v>6</v>
      </c>
      <c r="F1715" s="3" t="s">
        <v>66</v>
      </c>
      <c r="H1715" s="3">
        <v>10.101000000000001</v>
      </c>
      <c r="I1715" s="10">
        <f t="shared" si="263"/>
        <v>145.11487204992454</v>
      </c>
      <c r="J1715" s="3">
        <v>2.0882077468651676</v>
      </c>
      <c r="K1715" s="3">
        <v>0</v>
      </c>
      <c r="L1715" s="3">
        <f t="shared" si="264"/>
        <v>0</v>
      </c>
      <c r="N1715" s="11">
        <f t="shared" si="265"/>
        <v>8.0127922531348332</v>
      </c>
      <c r="O1715" s="3">
        <v>2.0882077468651676</v>
      </c>
      <c r="P1715" s="11">
        <f t="shared" si="266"/>
        <v>115.11487204992454</v>
      </c>
      <c r="Q1715" s="12">
        <f t="shared" si="267"/>
        <v>115.11487204992454</v>
      </c>
      <c r="R1715" s="13">
        <f t="shared" si="268"/>
        <v>141.65295197272914</v>
      </c>
      <c r="S1715" s="3" t="s">
        <v>31</v>
      </c>
      <c r="T1715" s="3" t="s">
        <v>32</v>
      </c>
      <c r="U1715" s="10">
        <v>9310039900999</v>
      </c>
      <c r="V1715" s="3">
        <v>0.1</v>
      </c>
      <c r="W1715" s="3">
        <f t="shared" si="269"/>
        <v>0</v>
      </c>
      <c r="AA1715" s="3">
        <v>46</v>
      </c>
    </row>
    <row r="1716" spans="1:27" x14ac:dyDescent="0.3">
      <c r="A1716" s="3" t="str">
        <f t="shared" si="260"/>
        <v>East9310039905839</v>
      </c>
      <c r="B1716" s="3" t="str">
        <f t="shared" si="261"/>
        <v>KGP9310039905839</v>
      </c>
      <c r="C1716" s="10">
        <v>9310039905839</v>
      </c>
      <c r="D1716" s="10" t="str">
        <f t="shared" si="262"/>
        <v>9310039905</v>
      </c>
      <c r="E1716" s="3" t="s">
        <v>6</v>
      </c>
      <c r="F1716" s="3" t="s">
        <v>66</v>
      </c>
      <c r="H1716" s="3">
        <v>3.2720999999999987</v>
      </c>
      <c r="I1716" s="10">
        <f t="shared" si="263"/>
        <v>82.774150944910986</v>
      </c>
      <c r="J1716" s="3">
        <v>1.1859137046942443</v>
      </c>
      <c r="K1716" s="3">
        <v>0</v>
      </c>
      <c r="L1716" s="3">
        <f t="shared" si="264"/>
        <v>0</v>
      </c>
      <c r="N1716" s="11">
        <f t="shared" si="265"/>
        <v>2.0861862953057546</v>
      </c>
      <c r="O1716" s="3">
        <v>1.1859137046942443</v>
      </c>
      <c r="P1716" s="11">
        <f t="shared" si="266"/>
        <v>52.774150944910986</v>
      </c>
      <c r="Q1716" s="12">
        <f t="shared" si="267"/>
        <v>52.774150944910986</v>
      </c>
      <c r="R1716" s="13">
        <f t="shared" si="268"/>
        <v>134.20483718041208</v>
      </c>
      <c r="S1716" s="3" t="s">
        <v>31</v>
      </c>
      <c r="T1716" s="3" t="s">
        <v>32</v>
      </c>
      <c r="U1716" s="10">
        <v>0</v>
      </c>
      <c r="V1716" s="3">
        <v>0</v>
      </c>
      <c r="W1716" s="3">
        <f t="shared" si="269"/>
        <v>0</v>
      </c>
      <c r="AA1716" s="3">
        <v>46</v>
      </c>
    </row>
    <row r="1717" spans="1:27" x14ac:dyDescent="0.3">
      <c r="A1717" s="3" t="str">
        <f t="shared" si="260"/>
        <v>East9410059900840</v>
      </c>
      <c r="B1717" s="3" t="str">
        <f t="shared" si="261"/>
        <v>KGP9410059900840</v>
      </c>
      <c r="C1717" s="10">
        <v>9410059900840</v>
      </c>
      <c r="D1717" s="10" t="str">
        <f t="shared" si="262"/>
        <v>9410059900</v>
      </c>
      <c r="E1717" s="3" t="s">
        <v>6</v>
      </c>
      <c r="F1717" s="3" t="s">
        <v>66</v>
      </c>
      <c r="H1717" s="3">
        <v>2.3440000000000007</v>
      </c>
      <c r="I1717" s="10">
        <f t="shared" si="263"/>
        <v>69.273778368199856</v>
      </c>
      <c r="J1717" s="3">
        <v>1.0151027077841683</v>
      </c>
      <c r="K1717" s="3">
        <v>0</v>
      </c>
      <c r="L1717" s="3">
        <f t="shared" si="264"/>
        <v>0</v>
      </c>
      <c r="N1717" s="11">
        <f t="shared" si="265"/>
        <v>1.3288972922158324</v>
      </c>
      <c r="O1717" s="3">
        <v>1.0151027077841683</v>
      </c>
      <c r="P1717" s="11">
        <f t="shared" si="266"/>
        <v>39.273778368199856</v>
      </c>
      <c r="Q1717" s="12">
        <f t="shared" si="267"/>
        <v>39.273778368199864</v>
      </c>
      <c r="R1717" s="13">
        <f t="shared" si="268"/>
        <v>376.09378425700692</v>
      </c>
      <c r="S1717" s="3" t="s">
        <v>31</v>
      </c>
      <c r="T1717" s="3" t="s">
        <v>32</v>
      </c>
      <c r="U1717" s="10">
        <v>0</v>
      </c>
      <c r="V1717" s="3">
        <v>0</v>
      </c>
      <c r="W1717" s="3">
        <f t="shared" si="269"/>
        <v>0</v>
      </c>
      <c r="AA1717" s="3">
        <v>46</v>
      </c>
    </row>
    <row r="1718" spans="1:27" x14ac:dyDescent="0.3">
      <c r="A1718" s="3" t="str">
        <f t="shared" si="260"/>
        <v>East9310039905097</v>
      </c>
      <c r="B1718" s="3" t="str">
        <f t="shared" si="261"/>
        <v>KGP9310039905097</v>
      </c>
      <c r="C1718" s="10">
        <v>9310039905097</v>
      </c>
      <c r="D1718" s="10" t="str">
        <f t="shared" si="262"/>
        <v>9310039905</v>
      </c>
      <c r="E1718" s="3" t="s">
        <v>6</v>
      </c>
      <c r="F1718" s="3" t="s">
        <v>66</v>
      </c>
      <c r="H1718" s="3">
        <v>2.1976499999999999</v>
      </c>
      <c r="I1718" s="10">
        <f t="shared" si="263"/>
        <v>70.541263288803378</v>
      </c>
      <c r="J1718" s="3">
        <v>0.93462318260558597</v>
      </c>
      <c r="K1718" s="3">
        <v>0</v>
      </c>
      <c r="L1718" s="3">
        <f t="shared" si="264"/>
        <v>0</v>
      </c>
      <c r="N1718" s="11">
        <f t="shared" si="265"/>
        <v>1.2630268173944139</v>
      </c>
      <c r="O1718" s="3">
        <v>0.93462318260558597</v>
      </c>
      <c r="P1718" s="11">
        <f t="shared" si="266"/>
        <v>40.541263288803378</v>
      </c>
      <c r="Q1718" s="12">
        <f t="shared" si="267"/>
        <v>40.541263288803371</v>
      </c>
      <c r="R1718" s="13">
        <f t="shared" si="268"/>
        <v>48.560911153070627</v>
      </c>
      <c r="S1718" s="3" t="s">
        <v>31</v>
      </c>
      <c r="T1718" s="3" t="s">
        <v>32</v>
      </c>
      <c r="U1718" s="10">
        <v>0</v>
      </c>
      <c r="V1718" s="3">
        <v>0</v>
      </c>
      <c r="W1718" s="3">
        <f t="shared" si="269"/>
        <v>0</v>
      </c>
      <c r="AA1718" s="3">
        <v>46</v>
      </c>
    </row>
    <row r="1719" spans="1:27" x14ac:dyDescent="0.3">
      <c r="A1719" s="3" t="str">
        <f t="shared" si="260"/>
        <v>East9360099900240</v>
      </c>
      <c r="B1719" s="3" t="str">
        <f t="shared" si="261"/>
        <v>KGP9360099900240</v>
      </c>
      <c r="C1719" s="10">
        <v>9360099900240</v>
      </c>
      <c r="D1719" s="10" t="str">
        <f t="shared" si="262"/>
        <v>9360099900</v>
      </c>
      <c r="E1719" s="3" t="s">
        <v>6</v>
      </c>
      <c r="F1719" s="3" t="s">
        <v>66</v>
      </c>
      <c r="H1719" s="3">
        <v>0.75600000000000001</v>
      </c>
      <c r="I1719" s="10">
        <f t="shared" si="263"/>
        <v>24.342767029921927</v>
      </c>
      <c r="J1719" s="3">
        <v>0.93169358980932326</v>
      </c>
      <c r="K1719" s="3">
        <v>0</v>
      </c>
      <c r="L1719" s="3">
        <f t="shared" si="264"/>
        <v>0</v>
      </c>
      <c r="N1719" s="11">
        <f t="shared" si="265"/>
        <v>-0.17569358980932326</v>
      </c>
      <c r="O1719" s="3">
        <v>0.93169358980932326</v>
      </c>
      <c r="P1719" s="11">
        <f t="shared" si="266"/>
        <v>-5.6572329700780717</v>
      </c>
      <c r="Q1719" s="12">
        <f t="shared" si="267"/>
        <v>-5.6572329700780717</v>
      </c>
      <c r="R1719" s="13">
        <f t="shared" si="268"/>
        <v>-16.096257444310101</v>
      </c>
      <c r="S1719" s="3" t="s">
        <v>31</v>
      </c>
      <c r="T1719" s="3" t="s">
        <v>33</v>
      </c>
      <c r="U1719" s="10">
        <v>0</v>
      </c>
      <c r="V1719" s="3">
        <v>0</v>
      </c>
      <c r="W1719" s="3">
        <f t="shared" si="269"/>
        <v>0</v>
      </c>
      <c r="AA1719" s="3">
        <v>46</v>
      </c>
    </row>
    <row r="1720" spans="1:27" x14ac:dyDescent="0.3">
      <c r="A1720" s="3" t="str">
        <f t="shared" si="260"/>
        <v>East9410059900210</v>
      </c>
      <c r="B1720" s="3" t="str">
        <f t="shared" si="261"/>
        <v>KGP9410059900210</v>
      </c>
      <c r="C1720" s="10">
        <v>9410059900210</v>
      </c>
      <c r="D1720" s="10" t="str">
        <f t="shared" si="262"/>
        <v>9410059900</v>
      </c>
      <c r="E1720" s="3" t="s">
        <v>6</v>
      </c>
      <c r="F1720" s="3" t="s">
        <v>66</v>
      </c>
      <c r="H1720" s="3">
        <v>4.665</v>
      </c>
      <c r="I1720" s="10">
        <f t="shared" si="263"/>
        <v>304.13916307070701</v>
      </c>
      <c r="J1720" s="3">
        <v>0.4601511971921356</v>
      </c>
      <c r="K1720" s="3">
        <v>0</v>
      </c>
      <c r="L1720" s="3">
        <f t="shared" si="264"/>
        <v>0</v>
      </c>
      <c r="N1720" s="11">
        <f t="shared" si="265"/>
        <v>4.2048488028078648</v>
      </c>
      <c r="O1720" s="3">
        <v>0.4601511971921356</v>
      </c>
      <c r="P1720" s="11">
        <f t="shared" si="266"/>
        <v>274.13916307070707</v>
      </c>
      <c r="Q1720" s="12">
        <f t="shared" si="267"/>
        <v>274.13916307070707</v>
      </c>
      <c r="R1720" s="13">
        <f t="shared" si="268"/>
        <v>190.32630093769362</v>
      </c>
      <c r="S1720" s="3" t="s">
        <v>31</v>
      </c>
      <c r="T1720" s="3" t="s">
        <v>32</v>
      </c>
      <c r="U1720" s="10">
        <v>0</v>
      </c>
      <c r="V1720" s="3">
        <v>0</v>
      </c>
      <c r="W1720" s="3">
        <f t="shared" si="269"/>
        <v>0</v>
      </c>
      <c r="AA1720" s="3">
        <v>46</v>
      </c>
    </row>
    <row r="1721" spans="1:27" x14ac:dyDescent="0.3">
      <c r="A1721" s="3" t="str">
        <f t="shared" si="260"/>
        <v>East9360099900210</v>
      </c>
      <c r="B1721" s="3" t="str">
        <f t="shared" si="261"/>
        <v>KGP9360099900210</v>
      </c>
      <c r="C1721" s="10">
        <v>9360099900210</v>
      </c>
      <c r="D1721" s="10" t="str">
        <f t="shared" si="262"/>
        <v>9360099900</v>
      </c>
      <c r="E1721" s="3" t="s">
        <v>6</v>
      </c>
      <c r="F1721" s="3" t="s">
        <v>66</v>
      </c>
      <c r="H1721" s="3">
        <v>0.41800000000000004</v>
      </c>
      <c r="I1721" s="10">
        <f t="shared" si="263"/>
        <v>52.657208547367226</v>
      </c>
      <c r="J1721" s="3">
        <v>0.23814403281024249</v>
      </c>
      <c r="K1721" s="3">
        <v>0</v>
      </c>
      <c r="L1721" s="3">
        <f t="shared" si="264"/>
        <v>0</v>
      </c>
      <c r="N1721" s="11">
        <f t="shared" si="265"/>
        <v>0.17985596718975755</v>
      </c>
      <c r="O1721" s="3">
        <v>0.23814403281024249</v>
      </c>
      <c r="P1721" s="11">
        <f t="shared" si="266"/>
        <v>22.657208547367222</v>
      </c>
      <c r="Q1721" s="12">
        <f t="shared" si="267"/>
        <v>22.657208547367222</v>
      </c>
      <c r="R1721" s="13">
        <f t="shared" si="268"/>
        <v>126.13949734777879</v>
      </c>
      <c r="S1721" s="3" t="s">
        <v>31</v>
      </c>
      <c r="T1721" s="3" t="s">
        <v>33</v>
      </c>
      <c r="U1721" s="10">
        <v>0</v>
      </c>
      <c r="V1721" s="3">
        <v>0</v>
      </c>
      <c r="W1721" s="3">
        <f t="shared" si="269"/>
        <v>0</v>
      </c>
      <c r="AA1721" s="3">
        <v>46</v>
      </c>
    </row>
    <row r="1722" spans="1:27" x14ac:dyDescent="0.3">
      <c r="A1722" s="3" t="str">
        <f t="shared" si="260"/>
        <v>East9181709900210</v>
      </c>
      <c r="B1722" s="3" t="str">
        <f t="shared" si="261"/>
        <v>KGP9181709900210</v>
      </c>
      <c r="C1722" s="10">
        <v>9181709900210</v>
      </c>
      <c r="D1722" s="10" t="str">
        <f t="shared" si="262"/>
        <v>9181709900</v>
      </c>
      <c r="E1722" s="3" t="s">
        <v>6</v>
      </c>
      <c r="F1722" s="3" t="s">
        <v>66</v>
      </c>
      <c r="H1722" s="3">
        <v>0</v>
      </c>
      <c r="I1722" s="10">
        <f t="shared" si="263"/>
        <v>0</v>
      </c>
      <c r="J1722" s="3">
        <v>0</v>
      </c>
      <c r="K1722" s="3">
        <v>0</v>
      </c>
      <c r="L1722" s="3">
        <f t="shared" si="264"/>
        <v>0</v>
      </c>
      <c r="N1722" s="11">
        <f t="shared" si="265"/>
        <v>0</v>
      </c>
      <c r="O1722" s="3">
        <v>0</v>
      </c>
      <c r="P1722" s="11">
        <f t="shared" si="266"/>
        <v>9999</v>
      </c>
      <c r="Q1722" s="12">
        <f t="shared" si="267"/>
        <v>9999</v>
      </c>
      <c r="R1722" s="13">
        <f t="shared" si="268"/>
        <v>9999</v>
      </c>
      <c r="S1722" s="3" t="s">
        <v>31</v>
      </c>
      <c r="T1722" s="3" t="s">
        <v>34</v>
      </c>
      <c r="U1722" s="10" t="s">
        <v>72</v>
      </c>
      <c r="V1722" s="3" t="s">
        <v>72</v>
      </c>
      <c r="W1722" s="3">
        <f t="shared" si="269"/>
        <v>0</v>
      </c>
      <c r="AA1722" s="3">
        <v>46</v>
      </c>
    </row>
    <row r="1723" spans="1:27" x14ac:dyDescent="0.3">
      <c r="A1723" s="3" t="str">
        <f t="shared" si="260"/>
        <v>East9160309900210</v>
      </c>
      <c r="B1723" s="3" t="str">
        <f t="shared" si="261"/>
        <v>KGP9160309900210</v>
      </c>
      <c r="C1723" s="10">
        <v>9160309900210</v>
      </c>
      <c r="D1723" s="10" t="str">
        <f t="shared" si="262"/>
        <v>9160309900</v>
      </c>
      <c r="E1723" s="3" t="s">
        <v>6</v>
      </c>
      <c r="F1723" s="3" t="s">
        <v>66</v>
      </c>
      <c r="H1723" s="3">
        <v>0</v>
      </c>
      <c r="I1723" s="10">
        <f t="shared" si="263"/>
        <v>0</v>
      </c>
      <c r="J1723" s="3">
        <v>0</v>
      </c>
      <c r="K1723" s="3">
        <v>0</v>
      </c>
      <c r="L1723" s="3">
        <f t="shared" si="264"/>
        <v>0</v>
      </c>
      <c r="N1723" s="11">
        <f t="shared" si="265"/>
        <v>0</v>
      </c>
      <c r="O1723" s="3">
        <v>0</v>
      </c>
      <c r="P1723" s="11">
        <f t="shared" si="266"/>
        <v>9999</v>
      </c>
      <c r="Q1723" s="12">
        <f t="shared" si="267"/>
        <v>9999</v>
      </c>
      <c r="R1723" s="13">
        <f t="shared" si="268"/>
        <v>9999</v>
      </c>
      <c r="S1723" s="3" t="s">
        <v>31</v>
      </c>
      <c r="T1723" s="3" t="s">
        <v>34</v>
      </c>
      <c r="U1723" s="10" t="s">
        <v>72</v>
      </c>
      <c r="V1723" s="3" t="s">
        <v>72</v>
      </c>
      <c r="W1723" s="3">
        <f t="shared" si="269"/>
        <v>0</v>
      </c>
      <c r="AA1723" s="3">
        <v>46</v>
      </c>
    </row>
    <row r="1724" spans="1:27" x14ac:dyDescent="0.3">
      <c r="A1724" s="3" t="str">
        <f t="shared" si="260"/>
        <v>East9100509900320</v>
      </c>
      <c r="B1724" s="3" t="str">
        <f t="shared" si="261"/>
        <v>KGP9100509900320</v>
      </c>
      <c r="C1724" s="10">
        <v>9100509900320</v>
      </c>
      <c r="D1724" s="10" t="str">
        <f t="shared" si="262"/>
        <v>9100509900</v>
      </c>
      <c r="E1724" s="3" t="s">
        <v>6</v>
      </c>
      <c r="F1724" s="3" t="s">
        <v>66</v>
      </c>
      <c r="H1724" s="3">
        <v>9.9400000000000013</v>
      </c>
      <c r="I1724" s="10">
        <f t="shared" si="263"/>
        <v>63.265894082832041</v>
      </c>
      <c r="J1724" s="3">
        <v>4.7134400662950586</v>
      </c>
      <c r="K1724" s="3">
        <v>0</v>
      </c>
      <c r="L1724" s="3">
        <f t="shared" si="264"/>
        <v>0</v>
      </c>
      <c r="N1724" s="11">
        <f t="shared" si="265"/>
        <v>5.2265599337049427</v>
      </c>
      <c r="O1724" s="3">
        <v>4.7134400662950586</v>
      </c>
      <c r="P1724" s="11">
        <f t="shared" si="266"/>
        <v>33.265894082832041</v>
      </c>
      <c r="Q1724" s="12">
        <f t="shared" si="267"/>
        <v>33.265894082832041</v>
      </c>
      <c r="R1724" s="13">
        <f t="shared" si="268"/>
        <v>28.679587677970176</v>
      </c>
      <c r="S1724" s="3" t="s">
        <v>30</v>
      </c>
      <c r="T1724" s="3" t="s">
        <v>34</v>
      </c>
      <c r="U1724" s="10">
        <v>0</v>
      </c>
      <c r="V1724" s="3">
        <v>0</v>
      </c>
      <c r="W1724" s="3">
        <f t="shared" si="269"/>
        <v>0</v>
      </c>
      <c r="AA1724" s="3">
        <v>46.5</v>
      </c>
    </row>
    <row r="1725" spans="1:27" x14ac:dyDescent="0.3">
      <c r="A1725" s="3" t="str">
        <f t="shared" si="260"/>
        <v>East9100509900210</v>
      </c>
      <c r="B1725" s="3" t="str">
        <f t="shared" si="261"/>
        <v>KGP9100509900210</v>
      </c>
      <c r="C1725" s="10">
        <v>9100509900210</v>
      </c>
      <c r="D1725" s="10" t="str">
        <f t="shared" si="262"/>
        <v>9100509900</v>
      </c>
      <c r="E1725" s="3" t="s">
        <v>6</v>
      </c>
      <c r="F1725" s="3" t="s">
        <v>66</v>
      </c>
      <c r="H1725" s="3">
        <v>0</v>
      </c>
      <c r="I1725" s="10">
        <f t="shared" si="263"/>
        <v>0</v>
      </c>
      <c r="J1725" s="3">
        <v>0</v>
      </c>
      <c r="K1725" s="3">
        <v>0</v>
      </c>
      <c r="L1725" s="3">
        <f t="shared" si="264"/>
        <v>0</v>
      </c>
      <c r="N1725" s="11">
        <f t="shared" si="265"/>
        <v>0</v>
      </c>
      <c r="O1725" s="3">
        <v>0</v>
      </c>
      <c r="P1725" s="11">
        <f t="shared" si="266"/>
        <v>9999</v>
      </c>
      <c r="Q1725" s="12">
        <f t="shared" si="267"/>
        <v>9999</v>
      </c>
      <c r="R1725" s="13">
        <f t="shared" si="268"/>
        <v>9999</v>
      </c>
      <c r="S1725" s="3" t="s">
        <v>31</v>
      </c>
      <c r="T1725" s="3" t="s">
        <v>34</v>
      </c>
      <c r="U1725" s="10" t="s">
        <v>72</v>
      </c>
      <c r="V1725" s="3" t="s">
        <v>72</v>
      </c>
      <c r="W1725" s="3">
        <f t="shared" si="269"/>
        <v>0</v>
      </c>
      <c r="AA1725" s="3">
        <v>46.5</v>
      </c>
    </row>
    <row r="1726" spans="1:27" x14ac:dyDescent="0.3">
      <c r="A1726" s="3" t="str">
        <f t="shared" si="260"/>
        <v>West9330229900320</v>
      </c>
      <c r="B1726" s="3" t="str">
        <f t="shared" si="261"/>
        <v>Mah9330229900320</v>
      </c>
      <c r="C1726" s="10">
        <v>9330229900320</v>
      </c>
      <c r="D1726" s="10" t="str">
        <f t="shared" si="262"/>
        <v>9330229900</v>
      </c>
      <c r="E1726" s="3" t="s">
        <v>1</v>
      </c>
      <c r="F1726" s="3" t="s">
        <v>63</v>
      </c>
      <c r="H1726" s="3">
        <v>19.060000000000002</v>
      </c>
      <c r="I1726" s="10">
        <f t="shared" si="263"/>
        <v>128.73238389532915</v>
      </c>
      <c r="J1726" s="3">
        <v>4.4417727901700648</v>
      </c>
      <c r="K1726" s="3">
        <v>0</v>
      </c>
      <c r="L1726" s="3">
        <f t="shared" si="264"/>
        <v>0</v>
      </c>
      <c r="M1726" s="32"/>
      <c r="N1726" s="11">
        <f t="shared" si="265"/>
        <v>14.618227209829938</v>
      </c>
      <c r="O1726" s="3">
        <v>4.4417727901700648</v>
      </c>
      <c r="P1726" s="11">
        <f t="shared" si="266"/>
        <v>98.73238389532915</v>
      </c>
      <c r="Q1726" s="12">
        <f t="shared" si="267"/>
        <v>98.73238389532915</v>
      </c>
      <c r="R1726" s="13">
        <f t="shared" si="268"/>
        <v>-4.2206085179727149</v>
      </c>
      <c r="S1726" s="3" t="s">
        <v>29</v>
      </c>
      <c r="T1726" s="3" t="s">
        <v>35</v>
      </c>
      <c r="U1726" s="10">
        <v>9330229900999</v>
      </c>
      <c r="V1726" s="3">
        <v>0.1</v>
      </c>
      <c r="W1726" s="3">
        <f t="shared" si="269"/>
        <v>0</v>
      </c>
      <c r="Y1726" s="3">
        <v>0</v>
      </c>
      <c r="Z1726" s="3">
        <v>468</v>
      </c>
      <c r="AA1726" s="3">
        <v>47</v>
      </c>
    </row>
    <row r="1727" spans="1:27" ht="15.6" x14ac:dyDescent="0.3">
      <c r="A1727" s="3" t="str">
        <f t="shared" si="260"/>
        <v>West9330229900310</v>
      </c>
      <c r="B1727" s="3" t="str">
        <f t="shared" si="261"/>
        <v>Mah9330229900310</v>
      </c>
      <c r="C1727" s="10">
        <v>9330229900310</v>
      </c>
      <c r="D1727" s="10" t="str">
        <f t="shared" si="262"/>
        <v>9330229900</v>
      </c>
      <c r="E1727" s="3" t="s">
        <v>1</v>
      </c>
      <c r="F1727" s="3" t="s">
        <v>63</v>
      </c>
      <c r="H1727" s="3">
        <v>1.2500000000000002</v>
      </c>
      <c r="I1727" s="10">
        <f t="shared" si="263"/>
        <v>48.494595700942881</v>
      </c>
      <c r="J1727" s="3">
        <v>0.77328204221467289</v>
      </c>
      <c r="K1727" s="3">
        <v>0</v>
      </c>
      <c r="L1727" s="3">
        <f t="shared" si="264"/>
        <v>0</v>
      </c>
      <c r="N1727" s="11">
        <f t="shared" si="265"/>
        <v>0.47671795778532733</v>
      </c>
      <c r="O1727" s="3">
        <v>0.77328204221467289</v>
      </c>
      <c r="P1727" s="11">
        <f t="shared" si="266"/>
        <v>18.494595700942877</v>
      </c>
      <c r="Q1727" s="12">
        <f t="shared" si="267"/>
        <v>18.494595700942881</v>
      </c>
      <c r="R1727" s="13">
        <f t="shared" si="268"/>
        <v>-2.3419374714723604</v>
      </c>
      <c r="S1727" s="3" t="s">
        <v>30</v>
      </c>
      <c r="T1727" s="3" t="s">
        <v>35</v>
      </c>
      <c r="U1727" s="10">
        <v>9330229900999</v>
      </c>
      <c r="V1727" s="3">
        <v>0.1</v>
      </c>
      <c r="W1727" s="3">
        <f t="shared" si="269"/>
        <v>0</v>
      </c>
      <c r="Y1727">
        <v>91</v>
      </c>
      <c r="Z1727" s="3">
        <v>256</v>
      </c>
      <c r="AA1727" s="3">
        <v>47</v>
      </c>
    </row>
    <row r="1728" spans="1:27" x14ac:dyDescent="0.3">
      <c r="A1728" s="3" t="str">
        <f t="shared" si="260"/>
        <v>West9330229900840</v>
      </c>
      <c r="B1728" s="3" t="str">
        <f t="shared" si="261"/>
        <v>Mah9330229900840</v>
      </c>
      <c r="C1728" s="10">
        <v>9330229900840</v>
      </c>
      <c r="D1728" s="10" t="str">
        <f t="shared" si="262"/>
        <v>9330229900</v>
      </c>
      <c r="E1728" s="3" t="s">
        <v>1</v>
      </c>
      <c r="F1728" s="3" t="s">
        <v>63</v>
      </c>
      <c r="H1728" s="3">
        <v>1.7680000000000005</v>
      </c>
      <c r="I1728" s="10">
        <f t="shared" si="263"/>
        <v>359.96989657299474</v>
      </c>
      <c r="J1728" s="3">
        <v>0.14734565446987191</v>
      </c>
      <c r="K1728" s="3">
        <v>0</v>
      </c>
      <c r="L1728" s="3">
        <f t="shared" si="264"/>
        <v>0</v>
      </c>
      <c r="N1728" s="11">
        <f t="shared" si="265"/>
        <v>1.6206543455301285</v>
      </c>
      <c r="O1728" s="3">
        <v>0.14734565446987191</v>
      </c>
      <c r="P1728" s="11">
        <f t="shared" si="266"/>
        <v>329.96989657299474</v>
      </c>
      <c r="Q1728" s="12">
        <f t="shared" si="267"/>
        <v>329.96989657299474</v>
      </c>
      <c r="R1728" s="13">
        <f t="shared" si="268"/>
        <v>33.619058544193109</v>
      </c>
      <c r="S1728" s="3" t="s">
        <v>31</v>
      </c>
      <c r="T1728" s="3" t="s">
        <v>35</v>
      </c>
      <c r="U1728" s="10">
        <v>0</v>
      </c>
      <c r="V1728" s="3">
        <v>0</v>
      </c>
      <c r="W1728" s="3">
        <f t="shared" si="269"/>
        <v>0</v>
      </c>
      <c r="AA1728" s="3">
        <v>47</v>
      </c>
    </row>
    <row r="1729" spans="1:27" x14ac:dyDescent="0.3">
      <c r="A1729" s="3" t="str">
        <f t="shared" si="260"/>
        <v>West9330229900210</v>
      </c>
      <c r="B1729" s="3" t="str">
        <f t="shared" si="261"/>
        <v>Mah9330229900210</v>
      </c>
      <c r="C1729" s="10">
        <v>9330229900210</v>
      </c>
      <c r="D1729" s="10" t="str">
        <f t="shared" si="262"/>
        <v>9330229900</v>
      </c>
      <c r="E1729" s="3" t="s">
        <v>1</v>
      </c>
      <c r="F1729" s="3" t="s">
        <v>63</v>
      </c>
      <c r="H1729" s="3">
        <v>2.5799999999999996</v>
      </c>
      <c r="I1729" s="10">
        <f t="shared" si="263"/>
        <v>837.25241982610498</v>
      </c>
      <c r="J1729" s="3">
        <v>9.2445238935321028E-2</v>
      </c>
      <c r="K1729" s="3">
        <v>0</v>
      </c>
      <c r="L1729" s="3">
        <f t="shared" si="264"/>
        <v>0</v>
      </c>
      <c r="N1729" s="11">
        <f t="shared" si="265"/>
        <v>2.4875547610646787</v>
      </c>
      <c r="O1729" s="3">
        <v>9.2445238935321028E-2</v>
      </c>
      <c r="P1729" s="11">
        <f t="shared" si="266"/>
        <v>807.25241982610498</v>
      </c>
      <c r="Q1729" s="12">
        <f t="shared" si="267"/>
        <v>807.25241982610498</v>
      </c>
      <c r="R1729" s="13">
        <f t="shared" si="268"/>
        <v>127.78574888635198</v>
      </c>
      <c r="S1729" s="3" t="s">
        <v>31</v>
      </c>
      <c r="T1729" s="3" t="s">
        <v>35</v>
      </c>
      <c r="U1729" s="10">
        <v>0</v>
      </c>
      <c r="V1729" s="3">
        <v>0</v>
      </c>
      <c r="W1729" s="3">
        <f t="shared" si="269"/>
        <v>0</v>
      </c>
      <c r="AA1729" s="3">
        <v>47</v>
      </c>
    </row>
    <row r="1730" spans="1:27" x14ac:dyDescent="0.3">
      <c r="A1730" s="3" t="str">
        <f t="shared" si="260"/>
        <v>North9432019901320</v>
      </c>
      <c r="B1730" s="3" t="str">
        <f t="shared" si="261"/>
        <v>Pan9432019901320</v>
      </c>
      <c r="C1730" s="10">
        <v>9432019901320</v>
      </c>
      <c r="D1730" s="10" t="str">
        <f t="shared" si="262"/>
        <v>9432019901</v>
      </c>
      <c r="E1730" s="3" t="s">
        <v>2</v>
      </c>
      <c r="F1730" s="3" t="s">
        <v>64</v>
      </c>
      <c r="H1730" s="3">
        <v>109.88</v>
      </c>
      <c r="I1730" s="10">
        <f t="shared" si="263"/>
        <v>50.703472196698868</v>
      </c>
      <c r="J1730" s="3">
        <v>65.013299034274368</v>
      </c>
      <c r="K1730" s="3">
        <v>0</v>
      </c>
      <c r="L1730" s="3">
        <f t="shared" si="264"/>
        <v>0</v>
      </c>
      <c r="N1730" s="11">
        <f t="shared" si="265"/>
        <v>44.866700965725627</v>
      </c>
      <c r="O1730" s="3">
        <v>65.013299034274368</v>
      </c>
      <c r="P1730" s="11">
        <f t="shared" si="266"/>
        <v>20.703472196698868</v>
      </c>
      <c r="Q1730" s="12">
        <f t="shared" si="267"/>
        <v>11.64792994021947</v>
      </c>
      <c r="R1730" s="13">
        <f t="shared" si="268"/>
        <v>3.7792537227451724</v>
      </c>
      <c r="S1730" s="3" t="s">
        <v>29</v>
      </c>
      <c r="T1730" s="3" t="s">
        <v>35</v>
      </c>
      <c r="U1730" s="10">
        <v>9432019900999</v>
      </c>
      <c r="V1730" s="3">
        <v>0.1</v>
      </c>
      <c r="W1730" s="3">
        <f t="shared" si="269"/>
        <v>0</v>
      </c>
      <c r="AA1730" s="3">
        <v>47</v>
      </c>
    </row>
    <row r="1731" spans="1:27" x14ac:dyDescent="0.3">
      <c r="A1731" s="3" t="str">
        <f t="shared" si="260"/>
        <v>North9320019900820</v>
      </c>
      <c r="B1731" s="3" t="str">
        <f t="shared" si="261"/>
        <v>Pan9320019900820</v>
      </c>
      <c r="C1731" s="10">
        <v>9320019900820</v>
      </c>
      <c r="D1731" s="10" t="str">
        <f t="shared" si="262"/>
        <v>9320019900</v>
      </c>
      <c r="E1731" s="3" t="s">
        <v>2</v>
      </c>
      <c r="F1731" s="3" t="s">
        <v>64</v>
      </c>
      <c r="H1731" s="3">
        <v>49.79999999999999</v>
      </c>
      <c r="I1731" s="10">
        <f t="shared" si="263"/>
        <v>24.763973709443302</v>
      </c>
      <c r="J1731" s="3">
        <v>60.329574628416331</v>
      </c>
      <c r="K1731" s="3">
        <v>82.25</v>
      </c>
      <c r="L1731" s="3">
        <f t="shared" si="264"/>
        <v>0</v>
      </c>
      <c r="N1731" s="11">
        <f t="shared" si="265"/>
        <v>-10.529574628416341</v>
      </c>
      <c r="O1731" s="3">
        <v>60.329574628416331</v>
      </c>
      <c r="P1731" s="11">
        <f t="shared" si="266"/>
        <v>-5.2360262905566977</v>
      </c>
      <c r="Q1731" s="12">
        <f t="shared" si="267"/>
        <v>0.8457782226285081</v>
      </c>
      <c r="R1731" s="13">
        <f t="shared" si="268"/>
        <v>-2.0110700955308665</v>
      </c>
      <c r="S1731" s="3" t="s">
        <v>29</v>
      </c>
      <c r="T1731" s="3" t="s">
        <v>28</v>
      </c>
      <c r="U1731" s="10">
        <v>0</v>
      </c>
      <c r="V1731" s="3">
        <v>0</v>
      </c>
      <c r="W1731" s="3">
        <f t="shared" si="269"/>
        <v>0</v>
      </c>
      <c r="AA1731" s="3">
        <v>47</v>
      </c>
    </row>
    <row r="1732" spans="1:27" x14ac:dyDescent="0.3">
      <c r="A1732" s="3" t="str">
        <f t="shared" ref="A1732:A1795" si="270">_xlfn.CONCAT(F1732,C1732)</f>
        <v>North9432019900320</v>
      </c>
      <c r="B1732" s="3" t="str">
        <f t="shared" ref="B1732:B1795" si="271">_xlfn.CONCAT(E1732,C1732)</f>
        <v>Pan9432019900320</v>
      </c>
      <c r="C1732" s="10">
        <v>9432019900320</v>
      </c>
      <c r="D1732" s="10" t="str">
        <f t="shared" ref="D1732:D1795" si="272">LEFT(C1732,10)</f>
        <v>9432019900</v>
      </c>
      <c r="E1732" s="3" t="s">
        <v>2</v>
      </c>
      <c r="F1732" s="3" t="s">
        <v>64</v>
      </c>
      <c r="H1732" s="3">
        <v>75.591999999999999</v>
      </c>
      <c r="I1732" s="10">
        <f t="shared" ref="I1732:I1795" si="273">IFERROR(H1732/J1732*30,0)</f>
        <v>46.434610041919328</v>
      </c>
      <c r="J1732" s="3">
        <v>48.837709586723264</v>
      </c>
      <c r="K1732" s="3">
        <v>0</v>
      </c>
      <c r="L1732" s="3">
        <f t="shared" ref="L1732:L1795" si="274">M1732*G1732</f>
        <v>0</v>
      </c>
      <c r="N1732" s="11">
        <f t="shared" ref="N1732:N1795" si="275">H1732-J1732+L1732</f>
        <v>26.754290413276735</v>
      </c>
      <c r="O1732" s="3">
        <v>48.837709586723264</v>
      </c>
      <c r="P1732" s="11">
        <f t="shared" ref="P1732:P1795" si="276">IF(O1732=0,9999,N1732/O1732*30)</f>
        <v>16.434610041919328</v>
      </c>
      <c r="Q1732" s="12">
        <f t="shared" ref="Q1732:Q1795" si="277">IF(SUMIF($A:$A,$A1732,$O:$O)=0,9999,SUMIF($A:$A,$A1732,$N:$N)*30/SUMIF($A:$A,$A1732,$O:$O))</f>
        <v>22.890277117296311</v>
      </c>
      <c r="R1732" s="13">
        <f t="shared" ref="R1732:R1795" si="278">IF(SUMIF($C:$C,$C1732,$O:$O)=0,9999,SUMIF($C:$C,$C1732,$N:$N)*30/SUMIF($C:$C,$C1732,$O:$O))</f>
        <v>27.973265276899198</v>
      </c>
      <c r="S1732" s="3" t="s">
        <v>29</v>
      </c>
      <c r="T1732" s="3" t="s">
        <v>35</v>
      </c>
      <c r="U1732" s="10">
        <v>9432019900999</v>
      </c>
      <c r="V1732" s="3">
        <v>0.1</v>
      </c>
      <c r="W1732" s="3">
        <f t="shared" ref="W1732:W1795" si="279">IFERROR(K1732*V1732,0)</f>
        <v>0</v>
      </c>
      <c r="AA1732" s="3">
        <v>47</v>
      </c>
    </row>
    <row r="1733" spans="1:27" x14ac:dyDescent="0.3">
      <c r="A1733" s="3" t="str">
        <f t="shared" si="270"/>
        <v>North9432019901310</v>
      </c>
      <c r="B1733" s="3" t="str">
        <f t="shared" si="271"/>
        <v>Pan9432019901310</v>
      </c>
      <c r="C1733" s="10">
        <v>9432019901310</v>
      </c>
      <c r="D1733" s="10" t="str">
        <f t="shared" si="272"/>
        <v>9432019901</v>
      </c>
      <c r="E1733" s="3" t="s">
        <v>2</v>
      </c>
      <c r="F1733" s="3" t="s">
        <v>64</v>
      </c>
      <c r="H1733" s="3">
        <v>18.66</v>
      </c>
      <c r="I1733" s="10">
        <f t="shared" si="273"/>
        <v>31.042010916774217</v>
      </c>
      <c r="J1733" s="3">
        <v>18.033625511596611</v>
      </c>
      <c r="K1733" s="3">
        <v>0</v>
      </c>
      <c r="L1733" s="3">
        <f t="shared" si="274"/>
        <v>0</v>
      </c>
      <c r="N1733" s="11">
        <f t="shared" si="275"/>
        <v>0.62637448840338905</v>
      </c>
      <c r="O1733" s="3">
        <v>18.033625511596611</v>
      </c>
      <c r="P1733" s="11">
        <f t="shared" si="276"/>
        <v>1.0420109167742158</v>
      </c>
      <c r="Q1733" s="12">
        <f t="shared" si="277"/>
        <v>15.584350531535469</v>
      </c>
      <c r="R1733" s="13">
        <f t="shared" si="278"/>
        <v>9.7787517796553676</v>
      </c>
      <c r="S1733" s="3" t="s">
        <v>29</v>
      </c>
      <c r="T1733" s="3" t="s">
        <v>35</v>
      </c>
      <c r="U1733" s="10">
        <v>9432019900999</v>
      </c>
      <c r="V1733" s="3">
        <v>0.1</v>
      </c>
      <c r="W1733" s="3">
        <f t="shared" si="279"/>
        <v>0</v>
      </c>
      <c r="AA1733" s="3">
        <v>47</v>
      </c>
    </row>
    <row r="1734" spans="1:27" x14ac:dyDescent="0.3">
      <c r="A1734" s="3" t="str">
        <f t="shared" si="270"/>
        <v>North9432019900310</v>
      </c>
      <c r="B1734" s="3" t="str">
        <f t="shared" si="271"/>
        <v>Pan9432019900310</v>
      </c>
      <c r="C1734" s="10">
        <v>9432019900310</v>
      </c>
      <c r="D1734" s="10" t="str">
        <f t="shared" si="272"/>
        <v>9432019900</v>
      </c>
      <c r="E1734" s="3" t="s">
        <v>2</v>
      </c>
      <c r="F1734" s="3" t="s">
        <v>64</v>
      </c>
      <c r="H1734" s="3">
        <v>7.1100000000000012</v>
      </c>
      <c r="I1734" s="10">
        <f t="shared" si="273"/>
        <v>18.206452700458449</v>
      </c>
      <c r="J1734" s="3">
        <v>11.71562651491298</v>
      </c>
      <c r="K1734" s="3">
        <v>0</v>
      </c>
      <c r="L1734" s="3">
        <f t="shared" si="274"/>
        <v>0</v>
      </c>
      <c r="N1734" s="11">
        <f t="shared" si="275"/>
        <v>-4.6056265149129789</v>
      </c>
      <c r="O1734" s="3">
        <v>11.71562651491298</v>
      </c>
      <c r="P1734" s="11">
        <f t="shared" si="276"/>
        <v>-11.793547299541551</v>
      </c>
      <c r="Q1734" s="12">
        <f t="shared" si="277"/>
        <v>23.284852189339158</v>
      </c>
      <c r="R1734" s="13">
        <f t="shared" si="278"/>
        <v>27.317568745609034</v>
      </c>
      <c r="S1734" s="3" t="s">
        <v>30</v>
      </c>
      <c r="T1734" s="3" t="s">
        <v>35</v>
      </c>
      <c r="U1734" s="10">
        <v>9432019900999</v>
      </c>
      <c r="V1734" s="3">
        <v>0.1</v>
      </c>
      <c r="W1734" s="3">
        <f t="shared" si="279"/>
        <v>0</v>
      </c>
      <c r="AA1734" s="3">
        <v>47</v>
      </c>
    </row>
    <row r="1735" spans="1:27" x14ac:dyDescent="0.3">
      <c r="A1735" s="3" t="str">
        <f t="shared" si="270"/>
        <v>North9432019901840</v>
      </c>
      <c r="B1735" s="3" t="str">
        <f t="shared" si="271"/>
        <v>Pan9432019901840</v>
      </c>
      <c r="C1735" s="10">
        <v>9432019901840</v>
      </c>
      <c r="D1735" s="10" t="str">
        <f t="shared" si="272"/>
        <v>9432019901</v>
      </c>
      <c r="E1735" s="3" t="s">
        <v>2</v>
      </c>
      <c r="F1735" s="3" t="s">
        <v>64</v>
      </c>
      <c r="H1735" s="3">
        <v>20.700000000000003</v>
      </c>
      <c r="I1735" s="10">
        <f t="shared" si="273"/>
        <v>70.256921849274946</v>
      </c>
      <c r="J1735" s="3">
        <v>8.8389867311900865</v>
      </c>
      <c r="K1735" s="3">
        <v>0</v>
      </c>
      <c r="L1735" s="3">
        <f t="shared" si="274"/>
        <v>0</v>
      </c>
      <c r="N1735" s="11">
        <f t="shared" si="275"/>
        <v>11.861013268809916</v>
      </c>
      <c r="O1735" s="3">
        <v>8.8389867311900865</v>
      </c>
      <c r="P1735" s="11">
        <f t="shared" si="276"/>
        <v>40.256921849274946</v>
      </c>
      <c r="Q1735" s="12">
        <f t="shared" si="277"/>
        <v>31.203569623322384</v>
      </c>
      <c r="R1735" s="13">
        <f t="shared" si="278"/>
        <v>4.9551947325973327</v>
      </c>
      <c r="S1735" s="3" t="s">
        <v>30</v>
      </c>
      <c r="T1735" s="3" t="s">
        <v>35</v>
      </c>
      <c r="U1735" s="10">
        <v>0</v>
      </c>
      <c r="V1735" s="3">
        <v>0</v>
      </c>
      <c r="W1735" s="3">
        <f t="shared" si="279"/>
        <v>0</v>
      </c>
      <c r="AA1735" s="3">
        <v>47</v>
      </c>
    </row>
    <row r="1736" spans="1:27" x14ac:dyDescent="0.3">
      <c r="A1736" s="3" t="str">
        <f t="shared" si="270"/>
        <v>North9320019900810</v>
      </c>
      <c r="B1736" s="3" t="str">
        <f t="shared" si="271"/>
        <v>Pan9320019900810</v>
      </c>
      <c r="C1736" s="10">
        <v>9320019900810</v>
      </c>
      <c r="D1736" s="10" t="str">
        <f t="shared" si="272"/>
        <v>9320019900</v>
      </c>
      <c r="E1736" s="3" t="s">
        <v>2</v>
      </c>
      <c r="F1736" s="3" t="s">
        <v>64</v>
      </c>
      <c r="H1736" s="3">
        <v>5.5600000000000005</v>
      </c>
      <c r="I1736" s="10">
        <f t="shared" si="273"/>
        <v>21.829545354667374</v>
      </c>
      <c r="J1736" s="3">
        <v>7.6410203368865179</v>
      </c>
      <c r="K1736" s="3">
        <v>11.75</v>
      </c>
      <c r="L1736" s="3">
        <f t="shared" si="274"/>
        <v>0</v>
      </c>
      <c r="N1736" s="11">
        <f t="shared" si="275"/>
        <v>-2.0810203368865174</v>
      </c>
      <c r="O1736" s="3">
        <v>7.6410203368865179</v>
      </c>
      <c r="P1736" s="11">
        <f t="shared" si="276"/>
        <v>-8.1704546453326259</v>
      </c>
      <c r="Q1736" s="12">
        <f t="shared" si="277"/>
        <v>-0.33761070131295623</v>
      </c>
      <c r="R1736" s="13">
        <f t="shared" si="278"/>
        <v>9.9235296770641845</v>
      </c>
      <c r="S1736" s="3" t="s">
        <v>29</v>
      </c>
      <c r="T1736" s="3" t="s">
        <v>28</v>
      </c>
      <c r="U1736" s="10">
        <v>0</v>
      </c>
      <c r="V1736" s="3">
        <v>0</v>
      </c>
      <c r="W1736" s="3">
        <f t="shared" si="279"/>
        <v>0</v>
      </c>
      <c r="AA1736" s="3">
        <v>47</v>
      </c>
    </row>
    <row r="1737" spans="1:27" x14ac:dyDescent="0.3">
      <c r="A1737" s="3" t="str">
        <f t="shared" si="270"/>
        <v>North9432019901210</v>
      </c>
      <c r="B1737" s="3" t="str">
        <f t="shared" si="271"/>
        <v>Pan9432019901210</v>
      </c>
      <c r="C1737" s="10">
        <v>9432019901210</v>
      </c>
      <c r="D1737" s="10" t="str">
        <f t="shared" si="272"/>
        <v>9432019901</v>
      </c>
      <c r="E1737" s="3" t="s">
        <v>2</v>
      </c>
      <c r="F1737" s="3" t="s">
        <v>64</v>
      </c>
      <c r="H1737" s="3">
        <v>14.507999999999999</v>
      </c>
      <c r="I1737" s="10">
        <f t="shared" si="273"/>
        <v>132.63273825135386</v>
      </c>
      <c r="J1737" s="3">
        <v>3.2815427453150483</v>
      </c>
      <c r="K1737" s="3">
        <v>0</v>
      </c>
      <c r="L1737" s="3">
        <f t="shared" si="274"/>
        <v>0</v>
      </c>
      <c r="N1737" s="11">
        <f t="shared" si="275"/>
        <v>11.22645725468495</v>
      </c>
      <c r="O1737" s="3">
        <v>3.2815427453150483</v>
      </c>
      <c r="P1737" s="11">
        <f t="shared" si="276"/>
        <v>102.63273825135386</v>
      </c>
      <c r="Q1737" s="12">
        <f t="shared" si="277"/>
        <v>81.980775293561081</v>
      </c>
      <c r="R1737" s="13">
        <f t="shared" si="278"/>
        <v>24.563491916296034</v>
      </c>
      <c r="S1737" s="3" t="s">
        <v>30</v>
      </c>
      <c r="T1737" s="3" t="s">
        <v>35</v>
      </c>
      <c r="U1737" s="10">
        <v>0</v>
      </c>
      <c r="V1737" s="3">
        <v>0</v>
      </c>
      <c r="W1737" s="3">
        <f t="shared" si="279"/>
        <v>0</v>
      </c>
      <c r="AA1737" s="3">
        <v>47</v>
      </c>
    </row>
    <row r="1738" spans="1:27" x14ac:dyDescent="0.3">
      <c r="A1738" s="3" t="str">
        <f t="shared" si="270"/>
        <v>North9432019900840</v>
      </c>
      <c r="B1738" s="3" t="str">
        <f t="shared" si="271"/>
        <v>Pan9432019900840</v>
      </c>
      <c r="C1738" s="10">
        <v>9432019900840</v>
      </c>
      <c r="D1738" s="10" t="str">
        <f t="shared" si="272"/>
        <v>9432019900</v>
      </c>
      <c r="E1738" s="3" t="s">
        <v>2</v>
      </c>
      <c r="F1738" s="3" t="s">
        <v>64</v>
      </c>
      <c r="H1738" s="3">
        <v>4.6960000000000006</v>
      </c>
      <c r="I1738" s="10">
        <f t="shared" si="273"/>
        <v>46.609228731979464</v>
      </c>
      <c r="J1738" s="3">
        <v>3.022577370033579</v>
      </c>
      <c r="K1738" s="3">
        <v>0</v>
      </c>
      <c r="L1738" s="3">
        <f t="shared" si="274"/>
        <v>0</v>
      </c>
      <c r="N1738" s="11">
        <f t="shared" si="275"/>
        <v>1.6734226299664217</v>
      </c>
      <c r="O1738" s="3">
        <v>3.022577370033579</v>
      </c>
      <c r="P1738" s="11">
        <f t="shared" si="276"/>
        <v>16.609228731979467</v>
      </c>
      <c r="Q1738" s="12">
        <f t="shared" si="277"/>
        <v>11.849981942125453</v>
      </c>
      <c r="R1738" s="13">
        <f t="shared" si="278"/>
        <v>20.92521076025448</v>
      </c>
      <c r="S1738" s="3" t="s">
        <v>31</v>
      </c>
      <c r="T1738" s="3" t="s">
        <v>35</v>
      </c>
      <c r="U1738" s="10">
        <v>0</v>
      </c>
      <c r="V1738" s="3">
        <v>0</v>
      </c>
      <c r="W1738" s="3">
        <f t="shared" si="279"/>
        <v>0</v>
      </c>
      <c r="AA1738" s="3">
        <v>47</v>
      </c>
    </row>
    <row r="1739" spans="1:27" x14ac:dyDescent="0.3">
      <c r="A1739" s="3" t="str">
        <f t="shared" si="270"/>
        <v>North9320019900840</v>
      </c>
      <c r="B1739" s="3" t="str">
        <f t="shared" si="271"/>
        <v>Pan9320019900840</v>
      </c>
      <c r="C1739" s="10">
        <v>9320019900840</v>
      </c>
      <c r="D1739" s="10" t="str">
        <f t="shared" si="272"/>
        <v>9320019900</v>
      </c>
      <c r="E1739" s="3" t="s">
        <v>2</v>
      </c>
      <c r="F1739" s="3" t="s">
        <v>64</v>
      </c>
      <c r="H1739" s="3">
        <v>3.4200000000000013</v>
      </c>
      <c r="I1739" s="10">
        <f t="shared" si="273"/>
        <v>63.431295095901824</v>
      </c>
      <c r="J1739" s="3">
        <v>1.6174981110645625</v>
      </c>
      <c r="K1739" s="3">
        <v>0</v>
      </c>
      <c r="L1739" s="3">
        <f t="shared" si="274"/>
        <v>0</v>
      </c>
      <c r="N1739" s="11">
        <f t="shared" si="275"/>
        <v>1.8025018889354387</v>
      </c>
      <c r="O1739" s="3">
        <v>1.6174981110645625</v>
      </c>
      <c r="P1739" s="11">
        <f t="shared" si="276"/>
        <v>33.431295095901817</v>
      </c>
      <c r="Q1739" s="12">
        <f t="shared" si="277"/>
        <v>20.42834635546447</v>
      </c>
      <c r="R1739" s="13">
        <f t="shared" si="278"/>
        <v>30.390251247234943</v>
      </c>
      <c r="S1739" s="3" t="s">
        <v>30</v>
      </c>
      <c r="T1739" s="3" t="s">
        <v>28</v>
      </c>
      <c r="U1739" s="10">
        <v>0</v>
      </c>
      <c r="V1739" s="3">
        <v>0</v>
      </c>
      <c r="W1739" s="3">
        <f t="shared" si="279"/>
        <v>0</v>
      </c>
      <c r="AA1739" s="3">
        <v>47</v>
      </c>
    </row>
    <row r="1740" spans="1:27" x14ac:dyDescent="0.3">
      <c r="A1740" s="3" t="str">
        <f t="shared" si="270"/>
        <v>North9432019900210</v>
      </c>
      <c r="B1740" s="3" t="str">
        <f t="shared" si="271"/>
        <v>Pan9432019900210</v>
      </c>
      <c r="C1740" s="10">
        <v>9432019900210</v>
      </c>
      <c r="D1740" s="10" t="str">
        <f t="shared" si="272"/>
        <v>9432019900</v>
      </c>
      <c r="E1740" s="3" t="s">
        <v>2</v>
      </c>
      <c r="F1740" s="3" t="s">
        <v>64</v>
      </c>
      <c r="H1740" s="3">
        <v>0.61699999999999999</v>
      </c>
      <c r="I1740" s="10">
        <f t="shared" si="273"/>
        <v>17.015844687257129</v>
      </c>
      <c r="J1740" s="3">
        <v>1.0878096468441452</v>
      </c>
      <c r="K1740" s="3">
        <v>0</v>
      </c>
      <c r="L1740" s="3">
        <f t="shared" si="274"/>
        <v>0</v>
      </c>
      <c r="N1740" s="11">
        <f t="shared" si="275"/>
        <v>-0.47080964684414517</v>
      </c>
      <c r="O1740" s="3">
        <v>1.0878096468441452</v>
      </c>
      <c r="P1740" s="11">
        <f t="shared" si="276"/>
        <v>-12.984155312742873</v>
      </c>
      <c r="Q1740" s="12">
        <f t="shared" si="277"/>
        <v>27.731268604258386</v>
      </c>
      <c r="R1740" s="13">
        <f t="shared" si="278"/>
        <v>0.18903672404124577</v>
      </c>
      <c r="S1740" s="3" t="s">
        <v>31</v>
      </c>
      <c r="T1740" s="3" t="s">
        <v>35</v>
      </c>
      <c r="U1740" s="10">
        <v>0</v>
      </c>
      <c r="V1740" s="3">
        <v>0</v>
      </c>
      <c r="W1740" s="3">
        <f t="shared" si="279"/>
        <v>0</v>
      </c>
      <c r="AA1740" s="3">
        <v>47</v>
      </c>
    </row>
    <row r="1741" spans="1:27" x14ac:dyDescent="0.3">
      <c r="A1741" s="3" t="str">
        <f t="shared" si="270"/>
        <v>North9320019900210</v>
      </c>
      <c r="B1741" s="3" t="str">
        <f t="shared" si="271"/>
        <v>Pan9320019900210</v>
      </c>
      <c r="C1741" s="10">
        <v>9320019900210</v>
      </c>
      <c r="D1741" s="10" t="str">
        <f t="shared" si="272"/>
        <v>9320019900</v>
      </c>
      <c r="E1741" s="3" t="s">
        <v>2</v>
      </c>
      <c r="F1741" s="3" t="s">
        <v>64</v>
      </c>
      <c r="H1741" s="3">
        <v>5.9990000000000006</v>
      </c>
      <c r="I1741" s="10">
        <f t="shared" si="273"/>
        <v>501.30192826188596</v>
      </c>
      <c r="J1741" s="3">
        <v>0.35900520196280111</v>
      </c>
      <c r="K1741" s="3">
        <v>0</v>
      </c>
      <c r="L1741" s="3">
        <f t="shared" si="274"/>
        <v>0</v>
      </c>
      <c r="N1741" s="11">
        <f t="shared" si="275"/>
        <v>5.6399947980371996</v>
      </c>
      <c r="O1741" s="3">
        <v>0.35900520196280111</v>
      </c>
      <c r="P1741" s="11">
        <f t="shared" si="276"/>
        <v>471.30192826188602</v>
      </c>
      <c r="Q1741" s="12">
        <f t="shared" si="277"/>
        <v>268.916955089422</v>
      </c>
      <c r="R1741" s="13">
        <f t="shared" si="278"/>
        <v>72.211571713659765</v>
      </c>
      <c r="S1741" s="3" t="s">
        <v>31</v>
      </c>
      <c r="T1741" s="3" t="s">
        <v>28</v>
      </c>
      <c r="U1741" s="10">
        <v>0</v>
      </c>
      <c r="V1741" s="3">
        <v>0</v>
      </c>
      <c r="W1741" s="3">
        <f t="shared" si="279"/>
        <v>0</v>
      </c>
      <c r="AA1741" s="3">
        <v>47</v>
      </c>
    </row>
    <row r="1742" spans="1:27" x14ac:dyDescent="0.3">
      <c r="A1742" s="3" t="str">
        <f t="shared" si="270"/>
        <v>North9420049902319</v>
      </c>
      <c r="B1742" s="3" t="str">
        <f t="shared" si="271"/>
        <v>Pan9420049902319</v>
      </c>
      <c r="C1742" s="10">
        <v>9420049902319</v>
      </c>
      <c r="D1742" s="10" t="str">
        <f t="shared" si="272"/>
        <v>9420049902</v>
      </c>
      <c r="E1742" s="3" t="s">
        <v>2</v>
      </c>
      <c r="F1742" s="3" t="s">
        <v>64</v>
      </c>
      <c r="H1742" s="3">
        <v>12.008000000000006</v>
      </c>
      <c r="I1742" s="10">
        <f t="shared" si="273"/>
        <v>11276.758122422074</v>
      </c>
      <c r="J1742" s="3">
        <v>3.1945351322532949E-2</v>
      </c>
      <c r="K1742" s="3">
        <v>0</v>
      </c>
      <c r="L1742" s="3">
        <f t="shared" si="274"/>
        <v>0</v>
      </c>
      <c r="N1742" s="11">
        <f t="shared" si="275"/>
        <v>11.976054648677474</v>
      </c>
      <c r="O1742" s="3">
        <v>3.1945351322532949E-2</v>
      </c>
      <c r="P1742" s="11">
        <f t="shared" si="276"/>
        <v>11246.758122422074</v>
      </c>
      <c r="Q1742" s="12">
        <f t="shared" si="277"/>
        <v>13994.57576617682</v>
      </c>
      <c r="R1742" s="13">
        <f t="shared" si="278"/>
        <v>24424.26870277066</v>
      </c>
      <c r="S1742" s="3" t="s">
        <v>31</v>
      </c>
      <c r="T1742" s="3" t="s">
        <v>28</v>
      </c>
      <c r="U1742" s="10">
        <v>9420049900999</v>
      </c>
      <c r="V1742" s="3">
        <v>0.1</v>
      </c>
      <c r="W1742" s="3">
        <f t="shared" si="279"/>
        <v>0</v>
      </c>
      <c r="AA1742" s="3">
        <v>47</v>
      </c>
    </row>
    <row r="1743" spans="1:27" x14ac:dyDescent="0.3">
      <c r="A1743" s="3" t="str">
        <f t="shared" si="270"/>
        <v>North9420049902195</v>
      </c>
      <c r="B1743" s="3" t="str">
        <f t="shared" si="271"/>
        <v>Pan9420049902195</v>
      </c>
      <c r="C1743" s="10">
        <v>9420049902195</v>
      </c>
      <c r="D1743" s="10" t="str">
        <f t="shared" si="272"/>
        <v>9420049902</v>
      </c>
      <c r="E1743" s="3" t="s">
        <v>2</v>
      </c>
      <c r="F1743" s="3" t="s">
        <v>64</v>
      </c>
      <c r="H1743" s="3">
        <v>0</v>
      </c>
      <c r="I1743" s="10">
        <f t="shared" si="273"/>
        <v>0</v>
      </c>
      <c r="J1743" s="3">
        <v>1.7705645454519674E-2</v>
      </c>
      <c r="K1743" s="3">
        <v>0</v>
      </c>
      <c r="L1743" s="3">
        <f t="shared" si="274"/>
        <v>0</v>
      </c>
      <c r="N1743" s="11">
        <f t="shared" si="275"/>
        <v>-1.7705645454519674E-2</v>
      </c>
      <c r="O1743" s="3">
        <v>1.7705645454519674E-2</v>
      </c>
      <c r="P1743" s="11">
        <f t="shared" si="276"/>
        <v>-30</v>
      </c>
      <c r="Q1743" s="12">
        <f t="shared" si="277"/>
        <v>-29.999999999999996</v>
      </c>
      <c r="R1743" s="13">
        <f t="shared" si="278"/>
        <v>-30</v>
      </c>
      <c r="S1743" s="3" t="s">
        <v>31</v>
      </c>
      <c r="T1743" s="3" t="s">
        <v>28</v>
      </c>
      <c r="U1743" s="10">
        <v>0</v>
      </c>
      <c r="V1743" s="3">
        <v>0</v>
      </c>
      <c r="W1743" s="3">
        <f t="shared" si="279"/>
        <v>0</v>
      </c>
      <c r="AA1743" s="3">
        <v>47</v>
      </c>
    </row>
    <row r="1744" spans="1:27" x14ac:dyDescent="0.3">
      <c r="A1744" s="3" t="str">
        <f t="shared" si="270"/>
        <v>North9420049902295</v>
      </c>
      <c r="B1744" s="3" t="str">
        <f t="shared" si="271"/>
        <v>Pan9420049902295</v>
      </c>
      <c r="C1744" s="10">
        <v>9420049902295</v>
      </c>
      <c r="D1744" s="10" t="str">
        <f t="shared" si="272"/>
        <v>9420049902</v>
      </c>
      <c r="E1744" s="3" t="s">
        <v>2</v>
      </c>
      <c r="F1744" s="3" t="s">
        <v>64</v>
      </c>
      <c r="H1744" s="3">
        <v>1.7765</v>
      </c>
      <c r="I1744" s="10">
        <f t="shared" si="273"/>
        <v>0</v>
      </c>
      <c r="J1744" s="3">
        <v>0</v>
      </c>
      <c r="K1744" s="3">
        <v>0</v>
      </c>
      <c r="L1744" s="3">
        <f t="shared" si="274"/>
        <v>0</v>
      </c>
      <c r="N1744" s="11">
        <f t="shared" si="275"/>
        <v>1.7765</v>
      </c>
      <c r="O1744" s="3">
        <v>0</v>
      </c>
      <c r="P1744" s="11">
        <f t="shared" si="276"/>
        <v>9999</v>
      </c>
      <c r="Q1744" s="12">
        <f t="shared" si="277"/>
        <v>9999</v>
      </c>
      <c r="R1744" s="13">
        <f t="shared" si="278"/>
        <v>15203.553616405226</v>
      </c>
      <c r="S1744" s="3" t="s">
        <v>31</v>
      </c>
      <c r="T1744" s="3" t="s">
        <v>28</v>
      </c>
      <c r="U1744" s="10">
        <v>9420049900999</v>
      </c>
      <c r="V1744" s="3">
        <v>0.1</v>
      </c>
      <c r="W1744" s="3">
        <f t="shared" si="279"/>
        <v>0</v>
      </c>
      <c r="AA1744" s="3">
        <v>47</v>
      </c>
    </row>
    <row r="1745" spans="1:27" x14ac:dyDescent="0.3">
      <c r="A1745" s="3" t="str">
        <f t="shared" si="270"/>
        <v>North9420049902838</v>
      </c>
      <c r="B1745" s="3" t="str">
        <f t="shared" si="271"/>
        <v>Pan9420049902838</v>
      </c>
      <c r="C1745" s="10">
        <v>9420049902838</v>
      </c>
      <c r="D1745" s="10" t="str">
        <f t="shared" si="272"/>
        <v>9420049902</v>
      </c>
      <c r="E1745" s="3" t="s">
        <v>2</v>
      </c>
      <c r="F1745" s="3" t="s">
        <v>64</v>
      </c>
      <c r="H1745" s="3">
        <v>0</v>
      </c>
      <c r="I1745" s="10">
        <f t="shared" si="273"/>
        <v>0</v>
      </c>
      <c r="J1745" s="3">
        <v>0</v>
      </c>
      <c r="K1745" s="3">
        <v>0</v>
      </c>
      <c r="L1745" s="3">
        <f t="shared" si="274"/>
        <v>0</v>
      </c>
      <c r="N1745" s="11">
        <f t="shared" si="275"/>
        <v>0</v>
      </c>
      <c r="O1745" s="3">
        <v>0</v>
      </c>
      <c r="P1745" s="11">
        <f t="shared" si="276"/>
        <v>9999</v>
      </c>
      <c r="Q1745" s="12">
        <f t="shared" si="277"/>
        <v>9999</v>
      </c>
      <c r="R1745" s="13">
        <f t="shared" si="278"/>
        <v>-30</v>
      </c>
      <c r="S1745" s="3" t="s">
        <v>31</v>
      </c>
      <c r="T1745" s="3" t="s">
        <v>28</v>
      </c>
      <c r="U1745" s="10">
        <v>0</v>
      </c>
      <c r="V1745" s="3">
        <v>0</v>
      </c>
      <c r="W1745" s="3">
        <f t="shared" si="279"/>
        <v>0</v>
      </c>
      <c r="AA1745" s="3">
        <v>47</v>
      </c>
    </row>
    <row r="1746" spans="1:27" x14ac:dyDescent="0.3">
      <c r="A1746" s="3" t="str">
        <f t="shared" si="270"/>
        <v>South9330209900320</v>
      </c>
      <c r="B1746" s="3" t="str">
        <f t="shared" si="271"/>
        <v>CMR9330209900320</v>
      </c>
      <c r="C1746" s="10">
        <v>9330209900320</v>
      </c>
      <c r="D1746" s="10" t="str">
        <f t="shared" si="272"/>
        <v>9330209900</v>
      </c>
      <c r="E1746" s="3" t="s">
        <v>5</v>
      </c>
      <c r="F1746" s="3" t="s">
        <v>65</v>
      </c>
      <c r="H1746" s="3">
        <v>35.619999999999997</v>
      </c>
      <c r="I1746" s="10">
        <f t="shared" si="273"/>
        <v>9.1669323047959157</v>
      </c>
      <c r="J1746" s="3">
        <v>116.57116737307359</v>
      </c>
      <c r="K1746" s="3">
        <v>129.25</v>
      </c>
      <c r="L1746" s="3">
        <f t="shared" si="274"/>
        <v>0</v>
      </c>
      <c r="N1746" s="11">
        <f t="shared" si="275"/>
        <v>-80.951167373073588</v>
      </c>
      <c r="O1746" s="3">
        <v>116.57116737307359</v>
      </c>
      <c r="P1746" s="11">
        <f t="shared" si="276"/>
        <v>-20.833067695204083</v>
      </c>
      <c r="Q1746" s="12">
        <f t="shared" si="277"/>
        <v>-7.4480479528797696</v>
      </c>
      <c r="R1746" s="13">
        <f t="shared" si="278"/>
        <v>-3.5893160099336039</v>
      </c>
      <c r="S1746" s="3" t="s">
        <v>29</v>
      </c>
      <c r="T1746" s="3" t="s">
        <v>35</v>
      </c>
      <c r="U1746" s="10">
        <v>9330209900999</v>
      </c>
      <c r="V1746" s="3">
        <v>0.1</v>
      </c>
      <c r="W1746" s="3">
        <f t="shared" si="279"/>
        <v>12.925000000000001</v>
      </c>
      <c r="AA1746" s="3">
        <v>47</v>
      </c>
    </row>
    <row r="1747" spans="1:27" x14ac:dyDescent="0.3">
      <c r="A1747" s="3" t="str">
        <f t="shared" si="270"/>
        <v>South9330229900320</v>
      </c>
      <c r="B1747" s="3" t="str">
        <f t="shared" si="271"/>
        <v>CMR9330229900320</v>
      </c>
      <c r="C1747" s="10">
        <v>9330229900320</v>
      </c>
      <c r="D1747" s="10" t="str">
        <f t="shared" si="272"/>
        <v>9330229900</v>
      </c>
      <c r="E1747" s="3" t="s">
        <v>5</v>
      </c>
      <c r="F1747" s="3" t="s">
        <v>65</v>
      </c>
      <c r="H1747" s="3">
        <v>20.019999999999992</v>
      </c>
      <c r="I1747" s="10">
        <f t="shared" si="273"/>
        <v>11.799587589710425</v>
      </c>
      <c r="J1747" s="3">
        <v>50.900084043932175</v>
      </c>
      <c r="K1747" s="3">
        <v>70.5</v>
      </c>
      <c r="L1747" s="3">
        <f t="shared" si="274"/>
        <v>0</v>
      </c>
      <c r="N1747" s="11">
        <f t="shared" si="275"/>
        <v>-30.880084043932182</v>
      </c>
      <c r="O1747" s="3">
        <v>50.900084043932175</v>
      </c>
      <c r="P1747" s="11">
        <f t="shared" si="276"/>
        <v>-18.200412410289573</v>
      </c>
      <c r="Q1747" s="12">
        <f t="shared" si="277"/>
        <v>-15.614968142737382</v>
      </c>
      <c r="R1747" s="13">
        <f t="shared" si="278"/>
        <v>-4.2206085179727149</v>
      </c>
      <c r="S1747" s="3" t="s">
        <v>29</v>
      </c>
      <c r="T1747" s="3" t="s">
        <v>35</v>
      </c>
      <c r="U1747" s="10">
        <v>9330229900999</v>
      </c>
      <c r="V1747" s="3">
        <v>0.1</v>
      </c>
      <c r="W1747" s="3">
        <f t="shared" si="279"/>
        <v>7.0500000000000007</v>
      </c>
      <c r="AA1747" s="3">
        <v>47</v>
      </c>
    </row>
    <row r="1748" spans="1:27" x14ac:dyDescent="0.3">
      <c r="A1748" s="3" t="str">
        <f t="shared" si="270"/>
        <v>South9330209900310</v>
      </c>
      <c r="B1748" s="3" t="str">
        <f t="shared" si="271"/>
        <v>CMR9330209900310</v>
      </c>
      <c r="C1748" s="10">
        <v>9330209900310</v>
      </c>
      <c r="D1748" s="10" t="str">
        <f t="shared" si="272"/>
        <v>9330209900</v>
      </c>
      <c r="E1748" s="3" t="s">
        <v>5</v>
      </c>
      <c r="F1748" s="3" t="s">
        <v>65</v>
      </c>
      <c r="H1748" s="3">
        <v>14.54</v>
      </c>
      <c r="I1748" s="10">
        <f t="shared" si="273"/>
        <v>12.430186229187113</v>
      </c>
      <c r="J1748" s="3">
        <v>35.091992344874612</v>
      </c>
      <c r="K1748" s="3">
        <v>35.25</v>
      </c>
      <c r="L1748" s="3">
        <f t="shared" si="274"/>
        <v>0</v>
      </c>
      <c r="N1748" s="11">
        <f t="shared" si="275"/>
        <v>-20.551992344874613</v>
      </c>
      <c r="O1748" s="3">
        <v>35.091992344874612</v>
      </c>
      <c r="P1748" s="11">
        <f t="shared" si="276"/>
        <v>-17.569813770812889</v>
      </c>
      <c r="Q1748" s="12">
        <f t="shared" si="277"/>
        <v>-11.408766564673487</v>
      </c>
      <c r="R1748" s="13">
        <f t="shared" si="278"/>
        <v>0.53923356032125813</v>
      </c>
      <c r="S1748" s="3" t="s">
        <v>29</v>
      </c>
      <c r="T1748" s="3" t="s">
        <v>35</v>
      </c>
      <c r="U1748" s="10">
        <v>9330209900999</v>
      </c>
      <c r="V1748" s="3">
        <v>0.1</v>
      </c>
      <c r="W1748" s="3">
        <f t="shared" si="279"/>
        <v>3.5250000000000004</v>
      </c>
      <c r="AA1748" s="3">
        <v>47</v>
      </c>
    </row>
    <row r="1749" spans="1:27" x14ac:dyDescent="0.3">
      <c r="A1749" s="3" t="str">
        <f t="shared" si="270"/>
        <v>South9330229900310</v>
      </c>
      <c r="B1749" s="3" t="str">
        <f t="shared" si="271"/>
        <v>CMR9330229900310</v>
      </c>
      <c r="C1749" s="10">
        <v>9330229900310</v>
      </c>
      <c r="D1749" s="10" t="str">
        <f t="shared" si="272"/>
        <v>9330229900</v>
      </c>
      <c r="E1749" s="3" t="s">
        <v>5</v>
      </c>
      <c r="F1749" s="3" t="s">
        <v>65</v>
      </c>
      <c r="H1749" s="3">
        <v>5.82</v>
      </c>
      <c r="I1749" s="10">
        <f t="shared" si="273"/>
        <v>13.489505283439261</v>
      </c>
      <c r="J1749" s="3">
        <v>12.943395353004695</v>
      </c>
      <c r="K1749" s="3">
        <v>23.5</v>
      </c>
      <c r="L1749" s="3">
        <f t="shared" si="274"/>
        <v>0</v>
      </c>
      <c r="N1749" s="11">
        <f t="shared" si="275"/>
        <v>-7.1233953530046943</v>
      </c>
      <c r="O1749" s="3">
        <v>12.943395353004695</v>
      </c>
      <c r="P1749" s="11">
        <f t="shared" si="276"/>
        <v>-16.510494716560736</v>
      </c>
      <c r="Q1749" s="12">
        <f t="shared" si="277"/>
        <v>-13.183180672178775</v>
      </c>
      <c r="R1749" s="13">
        <f t="shared" si="278"/>
        <v>-2.3419374714723604</v>
      </c>
      <c r="S1749" s="3" t="s">
        <v>30</v>
      </c>
      <c r="T1749" s="3" t="s">
        <v>35</v>
      </c>
      <c r="U1749" s="10">
        <v>9330229900999</v>
      </c>
      <c r="V1749" s="3">
        <v>0.1</v>
      </c>
      <c r="W1749" s="3">
        <f t="shared" si="279"/>
        <v>2.35</v>
      </c>
      <c r="AA1749" s="3">
        <v>47</v>
      </c>
    </row>
    <row r="1750" spans="1:27" x14ac:dyDescent="0.3">
      <c r="A1750" s="3" t="str">
        <f t="shared" si="270"/>
        <v>South9330209900840</v>
      </c>
      <c r="B1750" s="3" t="str">
        <f t="shared" si="271"/>
        <v>CMR9330209900840</v>
      </c>
      <c r="C1750" s="10">
        <v>9330209900840</v>
      </c>
      <c r="D1750" s="10" t="str">
        <f t="shared" si="272"/>
        <v>9330209900</v>
      </c>
      <c r="E1750" s="3" t="s">
        <v>5</v>
      </c>
      <c r="F1750" s="3" t="s">
        <v>65</v>
      </c>
      <c r="H1750" s="3">
        <v>16.516000000000002</v>
      </c>
      <c r="I1750" s="10">
        <f t="shared" si="273"/>
        <v>42.203514371369536</v>
      </c>
      <c r="J1750" s="3">
        <v>11.740254511508855</v>
      </c>
      <c r="K1750" s="3">
        <v>11.75</v>
      </c>
      <c r="L1750" s="3">
        <f t="shared" si="274"/>
        <v>0</v>
      </c>
      <c r="N1750" s="11">
        <f t="shared" si="275"/>
        <v>4.7757454884911468</v>
      </c>
      <c r="O1750" s="3">
        <v>11.740254511508855</v>
      </c>
      <c r="P1750" s="11">
        <f t="shared" si="276"/>
        <v>12.203514371369542</v>
      </c>
      <c r="Q1750" s="12">
        <f t="shared" si="277"/>
        <v>11.137300952205578</v>
      </c>
      <c r="R1750" s="13">
        <f t="shared" si="278"/>
        <v>16.369417439210231</v>
      </c>
      <c r="S1750" s="3" t="s">
        <v>30</v>
      </c>
      <c r="T1750" s="3" t="s">
        <v>35</v>
      </c>
      <c r="U1750" s="10">
        <v>0</v>
      </c>
      <c r="V1750" s="3">
        <v>0</v>
      </c>
      <c r="W1750" s="3">
        <f t="shared" si="279"/>
        <v>0</v>
      </c>
      <c r="AA1750" s="3">
        <v>47</v>
      </c>
    </row>
    <row r="1751" spans="1:27" x14ac:dyDescent="0.3">
      <c r="A1751" s="3" t="str">
        <f t="shared" si="270"/>
        <v>South9160309900320</v>
      </c>
      <c r="B1751" s="3" t="str">
        <f t="shared" si="271"/>
        <v>CMR9160309900320</v>
      </c>
      <c r="C1751" s="10">
        <v>9160309900320</v>
      </c>
      <c r="D1751" s="10" t="str">
        <f t="shared" si="272"/>
        <v>9160309900</v>
      </c>
      <c r="E1751" s="3" t="s">
        <v>5</v>
      </c>
      <c r="F1751" s="3" t="s">
        <v>65</v>
      </c>
      <c r="H1751" s="3">
        <v>11.200000000000001</v>
      </c>
      <c r="I1751" s="10">
        <f t="shared" si="273"/>
        <v>57.171938915305681</v>
      </c>
      <c r="J1751" s="3">
        <v>5.8770090078237383</v>
      </c>
      <c r="K1751" s="3">
        <v>0</v>
      </c>
      <c r="L1751" s="3">
        <f t="shared" si="274"/>
        <v>0</v>
      </c>
      <c r="N1751" s="11">
        <f t="shared" si="275"/>
        <v>5.3229909921762628</v>
      </c>
      <c r="O1751" s="3">
        <v>5.8770090078237383</v>
      </c>
      <c r="P1751" s="11">
        <f t="shared" si="276"/>
        <v>27.171938915305685</v>
      </c>
      <c r="Q1751" s="12">
        <f t="shared" si="277"/>
        <v>19.832986097236372</v>
      </c>
      <c r="R1751" s="13">
        <f t="shared" si="278"/>
        <v>41.189863366756896</v>
      </c>
      <c r="S1751" s="3" t="s">
        <v>30</v>
      </c>
      <c r="T1751" s="3" t="s">
        <v>34</v>
      </c>
      <c r="U1751" s="10">
        <v>0</v>
      </c>
      <c r="V1751" s="3">
        <v>0</v>
      </c>
      <c r="W1751" s="3">
        <f t="shared" si="279"/>
        <v>0</v>
      </c>
      <c r="AA1751" s="3">
        <v>47</v>
      </c>
    </row>
    <row r="1752" spans="1:27" x14ac:dyDescent="0.3">
      <c r="A1752" s="3" t="str">
        <f t="shared" si="270"/>
        <v>South9330229900840</v>
      </c>
      <c r="B1752" s="3" t="str">
        <f t="shared" si="271"/>
        <v>CMR9330229900840</v>
      </c>
      <c r="C1752" s="10">
        <v>9330229900840</v>
      </c>
      <c r="D1752" s="10" t="str">
        <f t="shared" si="272"/>
        <v>9330229900</v>
      </c>
      <c r="E1752" s="3" t="s">
        <v>5</v>
      </c>
      <c r="F1752" s="3" t="s">
        <v>65</v>
      </c>
      <c r="H1752" s="3">
        <v>1.7440000000000002</v>
      </c>
      <c r="I1752" s="10">
        <f t="shared" si="273"/>
        <v>12.408282599124414</v>
      </c>
      <c r="J1752" s="3">
        <v>4.2165383953853492</v>
      </c>
      <c r="K1752" s="3">
        <v>11.999999999999998</v>
      </c>
      <c r="L1752" s="3">
        <f t="shared" si="274"/>
        <v>0</v>
      </c>
      <c r="N1752" s="11">
        <f t="shared" si="275"/>
        <v>-2.472538395385349</v>
      </c>
      <c r="O1752" s="3">
        <v>4.2165383953853492</v>
      </c>
      <c r="P1752" s="11">
        <f t="shared" si="276"/>
        <v>-17.591717400875588</v>
      </c>
      <c r="Q1752" s="12">
        <f t="shared" si="277"/>
        <v>-13.066798741625236</v>
      </c>
      <c r="R1752" s="13">
        <f t="shared" si="278"/>
        <v>33.619058544193109</v>
      </c>
      <c r="S1752" s="3" t="s">
        <v>31</v>
      </c>
      <c r="T1752" s="3" t="s">
        <v>35</v>
      </c>
      <c r="U1752" s="10">
        <v>0</v>
      </c>
      <c r="V1752" s="3">
        <v>0</v>
      </c>
      <c r="W1752" s="3">
        <f t="shared" si="279"/>
        <v>0</v>
      </c>
      <c r="AA1752" s="3">
        <v>47</v>
      </c>
    </row>
    <row r="1753" spans="1:27" x14ac:dyDescent="0.3">
      <c r="A1753" s="3" t="str">
        <f t="shared" si="270"/>
        <v>South9330209900210</v>
      </c>
      <c r="B1753" s="3" t="str">
        <f t="shared" si="271"/>
        <v>CMR9330209900210</v>
      </c>
      <c r="C1753" s="10">
        <v>9330209900210</v>
      </c>
      <c r="D1753" s="10" t="str">
        <f t="shared" si="272"/>
        <v>9330209900</v>
      </c>
      <c r="E1753" s="3" t="s">
        <v>5</v>
      </c>
      <c r="F1753" s="3" t="s">
        <v>65</v>
      </c>
      <c r="H1753" s="3">
        <v>3.1670000000000003</v>
      </c>
      <c r="I1753" s="10">
        <f t="shared" si="273"/>
        <v>25.095025954068362</v>
      </c>
      <c r="J1753" s="3">
        <v>3.7860092344155216</v>
      </c>
      <c r="K1753" s="3">
        <v>0</v>
      </c>
      <c r="L1753" s="3">
        <f t="shared" si="274"/>
        <v>0</v>
      </c>
      <c r="N1753" s="11">
        <f t="shared" si="275"/>
        <v>-0.61900923441552136</v>
      </c>
      <c r="O1753" s="3">
        <v>3.7860092344155216</v>
      </c>
      <c r="P1753" s="11">
        <f t="shared" si="276"/>
        <v>-4.9049740459316373</v>
      </c>
      <c r="Q1753" s="12">
        <f t="shared" si="277"/>
        <v>-1.8787747015203529</v>
      </c>
      <c r="R1753" s="13">
        <f t="shared" si="278"/>
        <v>34.674544510318469</v>
      </c>
      <c r="S1753" s="3" t="s">
        <v>31</v>
      </c>
      <c r="T1753" s="3" t="s">
        <v>35</v>
      </c>
      <c r="U1753" s="10">
        <v>0</v>
      </c>
      <c r="V1753" s="3">
        <v>0</v>
      </c>
      <c r="W1753" s="3">
        <f t="shared" si="279"/>
        <v>0</v>
      </c>
      <c r="AA1753" s="3">
        <v>47</v>
      </c>
    </row>
    <row r="1754" spans="1:27" x14ac:dyDescent="0.3">
      <c r="A1754" s="3" t="str">
        <f t="shared" si="270"/>
        <v>South9330229900210</v>
      </c>
      <c r="B1754" s="3" t="str">
        <f t="shared" si="271"/>
        <v>CMR9330229900210</v>
      </c>
      <c r="C1754" s="10">
        <v>9330229900210</v>
      </c>
      <c r="D1754" s="10" t="str">
        <f t="shared" si="272"/>
        <v>9330229900</v>
      </c>
      <c r="E1754" s="3" t="s">
        <v>5</v>
      </c>
      <c r="F1754" s="3" t="s">
        <v>65</v>
      </c>
      <c r="H1754" s="3">
        <v>3.3939999999999997</v>
      </c>
      <c r="I1754" s="10">
        <f t="shared" si="273"/>
        <v>69.879840893040154</v>
      </c>
      <c r="J1754" s="3">
        <v>1.4570725791412182</v>
      </c>
      <c r="K1754" s="3">
        <v>0</v>
      </c>
      <c r="L1754" s="3">
        <f t="shared" si="274"/>
        <v>0</v>
      </c>
      <c r="N1754" s="11">
        <f t="shared" si="275"/>
        <v>1.9369274208587814</v>
      </c>
      <c r="O1754" s="3">
        <v>1.4570725791412182</v>
      </c>
      <c r="P1754" s="11">
        <f t="shared" si="276"/>
        <v>39.879840893040154</v>
      </c>
      <c r="Q1754" s="12">
        <f t="shared" si="277"/>
        <v>55.059150003184477</v>
      </c>
      <c r="R1754" s="13">
        <f t="shared" si="278"/>
        <v>127.78574888635198</v>
      </c>
      <c r="S1754" s="3" t="s">
        <v>31</v>
      </c>
      <c r="T1754" s="3" t="s">
        <v>35</v>
      </c>
      <c r="U1754" s="10">
        <v>0</v>
      </c>
      <c r="V1754" s="3">
        <v>0</v>
      </c>
      <c r="W1754" s="3">
        <f t="shared" si="279"/>
        <v>0</v>
      </c>
      <c r="AA1754" s="3">
        <v>47</v>
      </c>
    </row>
    <row r="1755" spans="1:27" x14ac:dyDescent="0.3">
      <c r="A1755" s="3" t="str">
        <f t="shared" si="270"/>
        <v>South9330229902219</v>
      </c>
      <c r="B1755" s="3" t="str">
        <f t="shared" si="271"/>
        <v>CMR9330229902219</v>
      </c>
      <c r="C1755" s="10">
        <v>9330229902219</v>
      </c>
      <c r="D1755" s="10" t="str">
        <f t="shared" si="272"/>
        <v>9330229902</v>
      </c>
      <c r="E1755" s="3" t="s">
        <v>5</v>
      </c>
      <c r="F1755" s="3" t="s">
        <v>65</v>
      </c>
      <c r="H1755" s="3">
        <v>0.624</v>
      </c>
      <c r="I1755" s="10">
        <f t="shared" si="273"/>
        <v>14.650494067755666</v>
      </c>
      <c r="J1755" s="3">
        <v>1.277772607082305</v>
      </c>
      <c r="K1755" s="3">
        <v>0</v>
      </c>
      <c r="L1755" s="3">
        <f t="shared" si="274"/>
        <v>0</v>
      </c>
      <c r="N1755" s="11">
        <f t="shared" si="275"/>
        <v>-0.653772607082305</v>
      </c>
      <c r="O1755" s="3">
        <v>1.277772607082305</v>
      </c>
      <c r="P1755" s="11">
        <f t="shared" si="276"/>
        <v>-15.349505932244334</v>
      </c>
      <c r="Q1755" s="12">
        <f t="shared" si="277"/>
        <v>-10.550618688304445</v>
      </c>
      <c r="R1755" s="13">
        <f t="shared" si="278"/>
        <v>-1.5686034880965269</v>
      </c>
      <c r="S1755" s="3" t="s">
        <v>31</v>
      </c>
      <c r="T1755" s="3" t="s">
        <v>35</v>
      </c>
      <c r="U1755" s="10">
        <v>9330229900999</v>
      </c>
      <c r="V1755" s="3">
        <v>0.1</v>
      </c>
      <c r="W1755" s="3">
        <f t="shared" si="279"/>
        <v>0</v>
      </c>
      <c r="AA1755" s="3">
        <v>47</v>
      </c>
    </row>
    <row r="1756" spans="1:27" x14ac:dyDescent="0.3">
      <c r="A1756" s="3" t="str">
        <f t="shared" si="270"/>
        <v>South9330229902839</v>
      </c>
      <c r="B1756" s="3" t="str">
        <f t="shared" si="271"/>
        <v>CMR9330229902839</v>
      </c>
      <c r="C1756" s="10">
        <v>9330229902839</v>
      </c>
      <c r="D1756" s="10" t="str">
        <f t="shared" si="272"/>
        <v>9330229902</v>
      </c>
      <c r="E1756" s="3" t="s">
        <v>5</v>
      </c>
      <c r="F1756" s="3" t="s">
        <v>65</v>
      </c>
      <c r="H1756" s="3">
        <v>1.1231999999999998</v>
      </c>
      <c r="I1756" s="10">
        <f t="shared" si="273"/>
        <v>39.882447550849918</v>
      </c>
      <c r="J1756" s="3">
        <v>0.84488295150486348</v>
      </c>
      <c r="K1756" s="3">
        <v>0</v>
      </c>
      <c r="L1756" s="3">
        <f t="shared" si="274"/>
        <v>0</v>
      </c>
      <c r="N1756" s="11">
        <f t="shared" si="275"/>
        <v>0.27831704849513628</v>
      </c>
      <c r="O1756" s="3">
        <v>0.84488295150486348</v>
      </c>
      <c r="P1756" s="11">
        <f t="shared" si="276"/>
        <v>9.8824475508499177</v>
      </c>
      <c r="Q1756" s="12">
        <f t="shared" si="277"/>
        <v>25.200864033730525</v>
      </c>
      <c r="R1756" s="13">
        <f t="shared" si="278"/>
        <v>48.433917155210573</v>
      </c>
      <c r="S1756" s="3" t="s">
        <v>31</v>
      </c>
      <c r="T1756" s="3" t="s">
        <v>35</v>
      </c>
      <c r="U1756" s="10">
        <v>0</v>
      </c>
      <c r="V1756" s="3">
        <v>0</v>
      </c>
      <c r="W1756" s="3">
        <f t="shared" si="279"/>
        <v>0</v>
      </c>
      <c r="AA1756" s="3">
        <v>47</v>
      </c>
    </row>
    <row r="1757" spans="1:27" x14ac:dyDescent="0.3">
      <c r="A1757" s="3" t="str">
        <f t="shared" si="270"/>
        <v>South9330229902297</v>
      </c>
      <c r="B1757" s="3" t="str">
        <f t="shared" si="271"/>
        <v>CMR9330229902297</v>
      </c>
      <c r="C1757" s="10">
        <v>9330229902297</v>
      </c>
      <c r="D1757" s="10" t="str">
        <f t="shared" si="272"/>
        <v>9330229902</v>
      </c>
      <c r="E1757" s="3" t="s">
        <v>5</v>
      </c>
      <c r="F1757" s="3" t="s">
        <v>65</v>
      </c>
      <c r="H1757" s="3">
        <v>1.2090000000000001</v>
      </c>
      <c r="I1757" s="10">
        <f t="shared" si="273"/>
        <v>52.860517283678007</v>
      </c>
      <c r="J1757" s="3">
        <v>0.68614538532333402</v>
      </c>
      <c r="K1757" s="3">
        <v>0</v>
      </c>
      <c r="L1757" s="3">
        <f t="shared" si="274"/>
        <v>0</v>
      </c>
      <c r="N1757" s="11">
        <f t="shared" si="275"/>
        <v>0.52285461467666605</v>
      </c>
      <c r="O1757" s="3">
        <v>0.68614538532333402</v>
      </c>
      <c r="P1757" s="11">
        <f t="shared" si="276"/>
        <v>22.860517283678007</v>
      </c>
      <c r="Q1757" s="12">
        <f t="shared" si="277"/>
        <v>34.561220572981682</v>
      </c>
      <c r="R1757" s="13">
        <f t="shared" si="278"/>
        <v>49.054469785282997</v>
      </c>
      <c r="S1757" s="3" t="s">
        <v>31</v>
      </c>
      <c r="T1757" s="3" t="s">
        <v>35</v>
      </c>
      <c r="U1757" s="10">
        <v>9330229900999</v>
      </c>
      <c r="V1757" s="3">
        <v>0.1</v>
      </c>
      <c r="W1757" s="3">
        <f t="shared" si="279"/>
        <v>0</v>
      </c>
      <c r="AA1757" s="3">
        <v>47</v>
      </c>
    </row>
    <row r="1758" spans="1:27" x14ac:dyDescent="0.3">
      <c r="A1758" s="3" t="str">
        <f t="shared" si="270"/>
        <v>South9330229902097</v>
      </c>
      <c r="B1758" s="3" t="str">
        <f t="shared" si="271"/>
        <v>CMR9330229902097</v>
      </c>
      <c r="C1758" s="10">
        <v>9330229902097</v>
      </c>
      <c r="D1758" s="10" t="str">
        <f t="shared" si="272"/>
        <v>9330229902</v>
      </c>
      <c r="E1758" s="3" t="s">
        <v>5</v>
      </c>
      <c r="F1758" s="3" t="s">
        <v>65</v>
      </c>
      <c r="H1758" s="3">
        <v>0.62790000000000012</v>
      </c>
      <c r="I1758" s="10">
        <f t="shared" si="273"/>
        <v>30.152053546857545</v>
      </c>
      <c r="J1758" s="3">
        <v>0.62473356817062298</v>
      </c>
      <c r="K1758" s="3">
        <v>0</v>
      </c>
      <c r="L1758" s="3">
        <f t="shared" si="274"/>
        <v>0</v>
      </c>
      <c r="N1758" s="11">
        <f t="shared" si="275"/>
        <v>3.1664318293771476E-3</v>
      </c>
      <c r="O1758" s="3">
        <v>0.62473356817062298</v>
      </c>
      <c r="P1758" s="11">
        <f t="shared" si="276"/>
        <v>0.15205354685754713</v>
      </c>
      <c r="Q1758" s="12">
        <f t="shared" si="277"/>
        <v>7.6507956512257334</v>
      </c>
      <c r="R1758" s="13">
        <f t="shared" si="278"/>
        <v>47.904418810658399</v>
      </c>
      <c r="S1758" s="3" t="s">
        <v>31</v>
      </c>
      <c r="T1758" s="3" t="s">
        <v>35</v>
      </c>
      <c r="U1758" s="10">
        <v>0</v>
      </c>
      <c r="V1758" s="3">
        <v>0</v>
      </c>
      <c r="W1758" s="3">
        <f t="shared" si="279"/>
        <v>0</v>
      </c>
      <c r="AA1758" s="3">
        <v>47</v>
      </c>
    </row>
    <row r="1759" spans="1:27" x14ac:dyDescent="0.3">
      <c r="A1759" s="3" t="str">
        <f t="shared" si="270"/>
        <v>South9160309900210</v>
      </c>
      <c r="B1759" s="3" t="str">
        <f t="shared" si="271"/>
        <v>CMR9160309900210</v>
      </c>
      <c r="C1759" s="10">
        <v>9160309900210</v>
      </c>
      <c r="D1759" s="10" t="str">
        <f t="shared" si="272"/>
        <v>9160309900</v>
      </c>
      <c r="E1759" s="3" t="s">
        <v>5</v>
      </c>
      <c r="F1759" s="3" t="s">
        <v>65</v>
      </c>
      <c r="H1759" s="3">
        <v>0</v>
      </c>
      <c r="I1759" s="10">
        <f t="shared" si="273"/>
        <v>0</v>
      </c>
      <c r="J1759" s="3">
        <v>0</v>
      </c>
      <c r="K1759" s="3">
        <v>0</v>
      </c>
      <c r="L1759" s="3">
        <f t="shared" si="274"/>
        <v>0</v>
      </c>
      <c r="N1759" s="11">
        <f t="shared" si="275"/>
        <v>0</v>
      </c>
      <c r="O1759" s="3">
        <v>0</v>
      </c>
      <c r="P1759" s="11">
        <f t="shared" si="276"/>
        <v>9999</v>
      </c>
      <c r="Q1759" s="12">
        <f t="shared" si="277"/>
        <v>9999</v>
      </c>
      <c r="R1759" s="13">
        <f t="shared" si="278"/>
        <v>9999</v>
      </c>
      <c r="S1759" s="3" t="s">
        <v>31</v>
      </c>
      <c r="T1759" s="3" t="s">
        <v>34</v>
      </c>
      <c r="U1759" s="10" t="s">
        <v>72</v>
      </c>
      <c r="V1759" s="3" t="s">
        <v>72</v>
      </c>
      <c r="W1759" s="3">
        <f t="shared" si="279"/>
        <v>0</v>
      </c>
      <c r="AA1759" s="3">
        <v>47</v>
      </c>
    </row>
    <row r="1760" spans="1:27" ht="15.6" x14ac:dyDescent="0.3">
      <c r="A1760" s="3" t="str">
        <f t="shared" si="270"/>
        <v>West9360039900320</v>
      </c>
      <c r="B1760" s="3" t="str">
        <f t="shared" si="271"/>
        <v>Mah9360039900320</v>
      </c>
      <c r="C1760" s="10">
        <v>9360039900320</v>
      </c>
      <c r="D1760" s="10" t="str">
        <f t="shared" si="272"/>
        <v>9360039900</v>
      </c>
      <c r="E1760" s="3" t="s">
        <v>1</v>
      </c>
      <c r="F1760" s="3" t="s">
        <v>63</v>
      </c>
      <c r="G1760"/>
      <c r="H1760" s="3">
        <v>54.739999999999995</v>
      </c>
      <c r="I1760" s="10">
        <f t="shared" si="273"/>
        <v>2.6837500498128914</v>
      </c>
      <c r="J1760" s="3">
        <v>611.90497234065913</v>
      </c>
      <c r="K1760" s="3">
        <v>1008</v>
      </c>
      <c r="L1760" s="3">
        <f t="shared" si="274"/>
        <v>0</v>
      </c>
      <c r="M1760" s="32"/>
      <c r="N1760" s="11">
        <f t="shared" si="275"/>
        <v>-557.16497234065912</v>
      </c>
      <c r="O1760" s="3">
        <v>611.90497234065913</v>
      </c>
      <c r="P1760" s="11">
        <f t="shared" si="276"/>
        <v>-27.316249950187107</v>
      </c>
      <c r="Q1760" s="12">
        <f t="shared" si="277"/>
        <v>-27.316249950187107</v>
      </c>
      <c r="R1760" s="13">
        <f t="shared" si="278"/>
        <v>-20.402843801646455</v>
      </c>
      <c r="S1760" s="3" t="s">
        <v>29</v>
      </c>
      <c r="T1760" s="3" t="s">
        <v>33</v>
      </c>
      <c r="U1760" s="10">
        <v>9360039900999</v>
      </c>
      <c r="V1760" s="3">
        <v>0.1</v>
      </c>
      <c r="W1760" s="3">
        <f t="shared" si="279"/>
        <v>100.80000000000001</v>
      </c>
      <c r="Y1760" s="3">
        <v>0</v>
      </c>
      <c r="Z1760" s="3">
        <v>12</v>
      </c>
      <c r="AA1760">
        <v>48</v>
      </c>
    </row>
    <row r="1761" spans="1:27" ht="15.6" x14ac:dyDescent="0.3">
      <c r="A1761" s="3" t="str">
        <f t="shared" si="270"/>
        <v>West9330019900820</v>
      </c>
      <c r="B1761" s="3" t="str">
        <f t="shared" si="271"/>
        <v>Mah9330019900820</v>
      </c>
      <c r="C1761" s="10">
        <v>9330019900820</v>
      </c>
      <c r="D1761" s="10" t="str">
        <f t="shared" si="272"/>
        <v>9330019900</v>
      </c>
      <c r="E1761" s="3" t="s">
        <v>1</v>
      </c>
      <c r="F1761" s="3" t="s">
        <v>63</v>
      </c>
      <c r="G1761"/>
      <c r="H1761" s="3">
        <v>151.06</v>
      </c>
      <c r="I1761" s="10">
        <f t="shared" si="273"/>
        <v>25.787125681069547</v>
      </c>
      <c r="J1761" s="3">
        <v>175.7388572905904</v>
      </c>
      <c r="K1761" s="3">
        <v>156</v>
      </c>
      <c r="L1761" s="3">
        <f t="shared" si="274"/>
        <v>0</v>
      </c>
      <c r="M1761" s="32"/>
      <c r="N1761" s="11">
        <f t="shared" si="275"/>
        <v>-24.6788572905904</v>
      </c>
      <c r="O1761" s="3">
        <v>175.7388572905904</v>
      </c>
      <c r="P1761" s="11">
        <f t="shared" si="276"/>
        <v>-4.2128743189304521</v>
      </c>
      <c r="Q1761" s="12">
        <f t="shared" si="277"/>
        <v>-4.2128743189304529</v>
      </c>
      <c r="R1761" s="13">
        <f t="shared" si="278"/>
        <v>-9.2235664855163968</v>
      </c>
      <c r="S1761" s="3" t="s">
        <v>29</v>
      </c>
      <c r="T1761" s="3" t="s">
        <v>35</v>
      </c>
      <c r="U1761" s="10">
        <v>0</v>
      </c>
      <c r="V1761" s="3">
        <v>0</v>
      </c>
      <c r="W1761" s="3">
        <f t="shared" si="279"/>
        <v>0</v>
      </c>
      <c r="Y1761" s="3">
        <v>0</v>
      </c>
      <c r="Z1761" s="3">
        <v>12</v>
      </c>
      <c r="AA1761" s="3">
        <v>48</v>
      </c>
    </row>
    <row r="1762" spans="1:27" ht="15.6" x14ac:dyDescent="0.3">
      <c r="A1762" s="3" t="str">
        <f t="shared" si="270"/>
        <v>West9431009913820</v>
      </c>
      <c r="B1762" s="3" t="str">
        <f t="shared" si="271"/>
        <v>Mah9431009913820</v>
      </c>
      <c r="C1762" s="10">
        <v>9431009913820</v>
      </c>
      <c r="D1762" s="10" t="str">
        <f t="shared" si="272"/>
        <v>9431009913</v>
      </c>
      <c r="E1762" s="3" t="s">
        <v>1</v>
      </c>
      <c r="F1762" s="3" t="s">
        <v>63</v>
      </c>
      <c r="G1762"/>
      <c r="H1762" s="3">
        <v>192.14</v>
      </c>
      <c r="I1762" s="10">
        <f t="shared" si="273"/>
        <v>36.341913134814838</v>
      </c>
      <c r="J1762" s="3">
        <v>158.61025198692718</v>
      </c>
      <c r="K1762" s="3">
        <v>72</v>
      </c>
      <c r="L1762" s="3">
        <f t="shared" si="274"/>
        <v>0</v>
      </c>
      <c r="M1762" s="32"/>
      <c r="N1762" s="11">
        <f t="shared" si="275"/>
        <v>33.529748013072805</v>
      </c>
      <c r="O1762" s="3">
        <v>158.61025198692718</v>
      </c>
      <c r="P1762" s="11">
        <f t="shared" si="276"/>
        <v>6.3419131348148348</v>
      </c>
      <c r="Q1762" s="12">
        <f t="shared" si="277"/>
        <v>6.3419131348148348</v>
      </c>
      <c r="R1762" s="13">
        <f t="shared" si="278"/>
        <v>-2.5561230746082235</v>
      </c>
      <c r="S1762" s="3" t="s">
        <v>29</v>
      </c>
      <c r="T1762" s="3" t="s">
        <v>35</v>
      </c>
      <c r="U1762" s="10">
        <v>0</v>
      </c>
      <c r="V1762" s="3">
        <v>0</v>
      </c>
      <c r="W1762" s="3">
        <f t="shared" si="279"/>
        <v>0</v>
      </c>
      <c r="Y1762" s="3">
        <v>0</v>
      </c>
      <c r="Z1762" s="3">
        <v>0</v>
      </c>
      <c r="AA1762">
        <v>48</v>
      </c>
    </row>
    <row r="1763" spans="1:27" ht="15.6" x14ac:dyDescent="0.3">
      <c r="A1763" s="3" t="str">
        <f t="shared" si="270"/>
        <v>West9437019900320</v>
      </c>
      <c r="B1763" s="3" t="str">
        <f t="shared" si="271"/>
        <v>Mah9437019900320</v>
      </c>
      <c r="C1763" s="10">
        <v>9437019900320</v>
      </c>
      <c r="D1763" s="10" t="str">
        <f t="shared" si="272"/>
        <v>9437019900</v>
      </c>
      <c r="E1763" s="3" t="s">
        <v>1</v>
      </c>
      <c r="F1763" s="3" t="s">
        <v>63</v>
      </c>
      <c r="G1763"/>
      <c r="H1763" s="3">
        <v>107.09999999999998</v>
      </c>
      <c r="I1763" s="10">
        <f t="shared" si="273"/>
        <v>23.816133639006139</v>
      </c>
      <c r="J1763" s="3">
        <v>134.90854765518017</v>
      </c>
      <c r="K1763" s="3">
        <v>132</v>
      </c>
      <c r="L1763" s="3">
        <f t="shared" si="274"/>
        <v>0</v>
      </c>
      <c r="M1763" s="32"/>
      <c r="N1763" s="11">
        <f t="shared" si="275"/>
        <v>-27.808547655180192</v>
      </c>
      <c r="O1763" s="3">
        <v>134.90854765518017</v>
      </c>
      <c r="P1763" s="11">
        <f t="shared" si="276"/>
        <v>-6.1838663609938598</v>
      </c>
      <c r="Q1763" s="12">
        <f t="shared" si="277"/>
        <v>-6.1838663609938598</v>
      </c>
      <c r="R1763" s="13">
        <f t="shared" si="278"/>
        <v>-12.572634329089414</v>
      </c>
      <c r="S1763" s="3" t="s">
        <v>29</v>
      </c>
      <c r="T1763" s="3" t="s">
        <v>35</v>
      </c>
      <c r="U1763" s="10">
        <v>0</v>
      </c>
      <c r="V1763" s="3">
        <v>0</v>
      </c>
      <c r="W1763" s="3">
        <f t="shared" si="279"/>
        <v>0</v>
      </c>
      <c r="Y1763" s="3">
        <v>0</v>
      </c>
      <c r="Z1763" s="3">
        <v>0</v>
      </c>
      <c r="AA1763">
        <v>48</v>
      </c>
    </row>
    <row r="1764" spans="1:27" ht="15.6" x14ac:dyDescent="0.3">
      <c r="A1764" s="3" t="str">
        <f t="shared" si="270"/>
        <v>West9432009901320</v>
      </c>
      <c r="B1764" s="3" t="str">
        <f t="shared" si="271"/>
        <v>Mah9432009901320</v>
      </c>
      <c r="C1764" s="10">
        <v>9432009901320</v>
      </c>
      <c r="D1764" s="10" t="str">
        <f t="shared" si="272"/>
        <v>9432009901</v>
      </c>
      <c r="E1764" s="3" t="s">
        <v>1</v>
      </c>
      <c r="F1764" s="3" t="s">
        <v>63</v>
      </c>
      <c r="G1764"/>
      <c r="H1764" s="3">
        <v>114.84</v>
      </c>
      <c r="I1764" s="10">
        <f t="shared" si="273"/>
        <v>33.113399052562443</v>
      </c>
      <c r="J1764" s="3">
        <v>104.04247520863905</v>
      </c>
      <c r="K1764" s="3">
        <v>84</v>
      </c>
      <c r="L1764" s="3">
        <f t="shared" si="274"/>
        <v>0</v>
      </c>
      <c r="M1764" s="32"/>
      <c r="N1764" s="11">
        <f t="shared" si="275"/>
        <v>10.797524791360956</v>
      </c>
      <c r="O1764" s="3">
        <v>104.04247520863905</v>
      </c>
      <c r="P1764" s="11">
        <f t="shared" si="276"/>
        <v>3.1133990525624471</v>
      </c>
      <c r="Q1764" s="12">
        <f t="shared" si="277"/>
        <v>3.1133990525624471</v>
      </c>
      <c r="R1764" s="13">
        <f t="shared" si="278"/>
        <v>-3.1849715455509404</v>
      </c>
      <c r="S1764" s="3" t="s">
        <v>29</v>
      </c>
      <c r="T1764" s="3" t="s">
        <v>35</v>
      </c>
      <c r="U1764" s="10">
        <v>9432009900999</v>
      </c>
      <c r="V1764" s="3">
        <v>0.1</v>
      </c>
      <c r="W1764" s="3">
        <f t="shared" si="279"/>
        <v>8.4</v>
      </c>
      <c r="Y1764" s="3">
        <v>0</v>
      </c>
      <c r="Z1764" s="3">
        <v>24</v>
      </c>
      <c r="AA1764" s="3">
        <v>48</v>
      </c>
    </row>
    <row r="1765" spans="1:27" ht="15.6" x14ac:dyDescent="0.3">
      <c r="A1765" s="3" t="str">
        <f t="shared" si="270"/>
        <v>West9360039900310</v>
      </c>
      <c r="B1765" s="3" t="str">
        <f t="shared" si="271"/>
        <v>Mah9360039900310</v>
      </c>
      <c r="C1765" s="10">
        <v>9360039900310</v>
      </c>
      <c r="D1765" s="10" t="str">
        <f t="shared" si="272"/>
        <v>9360039900</v>
      </c>
      <c r="E1765" s="3" t="s">
        <v>1</v>
      </c>
      <c r="F1765" s="3" t="s">
        <v>63</v>
      </c>
      <c r="G1765"/>
      <c r="H1765" s="3">
        <v>49.05</v>
      </c>
      <c r="I1765" s="10">
        <f t="shared" si="273"/>
        <v>17.983819172687181</v>
      </c>
      <c r="J1765" s="3">
        <v>81.823554044339588</v>
      </c>
      <c r="K1765" s="3">
        <v>108</v>
      </c>
      <c r="L1765" s="3">
        <f t="shared" si="274"/>
        <v>0</v>
      </c>
      <c r="M1765" s="32"/>
      <c r="N1765" s="11">
        <f t="shared" si="275"/>
        <v>-32.773554044339591</v>
      </c>
      <c r="O1765" s="3">
        <v>81.823554044339588</v>
      </c>
      <c r="P1765" s="11">
        <f t="shared" si="276"/>
        <v>-12.016180827312821</v>
      </c>
      <c r="Q1765" s="12">
        <f t="shared" si="277"/>
        <v>-12.016180827312821</v>
      </c>
      <c r="R1765" s="13">
        <f t="shared" si="278"/>
        <v>-10.711161244724483</v>
      </c>
      <c r="S1765" s="3" t="s">
        <v>29</v>
      </c>
      <c r="T1765" s="3" t="s">
        <v>33</v>
      </c>
      <c r="U1765" s="10">
        <v>9360039900999</v>
      </c>
      <c r="V1765" s="3">
        <v>0.1</v>
      </c>
      <c r="W1765" s="3">
        <f t="shared" si="279"/>
        <v>10.8</v>
      </c>
      <c r="Y1765" s="3">
        <v>0</v>
      </c>
      <c r="Z1765" s="3">
        <v>0</v>
      </c>
      <c r="AA1765">
        <v>48</v>
      </c>
    </row>
    <row r="1766" spans="1:27" ht="15.6" x14ac:dyDescent="0.3">
      <c r="A1766" s="3" t="str">
        <f t="shared" si="270"/>
        <v>West9160509901320</v>
      </c>
      <c r="B1766" s="3" t="str">
        <f t="shared" si="271"/>
        <v>Mah9160509901320</v>
      </c>
      <c r="C1766" s="14">
        <v>9160509901320</v>
      </c>
      <c r="D1766" s="10" t="str">
        <f t="shared" si="272"/>
        <v>9160509901</v>
      </c>
      <c r="E1766" s="3" t="s">
        <v>1</v>
      </c>
      <c r="F1766" s="3" t="s">
        <v>63</v>
      </c>
      <c r="G1766"/>
      <c r="H1766" s="3">
        <v>46.82</v>
      </c>
      <c r="I1766" s="10">
        <f t="shared" si="273"/>
        <v>22.639018897853546</v>
      </c>
      <c r="J1766" s="3">
        <v>62.043324683702309</v>
      </c>
      <c r="K1766" s="3">
        <v>96</v>
      </c>
      <c r="L1766" s="3">
        <f t="shared" si="274"/>
        <v>0</v>
      </c>
      <c r="M1766" s="32"/>
      <c r="N1766" s="11">
        <f t="shared" si="275"/>
        <v>-15.223324683702309</v>
      </c>
      <c r="O1766" s="3">
        <v>62.043324683702309</v>
      </c>
      <c r="P1766" s="11">
        <f t="shared" si="276"/>
        <v>-7.3609811021464537</v>
      </c>
      <c r="Q1766" s="12">
        <f t="shared" si="277"/>
        <v>-7.3609811021464528</v>
      </c>
      <c r="R1766" s="13">
        <f t="shared" si="278"/>
        <v>20.628605749315501</v>
      </c>
      <c r="S1766" s="3" t="s">
        <v>29</v>
      </c>
      <c r="T1766" s="3" t="s">
        <v>34</v>
      </c>
      <c r="U1766" s="10">
        <v>0</v>
      </c>
      <c r="V1766" s="3">
        <v>0</v>
      </c>
      <c r="W1766" s="3">
        <f t="shared" si="279"/>
        <v>0</v>
      </c>
      <c r="Y1766" s="3">
        <v>0</v>
      </c>
      <c r="Z1766" s="3">
        <v>0</v>
      </c>
      <c r="AA1766">
        <v>48</v>
      </c>
    </row>
    <row r="1767" spans="1:27" ht="15.6" x14ac:dyDescent="0.3">
      <c r="A1767" s="3" t="str">
        <f t="shared" si="270"/>
        <v>West9360029900320</v>
      </c>
      <c r="B1767" s="3" t="str">
        <f t="shared" si="271"/>
        <v>Mah9360029900320</v>
      </c>
      <c r="C1767" s="14">
        <v>9360029900320</v>
      </c>
      <c r="D1767" s="10" t="str">
        <f t="shared" si="272"/>
        <v>9360029900</v>
      </c>
      <c r="E1767" s="3" t="s">
        <v>1</v>
      </c>
      <c r="F1767" s="3" t="s">
        <v>63</v>
      </c>
      <c r="G1767"/>
      <c r="H1767" s="3">
        <v>33.86</v>
      </c>
      <c r="I1767" s="10">
        <f t="shared" si="273"/>
        <v>17.032579111630209</v>
      </c>
      <c r="J1767" s="3">
        <v>59.638648577090123</v>
      </c>
      <c r="K1767" s="3">
        <v>72</v>
      </c>
      <c r="L1767" s="3">
        <f t="shared" si="274"/>
        <v>0</v>
      </c>
      <c r="M1767" s="32"/>
      <c r="N1767" s="11">
        <f t="shared" si="275"/>
        <v>-25.778648577090124</v>
      </c>
      <c r="O1767" s="3">
        <v>59.638648577090123</v>
      </c>
      <c r="P1767" s="11">
        <f t="shared" si="276"/>
        <v>-12.967420888369791</v>
      </c>
      <c r="Q1767" s="12">
        <f t="shared" si="277"/>
        <v>-12.967420888369791</v>
      </c>
      <c r="R1767" s="13">
        <f t="shared" si="278"/>
        <v>-17.132899621612285</v>
      </c>
      <c r="S1767" s="3" t="s">
        <v>29</v>
      </c>
      <c r="T1767" s="3" t="s">
        <v>33</v>
      </c>
      <c r="U1767" s="10">
        <v>9360029900999</v>
      </c>
      <c r="V1767" s="3">
        <v>0.1</v>
      </c>
      <c r="W1767" s="3">
        <f t="shared" si="279"/>
        <v>7.2</v>
      </c>
      <c r="Y1767" s="3">
        <v>0</v>
      </c>
      <c r="Z1767" s="3">
        <v>0</v>
      </c>
      <c r="AA1767">
        <v>48</v>
      </c>
    </row>
    <row r="1768" spans="1:27" ht="15.6" x14ac:dyDescent="0.3">
      <c r="A1768" s="3" t="str">
        <f t="shared" si="270"/>
        <v>West9437009900820</v>
      </c>
      <c r="B1768" s="3" t="str">
        <f t="shared" si="271"/>
        <v>Mah9437009900820</v>
      </c>
      <c r="C1768" s="14">
        <v>9437009900820</v>
      </c>
      <c r="D1768" s="10" t="str">
        <f t="shared" si="272"/>
        <v>9437009900</v>
      </c>
      <c r="E1768" s="3" t="s">
        <v>1</v>
      </c>
      <c r="F1768" s="3" t="s">
        <v>63</v>
      </c>
      <c r="G1768"/>
      <c r="H1768" s="3">
        <v>70.38</v>
      </c>
      <c r="I1768" s="10">
        <f t="shared" si="273"/>
        <v>39.289258986348607</v>
      </c>
      <c r="J1768" s="3">
        <v>53.739878391028547</v>
      </c>
      <c r="K1768" s="3">
        <v>24</v>
      </c>
      <c r="L1768" s="3">
        <f t="shared" si="274"/>
        <v>0</v>
      </c>
      <c r="M1768" s="32"/>
      <c r="N1768" s="11">
        <f t="shared" si="275"/>
        <v>16.640121608971448</v>
      </c>
      <c r="O1768" s="3">
        <v>53.739878391028547</v>
      </c>
      <c r="P1768" s="11">
        <f t="shared" si="276"/>
        <v>9.2892589863486119</v>
      </c>
      <c r="Q1768" s="12">
        <f t="shared" si="277"/>
        <v>9.2892589863486101</v>
      </c>
      <c r="R1768" s="13">
        <f t="shared" si="278"/>
        <v>5.1370180655364761</v>
      </c>
      <c r="S1768" s="3" t="s">
        <v>29</v>
      </c>
      <c r="T1768" s="3" t="s">
        <v>35</v>
      </c>
      <c r="U1768" s="10">
        <v>0</v>
      </c>
      <c r="V1768" s="3">
        <v>0</v>
      </c>
      <c r="W1768" s="3">
        <f t="shared" si="279"/>
        <v>0</v>
      </c>
      <c r="Y1768" s="3">
        <v>0</v>
      </c>
      <c r="Z1768" s="3">
        <v>12</v>
      </c>
      <c r="AA1768" s="3">
        <v>48</v>
      </c>
    </row>
    <row r="1769" spans="1:27" ht="15.6" x14ac:dyDescent="0.3">
      <c r="A1769" s="3" t="str">
        <f t="shared" si="270"/>
        <v>West9320029901320</v>
      </c>
      <c r="B1769" s="3" t="str">
        <f t="shared" si="271"/>
        <v>Mah9320029901320</v>
      </c>
      <c r="C1769" s="14">
        <v>9320029901320</v>
      </c>
      <c r="D1769" s="10" t="str">
        <f t="shared" si="272"/>
        <v>9320029901</v>
      </c>
      <c r="E1769" s="3" t="s">
        <v>1</v>
      </c>
      <c r="F1769" s="3" t="s">
        <v>63</v>
      </c>
      <c r="G1769"/>
      <c r="H1769" s="3">
        <v>93.6</v>
      </c>
      <c r="I1769" s="10">
        <f t="shared" si="273"/>
        <v>62.408420350744656</v>
      </c>
      <c r="J1769" s="3">
        <v>44.993928450978565</v>
      </c>
      <c r="K1769" s="3">
        <v>0</v>
      </c>
      <c r="L1769" s="3">
        <f t="shared" si="274"/>
        <v>0</v>
      </c>
      <c r="M1769" s="32"/>
      <c r="N1769" s="11">
        <f t="shared" si="275"/>
        <v>48.606071549021429</v>
      </c>
      <c r="O1769" s="3">
        <v>44.993928450978565</v>
      </c>
      <c r="P1769" s="11">
        <f t="shared" si="276"/>
        <v>32.408420350744663</v>
      </c>
      <c r="Q1769" s="12">
        <f t="shared" si="277"/>
        <v>32.408420350744663</v>
      </c>
      <c r="R1769" s="13">
        <f t="shared" si="278"/>
        <v>9.4573161093933802</v>
      </c>
      <c r="S1769" s="3" t="s">
        <v>29</v>
      </c>
      <c r="T1769" s="3" t="s">
        <v>28</v>
      </c>
      <c r="U1769" s="10">
        <v>9320029900999</v>
      </c>
      <c r="V1769" s="3">
        <v>0.1</v>
      </c>
      <c r="W1769" s="3">
        <f t="shared" si="279"/>
        <v>0</v>
      </c>
      <c r="Y1769" s="3">
        <v>0</v>
      </c>
      <c r="Z1769" s="3">
        <v>12</v>
      </c>
      <c r="AA1769" s="3">
        <v>48</v>
      </c>
    </row>
    <row r="1770" spans="1:27" x14ac:dyDescent="0.3">
      <c r="A1770" s="3" t="str">
        <f t="shared" si="270"/>
        <v>West9181709900320</v>
      </c>
      <c r="B1770" s="3" t="str">
        <f t="shared" si="271"/>
        <v>Mah9181709900320</v>
      </c>
      <c r="C1770" s="14">
        <v>9181709900320</v>
      </c>
      <c r="D1770" s="10" t="str">
        <f t="shared" si="272"/>
        <v>9181709900</v>
      </c>
      <c r="E1770" s="3" t="s">
        <v>1</v>
      </c>
      <c r="F1770" s="3" t="s">
        <v>63</v>
      </c>
      <c r="H1770" s="3">
        <v>83.82</v>
      </c>
      <c r="I1770" s="10">
        <f t="shared" si="273"/>
        <v>63.336032066144718</v>
      </c>
      <c r="J1770" s="3">
        <v>39.702518739631302</v>
      </c>
      <c r="K1770" s="3">
        <v>0</v>
      </c>
      <c r="L1770" s="3">
        <f t="shared" si="274"/>
        <v>0</v>
      </c>
      <c r="M1770" s="32"/>
      <c r="N1770" s="11">
        <f t="shared" si="275"/>
        <v>44.117481260368692</v>
      </c>
      <c r="O1770" s="3">
        <v>39.702518739631302</v>
      </c>
      <c r="P1770" s="11">
        <f t="shared" si="276"/>
        <v>33.336032066144718</v>
      </c>
      <c r="Q1770" s="12">
        <f t="shared" si="277"/>
        <v>33.336032066144725</v>
      </c>
      <c r="R1770" s="13">
        <f t="shared" si="278"/>
        <v>36.002851558501796</v>
      </c>
      <c r="S1770" s="3" t="s">
        <v>29</v>
      </c>
      <c r="T1770" s="3" t="s">
        <v>34</v>
      </c>
      <c r="U1770" s="10">
        <v>0</v>
      </c>
      <c r="V1770" s="3">
        <v>0</v>
      </c>
      <c r="W1770" s="3">
        <f t="shared" si="279"/>
        <v>0</v>
      </c>
      <c r="Y1770" s="3">
        <v>0</v>
      </c>
      <c r="Z1770" s="3">
        <v>852</v>
      </c>
      <c r="AA1770" s="3">
        <v>48</v>
      </c>
    </row>
    <row r="1771" spans="1:27" x14ac:dyDescent="0.3">
      <c r="A1771" s="3" t="str">
        <f t="shared" si="270"/>
        <v>West9432009900320</v>
      </c>
      <c r="B1771" s="3" t="str">
        <f t="shared" si="271"/>
        <v>Mah9432009900320</v>
      </c>
      <c r="C1771" s="14">
        <v>9432009900320</v>
      </c>
      <c r="D1771" s="10" t="str">
        <f t="shared" si="272"/>
        <v>9432009900</v>
      </c>
      <c r="E1771" s="3" t="s">
        <v>1</v>
      </c>
      <c r="F1771" s="3" t="s">
        <v>63</v>
      </c>
      <c r="H1771" s="3">
        <v>63.94</v>
      </c>
      <c r="I1771" s="10">
        <f t="shared" si="273"/>
        <v>50.474078328611633</v>
      </c>
      <c r="J1771" s="3">
        <v>38.003665713548116</v>
      </c>
      <c r="K1771" s="3">
        <v>12</v>
      </c>
      <c r="L1771" s="3">
        <f t="shared" si="274"/>
        <v>0</v>
      </c>
      <c r="M1771" s="32"/>
      <c r="N1771" s="11">
        <f t="shared" si="275"/>
        <v>25.936334286451881</v>
      </c>
      <c r="O1771" s="3">
        <v>38.003665713548116</v>
      </c>
      <c r="P1771" s="11">
        <f t="shared" si="276"/>
        <v>20.474078328611633</v>
      </c>
      <c r="Q1771" s="12">
        <f t="shared" si="277"/>
        <v>20.474078328611633</v>
      </c>
      <c r="R1771" s="13">
        <f t="shared" si="278"/>
        <v>0.17373377487676703</v>
      </c>
      <c r="S1771" s="3" t="s">
        <v>29</v>
      </c>
      <c r="T1771" s="3" t="s">
        <v>35</v>
      </c>
      <c r="U1771" s="10">
        <v>9432009900999</v>
      </c>
      <c r="V1771" s="3">
        <v>0.1</v>
      </c>
      <c r="W1771" s="3">
        <f t="shared" si="279"/>
        <v>1.2000000000000002</v>
      </c>
      <c r="Y1771" s="3">
        <v>0</v>
      </c>
      <c r="Z1771" s="3">
        <v>598</v>
      </c>
      <c r="AA1771" s="3">
        <v>48</v>
      </c>
    </row>
    <row r="1772" spans="1:27" x14ac:dyDescent="0.3">
      <c r="A1772" s="3" t="str">
        <f t="shared" si="270"/>
        <v>West9320019900820</v>
      </c>
      <c r="B1772" s="3" t="str">
        <f t="shared" si="271"/>
        <v>Mah9320019900820</v>
      </c>
      <c r="C1772" s="14">
        <v>9320019900820</v>
      </c>
      <c r="D1772" s="10" t="str">
        <f t="shared" si="272"/>
        <v>9320019900</v>
      </c>
      <c r="E1772" s="3" t="s">
        <v>1</v>
      </c>
      <c r="F1772" s="3" t="s">
        <v>63</v>
      </c>
      <c r="H1772" s="3">
        <v>67.099999999999994</v>
      </c>
      <c r="I1772" s="10">
        <f t="shared" si="273"/>
        <v>54.133155401880643</v>
      </c>
      <c r="J1772" s="3">
        <v>37.186082818480337</v>
      </c>
      <c r="K1772" s="3">
        <v>0</v>
      </c>
      <c r="L1772" s="3">
        <f t="shared" si="274"/>
        <v>0</v>
      </c>
      <c r="M1772" s="32"/>
      <c r="N1772" s="11">
        <f t="shared" si="275"/>
        <v>29.913917181519658</v>
      </c>
      <c r="O1772" s="3">
        <v>37.186082818480337</v>
      </c>
      <c r="P1772" s="11">
        <f t="shared" si="276"/>
        <v>24.133155401880643</v>
      </c>
      <c r="Q1772" s="12">
        <f t="shared" si="277"/>
        <v>24.133155401880643</v>
      </c>
      <c r="R1772" s="13">
        <f t="shared" si="278"/>
        <v>-2.0110700955308665</v>
      </c>
      <c r="S1772" s="3" t="s">
        <v>29</v>
      </c>
      <c r="T1772" s="3" t="s">
        <v>28</v>
      </c>
      <c r="U1772" s="10">
        <v>0</v>
      </c>
      <c r="V1772" s="3">
        <v>0</v>
      </c>
      <c r="W1772" s="3">
        <f t="shared" si="279"/>
        <v>0</v>
      </c>
      <c r="Y1772" s="3">
        <v>0</v>
      </c>
      <c r="Z1772" s="3">
        <v>80.5</v>
      </c>
      <c r="AA1772" s="3">
        <v>48</v>
      </c>
    </row>
    <row r="1773" spans="1:27" x14ac:dyDescent="0.3">
      <c r="A1773" s="3" t="str">
        <f t="shared" si="270"/>
        <v>West9431009913810</v>
      </c>
      <c r="B1773" s="3" t="str">
        <f t="shared" si="271"/>
        <v>Mah9431009913810</v>
      </c>
      <c r="C1773" s="14">
        <v>9431009913810</v>
      </c>
      <c r="D1773" s="10" t="str">
        <f t="shared" si="272"/>
        <v>9431009913</v>
      </c>
      <c r="E1773" s="3" t="s">
        <v>1</v>
      </c>
      <c r="F1773" s="3" t="s">
        <v>63</v>
      </c>
      <c r="H1773" s="3">
        <v>54.17</v>
      </c>
      <c r="I1773" s="10">
        <f t="shared" si="273"/>
        <v>47.150503004328961</v>
      </c>
      <c r="J1773" s="3">
        <v>34.466228278642056</v>
      </c>
      <c r="K1773" s="3">
        <v>24</v>
      </c>
      <c r="L1773" s="3">
        <f t="shared" si="274"/>
        <v>0</v>
      </c>
      <c r="M1773" s="32"/>
      <c r="N1773" s="11">
        <f t="shared" si="275"/>
        <v>19.703771721357946</v>
      </c>
      <c r="O1773" s="3">
        <v>34.466228278642056</v>
      </c>
      <c r="P1773" s="11">
        <f t="shared" si="276"/>
        <v>17.150503004328961</v>
      </c>
      <c r="Q1773" s="12">
        <f t="shared" si="277"/>
        <v>17.150503004328961</v>
      </c>
      <c r="R1773" s="13">
        <f t="shared" si="278"/>
        <v>-1.8048507430937932</v>
      </c>
      <c r="S1773" s="3" t="s">
        <v>29</v>
      </c>
      <c r="T1773" s="3" t="s">
        <v>35</v>
      </c>
      <c r="U1773" s="10">
        <v>0</v>
      </c>
      <c r="V1773" s="3">
        <v>0</v>
      </c>
      <c r="W1773" s="3">
        <f t="shared" si="279"/>
        <v>0</v>
      </c>
      <c r="Y1773" s="3">
        <v>0</v>
      </c>
      <c r="Z1773" s="3">
        <v>80</v>
      </c>
      <c r="AA1773" s="3">
        <v>48</v>
      </c>
    </row>
    <row r="1774" spans="1:27" x14ac:dyDescent="0.3">
      <c r="A1774" s="3" t="str">
        <f t="shared" si="270"/>
        <v>West9170519901320</v>
      </c>
      <c r="B1774" s="3" t="str">
        <f t="shared" si="271"/>
        <v>Mah9170519901320</v>
      </c>
      <c r="C1774" s="14">
        <v>9170519901320</v>
      </c>
      <c r="D1774" s="10" t="str">
        <f t="shared" si="272"/>
        <v>9170519901</v>
      </c>
      <c r="E1774" s="3" t="s">
        <v>1</v>
      </c>
      <c r="F1774" s="3" t="s">
        <v>63</v>
      </c>
      <c r="H1774" s="3">
        <v>31.84</v>
      </c>
      <c r="I1774" s="10">
        <f t="shared" si="273"/>
        <v>28.033283508984997</v>
      </c>
      <c r="J1774" s="3">
        <v>34.073782319999978</v>
      </c>
      <c r="K1774" s="3">
        <v>48</v>
      </c>
      <c r="L1774" s="3">
        <f t="shared" si="274"/>
        <v>0</v>
      </c>
      <c r="M1774" s="32"/>
      <c r="N1774" s="11">
        <f t="shared" si="275"/>
        <v>-2.2337823199999782</v>
      </c>
      <c r="O1774" s="3">
        <v>34.073782319999978</v>
      </c>
      <c r="P1774" s="11">
        <f t="shared" si="276"/>
        <v>-1.9667164910150015</v>
      </c>
      <c r="Q1774" s="12">
        <f t="shared" si="277"/>
        <v>-1.9667164910150015</v>
      </c>
      <c r="R1774" s="13">
        <f t="shared" si="278"/>
        <v>-8.5242304754950098</v>
      </c>
      <c r="S1774" s="3" t="s">
        <v>31</v>
      </c>
      <c r="T1774" s="3" t="s">
        <v>34</v>
      </c>
      <c r="U1774" s="10">
        <v>0</v>
      </c>
      <c r="V1774" s="3">
        <v>0</v>
      </c>
      <c r="W1774" s="3">
        <f t="shared" si="279"/>
        <v>0</v>
      </c>
      <c r="Y1774" s="3">
        <v>0</v>
      </c>
      <c r="Z1774" s="3">
        <v>48</v>
      </c>
      <c r="AA1774" s="3">
        <v>48</v>
      </c>
    </row>
    <row r="1775" spans="1:27" x14ac:dyDescent="0.3">
      <c r="A1775" s="3" t="str">
        <f t="shared" si="270"/>
        <v>West9170519900320</v>
      </c>
      <c r="B1775" s="3" t="str">
        <f t="shared" si="271"/>
        <v>Mah9170519900320</v>
      </c>
      <c r="C1775" s="14">
        <v>9170519900320</v>
      </c>
      <c r="D1775" s="10" t="str">
        <f t="shared" si="272"/>
        <v>9170519900</v>
      </c>
      <c r="E1775" s="3" t="s">
        <v>1</v>
      </c>
      <c r="F1775" s="3" t="s">
        <v>63</v>
      </c>
      <c r="H1775" s="3">
        <v>45.339999999999982</v>
      </c>
      <c r="I1775" s="10">
        <f t="shared" si="273"/>
        <v>42.284536529696304</v>
      </c>
      <c r="J1775" s="3">
        <v>32.167787839999974</v>
      </c>
      <c r="K1775" s="3">
        <v>48</v>
      </c>
      <c r="L1775" s="3">
        <f t="shared" si="274"/>
        <v>0</v>
      </c>
      <c r="M1775" s="32"/>
      <c r="N1775" s="11">
        <f t="shared" si="275"/>
        <v>13.172212160000008</v>
      </c>
      <c r="O1775" s="3">
        <v>32.167787839999974</v>
      </c>
      <c r="P1775" s="11">
        <f t="shared" si="276"/>
        <v>12.284536529696304</v>
      </c>
      <c r="Q1775" s="12">
        <f t="shared" si="277"/>
        <v>12.284536529696304</v>
      </c>
      <c r="R1775" s="13">
        <f t="shared" si="278"/>
        <v>12.284536529696304</v>
      </c>
      <c r="S1775" s="3" t="s">
        <v>31</v>
      </c>
      <c r="T1775" s="3" t="s">
        <v>34</v>
      </c>
      <c r="U1775" s="10">
        <v>0</v>
      </c>
      <c r="V1775" s="3">
        <v>0</v>
      </c>
      <c r="W1775" s="3">
        <f t="shared" si="279"/>
        <v>0</v>
      </c>
      <c r="Y1775" s="3">
        <v>0</v>
      </c>
      <c r="Z1775" s="3">
        <v>144</v>
      </c>
      <c r="AA1775" s="3">
        <v>48</v>
      </c>
    </row>
    <row r="1776" spans="1:27" x14ac:dyDescent="0.3">
      <c r="A1776" s="3" t="str">
        <f t="shared" si="270"/>
        <v>West9437019900310</v>
      </c>
      <c r="B1776" s="3" t="str">
        <f t="shared" si="271"/>
        <v>Mah9437019900310</v>
      </c>
      <c r="C1776" s="14">
        <v>9437019900310</v>
      </c>
      <c r="D1776" s="10" t="str">
        <f t="shared" si="272"/>
        <v>9437019900</v>
      </c>
      <c r="E1776" s="3" t="s">
        <v>1</v>
      </c>
      <c r="F1776" s="3" t="s">
        <v>63</v>
      </c>
      <c r="H1776" s="3">
        <v>35.839999999999996</v>
      </c>
      <c r="I1776" s="10">
        <f t="shared" si="273"/>
        <v>34.905066774811623</v>
      </c>
      <c r="J1776" s="3">
        <v>30.803550869465504</v>
      </c>
      <c r="K1776" s="3">
        <v>24</v>
      </c>
      <c r="L1776" s="3">
        <f t="shared" si="274"/>
        <v>0</v>
      </c>
      <c r="M1776" s="32"/>
      <c r="N1776" s="11">
        <f t="shared" si="275"/>
        <v>5.0364491305344927</v>
      </c>
      <c r="O1776" s="3">
        <v>30.803550869465504</v>
      </c>
      <c r="P1776" s="11">
        <f t="shared" si="276"/>
        <v>4.905066774811619</v>
      </c>
      <c r="Q1776" s="12">
        <f t="shared" si="277"/>
        <v>4.9050667748116181</v>
      </c>
      <c r="R1776" s="13">
        <f t="shared" si="278"/>
        <v>-5.621670159363906</v>
      </c>
      <c r="S1776" s="3" t="s">
        <v>29</v>
      </c>
      <c r="T1776" s="3" t="s">
        <v>35</v>
      </c>
      <c r="U1776" s="10">
        <v>0</v>
      </c>
      <c r="V1776" s="3">
        <v>0</v>
      </c>
      <c r="W1776" s="3">
        <f t="shared" si="279"/>
        <v>0</v>
      </c>
      <c r="Y1776" s="3">
        <v>0</v>
      </c>
      <c r="Z1776" s="3">
        <v>161</v>
      </c>
      <c r="AA1776" s="3">
        <v>48</v>
      </c>
    </row>
    <row r="1777" spans="1:27" x14ac:dyDescent="0.3">
      <c r="A1777" s="3" t="str">
        <f t="shared" si="270"/>
        <v>West9360039900840</v>
      </c>
      <c r="B1777" s="3" t="str">
        <f t="shared" si="271"/>
        <v>Mah9360039900840</v>
      </c>
      <c r="C1777" s="14">
        <v>9360039900840</v>
      </c>
      <c r="D1777" s="10" t="str">
        <f t="shared" si="272"/>
        <v>9360039900</v>
      </c>
      <c r="E1777" s="3" t="s">
        <v>1</v>
      </c>
      <c r="F1777" s="3" t="s">
        <v>63</v>
      </c>
      <c r="H1777" s="3">
        <v>7.0080000000000009</v>
      </c>
      <c r="I1777" s="10">
        <f t="shared" si="273"/>
        <v>6.8506363930246224</v>
      </c>
      <c r="J1777" s="3">
        <v>30.689119658148581</v>
      </c>
      <c r="K1777" s="3">
        <v>48</v>
      </c>
      <c r="L1777" s="3">
        <f t="shared" si="274"/>
        <v>0</v>
      </c>
      <c r="M1777" s="32"/>
      <c r="N1777" s="11">
        <f t="shared" si="275"/>
        <v>-23.681119658148582</v>
      </c>
      <c r="O1777" s="3">
        <v>30.689119658148581</v>
      </c>
      <c r="P1777" s="11">
        <f t="shared" si="276"/>
        <v>-23.149363606975381</v>
      </c>
      <c r="Q1777" s="12">
        <f t="shared" si="277"/>
        <v>-23.149363606975378</v>
      </c>
      <c r="R1777" s="13">
        <f t="shared" si="278"/>
        <v>-18.707730516871298</v>
      </c>
      <c r="S1777" s="3" t="s">
        <v>30</v>
      </c>
      <c r="T1777" s="3" t="s">
        <v>33</v>
      </c>
      <c r="U1777" s="10">
        <v>0</v>
      </c>
      <c r="V1777" s="3">
        <v>0</v>
      </c>
      <c r="W1777" s="3">
        <f t="shared" si="279"/>
        <v>0</v>
      </c>
      <c r="Y1777" s="3">
        <v>0</v>
      </c>
      <c r="Z1777" s="3">
        <v>207</v>
      </c>
      <c r="AA1777" s="3">
        <v>48</v>
      </c>
    </row>
    <row r="1778" spans="1:27" x14ac:dyDescent="0.3">
      <c r="A1778" s="3" t="str">
        <f t="shared" si="270"/>
        <v>West9420069900820</v>
      </c>
      <c r="B1778" s="3" t="str">
        <f t="shared" si="271"/>
        <v>Mah9420069900820</v>
      </c>
      <c r="C1778" s="14">
        <v>9420069900820</v>
      </c>
      <c r="D1778" s="10" t="str">
        <f t="shared" si="272"/>
        <v>9420069900</v>
      </c>
      <c r="E1778" s="3" t="s">
        <v>1</v>
      </c>
      <c r="F1778" s="3" t="s">
        <v>63</v>
      </c>
      <c r="H1778" s="3">
        <v>24.14</v>
      </c>
      <c r="I1778" s="10">
        <f t="shared" si="273"/>
        <v>23.736996302450645</v>
      </c>
      <c r="J1778" s="3">
        <v>30.509336176002709</v>
      </c>
      <c r="K1778" s="3">
        <v>36</v>
      </c>
      <c r="L1778" s="3">
        <f t="shared" si="274"/>
        <v>0</v>
      </c>
      <c r="M1778" s="32"/>
      <c r="N1778" s="11">
        <f t="shared" si="275"/>
        <v>-6.3693361760027081</v>
      </c>
      <c r="O1778" s="3">
        <v>30.509336176002709</v>
      </c>
      <c r="P1778" s="11">
        <f t="shared" si="276"/>
        <v>-6.2630036975493546</v>
      </c>
      <c r="Q1778" s="12">
        <f t="shared" si="277"/>
        <v>-6.2630036975493546</v>
      </c>
      <c r="R1778" s="13">
        <f t="shared" si="278"/>
        <v>-4.2232707352649248</v>
      </c>
      <c r="S1778" s="3" t="s">
        <v>29</v>
      </c>
      <c r="T1778" s="3" t="s">
        <v>28</v>
      </c>
      <c r="U1778" s="10">
        <v>0</v>
      </c>
      <c r="V1778" s="3">
        <v>0</v>
      </c>
      <c r="W1778" s="3">
        <f t="shared" si="279"/>
        <v>0</v>
      </c>
      <c r="Y1778" s="3">
        <v>0</v>
      </c>
      <c r="Z1778" s="3">
        <v>54</v>
      </c>
      <c r="AA1778" s="3">
        <v>48</v>
      </c>
    </row>
    <row r="1779" spans="1:27" x14ac:dyDescent="0.3">
      <c r="A1779" s="3" t="str">
        <f t="shared" si="270"/>
        <v>West9432009901310</v>
      </c>
      <c r="B1779" s="3" t="str">
        <f t="shared" si="271"/>
        <v>Mah9432009901310</v>
      </c>
      <c r="C1779" s="14">
        <v>9432009901310</v>
      </c>
      <c r="D1779" s="10" t="str">
        <f t="shared" si="272"/>
        <v>9432009901</v>
      </c>
      <c r="E1779" s="3" t="s">
        <v>1</v>
      </c>
      <c r="F1779" s="3" t="s">
        <v>63</v>
      </c>
      <c r="H1779" s="3">
        <v>46.820000000000007</v>
      </c>
      <c r="I1779" s="10">
        <f t="shared" si="273"/>
        <v>50.272127246768065</v>
      </c>
      <c r="J1779" s="3">
        <v>27.939935644762286</v>
      </c>
      <c r="K1779" s="3">
        <v>12</v>
      </c>
      <c r="L1779" s="3">
        <f t="shared" si="274"/>
        <v>0</v>
      </c>
      <c r="M1779" s="32"/>
      <c r="N1779" s="11">
        <f t="shared" si="275"/>
        <v>18.880064355237721</v>
      </c>
      <c r="O1779" s="3">
        <v>27.939935644762286</v>
      </c>
      <c r="P1779" s="11">
        <f t="shared" si="276"/>
        <v>20.272127246768058</v>
      </c>
      <c r="Q1779" s="12">
        <f t="shared" si="277"/>
        <v>20.272127246768058</v>
      </c>
      <c r="R1779" s="13">
        <f t="shared" si="278"/>
        <v>-1.3984884331744118</v>
      </c>
      <c r="S1779" s="3" t="s">
        <v>29</v>
      </c>
      <c r="T1779" s="3" t="s">
        <v>35</v>
      </c>
      <c r="U1779" s="10">
        <v>9432009900999</v>
      </c>
      <c r="V1779" s="3">
        <v>0.1</v>
      </c>
      <c r="W1779" s="3">
        <f t="shared" si="279"/>
        <v>1.2000000000000002</v>
      </c>
      <c r="Y1779" s="3">
        <v>0</v>
      </c>
      <c r="Z1779" s="3">
        <v>36</v>
      </c>
      <c r="AA1779" s="3">
        <v>48</v>
      </c>
    </row>
    <row r="1780" spans="1:27" x14ac:dyDescent="0.3">
      <c r="A1780" s="3" t="str">
        <f t="shared" si="270"/>
        <v>West9160709901320</v>
      </c>
      <c r="B1780" s="3" t="str">
        <f t="shared" si="271"/>
        <v>Mah9160709901320</v>
      </c>
      <c r="C1780" s="14">
        <v>9160709901320</v>
      </c>
      <c r="D1780" s="10" t="str">
        <f t="shared" si="272"/>
        <v>9160709901</v>
      </c>
      <c r="E1780" s="3" t="s">
        <v>1</v>
      </c>
      <c r="F1780" s="3" t="s">
        <v>63</v>
      </c>
      <c r="H1780" s="3">
        <v>60.160000000000018</v>
      </c>
      <c r="I1780" s="10">
        <f t="shared" si="273"/>
        <v>70.809322378459598</v>
      </c>
      <c r="J1780" s="3">
        <v>25.488169345185344</v>
      </c>
      <c r="K1780" s="3">
        <v>0</v>
      </c>
      <c r="L1780" s="3">
        <f t="shared" si="274"/>
        <v>0</v>
      </c>
      <c r="M1780" s="32"/>
      <c r="N1780" s="11">
        <f t="shared" si="275"/>
        <v>34.67183065481467</v>
      </c>
      <c r="O1780" s="3">
        <v>25.488169345185344</v>
      </c>
      <c r="P1780" s="11">
        <f t="shared" si="276"/>
        <v>40.809322378459598</v>
      </c>
      <c r="Q1780" s="12">
        <f t="shared" si="277"/>
        <v>40.809322378459591</v>
      </c>
      <c r="R1780" s="13">
        <f t="shared" si="278"/>
        <v>51.151619002309836</v>
      </c>
      <c r="S1780" s="3" t="s">
        <v>29</v>
      </c>
      <c r="T1780" s="3" t="s">
        <v>34</v>
      </c>
      <c r="U1780" s="10">
        <v>0</v>
      </c>
      <c r="V1780" s="3">
        <v>0</v>
      </c>
      <c r="W1780" s="3">
        <f t="shared" si="279"/>
        <v>0</v>
      </c>
      <c r="Y1780" s="3">
        <v>0</v>
      </c>
      <c r="Z1780" s="3">
        <v>437</v>
      </c>
      <c r="AA1780" s="3">
        <v>48</v>
      </c>
    </row>
    <row r="1781" spans="1:27" x14ac:dyDescent="0.3">
      <c r="A1781" s="3" t="str">
        <f t="shared" si="270"/>
        <v>West9330019900810</v>
      </c>
      <c r="B1781" s="3" t="str">
        <f t="shared" si="271"/>
        <v>Mah9330019900810</v>
      </c>
      <c r="C1781" s="14">
        <v>9330019900810</v>
      </c>
      <c r="D1781" s="10" t="str">
        <f t="shared" si="272"/>
        <v>9330019900</v>
      </c>
      <c r="E1781" s="3" t="s">
        <v>1</v>
      </c>
      <c r="F1781" s="3" t="s">
        <v>63</v>
      </c>
      <c r="H1781" s="3">
        <v>22.99</v>
      </c>
      <c r="I1781" s="10">
        <f t="shared" si="273"/>
        <v>32.644436743043471</v>
      </c>
      <c r="J1781" s="3">
        <v>21.127642833260861</v>
      </c>
      <c r="K1781" s="3">
        <v>12</v>
      </c>
      <c r="L1781" s="3">
        <f t="shared" si="274"/>
        <v>0</v>
      </c>
      <c r="M1781" s="32"/>
      <c r="N1781" s="11">
        <f t="shared" si="275"/>
        <v>1.8623571667391374</v>
      </c>
      <c r="O1781" s="3">
        <v>21.127642833260861</v>
      </c>
      <c r="P1781" s="11">
        <f t="shared" si="276"/>
        <v>2.6444367430434728</v>
      </c>
      <c r="Q1781" s="12">
        <f t="shared" si="277"/>
        <v>2.6444367430434728</v>
      </c>
      <c r="R1781" s="13">
        <f t="shared" si="278"/>
        <v>-9.2433968520070948</v>
      </c>
      <c r="S1781" s="3" t="s">
        <v>29</v>
      </c>
      <c r="T1781" s="3" t="s">
        <v>35</v>
      </c>
      <c r="U1781" s="10">
        <v>0</v>
      </c>
      <c r="V1781" s="3">
        <v>0</v>
      </c>
      <c r="W1781" s="3">
        <f t="shared" si="279"/>
        <v>0</v>
      </c>
      <c r="Y1781" s="3">
        <v>0</v>
      </c>
      <c r="Z1781" s="3">
        <v>65</v>
      </c>
      <c r="AA1781" s="3">
        <v>48</v>
      </c>
    </row>
    <row r="1782" spans="1:27" x14ac:dyDescent="0.3">
      <c r="A1782" s="3" t="str">
        <f t="shared" si="270"/>
        <v>West9431009913840</v>
      </c>
      <c r="B1782" s="3" t="str">
        <f t="shared" si="271"/>
        <v>Mah9431009913840</v>
      </c>
      <c r="C1782" s="14">
        <v>9431009913840</v>
      </c>
      <c r="D1782" s="10" t="str">
        <f t="shared" si="272"/>
        <v>9431009913</v>
      </c>
      <c r="E1782" s="3" t="s">
        <v>1</v>
      </c>
      <c r="F1782" s="3" t="s">
        <v>63</v>
      </c>
      <c r="H1782" s="3">
        <v>23.835999999999999</v>
      </c>
      <c r="I1782" s="10">
        <f t="shared" si="273"/>
        <v>36.715842111926634</v>
      </c>
      <c r="J1782" s="3">
        <v>19.476061527340434</v>
      </c>
      <c r="K1782" s="3">
        <v>24</v>
      </c>
      <c r="L1782" s="3">
        <f t="shared" si="274"/>
        <v>0</v>
      </c>
      <c r="M1782" s="32"/>
      <c r="N1782" s="11">
        <f t="shared" si="275"/>
        <v>4.3599384726595645</v>
      </c>
      <c r="O1782" s="3">
        <v>19.476061527340434</v>
      </c>
      <c r="P1782" s="11">
        <f t="shared" si="276"/>
        <v>6.7158421119266283</v>
      </c>
      <c r="Q1782" s="12">
        <f t="shared" si="277"/>
        <v>6.7158421119266283</v>
      </c>
      <c r="R1782" s="13">
        <f t="shared" si="278"/>
        <v>-5.4650966833710344</v>
      </c>
      <c r="S1782" s="3" t="s">
        <v>29</v>
      </c>
      <c r="T1782" s="3" t="s">
        <v>35</v>
      </c>
      <c r="U1782" s="10">
        <v>0</v>
      </c>
      <c r="V1782" s="3">
        <v>0</v>
      </c>
      <c r="W1782" s="3">
        <f t="shared" si="279"/>
        <v>0</v>
      </c>
      <c r="Y1782" s="3">
        <v>0</v>
      </c>
      <c r="Z1782" s="3">
        <v>2912</v>
      </c>
      <c r="AA1782" s="3">
        <v>48</v>
      </c>
    </row>
    <row r="1783" spans="1:27" x14ac:dyDescent="0.3">
      <c r="A1783" s="3" t="str">
        <f t="shared" si="270"/>
        <v>West9432009901840</v>
      </c>
      <c r="B1783" s="3" t="str">
        <f t="shared" si="271"/>
        <v>Mah9432009901840</v>
      </c>
      <c r="C1783" s="14">
        <v>9432009901840</v>
      </c>
      <c r="D1783" s="10" t="str">
        <f t="shared" si="272"/>
        <v>9432009901</v>
      </c>
      <c r="E1783" s="3" t="s">
        <v>1</v>
      </c>
      <c r="F1783" s="3" t="s">
        <v>63</v>
      </c>
      <c r="H1783" s="3">
        <v>17.364000000000001</v>
      </c>
      <c r="I1783" s="10">
        <f t="shared" si="273"/>
        <v>31.824627695587452</v>
      </c>
      <c r="J1783" s="3">
        <v>16.368455429636544</v>
      </c>
      <c r="K1783" s="3">
        <v>12</v>
      </c>
      <c r="L1783" s="3">
        <f t="shared" si="274"/>
        <v>0</v>
      </c>
      <c r="M1783" s="32"/>
      <c r="N1783" s="11">
        <f t="shared" si="275"/>
        <v>0.99554457036345667</v>
      </c>
      <c r="O1783" s="3">
        <v>16.368455429636544</v>
      </c>
      <c r="P1783" s="11">
        <f t="shared" si="276"/>
        <v>1.8246276955874554</v>
      </c>
      <c r="Q1783" s="12">
        <f t="shared" si="277"/>
        <v>1.8246276955874554</v>
      </c>
      <c r="R1783" s="13">
        <f t="shared" si="278"/>
        <v>-1.9751548200886611</v>
      </c>
      <c r="S1783" s="3" t="s">
        <v>29</v>
      </c>
      <c r="T1783" s="3" t="s">
        <v>35</v>
      </c>
      <c r="U1783" s="10">
        <v>0</v>
      </c>
      <c r="V1783" s="3">
        <v>0</v>
      </c>
      <c r="W1783" s="3">
        <f t="shared" si="279"/>
        <v>0</v>
      </c>
      <c r="Y1783" s="3">
        <v>0</v>
      </c>
      <c r="Z1783" s="3">
        <v>720</v>
      </c>
      <c r="AA1783" s="3">
        <v>48</v>
      </c>
    </row>
    <row r="1784" spans="1:27" x14ac:dyDescent="0.3">
      <c r="A1784" s="3" t="str">
        <f t="shared" si="270"/>
        <v>West9160509902219</v>
      </c>
      <c r="B1784" s="3" t="str">
        <f t="shared" si="271"/>
        <v>Mah9160509902219</v>
      </c>
      <c r="C1784" s="14">
        <v>9160509902219</v>
      </c>
      <c r="D1784" s="10" t="str">
        <f t="shared" si="272"/>
        <v>9160509902</v>
      </c>
      <c r="E1784" s="3" t="s">
        <v>1</v>
      </c>
      <c r="F1784" s="3" t="s">
        <v>63</v>
      </c>
      <c r="H1784" s="3">
        <v>20.084999999999997</v>
      </c>
      <c r="I1784" s="10">
        <f t="shared" si="273"/>
        <v>38.37093048159776</v>
      </c>
      <c r="J1784" s="3">
        <v>15.703293937293902</v>
      </c>
      <c r="K1784" s="3">
        <v>0</v>
      </c>
      <c r="L1784" s="3">
        <f t="shared" si="274"/>
        <v>0</v>
      </c>
      <c r="M1784" s="32"/>
      <c r="N1784" s="11">
        <f t="shared" si="275"/>
        <v>4.3817060627060958</v>
      </c>
      <c r="O1784" s="3">
        <v>15.703293937293902</v>
      </c>
      <c r="P1784" s="11">
        <f t="shared" si="276"/>
        <v>8.3709304815977621</v>
      </c>
      <c r="Q1784" s="12">
        <f t="shared" si="277"/>
        <v>8.3709304815977621</v>
      </c>
      <c r="R1784" s="13">
        <f t="shared" si="278"/>
        <v>65.8644667568567</v>
      </c>
      <c r="S1784" s="3" t="s">
        <v>30</v>
      </c>
      <c r="T1784" s="3" t="s">
        <v>34</v>
      </c>
      <c r="U1784" s="10">
        <v>0</v>
      </c>
      <c r="V1784" s="3">
        <v>0</v>
      </c>
      <c r="W1784" s="3">
        <f t="shared" si="279"/>
        <v>0</v>
      </c>
      <c r="Y1784" s="3">
        <v>0</v>
      </c>
      <c r="Z1784" s="3">
        <v>1680</v>
      </c>
      <c r="AA1784" s="3">
        <v>48</v>
      </c>
    </row>
    <row r="1785" spans="1:27" x14ac:dyDescent="0.3">
      <c r="A1785" s="3" t="str">
        <f t="shared" si="270"/>
        <v>West9181309900320</v>
      </c>
      <c r="B1785" s="3" t="str">
        <f t="shared" si="271"/>
        <v>Mah9181309900320</v>
      </c>
      <c r="C1785" s="14">
        <v>9181309900320</v>
      </c>
      <c r="D1785" s="10" t="str">
        <f t="shared" si="272"/>
        <v>9181309900</v>
      </c>
      <c r="E1785" s="3" t="s">
        <v>1</v>
      </c>
      <c r="F1785" s="3" t="s">
        <v>63</v>
      </c>
      <c r="H1785" s="3">
        <v>37.239999999999995</v>
      </c>
      <c r="I1785" s="10">
        <f t="shared" si="273"/>
        <v>74.788781477413607</v>
      </c>
      <c r="J1785" s="3">
        <v>14.938069292349642</v>
      </c>
      <c r="K1785" s="3">
        <v>0</v>
      </c>
      <c r="L1785" s="3">
        <f t="shared" si="274"/>
        <v>0</v>
      </c>
      <c r="M1785" s="32"/>
      <c r="N1785" s="11">
        <f t="shared" si="275"/>
        <v>22.301930707650353</v>
      </c>
      <c r="O1785" s="3">
        <v>14.938069292349642</v>
      </c>
      <c r="P1785" s="11">
        <f t="shared" si="276"/>
        <v>44.788781477413607</v>
      </c>
      <c r="Q1785" s="12">
        <f t="shared" si="277"/>
        <v>44.788781477413607</v>
      </c>
      <c r="R1785" s="13">
        <f t="shared" si="278"/>
        <v>61.057190306933194</v>
      </c>
      <c r="S1785" s="3" t="s">
        <v>29</v>
      </c>
      <c r="T1785" s="3" t="s">
        <v>34</v>
      </c>
      <c r="U1785" s="10">
        <v>0</v>
      </c>
      <c r="V1785" s="3">
        <v>0</v>
      </c>
      <c r="W1785" s="3">
        <f t="shared" si="279"/>
        <v>0</v>
      </c>
      <c r="Y1785" s="3">
        <v>0</v>
      </c>
      <c r="Z1785" s="3">
        <v>0</v>
      </c>
      <c r="AA1785" s="3">
        <v>48</v>
      </c>
    </row>
    <row r="1786" spans="1:27" x14ac:dyDescent="0.3">
      <c r="A1786" s="3" t="str">
        <f t="shared" si="270"/>
        <v>West9432009900310</v>
      </c>
      <c r="B1786" s="3" t="str">
        <f t="shared" si="271"/>
        <v>Mah9432009900310</v>
      </c>
      <c r="C1786" s="14">
        <v>9432009900310</v>
      </c>
      <c r="D1786" s="10" t="str">
        <f t="shared" si="272"/>
        <v>9432009900</v>
      </c>
      <c r="E1786" s="3" t="s">
        <v>1</v>
      </c>
      <c r="F1786" s="3" t="s">
        <v>63</v>
      </c>
      <c r="H1786" s="3">
        <v>22.939999999999998</v>
      </c>
      <c r="I1786" s="10">
        <f t="shared" si="273"/>
        <v>49.469864856648101</v>
      </c>
      <c r="J1786" s="3">
        <v>13.911499495586652</v>
      </c>
      <c r="K1786" s="3">
        <v>0</v>
      </c>
      <c r="L1786" s="3">
        <f t="shared" si="274"/>
        <v>0</v>
      </c>
      <c r="M1786" s="32"/>
      <c r="N1786" s="11">
        <f t="shared" si="275"/>
        <v>9.028500504413346</v>
      </c>
      <c r="O1786" s="3">
        <v>13.911499495586652</v>
      </c>
      <c r="P1786" s="11">
        <f t="shared" si="276"/>
        <v>19.469864856648105</v>
      </c>
      <c r="Q1786" s="12">
        <f t="shared" si="277"/>
        <v>19.469864856648101</v>
      </c>
      <c r="R1786" s="13">
        <f t="shared" si="278"/>
        <v>13.907087089372547</v>
      </c>
      <c r="S1786" s="3" t="s">
        <v>30</v>
      </c>
      <c r="T1786" s="3" t="s">
        <v>35</v>
      </c>
      <c r="U1786" s="10">
        <v>9432009900999</v>
      </c>
      <c r="V1786" s="3">
        <v>0.1</v>
      </c>
      <c r="W1786" s="3">
        <f t="shared" si="279"/>
        <v>0</v>
      </c>
      <c r="Y1786" s="3">
        <v>0</v>
      </c>
      <c r="Z1786" s="3">
        <v>241.5</v>
      </c>
      <c r="AA1786" s="3">
        <v>48</v>
      </c>
    </row>
    <row r="1787" spans="1:27" x14ac:dyDescent="0.3">
      <c r="A1787" s="3" t="str">
        <f t="shared" si="270"/>
        <v>West9437009900810</v>
      </c>
      <c r="B1787" s="3" t="str">
        <f t="shared" si="271"/>
        <v>Mah9437009900810</v>
      </c>
      <c r="C1787" s="14">
        <v>9437009900810</v>
      </c>
      <c r="D1787" s="10" t="str">
        <f t="shared" si="272"/>
        <v>9437009900</v>
      </c>
      <c r="E1787" s="3" t="s">
        <v>1</v>
      </c>
      <c r="F1787" s="3" t="s">
        <v>63</v>
      </c>
      <c r="H1787" s="3">
        <v>21.759999999999998</v>
      </c>
      <c r="I1787" s="10">
        <f t="shared" si="273"/>
        <v>49.453579244950681</v>
      </c>
      <c r="J1787" s="3">
        <v>13.200257897746647</v>
      </c>
      <c r="K1787" s="3">
        <v>12</v>
      </c>
      <c r="L1787" s="3">
        <f t="shared" si="274"/>
        <v>0</v>
      </c>
      <c r="M1787" s="32"/>
      <c r="N1787" s="11">
        <f t="shared" si="275"/>
        <v>8.5597421022533506</v>
      </c>
      <c r="O1787" s="3">
        <v>13.200257897746647</v>
      </c>
      <c r="P1787" s="11">
        <f t="shared" si="276"/>
        <v>19.453579244950685</v>
      </c>
      <c r="Q1787" s="12">
        <f t="shared" si="277"/>
        <v>19.453579244950681</v>
      </c>
      <c r="R1787" s="13">
        <f t="shared" si="278"/>
        <v>12.39250820735101</v>
      </c>
      <c r="S1787" s="3" t="s">
        <v>29</v>
      </c>
      <c r="T1787" s="3" t="s">
        <v>35</v>
      </c>
      <c r="U1787" s="10">
        <v>0</v>
      </c>
      <c r="V1787" s="3">
        <v>0</v>
      </c>
      <c r="W1787" s="3">
        <f t="shared" si="279"/>
        <v>0</v>
      </c>
      <c r="Y1787" s="3">
        <v>0</v>
      </c>
      <c r="Z1787" s="3">
        <v>572</v>
      </c>
      <c r="AA1787" s="3">
        <v>48</v>
      </c>
    </row>
    <row r="1788" spans="1:27" x14ac:dyDescent="0.3">
      <c r="A1788" s="3" t="str">
        <f t="shared" si="270"/>
        <v>West9360119922320</v>
      </c>
      <c r="B1788" s="3" t="str">
        <f t="shared" si="271"/>
        <v>Mah9360119922320</v>
      </c>
      <c r="C1788" s="14">
        <v>9360119922320</v>
      </c>
      <c r="D1788" s="10" t="str">
        <f t="shared" si="272"/>
        <v>9360119922</v>
      </c>
      <c r="E1788" s="3" t="s">
        <v>1</v>
      </c>
      <c r="F1788" s="3" t="s">
        <v>63</v>
      </c>
      <c r="H1788" s="3">
        <v>13.159999999999998</v>
      </c>
      <c r="I1788" s="10">
        <f t="shared" si="273"/>
        <v>32.994709462800138</v>
      </c>
      <c r="J1788" s="3">
        <v>11.965554673094392</v>
      </c>
      <c r="K1788" s="3">
        <v>12</v>
      </c>
      <c r="L1788" s="3">
        <f t="shared" si="274"/>
        <v>0</v>
      </c>
      <c r="M1788" s="32"/>
      <c r="N1788" s="11">
        <f t="shared" si="275"/>
        <v>1.1944453269056066</v>
      </c>
      <c r="O1788" s="3">
        <v>11.965554673094392</v>
      </c>
      <c r="P1788" s="11">
        <f t="shared" si="276"/>
        <v>2.9947094628001389</v>
      </c>
      <c r="Q1788" s="12">
        <f t="shared" si="277"/>
        <v>2.9947094628001385</v>
      </c>
      <c r="R1788" s="13">
        <f t="shared" si="278"/>
        <v>5.798507580120047</v>
      </c>
      <c r="S1788" s="3" t="s">
        <v>29</v>
      </c>
      <c r="T1788" s="3" t="s">
        <v>33</v>
      </c>
      <c r="U1788" s="10">
        <v>9360119922999</v>
      </c>
      <c r="V1788" s="3">
        <v>0.1</v>
      </c>
      <c r="W1788" s="3">
        <f t="shared" si="279"/>
        <v>1.2000000000000002</v>
      </c>
      <c r="Y1788" s="3">
        <v>-3.3510332286823541E-9</v>
      </c>
      <c r="Z1788" s="3">
        <v>1092</v>
      </c>
      <c r="AA1788" s="3">
        <v>48</v>
      </c>
    </row>
    <row r="1789" spans="1:27" x14ac:dyDescent="0.3">
      <c r="A1789" s="3" t="str">
        <f t="shared" si="270"/>
        <v>West9360029900310</v>
      </c>
      <c r="B1789" s="3" t="str">
        <f t="shared" si="271"/>
        <v>Mah9360029900310</v>
      </c>
      <c r="C1789" s="14">
        <v>9360029900310</v>
      </c>
      <c r="D1789" s="10" t="str">
        <f t="shared" si="272"/>
        <v>9360029900</v>
      </c>
      <c r="E1789" s="3" t="s">
        <v>1</v>
      </c>
      <c r="F1789" s="3" t="s">
        <v>63</v>
      </c>
      <c r="H1789" s="3">
        <v>7.629999999999999</v>
      </c>
      <c r="I1789" s="10">
        <f t="shared" si="273"/>
        <v>20.459846655937817</v>
      </c>
      <c r="J1789" s="3">
        <v>11.187767134782952</v>
      </c>
      <c r="K1789" s="3">
        <v>24</v>
      </c>
      <c r="L1789" s="3">
        <f t="shared" si="274"/>
        <v>0</v>
      </c>
      <c r="M1789" s="32"/>
      <c r="N1789" s="11">
        <f t="shared" si="275"/>
        <v>-3.5577671347829529</v>
      </c>
      <c r="O1789" s="3">
        <v>11.187767134782952</v>
      </c>
      <c r="P1789" s="11">
        <f t="shared" si="276"/>
        <v>-9.5401533440621851</v>
      </c>
      <c r="Q1789" s="12">
        <f t="shared" si="277"/>
        <v>-9.5401533440621851</v>
      </c>
      <c r="R1789" s="13">
        <f t="shared" si="278"/>
        <v>-3.3162661745390394</v>
      </c>
      <c r="S1789" s="3" t="s">
        <v>29</v>
      </c>
      <c r="T1789" s="3" t="s">
        <v>33</v>
      </c>
      <c r="U1789" s="10">
        <v>9360029900999</v>
      </c>
      <c r="V1789" s="3">
        <v>0.1</v>
      </c>
      <c r="W1789" s="3">
        <f t="shared" si="279"/>
        <v>2.4000000000000004</v>
      </c>
      <c r="Y1789" s="3">
        <v>0</v>
      </c>
      <c r="Z1789" s="3">
        <v>2128</v>
      </c>
      <c r="AA1789" s="3">
        <v>48</v>
      </c>
    </row>
    <row r="1790" spans="1:27" x14ac:dyDescent="0.3">
      <c r="A1790" s="3" t="str">
        <f t="shared" si="270"/>
        <v>West9360039900210</v>
      </c>
      <c r="B1790" s="3" t="str">
        <f t="shared" si="271"/>
        <v>Mah9360039900210</v>
      </c>
      <c r="C1790" s="14">
        <v>9360039900210</v>
      </c>
      <c r="D1790" s="10" t="str">
        <f t="shared" si="272"/>
        <v>9360039900</v>
      </c>
      <c r="E1790" s="3" t="s">
        <v>1</v>
      </c>
      <c r="F1790" s="3" t="s">
        <v>63</v>
      </c>
      <c r="H1790" s="3">
        <v>2.1069999999999998</v>
      </c>
      <c r="I1790" s="10">
        <f t="shared" si="273"/>
        <v>5.7250013974948182</v>
      </c>
      <c r="J1790" s="3">
        <v>11.041045339772287</v>
      </c>
      <c r="K1790" s="3">
        <v>24</v>
      </c>
      <c r="L1790" s="3">
        <f t="shared" si="274"/>
        <v>0</v>
      </c>
      <c r="M1790" s="32"/>
      <c r="N1790" s="11">
        <f t="shared" si="275"/>
        <v>-8.9340453397722879</v>
      </c>
      <c r="O1790" s="3">
        <v>11.041045339772287</v>
      </c>
      <c r="P1790" s="11">
        <f t="shared" si="276"/>
        <v>-24.274998602505185</v>
      </c>
      <c r="Q1790" s="12">
        <f t="shared" si="277"/>
        <v>-24.274998602505182</v>
      </c>
      <c r="R1790" s="13">
        <f t="shared" si="278"/>
        <v>-6.5668161431774514</v>
      </c>
      <c r="S1790" s="3" t="s">
        <v>30</v>
      </c>
      <c r="T1790" s="3" t="s">
        <v>33</v>
      </c>
      <c r="U1790" s="10">
        <v>0</v>
      </c>
      <c r="V1790" s="3">
        <v>0</v>
      </c>
      <c r="W1790" s="3">
        <f t="shared" si="279"/>
        <v>0</v>
      </c>
      <c r="Y1790" s="3">
        <v>0</v>
      </c>
      <c r="Z1790" s="3">
        <v>0</v>
      </c>
      <c r="AA1790" s="3">
        <v>48</v>
      </c>
    </row>
    <row r="1791" spans="1:27" x14ac:dyDescent="0.3">
      <c r="A1791" s="3" t="str">
        <f t="shared" si="270"/>
        <v>West9320029900320</v>
      </c>
      <c r="B1791" s="3" t="str">
        <f t="shared" si="271"/>
        <v>Mah9320029900320</v>
      </c>
      <c r="C1791" s="14">
        <v>9320029900320</v>
      </c>
      <c r="D1791" s="10" t="str">
        <f t="shared" si="272"/>
        <v>9320029900</v>
      </c>
      <c r="E1791" s="3" t="s">
        <v>1</v>
      </c>
      <c r="F1791" s="3" t="s">
        <v>63</v>
      </c>
      <c r="H1791" s="3">
        <v>31.62</v>
      </c>
      <c r="I1791" s="10">
        <f t="shared" si="273"/>
        <v>91.033245588775628</v>
      </c>
      <c r="J1791" s="3">
        <v>10.420368886825257</v>
      </c>
      <c r="K1791" s="3">
        <v>0</v>
      </c>
      <c r="L1791" s="3">
        <f t="shared" si="274"/>
        <v>0</v>
      </c>
      <c r="M1791" s="32"/>
      <c r="N1791" s="11">
        <f t="shared" si="275"/>
        <v>21.199631113174746</v>
      </c>
      <c r="O1791" s="3">
        <v>10.420368886825257</v>
      </c>
      <c r="P1791" s="11">
        <f t="shared" si="276"/>
        <v>61.033245588775621</v>
      </c>
      <c r="Q1791" s="12">
        <f t="shared" si="277"/>
        <v>61.033245588775628</v>
      </c>
      <c r="R1791" s="13">
        <f t="shared" si="278"/>
        <v>-2.4182637214499976</v>
      </c>
      <c r="S1791" s="3" t="s">
        <v>29</v>
      </c>
      <c r="T1791" s="3" t="s">
        <v>28</v>
      </c>
      <c r="U1791" s="10">
        <v>9320029900999</v>
      </c>
      <c r="V1791" s="3">
        <v>0.1</v>
      </c>
      <c r="W1791" s="3">
        <f t="shared" si="279"/>
        <v>0</v>
      </c>
      <c r="Y1791" s="3">
        <v>0</v>
      </c>
      <c r="Z1791" s="3">
        <v>180</v>
      </c>
      <c r="AA1791" s="3">
        <v>48</v>
      </c>
    </row>
    <row r="1792" spans="1:27" x14ac:dyDescent="0.3">
      <c r="A1792" s="3" t="str">
        <f t="shared" si="270"/>
        <v>West9437019900240</v>
      </c>
      <c r="B1792" s="3" t="str">
        <f t="shared" si="271"/>
        <v>Mah9437019900240</v>
      </c>
      <c r="C1792" s="14">
        <v>9437019900240</v>
      </c>
      <c r="D1792" s="10" t="str">
        <f t="shared" si="272"/>
        <v>9437019900</v>
      </c>
      <c r="E1792" s="3" t="s">
        <v>1</v>
      </c>
      <c r="F1792" s="3" t="s">
        <v>63</v>
      </c>
      <c r="H1792" s="3">
        <v>12.868</v>
      </c>
      <c r="I1792" s="10">
        <f t="shared" si="273"/>
        <v>41.700995226501661</v>
      </c>
      <c r="J1792" s="3">
        <v>9.2573330181497759</v>
      </c>
      <c r="K1792" s="3">
        <v>24</v>
      </c>
      <c r="L1792" s="3">
        <f t="shared" si="274"/>
        <v>0</v>
      </c>
      <c r="M1792" s="32"/>
      <c r="N1792" s="11">
        <f t="shared" si="275"/>
        <v>3.6106669818502244</v>
      </c>
      <c r="O1792" s="3">
        <v>9.2573330181497759</v>
      </c>
      <c r="P1792" s="11">
        <f t="shared" si="276"/>
        <v>11.700995226501661</v>
      </c>
      <c r="Q1792" s="12">
        <f t="shared" si="277"/>
        <v>11.700995226501661</v>
      </c>
      <c r="R1792" s="13">
        <f t="shared" si="278"/>
        <v>10.080966563011508</v>
      </c>
      <c r="S1792" s="3" t="s">
        <v>29</v>
      </c>
      <c r="T1792" s="3" t="s">
        <v>35</v>
      </c>
      <c r="U1792" s="10">
        <v>0</v>
      </c>
      <c r="V1792" s="3">
        <v>0</v>
      </c>
      <c r="W1792" s="3">
        <f t="shared" si="279"/>
        <v>0</v>
      </c>
      <c r="Y1792" s="3">
        <v>0</v>
      </c>
      <c r="Z1792" s="3">
        <v>72</v>
      </c>
      <c r="AA1792" s="3">
        <v>48</v>
      </c>
    </row>
    <row r="1793" spans="1:27" x14ac:dyDescent="0.3">
      <c r="A1793" s="3" t="str">
        <f t="shared" si="270"/>
        <v>West9432019900320</v>
      </c>
      <c r="B1793" s="3" t="str">
        <f t="shared" si="271"/>
        <v>Mah9432019900320</v>
      </c>
      <c r="C1793" s="14">
        <v>9432019900320</v>
      </c>
      <c r="D1793" s="10" t="str">
        <f t="shared" si="272"/>
        <v>9432019900</v>
      </c>
      <c r="E1793" s="3" t="s">
        <v>1</v>
      </c>
      <c r="F1793" s="3" t="s">
        <v>63</v>
      </c>
      <c r="H1793" s="3">
        <v>28.485420000000005</v>
      </c>
      <c r="I1793" s="10">
        <f t="shared" si="273"/>
        <v>92.691471056226533</v>
      </c>
      <c r="J1793" s="3">
        <v>9.2194307659830272</v>
      </c>
      <c r="K1793" s="3">
        <v>0</v>
      </c>
      <c r="L1793" s="3">
        <f t="shared" si="274"/>
        <v>0</v>
      </c>
      <c r="M1793" s="32"/>
      <c r="N1793" s="11">
        <f t="shared" si="275"/>
        <v>19.265989234016978</v>
      </c>
      <c r="O1793" s="3">
        <v>9.2194307659830272</v>
      </c>
      <c r="P1793" s="11">
        <f t="shared" si="276"/>
        <v>62.691471056226533</v>
      </c>
      <c r="Q1793" s="12">
        <f t="shared" si="277"/>
        <v>62.691471056226533</v>
      </c>
      <c r="R1793" s="13">
        <f t="shared" si="278"/>
        <v>27.973265276899198</v>
      </c>
      <c r="S1793" s="3" t="s">
        <v>29</v>
      </c>
      <c r="T1793" s="3" t="s">
        <v>35</v>
      </c>
      <c r="U1793" s="10">
        <v>9432019900999</v>
      </c>
      <c r="V1793" s="3">
        <v>0.1</v>
      </c>
      <c r="W1793" s="3">
        <f t="shared" si="279"/>
        <v>0</v>
      </c>
      <c r="Y1793" s="3">
        <v>0</v>
      </c>
      <c r="Z1793" s="3">
        <v>112</v>
      </c>
      <c r="AA1793" s="3">
        <v>48</v>
      </c>
    </row>
    <row r="1794" spans="1:27" x14ac:dyDescent="0.3">
      <c r="A1794" s="3" t="str">
        <f t="shared" si="270"/>
        <v>West9420039901320</v>
      </c>
      <c r="B1794" s="3" t="str">
        <f t="shared" si="271"/>
        <v>Mah9420039901320</v>
      </c>
      <c r="C1794" s="14">
        <v>9420039901320</v>
      </c>
      <c r="D1794" s="10" t="str">
        <f t="shared" si="272"/>
        <v>9420039901</v>
      </c>
      <c r="E1794" s="3" t="s">
        <v>1</v>
      </c>
      <c r="F1794" s="3" t="s">
        <v>63</v>
      </c>
      <c r="H1794" s="3">
        <v>26.139999999999997</v>
      </c>
      <c r="I1794" s="10">
        <f t="shared" si="273"/>
        <v>90.501377652870616</v>
      </c>
      <c r="J1794" s="3">
        <v>8.6650614646762314</v>
      </c>
      <c r="K1794" s="3">
        <v>12</v>
      </c>
      <c r="L1794" s="3">
        <f t="shared" si="274"/>
        <v>0</v>
      </c>
      <c r="M1794" s="32"/>
      <c r="N1794" s="11">
        <f t="shared" si="275"/>
        <v>17.474938535323766</v>
      </c>
      <c r="O1794" s="3">
        <v>8.6650614646762314</v>
      </c>
      <c r="P1794" s="11">
        <f t="shared" si="276"/>
        <v>60.501377652870623</v>
      </c>
      <c r="Q1794" s="12">
        <f t="shared" si="277"/>
        <v>60.50137765287063</v>
      </c>
      <c r="R1794" s="13">
        <f t="shared" si="278"/>
        <v>12.411220962330324</v>
      </c>
      <c r="S1794" s="3" t="s">
        <v>29</v>
      </c>
      <c r="T1794" s="3" t="s">
        <v>28</v>
      </c>
      <c r="U1794" s="10">
        <v>9420039900999</v>
      </c>
      <c r="V1794" s="3">
        <v>0.1</v>
      </c>
      <c r="W1794" s="3">
        <f t="shared" si="279"/>
        <v>1.2000000000000002</v>
      </c>
      <c r="Y1794" s="3">
        <v>0</v>
      </c>
      <c r="Z1794" s="3">
        <v>57.5</v>
      </c>
      <c r="AA1794" s="3">
        <v>48</v>
      </c>
    </row>
    <row r="1795" spans="1:27" x14ac:dyDescent="0.3">
      <c r="A1795" s="3" t="str">
        <f t="shared" si="270"/>
        <v>West9431009913210</v>
      </c>
      <c r="B1795" s="3" t="str">
        <f t="shared" si="271"/>
        <v>Mah9431009913210</v>
      </c>
      <c r="C1795" s="14">
        <v>9431009913210</v>
      </c>
      <c r="D1795" s="10" t="str">
        <f t="shared" si="272"/>
        <v>9431009913</v>
      </c>
      <c r="E1795" s="3" t="s">
        <v>1</v>
      </c>
      <c r="F1795" s="3" t="s">
        <v>63</v>
      </c>
      <c r="H1795" s="3">
        <v>31.509</v>
      </c>
      <c r="I1795" s="10">
        <f t="shared" si="273"/>
        <v>110.17952949475502</v>
      </c>
      <c r="J1795" s="3">
        <v>8.5793613780588771</v>
      </c>
      <c r="K1795" s="3">
        <v>0</v>
      </c>
      <c r="L1795" s="3">
        <f t="shared" si="274"/>
        <v>0</v>
      </c>
      <c r="M1795" s="32"/>
      <c r="N1795" s="11">
        <f t="shared" si="275"/>
        <v>22.929638621941123</v>
      </c>
      <c r="O1795" s="3">
        <v>8.5793613780588771</v>
      </c>
      <c r="P1795" s="11">
        <f t="shared" si="276"/>
        <v>80.179529494755016</v>
      </c>
      <c r="Q1795" s="12">
        <f t="shared" si="277"/>
        <v>80.179529494755002</v>
      </c>
      <c r="R1795" s="13">
        <f t="shared" si="278"/>
        <v>26.053752707382994</v>
      </c>
      <c r="S1795" s="3" t="s">
        <v>30</v>
      </c>
      <c r="T1795" s="3" t="s">
        <v>35</v>
      </c>
      <c r="U1795" s="10">
        <v>0</v>
      </c>
      <c r="V1795" s="3">
        <v>0</v>
      </c>
      <c r="W1795" s="3">
        <f t="shared" si="279"/>
        <v>0</v>
      </c>
      <c r="Y1795" s="3">
        <v>0</v>
      </c>
      <c r="Z1795" s="3">
        <v>336</v>
      </c>
      <c r="AA1795" s="3">
        <v>48</v>
      </c>
    </row>
    <row r="1796" spans="1:27" x14ac:dyDescent="0.3">
      <c r="A1796" s="3" t="str">
        <f t="shared" ref="A1796:A1859" si="280">_xlfn.CONCAT(F1796,C1796)</f>
        <v>West9420069900810</v>
      </c>
      <c r="B1796" s="3" t="str">
        <f t="shared" ref="B1796:B1859" si="281">_xlfn.CONCAT(E1796,C1796)</f>
        <v>Mah9420069900810</v>
      </c>
      <c r="C1796" s="14">
        <v>9420069900810</v>
      </c>
      <c r="D1796" s="10" t="str">
        <f t="shared" ref="D1796:D1859" si="282">LEFT(C1796,10)</f>
        <v>9420069900</v>
      </c>
      <c r="E1796" s="3" t="s">
        <v>1</v>
      </c>
      <c r="F1796" s="3" t="s">
        <v>63</v>
      </c>
      <c r="H1796" s="3">
        <v>18.82</v>
      </c>
      <c r="I1796" s="10">
        <f t="shared" ref="I1796:I1859" si="283">IFERROR(H1796/J1796*30,0)</f>
        <v>71.637461270920213</v>
      </c>
      <c r="J1796" s="3">
        <v>7.8813513207116968</v>
      </c>
      <c r="K1796" s="3">
        <v>0</v>
      </c>
      <c r="L1796" s="3">
        <f t="shared" ref="L1796:L1859" si="284">M1796*G1796</f>
        <v>0</v>
      </c>
      <c r="M1796" s="32"/>
      <c r="N1796" s="11">
        <f t="shared" ref="N1796:N1859" si="285">H1796-J1796+L1796</f>
        <v>10.938648679288303</v>
      </c>
      <c r="O1796" s="3">
        <v>7.8813513207116968</v>
      </c>
      <c r="P1796" s="11">
        <f t="shared" ref="P1796:P1859" si="286">IF(O1796=0,9999,N1796/O1796*30)</f>
        <v>41.637461270920205</v>
      </c>
      <c r="Q1796" s="12">
        <f t="shared" ref="Q1796:Q1859" si="287">IF(SUMIF($A:$A,$A1796,$O:$O)=0,9999,SUMIF($A:$A,$A1796,$N:$N)*30/SUMIF($A:$A,$A1796,$O:$O))</f>
        <v>41.637461270920205</v>
      </c>
      <c r="R1796" s="13">
        <f t="shared" ref="R1796:R1859" si="288">IF(SUMIF($C:$C,$C1796,$O:$O)=0,9999,SUMIF($C:$C,$C1796,$N:$N)*30/SUMIF($C:$C,$C1796,$O:$O))</f>
        <v>28.11286676931412</v>
      </c>
      <c r="S1796" s="3" t="s">
        <v>30</v>
      </c>
      <c r="T1796" s="3" t="s">
        <v>28</v>
      </c>
      <c r="U1796" s="10">
        <v>0</v>
      </c>
      <c r="V1796" s="3">
        <v>0</v>
      </c>
      <c r="W1796" s="3">
        <f t="shared" ref="W1796:W1859" si="289">IFERROR(K1796*V1796,0)</f>
        <v>0</v>
      </c>
      <c r="Y1796" s="3">
        <v>0</v>
      </c>
      <c r="Z1796" s="3">
        <v>32</v>
      </c>
      <c r="AA1796" s="3">
        <v>48</v>
      </c>
    </row>
    <row r="1797" spans="1:27" x14ac:dyDescent="0.3">
      <c r="A1797" s="3" t="str">
        <f t="shared" si="280"/>
        <v>West9432009901210</v>
      </c>
      <c r="B1797" s="3" t="str">
        <f t="shared" si="281"/>
        <v>Mah9432009901210</v>
      </c>
      <c r="C1797" s="14">
        <v>9432009901210</v>
      </c>
      <c r="D1797" s="10" t="str">
        <f t="shared" si="282"/>
        <v>9432009901</v>
      </c>
      <c r="E1797" s="3" t="s">
        <v>1</v>
      </c>
      <c r="F1797" s="3" t="s">
        <v>63</v>
      </c>
      <c r="H1797" s="3">
        <v>11.659999999999998</v>
      </c>
      <c r="I1797" s="10">
        <f t="shared" si="283"/>
        <v>45.231332011023284</v>
      </c>
      <c r="J1797" s="3">
        <v>7.733577244967063</v>
      </c>
      <c r="K1797" s="3">
        <v>12</v>
      </c>
      <c r="L1797" s="3">
        <f t="shared" si="284"/>
        <v>0</v>
      </c>
      <c r="M1797" s="32"/>
      <c r="N1797" s="11">
        <f t="shared" si="285"/>
        <v>3.9264227550329354</v>
      </c>
      <c r="O1797" s="3">
        <v>7.733577244967063</v>
      </c>
      <c r="P1797" s="11">
        <f t="shared" si="286"/>
        <v>15.231332011023282</v>
      </c>
      <c r="Q1797" s="12">
        <f t="shared" si="287"/>
        <v>15.23133201102328</v>
      </c>
      <c r="R1797" s="13">
        <f t="shared" si="288"/>
        <v>10.799641646358246</v>
      </c>
      <c r="S1797" s="3" t="s">
        <v>30</v>
      </c>
      <c r="T1797" s="3" t="s">
        <v>35</v>
      </c>
      <c r="U1797" s="10">
        <v>0</v>
      </c>
      <c r="V1797" s="3">
        <v>0</v>
      </c>
      <c r="W1797" s="3">
        <f t="shared" si="289"/>
        <v>0</v>
      </c>
      <c r="Y1797" s="3">
        <v>0</v>
      </c>
      <c r="Z1797" s="3">
        <v>96</v>
      </c>
      <c r="AA1797" s="3">
        <v>48</v>
      </c>
    </row>
    <row r="1798" spans="1:27" x14ac:dyDescent="0.3">
      <c r="A1798" s="3" t="str">
        <f t="shared" si="280"/>
        <v>West9320029901310</v>
      </c>
      <c r="B1798" s="3" t="str">
        <f t="shared" si="281"/>
        <v>Mah9320029901310</v>
      </c>
      <c r="C1798" s="10">
        <v>9320029901310</v>
      </c>
      <c r="D1798" s="10" t="str">
        <f t="shared" si="282"/>
        <v>9320029901</v>
      </c>
      <c r="E1798" s="3" t="s">
        <v>1</v>
      </c>
      <c r="F1798" s="3" t="s">
        <v>63</v>
      </c>
      <c r="H1798" s="3">
        <v>25.419999999999998</v>
      </c>
      <c r="I1798" s="10">
        <f t="shared" si="283"/>
        <v>104.60837024553001</v>
      </c>
      <c r="J1798" s="3">
        <v>7.2900476148330622</v>
      </c>
      <c r="K1798" s="3">
        <v>0</v>
      </c>
      <c r="L1798" s="3">
        <f t="shared" si="284"/>
        <v>0</v>
      </c>
      <c r="M1798" s="32"/>
      <c r="N1798" s="11">
        <f t="shared" si="285"/>
        <v>18.129952385166938</v>
      </c>
      <c r="O1798" s="3">
        <v>7.2900476148330622</v>
      </c>
      <c r="P1798" s="11">
        <f t="shared" si="286"/>
        <v>74.608370245530025</v>
      </c>
      <c r="Q1798" s="12">
        <f t="shared" si="287"/>
        <v>74.608370245530025</v>
      </c>
      <c r="R1798" s="13">
        <f t="shared" si="288"/>
        <v>10.117410198257529</v>
      </c>
      <c r="S1798" s="3" t="s">
        <v>29</v>
      </c>
      <c r="T1798" s="3" t="s">
        <v>28</v>
      </c>
      <c r="U1798" s="10">
        <v>9320029900999</v>
      </c>
      <c r="V1798" s="3">
        <v>0.1</v>
      </c>
      <c r="W1798" s="3">
        <f t="shared" si="289"/>
        <v>0</v>
      </c>
      <c r="Y1798" s="3">
        <v>0</v>
      </c>
      <c r="Z1798" s="3">
        <v>75</v>
      </c>
      <c r="AA1798" s="3">
        <v>48</v>
      </c>
    </row>
    <row r="1799" spans="1:27" x14ac:dyDescent="0.3">
      <c r="A1799" s="3" t="str">
        <f t="shared" si="280"/>
        <v>West9432009900840</v>
      </c>
      <c r="B1799" s="3" t="str">
        <f t="shared" si="281"/>
        <v>Mah9432009900840</v>
      </c>
      <c r="C1799" s="10">
        <v>9432009900840</v>
      </c>
      <c r="D1799" s="10" t="str">
        <f t="shared" si="282"/>
        <v>9432009900</v>
      </c>
      <c r="E1799" s="3" t="s">
        <v>1</v>
      </c>
      <c r="F1799" s="3" t="s">
        <v>63</v>
      </c>
      <c r="H1799" s="3">
        <v>6.8320000000000016</v>
      </c>
      <c r="I1799" s="10">
        <f t="shared" si="283"/>
        <v>28.501064346633402</v>
      </c>
      <c r="J1799" s="3">
        <v>7.1913103843158854</v>
      </c>
      <c r="K1799" s="3">
        <v>0</v>
      </c>
      <c r="L1799" s="3">
        <f t="shared" si="284"/>
        <v>0</v>
      </c>
      <c r="M1799" s="32"/>
      <c r="N1799" s="11">
        <f t="shared" si="285"/>
        <v>-0.3593103843158838</v>
      </c>
      <c r="O1799" s="3">
        <v>7.1913103843158854</v>
      </c>
      <c r="P1799" s="11">
        <f t="shared" si="286"/>
        <v>-1.4989356533665954</v>
      </c>
      <c r="Q1799" s="12">
        <f t="shared" si="287"/>
        <v>-1.4989356533665954</v>
      </c>
      <c r="R1799" s="13">
        <f t="shared" si="288"/>
        <v>16.28600824867836</v>
      </c>
      <c r="S1799" s="3" t="s">
        <v>30</v>
      </c>
      <c r="T1799" s="3" t="s">
        <v>35</v>
      </c>
      <c r="U1799" s="10">
        <v>0</v>
      </c>
      <c r="V1799" s="3">
        <v>0</v>
      </c>
      <c r="W1799" s="3">
        <f t="shared" si="289"/>
        <v>0</v>
      </c>
      <c r="Y1799" s="3">
        <v>0</v>
      </c>
      <c r="Z1799" s="3">
        <v>128</v>
      </c>
      <c r="AA1799" s="3">
        <v>48</v>
      </c>
    </row>
    <row r="1800" spans="1:27" x14ac:dyDescent="0.3">
      <c r="A1800" s="3" t="str">
        <f t="shared" si="280"/>
        <v>West9160709902219</v>
      </c>
      <c r="B1800" s="3" t="str">
        <f t="shared" si="281"/>
        <v>Mah9160709902219</v>
      </c>
      <c r="C1800" s="10">
        <v>9160709902219</v>
      </c>
      <c r="D1800" s="10" t="str">
        <f t="shared" si="282"/>
        <v>9160709902</v>
      </c>
      <c r="E1800" s="3" t="s">
        <v>1</v>
      </c>
      <c r="F1800" s="3" t="s">
        <v>63</v>
      </c>
      <c r="H1800" s="3">
        <v>17.959499999999998</v>
      </c>
      <c r="I1800" s="10">
        <f t="shared" si="283"/>
        <v>95.25137892188242</v>
      </c>
      <c r="J1800" s="3">
        <v>5.6564535453273432</v>
      </c>
      <c r="K1800" s="3">
        <v>0</v>
      </c>
      <c r="L1800" s="3">
        <f t="shared" si="284"/>
        <v>0</v>
      </c>
      <c r="M1800" s="32"/>
      <c r="N1800" s="11">
        <f t="shared" si="285"/>
        <v>12.303046454672655</v>
      </c>
      <c r="O1800" s="3">
        <v>5.6564535453273432</v>
      </c>
      <c r="P1800" s="11">
        <f t="shared" si="286"/>
        <v>65.25137892188242</v>
      </c>
      <c r="Q1800" s="12">
        <f t="shared" si="287"/>
        <v>65.25137892188242</v>
      </c>
      <c r="R1800" s="13">
        <f t="shared" si="288"/>
        <v>76.886003319418222</v>
      </c>
      <c r="S1800" s="3" t="s">
        <v>31</v>
      </c>
      <c r="T1800" s="3" t="s">
        <v>34</v>
      </c>
      <c r="U1800" s="10">
        <v>0</v>
      </c>
      <c r="V1800" s="3">
        <v>0</v>
      </c>
      <c r="W1800" s="3">
        <f t="shared" si="289"/>
        <v>0</v>
      </c>
      <c r="Y1800" s="3">
        <v>0</v>
      </c>
      <c r="Z1800" s="3">
        <v>3104</v>
      </c>
      <c r="AA1800" s="3">
        <v>48</v>
      </c>
    </row>
    <row r="1801" spans="1:27" x14ac:dyDescent="0.3">
      <c r="A1801" s="3" t="str">
        <f t="shared" si="280"/>
        <v>West9320019900810</v>
      </c>
      <c r="B1801" s="3" t="str">
        <f t="shared" si="281"/>
        <v>Mah9320019900810</v>
      </c>
      <c r="C1801" s="10">
        <v>9320019900810</v>
      </c>
      <c r="D1801" s="10" t="str">
        <f t="shared" si="282"/>
        <v>9320019900</v>
      </c>
      <c r="E1801" s="3" t="s">
        <v>1</v>
      </c>
      <c r="F1801" s="3" t="s">
        <v>63</v>
      </c>
      <c r="H1801" s="3">
        <v>14.360000000000001</v>
      </c>
      <c r="I1801" s="10">
        <f t="shared" si="283"/>
        <v>76.969831554594734</v>
      </c>
      <c r="J1801" s="3">
        <v>5.59699808741862</v>
      </c>
      <c r="K1801" s="3">
        <v>0</v>
      </c>
      <c r="L1801" s="3">
        <f t="shared" si="284"/>
        <v>0</v>
      </c>
      <c r="M1801" s="32"/>
      <c r="N1801" s="11">
        <f t="shared" si="285"/>
        <v>8.7630019125813803</v>
      </c>
      <c r="O1801" s="3">
        <v>5.59699808741862</v>
      </c>
      <c r="P1801" s="11">
        <f t="shared" si="286"/>
        <v>46.969831554594727</v>
      </c>
      <c r="Q1801" s="12">
        <f t="shared" si="287"/>
        <v>46.96983155459472</v>
      </c>
      <c r="R1801" s="13">
        <f t="shared" si="288"/>
        <v>9.9235296770641845</v>
      </c>
      <c r="S1801" s="3" t="s">
        <v>29</v>
      </c>
      <c r="T1801" s="3" t="s">
        <v>28</v>
      </c>
      <c r="U1801" s="10">
        <v>0</v>
      </c>
      <c r="V1801" s="3">
        <v>0</v>
      </c>
      <c r="W1801" s="3">
        <f t="shared" si="289"/>
        <v>0</v>
      </c>
      <c r="Y1801" s="3">
        <v>0</v>
      </c>
      <c r="Z1801" s="3">
        <v>4890</v>
      </c>
      <c r="AA1801" s="3">
        <v>48</v>
      </c>
    </row>
    <row r="1802" spans="1:27" x14ac:dyDescent="0.3">
      <c r="A1802" s="3" t="str">
        <f t="shared" si="280"/>
        <v>West9330019900840</v>
      </c>
      <c r="B1802" s="3" t="str">
        <f t="shared" si="281"/>
        <v>Mah9330019900840</v>
      </c>
      <c r="C1802" s="10">
        <v>9330019900840</v>
      </c>
      <c r="D1802" s="10" t="str">
        <f t="shared" si="282"/>
        <v>9330019900</v>
      </c>
      <c r="E1802" s="3" t="s">
        <v>1</v>
      </c>
      <c r="F1802" s="3" t="s">
        <v>63</v>
      </c>
      <c r="H1802" s="3">
        <v>9.0720000000000027</v>
      </c>
      <c r="I1802" s="10">
        <f t="shared" si="283"/>
        <v>55.193116264785068</v>
      </c>
      <c r="J1802" s="3">
        <v>4.9310497108793738</v>
      </c>
      <c r="K1802" s="3">
        <v>0</v>
      </c>
      <c r="L1802" s="3">
        <f t="shared" si="284"/>
        <v>0</v>
      </c>
      <c r="M1802" s="32"/>
      <c r="N1802" s="11">
        <f t="shared" si="285"/>
        <v>4.1409502891206289</v>
      </c>
      <c r="O1802" s="3">
        <v>4.9310497108793738</v>
      </c>
      <c r="P1802" s="11">
        <f t="shared" si="286"/>
        <v>25.193116264785068</v>
      </c>
      <c r="Q1802" s="12">
        <f t="shared" si="287"/>
        <v>25.193116264785068</v>
      </c>
      <c r="R1802" s="13">
        <f t="shared" si="288"/>
        <v>9.4476303331844651</v>
      </c>
      <c r="S1802" s="3" t="s">
        <v>29</v>
      </c>
      <c r="T1802" s="3" t="s">
        <v>35</v>
      </c>
      <c r="U1802" s="10">
        <v>0</v>
      </c>
      <c r="V1802" s="3">
        <v>0</v>
      </c>
      <c r="W1802" s="3">
        <f t="shared" si="289"/>
        <v>0</v>
      </c>
      <c r="Y1802" s="3">
        <v>0</v>
      </c>
      <c r="Z1802" s="3">
        <v>150</v>
      </c>
      <c r="AA1802" s="3">
        <v>48</v>
      </c>
    </row>
    <row r="1803" spans="1:27" x14ac:dyDescent="0.3">
      <c r="A1803" s="3" t="str">
        <f t="shared" si="280"/>
        <v>West9437009900840</v>
      </c>
      <c r="B1803" s="3" t="str">
        <f t="shared" si="281"/>
        <v>Mah9437009900840</v>
      </c>
      <c r="C1803" s="10">
        <v>9437009900840</v>
      </c>
      <c r="D1803" s="10" t="str">
        <f t="shared" si="282"/>
        <v>9437009900</v>
      </c>
      <c r="E1803" s="3" t="s">
        <v>1</v>
      </c>
      <c r="F1803" s="3" t="s">
        <v>63</v>
      </c>
      <c r="H1803" s="3">
        <v>5.6880000000000006</v>
      </c>
      <c r="I1803" s="10">
        <f t="shared" si="283"/>
        <v>35.324554621545211</v>
      </c>
      <c r="J1803" s="3">
        <v>4.8306341531599379</v>
      </c>
      <c r="K1803" s="3">
        <v>12</v>
      </c>
      <c r="L1803" s="3">
        <f t="shared" si="284"/>
        <v>0</v>
      </c>
      <c r="M1803" s="32"/>
      <c r="N1803" s="11">
        <f t="shared" si="285"/>
        <v>0.85736584684006267</v>
      </c>
      <c r="O1803" s="3">
        <v>4.8306341531599379</v>
      </c>
      <c r="P1803" s="11">
        <f t="shared" si="286"/>
        <v>5.32455462154521</v>
      </c>
      <c r="Q1803" s="12">
        <f t="shared" si="287"/>
        <v>5.32455462154521</v>
      </c>
      <c r="R1803" s="13">
        <f t="shared" si="288"/>
        <v>20.229042425225856</v>
      </c>
      <c r="S1803" s="3" t="s">
        <v>30</v>
      </c>
      <c r="T1803" s="3" t="s">
        <v>35</v>
      </c>
      <c r="U1803" s="10">
        <v>0</v>
      </c>
      <c r="V1803" s="3">
        <v>0</v>
      </c>
      <c r="W1803" s="3">
        <f t="shared" si="289"/>
        <v>0</v>
      </c>
      <c r="Y1803" s="3">
        <v>0</v>
      </c>
      <c r="Z1803" s="3">
        <v>32</v>
      </c>
      <c r="AA1803" s="3">
        <v>48</v>
      </c>
    </row>
    <row r="1804" spans="1:27" ht="15.6" x14ac:dyDescent="0.3">
      <c r="A1804" s="3" t="str">
        <f t="shared" si="280"/>
        <v>West9432019900310</v>
      </c>
      <c r="B1804" s="3" t="str">
        <f t="shared" si="281"/>
        <v>Mah9432019900310</v>
      </c>
      <c r="C1804" s="10">
        <v>9432019900310</v>
      </c>
      <c r="D1804" s="10" t="str">
        <f t="shared" si="282"/>
        <v>9432019900</v>
      </c>
      <c r="E1804" s="3" t="s">
        <v>1</v>
      </c>
      <c r="F1804" s="3" t="s">
        <v>63</v>
      </c>
      <c r="H1804" s="3">
        <v>10.57</v>
      </c>
      <c r="I1804" s="10">
        <f t="shared" si="283"/>
        <v>73.362826634244954</v>
      </c>
      <c r="J1804" s="3">
        <v>4.3223525393987643</v>
      </c>
      <c r="K1804" s="3">
        <v>36</v>
      </c>
      <c r="L1804" s="3">
        <f t="shared" si="284"/>
        <v>0</v>
      </c>
      <c r="M1804" s="32"/>
      <c r="N1804" s="11">
        <f t="shared" si="285"/>
        <v>6.247647460601236</v>
      </c>
      <c r="O1804" s="3">
        <v>4.3223525393987643</v>
      </c>
      <c r="P1804" s="11">
        <f t="shared" si="286"/>
        <v>43.362826634244961</v>
      </c>
      <c r="Q1804" s="12">
        <f t="shared" si="287"/>
        <v>43.362826634244968</v>
      </c>
      <c r="R1804" s="13">
        <f t="shared" si="288"/>
        <v>27.317568745609034</v>
      </c>
      <c r="S1804" s="3" t="s">
        <v>30</v>
      </c>
      <c r="T1804" s="3" t="s">
        <v>35</v>
      </c>
      <c r="U1804" s="10">
        <v>9432019900999</v>
      </c>
      <c r="V1804" s="3">
        <v>0.1</v>
      </c>
      <c r="W1804" s="3">
        <f t="shared" si="289"/>
        <v>3.6</v>
      </c>
      <c r="Y1804" s="3">
        <v>1</v>
      </c>
      <c r="Z1804" s="3">
        <v>9</v>
      </c>
      <c r="AA1804">
        <v>48</v>
      </c>
    </row>
    <row r="1805" spans="1:27" x14ac:dyDescent="0.3">
      <c r="A1805" s="3" t="str">
        <f t="shared" si="280"/>
        <v>West9320029902219</v>
      </c>
      <c r="B1805" s="3" t="str">
        <f t="shared" si="281"/>
        <v>Mah9320029902219</v>
      </c>
      <c r="C1805" s="10">
        <v>9320029902219</v>
      </c>
      <c r="D1805" s="10" t="str">
        <f t="shared" si="282"/>
        <v>9320029902</v>
      </c>
      <c r="E1805" s="3" t="s">
        <v>1</v>
      </c>
      <c r="F1805" s="3" t="s">
        <v>63</v>
      </c>
      <c r="H1805" s="3">
        <v>22.444500000000001</v>
      </c>
      <c r="I1805" s="10">
        <f t="shared" si="283"/>
        <v>156.42329328673827</v>
      </c>
      <c r="J1805" s="3">
        <v>4.3045699003774018</v>
      </c>
      <c r="K1805" s="3">
        <v>0</v>
      </c>
      <c r="L1805" s="3">
        <f t="shared" si="284"/>
        <v>0</v>
      </c>
      <c r="M1805" s="32"/>
      <c r="N1805" s="11">
        <f t="shared" si="285"/>
        <v>18.1399300996226</v>
      </c>
      <c r="O1805" s="3">
        <v>4.3045699003774018</v>
      </c>
      <c r="P1805" s="11">
        <f t="shared" si="286"/>
        <v>126.42329328673826</v>
      </c>
      <c r="Q1805" s="12">
        <f t="shared" si="287"/>
        <v>126.42329328673827</v>
      </c>
      <c r="R1805" s="13">
        <f t="shared" si="288"/>
        <v>24.165952135270057</v>
      </c>
      <c r="S1805" s="3" t="s">
        <v>29</v>
      </c>
      <c r="T1805" s="3" t="s">
        <v>28</v>
      </c>
      <c r="U1805" s="10">
        <v>9320029900999</v>
      </c>
      <c r="V1805" s="3">
        <v>0.1</v>
      </c>
      <c r="W1805" s="3">
        <f t="shared" si="289"/>
        <v>0</v>
      </c>
      <c r="Y1805" s="3">
        <v>0</v>
      </c>
      <c r="Z1805" s="3">
        <v>0</v>
      </c>
      <c r="AA1805" s="3">
        <v>48</v>
      </c>
    </row>
    <row r="1806" spans="1:27" x14ac:dyDescent="0.3">
      <c r="A1806" s="3" t="str">
        <f t="shared" si="280"/>
        <v>West9432009900210</v>
      </c>
      <c r="B1806" s="3" t="str">
        <f t="shared" si="281"/>
        <v>Mah9432009900210</v>
      </c>
      <c r="C1806" s="10">
        <v>9432009900210</v>
      </c>
      <c r="D1806" s="10" t="str">
        <f t="shared" si="282"/>
        <v>9432009900</v>
      </c>
      <c r="E1806" s="3" t="s">
        <v>1</v>
      </c>
      <c r="F1806" s="3" t="s">
        <v>63</v>
      </c>
      <c r="H1806" s="3">
        <v>2.6</v>
      </c>
      <c r="I1806" s="10">
        <f t="shared" si="283"/>
        <v>21.129301364739351</v>
      </c>
      <c r="J1806" s="3">
        <v>3.6915560364985214</v>
      </c>
      <c r="K1806" s="3">
        <v>12</v>
      </c>
      <c r="L1806" s="3">
        <f t="shared" si="284"/>
        <v>0</v>
      </c>
      <c r="M1806" s="32"/>
      <c r="N1806" s="11">
        <f t="shared" si="285"/>
        <v>-1.0915560364985213</v>
      </c>
      <c r="O1806" s="3">
        <v>3.6915560364985214</v>
      </c>
      <c r="P1806" s="11">
        <f t="shared" si="286"/>
        <v>-8.8706986352606467</v>
      </c>
      <c r="Q1806" s="12">
        <f t="shared" si="287"/>
        <v>-8.8706986352606485</v>
      </c>
      <c r="R1806" s="13">
        <f t="shared" si="288"/>
        <v>7.3143711344841078</v>
      </c>
      <c r="S1806" s="3" t="s">
        <v>31</v>
      </c>
      <c r="T1806" s="3" t="s">
        <v>35</v>
      </c>
      <c r="U1806" s="10">
        <v>0</v>
      </c>
      <c r="V1806" s="3">
        <v>0</v>
      </c>
      <c r="W1806" s="3">
        <f t="shared" si="289"/>
        <v>0</v>
      </c>
      <c r="Y1806" s="3">
        <v>0</v>
      </c>
      <c r="Z1806" s="3">
        <v>225</v>
      </c>
      <c r="AA1806" s="3">
        <v>48</v>
      </c>
    </row>
    <row r="1807" spans="1:27" x14ac:dyDescent="0.3">
      <c r="A1807" s="3" t="str">
        <f t="shared" si="280"/>
        <v>West9420039901310</v>
      </c>
      <c r="B1807" s="3" t="str">
        <f t="shared" si="281"/>
        <v>Mah9420039901310</v>
      </c>
      <c r="C1807" s="10">
        <v>9420039901310</v>
      </c>
      <c r="D1807" s="10" t="str">
        <f t="shared" si="282"/>
        <v>9420039901</v>
      </c>
      <c r="E1807" s="3" t="s">
        <v>1</v>
      </c>
      <c r="F1807" s="3" t="s">
        <v>63</v>
      </c>
      <c r="H1807" s="3">
        <v>5.26</v>
      </c>
      <c r="I1807" s="10">
        <f t="shared" si="283"/>
        <v>42.811671872155642</v>
      </c>
      <c r="J1807" s="3">
        <v>3.6859107131163409</v>
      </c>
      <c r="K1807" s="3">
        <v>12</v>
      </c>
      <c r="L1807" s="3">
        <f t="shared" si="284"/>
        <v>0</v>
      </c>
      <c r="M1807" s="32"/>
      <c r="N1807" s="11">
        <f t="shared" si="285"/>
        <v>1.5740892868836589</v>
      </c>
      <c r="O1807" s="3">
        <v>3.6859107131163409</v>
      </c>
      <c r="P1807" s="11">
        <f t="shared" si="286"/>
        <v>12.811671872155642</v>
      </c>
      <c r="Q1807" s="12">
        <f t="shared" si="287"/>
        <v>12.811671872155642</v>
      </c>
      <c r="R1807" s="13">
        <f t="shared" si="288"/>
        <v>-0.5574194861834727</v>
      </c>
      <c r="S1807" s="3" t="s">
        <v>30</v>
      </c>
      <c r="T1807" s="3" t="s">
        <v>28</v>
      </c>
      <c r="U1807" s="10">
        <v>9420039900999</v>
      </c>
      <c r="V1807" s="3">
        <v>0.1</v>
      </c>
      <c r="W1807" s="3">
        <f t="shared" si="289"/>
        <v>1.2000000000000002</v>
      </c>
      <c r="Y1807" s="3">
        <v>2</v>
      </c>
      <c r="Z1807" s="3">
        <v>27</v>
      </c>
      <c r="AA1807" s="3">
        <v>48</v>
      </c>
    </row>
    <row r="1808" spans="1:27" x14ac:dyDescent="0.3">
      <c r="A1808" s="3" t="str">
        <f t="shared" si="280"/>
        <v>West9420069900840</v>
      </c>
      <c r="B1808" s="3" t="str">
        <f t="shared" si="281"/>
        <v>Mah9420069900840</v>
      </c>
      <c r="C1808" s="10">
        <v>9420069900840</v>
      </c>
      <c r="D1808" s="10" t="str">
        <f t="shared" si="282"/>
        <v>9420069900</v>
      </c>
      <c r="E1808" s="3" t="s">
        <v>1</v>
      </c>
      <c r="F1808" s="3" t="s">
        <v>63</v>
      </c>
      <c r="H1808" s="3">
        <v>3.8120000000000003</v>
      </c>
      <c r="I1808" s="10">
        <f t="shared" si="283"/>
        <v>33.25250517533798</v>
      </c>
      <c r="J1808" s="3">
        <v>3.4391393790328952</v>
      </c>
      <c r="K1808" s="3">
        <v>24</v>
      </c>
      <c r="L1808" s="3">
        <f t="shared" si="284"/>
        <v>0</v>
      </c>
      <c r="M1808" s="32"/>
      <c r="N1808" s="11">
        <f t="shared" si="285"/>
        <v>0.37286062096710504</v>
      </c>
      <c r="O1808" s="3">
        <v>3.4391393790328952</v>
      </c>
      <c r="P1808" s="11">
        <f t="shared" si="286"/>
        <v>3.2525051753379839</v>
      </c>
      <c r="Q1808" s="12">
        <f t="shared" si="287"/>
        <v>3.2525051753379839</v>
      </c>
      <c r="R1808" s="13">
        <f t="shared" si="288"/>
        <v>25.660583345540346</v>
      </c>
      <c r="S1808" s="3" t="s">
        <v>30</v>
      </c>
      <c r="T1808" s="3" t="s">
        <v>28</v>
      </c>
      <c r="U1808" s="10">
        <v>0</v>
      </c>
      <c r="V1808" s="3">
        <v>0</v>
      </c>
      <c r="W1808" s="3">
        <f t="shared" si="289"/>
        <v>0</v>
      </c>
      <c r="Y1808" s="3">
        <v>0</v>
      </c>
      <c r="Z1808" s="3">
        <v>1644.5</v>
      </c>
      <c r="AA1808" s="3">
        <v>48</v>
      </c>
    </row>
    <row r="1809" spans="1:27" x14ac:dyDescent="0.3">
      <c r="A1809" s="3" t="str">
        <f t="shared" si="280"/>
        <v>West9160909900320</v>
      </c>
      <c r="B1809" s="3" t="str">
        <f t="shared" si="281"/>
        <v>Mah9160909900320</v>
      </c>
      <c r="C1809" s="10">
        <v>9160909900320</v>
      </c>
      <c r="D1809" s="10" t="str">
        <f t="shared" si="282"/>
        <v>9160909900</v>
      </c>
      <c r="E1809" s="3" t="s">
        <v>1</v>
      </c>
      <c r="F1809" s="3" t="s">
        <v>63</v>
      </c>
      <c r="H1809" s="3">
        <v>8.5399999999999974</v>
      </c>
      <c r="I1809" s="10">
        <f t="shared" si="283"/>
        <v>79.645723570070658</v>
      </c>
      <c r="J1809" s="3">
        <v>3.2167452126240081</v>
      </c>
      <c r="K1809" s="3">
        <v>0</v>
      </c>
      <c r="L1809" s="3">
        <f t="shared" si="284"/>
        <v>0</v>
      </c>
      <c r="M1809" s="32"/>
      <c r="N1809" s="11">
        <f t="shared" si="285"/>
        <v>5.3232547873759888</v>
      </c>
      <c r="O1809" s="3">
        <v>3.2167452126240081</v>
      </c>
      <c r="P1809" s="11">
        <f t="shared" si="286"/>
        <v>49.645723570070658</v>
      </c>
      <c r="Q1809" s="12">
        <f t="shared" si="287"/>
        <v>49.645723570070658</v>
      </c>
      <c r="R1809" s="13">
        <f t="shared" si="288"/>
        <v>88.356551732675399</v>
      </c>
      <c r="S1809" s="3" t="s">
        <v>31</v>
      </c>
      <c r="T1809" s="3" t="s">
        <v>34</v>
      </c>
      <c r="U1809" s="10">
        <v>0</v>
      </c>
      <c r="V1809" s="3">
        <v>0</v>
      </c>
      <c r="W1809" s="3">
        <f t="shared" si="289"/>
        <v>0</v>
      </c>
      <c r="Y1809" s="3">
        <v>0</v>
      </c>
      <c r="Z1809" s="3">
        <v>0</v>
      </c>
      <c r="AA1809" s="3">
        <v>48</v>
      </c>
    </row>
    <row r="1810" spans="1:27" x14ac:dyDescent="0.3">
      <c r="A1810" s="3" t="str">
        <f t="shared" si="280"/>
        <v>West9437019900210</v>
      </c>
      <c r="B1810" s="3" t="str">
        <f t="shared" si="281"/>
        <v>Mah9437019900210</v>
      </c>
      <c r="C1810" s="10">
        <v>9437019900210</v>
      </c>
      <c r="D1810" s="10" t="str">
        <f t="shared" si="282"/>
        <v>9437019900</v>
      </c>
      <c r="E1810" s="3" t="s">
        <v>1</v>
      </c>
      <c r="F1810" s="3" t="s">
        <v>63</v>
      </c>
      <c r="H1810" s="3">
        <v>3.19</v>
      </c>
      <c r="I1810" s="10">
        <f t="shared" si="283"/>
        <v>31.082435023444177</v>
      </c>
      <c r="J1810" s="3">
        <v>3.0789093559696181</v>
      </c>
      <c r="K1810" s="3">
        <v>12</v>
      </c>
      <c r="L1810" s="3">
        <f t="shared" si="284"/>
        <v>0</v>
      </c>
      <c r="M1810" s="32"/>
      <c r="N1810" s="11">
        <f t="shared" si="285"/>
        <v>0.11109064403038182</v>
      </c>
      <c r="O1810" s="3">
        <v>3.0789093559696181</v>
      </c>
      <c r="P1810" s="11">
        <f t="shared" si="286"/>
        <v>1.0824350234441722</v>
      </c>
      <c r="Q1810" s="12">
        <f t="shared" si="287"/>
        <v>1.0824350234441722</v>
      </c>
      <c r="R1810" s="13">
        <f t="shared" si="288"/>
        <v>21.676130298195474</v>
      </c>
      <c r="S1810" s="3" t="s">
        <v>30</v>
      </c>
      <c r="T1810" s="3" t="s">
        <v>35</v>
      </c>
      <c r="U1810" s="10">
        <v>0</v>
      </c>
      <c r="V1810" s="3">
        <v>0</v>
      </c>
      <c r="W1810" s="3">
        <f t="shared" si="289"/>
        <v>0</v>
      </c>
      <c r="Y1810" s="3">
        <v>0</v>
      </c>
      <c r="Z1810" s="3">
        <v>46</v>
      </c>
      <c r="AA1810" s="3">
        <v>48</v>
      </c>
    </row>
    <row r="1811" spans="1:27" x14ac:dyDescent="0.3">
      <c r="A1811" s="3" t="str">
        <f t="shared" si="280"/>
        <v>West9360119922310</v>
      </c>
      <c r="B1811" s="3" t="str">
        <f t="shared" si="281"/>
        <v>Mah9360119922310</v>
      </c>
      <c r="C1811" s="10">
        <v>9360119922310</v>
      </c>
      <c r="D1811" s="10" t="str">
        <f t="shared" si="282"/>
        <v>9360119922</v>
      </c>
      <c r="E1811" s="3" t="s">
        <v>1</v>
      </c>
      <c r="F1811" s="3" t="s">
        <v>63</v>
      </c>
      <c r="H1811" s="3">
        <v>5.9499999999999993</v>
      </c>
      <c r="I1811" s="10">
        <f t="shared" si="283"/>
        <v>58.686152788539985</v>
      </c>
      <c r="J1811" s="3">
        <v>3.0416033683989725</v>
      </c>
      <c r="K1811" s="3">
        <v>0</v>
      </c>
      <c r="L1811" s="3">
        <f t="shared" si="284"/>
        <v>0</v>
      </c>
      <c r="M1811" s="32"/>
      <c r="N1811" s="11">
        <f t="shared" si="285"/>
        <v>2.9083966316010268</v>
      </c>
      <c r="O1811" s="3">
        <v>3.0416033683989725</v>
      </c>
      <c r="P1811" s="11">
        <f t="shared" si="286"/>
        <v>28.686152788539989</v>
      </c>
      <c r="Q1811" s="12">
        <f t="shared" si="287"/>
        <v>28.686152788539985</v>
      </c>
      <c r="R1811" s="13">
        <f t="shared" si="288"/>
        <v>13.901872457836575</v>
      </c>
      <c r="S1811" s="3" t="s">
        <v>30</v>
      </c>
      <c r="T1811" s="3" t="s">
        <v>33</v>
      </c>
      <c r="U1811" s="10">
        <v>9360119922999</v>
      </c>
      <c r="V1811" s="3">
        <v>0.1</v>
      </c>
      <c r="W1811" s="3">
        <f t="shared" si="289"/>
        <v>0</v>
      </c>
      <c r="Y1811" s="3">
        <v>0</v>
      </c>
      <c r="Z1811" s="3">
        <v>160</v>
      </c>
      <c r="AA1811" s="3">
        <v>48</v>
      </c>
    </row>
    <row r="1812" spans="1:27" x14ac:dyDescent="0.3">
      <c r="A1812" s="3" t="str">
        <f t="shared" si="280"/>
        <v>West9320029901840</v>
      </c>
      <c r="B1812" s="3" t="str">
        <f t="shared" si="281"/>
        <v>Mah9320029901840</v>
      </c>
      <c r="C1812" s="10">
        <v>9320029901840</v>
      </c>
      <c r="D1812" s="10" t="str">
        <f t="shared" si="282"/>
        <v>9320029901</v>
      </c>
      <c r="E1812" s="3" t="s">
        <v>1</v>
      </c>
      <c r="F1812" s="3" t="s">
        <v>63</v>
      </c>
      <c r="H1812" s="3">
        <v>5.14</v>
      </c>
      <c r="I1812" s="10">
        <f t="shared" si="283"/>
        <v>50.943688539975575</v>
      </c>
      <c r="J1812" s="3">
        <v>3.026871520679133</v>
      </c>
      <c r="K1812" s="3">
        <v>0</v>
      </c>
      <c r="L1812" s="3">
        <f t="shared" si="284"/>
        <v>0</v>
      </c>
      <c r="M1812" s="32"/>
      <c r="N1812" s="11">
        <f t="shared" si="285"/>
        <v>2.1131284793208667</v>
      </c>
      <c r="O1812" s="3">
        <v>3.026871520679133</v>
      </c>
      <c r="P1812" s="11">
        <f t="shared" si="286"/>
        <v>20.943688539975575</v>
      </c>
      <c r="Q1812" s="12">
        <f t="shared" si="287"/>
        <v>20.943688539975575</v>
      </c>
      <c r="R1812" s="13">
        <f t="shared" si="288"/>
        <v>12.080184680245301</v>
      </c>
      <c r="S1812" s="3" t="s">
        <v>30</v>
      </c>
      <c r="T1812" s="3" t="s">
        <v>28</v>
      </c>
      <c r="U1812" s="10">
        <v>0</v>
      </c>
      <c r="V1812" s="3">
        <v>0</v>
      </c>
      <c r="W1812" s="3">
        <f t="shared" si="289"/>
        <v>0</v>
      </c>
      <c r="Y1812" s="3">
        <v>0</v>
      </c>
      <c r="Z1812" s="3">
        <v>40</v>
      </c>
      <c r="AA1812" s="3">
        <v>48</v>
      </c>
    </row>
    <row r="1813" spans="1:27" x14ac:dyDescent="0.3">
      <c r="A1813" s="3" t="str">
        <f t="shared" si="280"/>
        <v>West9360029900840</v>
      </c>
      <c r="B1813" s="3" t="str">
        <f t="shared" si="281"/>
        <v>Mah9360029900840</v>
      </c>
      <c r="C1813" s="10">
        <v>9360029900840</v>
      </c>
      <c r="D1813" s="10" t="str">
        <f t="shared" si="282"/>
        <v>9360029900</v>
      </c>
      <c r="E1813" s="3" t="s">
        <v>1</v>
      </c>
      <c r="F1813" s="3" t="s">
        <v>63</v>
      </c>
      <c r="H1813" s="3">
        <v>1.516</v>
      </c>
      <c r="I1813" s="10">
        <f t="shared" si="283"/>
        <v>15.362053799057119</v>
      </c>
      <c r="J1813" s="3">
        <v>2.96054164338309</v>
      </c>
      <c r="K1813" s="3">
        <v>12</v>
      </c>
      <c r="L1813" s="3">
        <f t="shared" si="284"/>
        <v>0</v>
      </c>
      <c r="M1813" s="32"/>
      <c r="N1813" s="11">
        <f t="shared" si="285"/>
        <v>-1.44454164338309</v>
      </c>
      <c r="O1813" s="3">
        <v>2.96054164338309</v>
      </c>
      <c r="P1813" s="11">
        <f t="shared" si="286"/>
        <v>-14.637946200942883</v>
      </c>
      <c r="Q1813" s="12">
        <f t="shared" si="287"/>
        <v>-14.637946200942883</v>
      </c>
      <c r="R1813" s="13">
        <f t="shared" si="288"/>
        <v>-5.4655961298356379</v>
      </c>
      <c r="S1813" s="3" t="s">
        <v>30</v>
      </c>
      <c r="T1813" s="3" t="s">
        <v>33</v>
      </c>
      <c r="U1813" s="10">
        <v>0</v>
      </c>
      <c r="V1813" s="3">
        <v>0</v>
      </c>
      <c r="W1813" s="3">
        <f t="shared" si="289"/>
        <v>0</v>
      </c>
      <c r="Y1813" s="3">
        <v>0</v>
      </c>
      <c r="Z1813" s="3">
        <v>0</v>
      </c>
      <c r="AA1813" s="3">
        <v>48</v>
      </c>
    </row>
    <row r="1814" spans="1:27" x14ac:dyDescent="0.3">
      <c r="A1814" s="3" t="str">
        <f t="shared" si="280"/>
        <v>West9320039902219</v>
      </c>
      <c r="B1814" s="3" t="str">
        <f t="shared" si="281"/>
        <v>Mah9320039902219</v>
      </c>
      <c r="C1814" s="10">
        <v>9320039902219</v>
      </c>
      <c r="D1814" s="10" t="str">
        <f t="shared" si="282"/>
        <v>9320039902</v>
      </c>
      <c r="E1814" s="3" t="s">
        <v>1</v>
      </c>
      <c r="F1814" s="3" t="s">
        <v>63</v>
      </c>
      <c r="H1814" s="3">
        <v>19.831499999999998</v>
      </c>
      <c r="I1814" s="10">
        <f t="shared" si="283"/>
        <v>209.67582979261982</v>
      </c>
      <c r="J1814" s="3">
        <v>2.837451510688815</v>
      </c>
      <c r="K1814" s="3">
        <v>0</v>
      </c>
      <c r="L1814" s="3">
        <f t="shared" si="284"/>
        <v>0</v>
      </c>
      <c r="M1814" s="32"/>
      <c r="N1814" s="11">
        <f t="shared" si="285"/>
        <v>16.994048489311183</v>
      </c>
      <c r="O1814" s="3">
        <v>2.837451510688815</v>
      </c>
      <c r="P1814" s="11">
        <f t="shared" si="286"/>
        <v>179.67582979261982</v>
      </c>
      <c r="Q1814" s="12">
        <f t="shared" si="287"/>
        <v>179.67582979261982</v>
      </c>
      <c r="R1814" s="13">
        <f t="shared" si="288"/>
        <v>37.449963075784481</v>
      </c>
      <c r="S1814" s="3" t="s">
        <v>30</v>
      </c>
      <c r="T1814" s="3" t="s">
        <v>28</v>
      </c>
      <c r="U1814" s="10">
        <v>9320039900999</v>
      </c>
      <c r="V1814" s="3">
        <v>0.1</v>
      </c>
      <c r="W1814" s="3">
        <f t="shared" si="289"/>
        <v>0</v>
      </c>
      <c r="Y1814" s="3">
        <v>0</v>
      </c>
      <c r="Z1814" s="3">
        <v>55</v>
      </c>
      <c r="AA1814" s="3">
        <v>48</v>
      </c>
    </row>
    <row r="1815" spans="1:27" x14ac:dyDescent="0.3">
      <c r="A1815" s="3" t="str">
        <f t="shared" si="280"/>
        <v>West9432019900840</v>
      </c>
      <c r="B1815" s="3" t="str">
        <f t="shared" si="281"/>
        <v>Mah9432019900840</v>
      </c>
      <c r="C1815" s="10">
        <v>9432019900840</v>
      </c>
      <c r="D1815" s="10" t="str">
        <f t="shared" si="282"/>
        <v>9432019900</v>
      </c>
      <c r="E1815" s="3" t="s">
        <v>1</v>
      </c>
      <c r="F1815" s="3" t="s">
        <v>63</v>
      </c>
      <c r="H1815" s="3">
        <v>3.3559999999999999</v>
      </c>
      <c r="I1815" s="10">
        <f t="shared" si="283"/>
        <v>36.824123950961386</v>
      </c>
      <c r="J1815" s="3">
        <v>2.7340772623423533</v>
      </c>
      <c r="K1815" s="3">
        <v>0</v>
      </c>
      <c r="L1815" s="3">
        <f t="shared" si="284"/>
        <v>0</v>
      </c>
      <c r="M1815" s="32"/>
      <c r="N1815" s="11">
        <f t="shared" si="285"/>
        <v>0.62192273765764661</v>
      </c>
      <c r="O1815" s="3">
        <v>2.7340772623423533</v>
      </c>
      <c r="P1815" s="11">
        <f t="shared" si="286"/>
        <v>6.8241239509613898</v>
      </c>
      <c r="Q1815" s="12">
        <f t="shared" si="287"/>
        <v>6.8241239509613889</v>
      </c>
      <c r="R1815" s="13">
        <f t="shared" si="288"/>
        <v>20.92521076025448</v>
      </c>
      <c r="S1815" s="3" t="s">
        <v>31</v>
      </c>
      <c r="T1815" s="3" t="s">
        <v>35</v>
      </c>
      <c r="U1815" s="10">
        <v>0</v>
      </c>
      <c r="V1815" s="3">
        <v>0</v>
      </c>
      <c r="W1815" s="3">
        <f t="shared" si="289"/>
        <v>0</v>
      </c>
      <c r="Y1815" s="3">
        <v>0</v>
      </c>
      <c r="Z1815" s="3">
        <v>60</v>
      </c>
      <c r="AA1815" s="3">
        <v>48</v>
      </c>
    </row>
    <row r="1816" spans="1:27" x14ac:dyDescent="0.3">
      <c r="A1816" s="3" t="str">
        <f t="shared" si="280"/>
        <v>West9420039901840</v>
      </c>
      <c r="B1816" s="3" t="str">
        <f t="shared" si="281"/>
        <v>Mah9420039901840</v>
      </c>
      <c r="C1816" s="10">
        <v>9420039901840</v>
      </c>
      <c r="D1816" s="10" t="str">
        <f t="shared" si="282"/>
        <v>9420039901</v>
      </c>
      <c r="E1816" s="3" t="s">
        <v>1</v>
      </c>
      <c r="F1816" s="3" t="s">
        <v>63</v>
      </c>
      <c r="H1816" s="3">
        <v>3.0240000000000009</v>
      </c>
      <c r="I1816" s="10">
        <f t="shared" si="283"/>
        <v>40.702981014528149</v>
      </c>
      <c r="J1816" s="3">
        <v>2.2288293815044962</v>
      </c>
      <c r="K1816" s="3">
        <v>0</v>
      </c>
      <c r="L1816" s="3">
        <f t="shared" si="284"/>
        <v>0</v>
      </c>
      <c r="M1816" s="32"/>
      <c r="N1816" s="11">
        <f t="shared" si="285"/>
        <v>0.79517061849550474</v>
      </c>
      <c r="O1816" s="3">
        <v>2.2288293815044962</v>
      </c>
      <c r="P1816" s="11">
        <f t="shared" si="286"/>
        <v>10.702981014528151</v>
      </c>
      <c r="Q1816" s="12">
        <f t="shared" si="287"/>
        <v>10.702981014528151</v>
      </c>
      <c r="R1816" s="13">
        <f t="shared" si="288"/>
        <v>8.7861449633385647</v>
      </c>
      <c r="S1816" s="3" t="s">
        <v>30</v>
      </c>
      <c r="T1816" s="3" t="s">
        <v>28</v>
      </c>
      <c r="U1816" s="10">
        <v>0</v>
      </c>
      <c r="V1816" s="3">
        <v>0</v>
      </c>
      <c r="W1816" s="3">
        <f t="shared" si="289"/>
        <v>0</v>
      </c>
      <c r="Y1816" s="3">
        <v>0</v>
      </c>
      <c r="Z1816" s="3">
        <v>0</v>
      </c>
      <c r="AA1816" s="3">
        <v>48</v>
      </c>
    </row>
    <row r="1817" spans="1:27" x14ac:dyDescent="0.3">
      <c r="A1817" s="3" t="str">
        <f t="shared" si="280"/>
        <v>West9320029900310</v>
      </c>
      <c r="B1817" s="3" t="str">
        <f t="shared" si="281"/>
        <v>Mah9320029900310</v>
      </c>
      <c r="C1817" s="10">
        <v>9320029900310</v>
      </c>
      <c r="D1817" s="10" t="str">
        <f t="shared" si="282"/>
        <v>9320029900</v>
      </c>
      <c r="E1817" s="3" t="s">
        <v>1</v>
      </c>
      <c r="F1817" s="3" t="s">
        <v>63</v>
      </c>
      <c r="H1817" s="3">
        <v>6.089999999999999</v>
      </c>
      <c r="I1817" s="10">
        <f t="shared" si="283"/>
        <v>82.511544118558859</v>
      </c>
      <c r="J1817" s="3">
        <v>2.214235619412027</v>
      </c>
      <c r="K1817" s="3">
        <v>0</v>
      </c>
      <c r="L1817" s="3">
        <f t="shared" si="284"/>
        <v>0</v>
      </c>
      <c r="M1817" s="32"/>
      <c r="N1817" s="11">
        <f t="shared" si="285"/>
        <v>3.875764380587972</v>
      </c>
      <c r="O1817" s="3">
        <v>2.214235619412027</v>
      </c>
      <c r="P1817" s="11">
        <f t="shared" si="286"/>
        <v>52.511544118558859</v>
      </c>
      <c r="Q1817" s="12">
        <f t="shared" si="287"/>
        <v>52.511544118558859</v>
      </c>
      <c r="R1817" s="13">
        <f t="shared" si="288"/>
        <v>9.5182439109816208</v>
      </c>
      <c r="S1817" s="3" t="s">
        <v>30</v>
      </c>
      <c r="T1817" s="3" t="s">
        <v>28</v>
      </c>
      <c r="U1817" s="10">
        <v>9320029900999</v>
      </c>
      <c r="V1817" s="3">
        <v>0.1</v>
      </c>
      <c r="W1817" s="3">
        <f t="shared" si="289"/>
        <v>0</v>
      </c>
      <c r="Y1817" s="3">
        <v>0</v>
      </c>
      <c r="Z1817" s="3">
        <v>189</v>
      </c>
      <c r="AA1817" s="3">
        <v>48</v>
      </c>
    </row>
    <row r="1818" spans="1:27" x14ac:dyDescent="0.3">
      <c r="A1818" s="3" t="str">
        <f t="shared" si="280"/>
        <v>West9420039900320</v>
      </c>
      <c r="B1818" s="3" t="str">
        <f t="shared" si="281"/>
        <v>Mah9420039900320</v>
      </c>
      <c r="C1818" s="10">
        <v>9420039900320</v>
      </c>
      <c r="D1818" s="10" t="str">
        <f t="shared" si="282"/>
        <v>9420039900</v>
      </c>
      <c r="E1818" s="3" t="s">
        <v>1</v>
      </c>
      <c r="F1818" s="3" t="s">
        <v>63</v>
      </c>
      <c r="H1818" s="3">
        <v>5.4399999999999995</v>
      </c>
      <c r="I1818" s="10">
        <f t="shared" si="283"/>
        <v>97.185688795142582</v>
      </c>
      <c r="J1818" s="3">
        <v>1.6792595908231795</v>
      </c>
      <c r="K1818" s="3">
        <v>0</v>
      </c>
      <c r="L1818" s="3">
        <f t="shared" si="284"/>
        <v>0</v>
      </c>
      <c r="M1818" s="32"/>
      <c r="N1818" s="11">
        <f t="shared" si="285"/>
        <v>3.7607404091768197</v>
      </c>
      <c r="O1818" s="3">
        <v>1.6792595908231795</v>
      </c>
      <c r="P1818" s="11">
        <f t="shared" si="286"/>
        <v>67.185688795142568</v>
      </c>
      <c r="Q1818" s="12">
        <f t="shared" si="287"/>
        <v>67.185688795142568</v>
      </c>
      <c r="R1818" s="13">
        <f t="shared" si="288"/>
        <v>23.422416878504819</v>
      </c>
      <c r="S1818" s="3" t="s">
        <v>30</v>
      </c>
      <c r="T1818" s="3" t="s">
        <v>28</v>
      </c>
      <c r="U1818" s="10">
        <v>9420039900999</v>
      </c>
      <c r="V1818" s="3">
        <v>0.1</v>
      </c>
      <c r="W1818" s="3">
        <f t="shared" si="289"/>
        <v>0</v>
      </c>
      <c r="Y1818" s="3">
        <v>0</v>
      </c>
      <c r="Z1818" s="3">
        <v>0</v>
      </c>
      <c r="AA1818" s="3">
        <v>48</v>
      </c>
    </row>
    <row r="1819" spans="1:27" x14ac:dyDescent="0.3">
      <c r="A1819" s="3" t="str">
        <f t="shared" si="280"/>
        <v>West9437009900210</v>
      </c>
      <c r="B1819" s="3" t="str">
        <f t="shared" si="281"/>
        <v>Mah9437009900210</v>
      </c>
      <c r="C1819" s="10">
        <v>9437009900210</v>
      </c>
      <c r="D1819" s="10" t="str">
        <f t="shared" si="282"/>
        <v>9437009900</v>
      </c>
      <c r="E1819" s="3" t="s">
        <v>1</v>
      </c>
      <c r="F1819" s="3" t="s">
        <v>63</v>
      </c>
      <c r="H1819" s="3">
        <v>1.0980000000000001</v>
      </c>
      <c r="I1819" s="10">
        <f t="shared" si="283"/>
        <v>20.774288408226102</v>
      </c>
      <c r="J1819" s="3">
        <v>1.5856138777276521</v>
      </c>
      <c r="K1819" s="3">
        <v>12</v>
      </c>
      <c r="L1819" s="3">
        <f t="shared" si="284"/>
        <v>0</v>
      </c>
      <c r="M1819" s="32"/>
      <c r="N1819" s="11">
        <f t="shared" si="285"/>
        <v>-0.48761387772765197</v>
      </c>
      <c r="O1819" s="3">
        <v>1.5856138777276521</v>
      </c>
      <c r="P1819" s="11">
        <f t="shared" si="286"/>
        <v>-9.2257115917738961</v>
      </c>
      <c r="Q1819" s="12">
        <f t="shared" si="287"/>
        <v>-9.2257115917738979</v>
      </c>
      <c r="R1819" s="13">
        <f t="shared" si="288"/>
        <v>46.768930863463687</v>
      </c>
      <c r="S1819" s="3" t="s">
        <v>31</v>
      </c>
      <c r="T1819" s="3" t="s">
        <v>35</v>
      </c>
      <c r="U1819" s="10">
        <v>0</v>
      </c>
      <c r="V1819" s="3">
        <v>0</v>
      </c>
      <c r="W1819" s="3">
        <f t="shared" si="289"/>
        <v>0</v>
      </c>
      <c r="Y1819" s="3">
        <v>0</v>
      </c>
      <c r="Z1819" s="3">
        <v>333</v>
      </c>
      <c r="AA1819" s="3">
        <v>48</v>
      </c>
    </row>
    <row r="1820" spans="1:27" x14ac:dyDescent="0.3">
      <c r="A1820" s="3" t="str">
        <f t="shared" si="280"/>
        <v>West9320029902839</v>
      </c>
      <c r="B1820" s="3" t="str">
        <f t="shared" si="281"/>
        <v>Mah9320029902839</v>
      </c>
      <c r="C1820" s="10">
        <v>9320029902839</v>
      </c>
      <c r="D1820" s="10" t="str">
        <f t="shared" si="282"/>
        <v>9320029902</v>
      </c>
      <c r="E1820" s="3" t="s">
        <v>1</v>
      </c>
      <c r="F1820" s="3" t="s">
        <v>63</v>
      </c>
      <c r="H1820" s="3">
        <v>2.7534000000000001</v>
      </c>
      <c r="I1820" s="10">
        <f t="shared" si="283"/>
        <v>52.550702571917839</v>
      </c>
      <c r="J1820" s="3">
        <v>1.5718533902939871</v>
      </c>
      <c r="K1820" s="3">
        <v>0</v>
      </c>
      <c r="L1820" s="3">
        <f t="shared" si="284"/>
        <v>0</v>
      </c>
      <c r="M1820" s="32"/>
      <c r="N1820" s="11">
        <f t="shared" si="285"/>
        <v>1.181546609706013</v>
      </c>
      <c r="O1820" s="3">
        <v>1.5718533902939871</v>
      </c>
      <c r="P1820" s="11">
        <f t="shared" si="286"/>
        <v>22.550702571917842</v>
      </c>
      <c r="Q1820" s="12">
        <f t="shared" si="287"/>
        <v>22.550702571917839</v>
      </c>
      <c r="R1820" s="13">
        <f t="shared" si="288"/>
        <v>29.839396520491132</v>
      </c>
      <c r="S1820" s="3" t="s">
        <v>30</v>
      </c>
      <c r="T1820" s="3" t="s">
        <v>28</v>
      </c>
      <c r="U1820" s="10">
        <v>0</v>
      </c>
      <c r="V1820" s="3">
        <v>0</v>
      </c>
      <c r="W1820" s="3">
        <f t="shared" si="289"/>
        <v>0</v>
      </c>
      <c r="Y1820" s="3">
        <v>0</v>
      </c>
      <c r="Z1820" s="3">
        <v>352</v>
      </c>
      <c r="AA1820" s="3">
        <v>48</v>
      </c>
    </row>
    <row r="1821" spans="1:27" x14ac:dyDescent="0.3">
      <c r="A1821" s="3" t="str">
        <f t="shared" si="280"/>
        <v>West9320029901210</v>
      </c>
      <c r="B1821" s="3" t="str">
        <f t="shared" si="281"/>
        <v>Mah9320029901210</v>
      </c>
      <c r="C1821" s="10">
        <v>9320029901210</v>
      </c>
      <c r="D1821" s="10" t="str">
        <f t="shared" si="282"/>
        <v>9320029901</v>
      </c>
      <c r="E1821" s="3" t="s">
        <v>1</v>
      </c>
      <c r="F1821" s="3" t="s">
        <v>63</v>
      </c>
      <c r="H1821" s="3">
        <v>2.5539999999999998</v>
      </c>
      <c r="I1821" s="10">
        <f t="shared" si="283"/>
        <v>51.147655476340191</v>
      </c>
      <c r="J1821" s="3">
        <v>1.4980158774910566</v>
      </c>
      <c r="K1821" s="3">
        <v>0</v>
      </c>
      <c r="L1821" s="3">
        <f t="shared" si="284"/>
        <v>0</v>
      </c>
      <c r="M1821" s="32"/>
      <c r="N1821" s="11">
        <f t="shared" si="285"/>
        <v>1.0559841225089432</v>
      </c>
      <c r="O1821" s="3">
        <v>1.4980158774910566</v>
      </c>
      <c r="P1821" s="11">
        <f t="shared" si="286"/>
        <v>21.147655476340187</v>
      </c>
      <c r="Q1821" s="12">
        <f t="shared" si="287"/>
        <v>21.147655476340187</v>
      </c>
      <c r="R1821" s="13">
        <f t="shared" si="288"/>
        <v>31.098176860777059</v>
      </c>
      <c r="S1821" s="3" t="s">
        <v>30</v>
      </c>
      <c r="T1821" s="3" t="s">
        <v>28</v>
      </c>
      <c r="U1821" s="10">
        <v>0</v>
      </c>
      <c r="V1821" s="3">
        <v>0</v>
      </c>
      <c r="W1821" s="3">
        <f t="shared" si="289"/>
        <v>0</v>
      </c>
      <c r="Y1821" s="3">
        <v>0</v>
      </c>
      <c r="Z1821" s="3">
        <v>442</v>
      </c>
      <c r="AA1821" s="3">
        <v>48</v>
      </c>
    </row>
    <row r="1822" spans="1:27" x14ac:dyDescent="0.3">
      <c r="A1822" s="3" t="str">
        <f t="shared" si="280"/>
        <v>West9320029902097</v>
      </c>
      <c r="B1822" s="3" t="str">
        <f t="shared" si="281"/>
        <v>Mah9320029902097</v>
      </c>
      <c r="C1822" s="10">
        <v>9320029902097</v>
      </c>
      <c r="D1822" s="10" t="str">
        <f t="shared" si="282"/>
        <v>9320029902</v>
      </c>
      <c r="E1822" s="3" t="s">
        <v>1</v>
      </c>
      <c r="F1822" s="3" t="s">
        <v>63</v>
      </c>
      <c r="H1822" s="3">
        <v>2.044575</v>
      </c>
      <c r="I1822" s="10">
        <f t="shared" si="283"/>
        <v>43.017921345209409</v>
      </c>
      <c r="J1822" s="3">
        <v>1.4258534136919816</v>
      </c>
      <c r="K1822" s="3">
        <v>0</v>
      </c>
      <c r="L1822" s="3">
        <f t="shared" si="284"/>
        <v>0</v>
      </c>
      <c r="M1822" s="32"/>
      <c r="N1822" s="11">
        <f t="shared" si="285"/>
        <v>0.61872158630801843</v>
      </c>
      <c r="O1822" s="3">
        <v>1.4258534136919816</v>
      </c>
      <c r="P1822" s="11">
        <f t="shared" si="286"/>
        <v>13.017921345209411</v>
      </c>
      <c r="Q1822" s="12">
        <f t="shared" si="287"/>
        <v>13.017921345209412</v>
      </c>
      <c r="R1822" s="13">
        <f t="shared" si="288"/>
        <v>32.356577789682831</v>
      </c>
      <c r="S1822" s="3" t="s">
        <v>30</v>
      </c>
      <c r="T1822" s="3" t="s">
        <v>28</v>
      </c>
      <c r="U1822" s="10">
        <v>0</v>
      </c>
      <c r="V1822" s="3">
        <v>0</v>
      </c>
      <c r="W1822" s="3">
        <f t="shared" si="289"/>
        <v>0</v>
      </c>
      <c r="Y1822" s="3">
        <v>0</v>
      </c>
      <c r="Z1822" s="3">
        <v>264</v>
      </c>
      <c r="AA1822" s="3">
        <v>48</v>
      </c>
    </row>
    <row r="1823" spans="1:27" x14ac:dyDescent="0.3">
      <c r="A1823" s="3" t="str">
        <f t="shared" si="280"/>
        <v>West9320029902297</v>
      </c>
      <c r="B1823" s="3" t="str">
        <f t="shared" si="281"/>
        <v>Mah9320029902297</v>
      </c>
      <c r="C1823" s="10">
        <v>9320029902297</v>
      </c>
      <c r="D1823" s="10" t="str">
        <f t="shared" si="282"/>
        <v>9320029902</v>
      </c>
      <c r="E1823" s="3" t="s">
        <v>1</v>
      </c>
      <c r="F1823" s="3" t="s">
        <v>63</v>
      </c>
      <c r="H1823" s="3">
        <v>1.8232499999999998</v>
      </c>
      <c r="I1823" s="10">
        <f t="shared" si="283"/>
        <v>39.172851476228196</v>
      </c>
      <c r="J1823" s="3">
        <v>1.3963114233129759</v>
      </c>
      <c r="K1823" s="3">
        <v>12</v>
      </c>
      <c r="L1823" s="3">
        <f t="shared" si="284"/>
        <v>0</v>
      </c>
      <c r="M1823" s="32"/>
      <c r="N1823" s="11">
        <f t="shared" si="285"/>
        <v>0.42693857668702395</v>
      </c>
      <c r="O1823" s="3">
        <v>1.3963114233129759</v>
      </c>
      <c r="P1823" s="11">
        <f t="shared" si="286"/>
        <v>9.1728514762281925</v>
      </c>
      <c r="Q1823" s="12">
        <f t="shared" si="287"/>
        <v>9.1728514762281925</v>
      </c>
      <c r="R1823" s="13">
        <f t="shared" si="288"/>
        <v>18.208892829292608</v>
      </c>
      <c r="S1823" s="3" t="s">
        <v>30</v>
      </c>
      <c r="T1823" s="3" t="s">
        <v>28</v>
      </c>
      <c r="U1823" s="10">
        <v>9320029900999</v>
      </c>
      <c r="V1823" s="3">
        <v>0.1</v>
      </c>
      <c r="W1823" s="3">
        <f t="shared" si="289"/>
        <v>1.2000000000000002</v>
      </c>
      <c r="Y1823" s="3">
        <v>0</v>
      </c>
      <c r="Z1823" s="3">
        <v>13</v>
      </c>
      <c r="AA1823" s="3">
        <v>48</v>
      </c>
    </row>
    <row r="1824" spans="1:27" x14ac:dyDescent="0.3">
      <c r="A1824" s="3" t="str">
        <f t="shared" si="280"/>
        <v>West9432019900210</v>
      </c>
      <c r="B1824" s="3" t="str">
        <f t="shared" si="281"/>
        <v>Mah9432019900210</v>
      </c>
      <c r="C1824" s="10">
        <v>9432019900210</v>
      </c>
      <c r="D1824" s="10" t="str">
        <f t="shared" si="282"/>
        <v>9432019900</v>
      </c>
      <c r="E1824" s="3" t="s">
        <v>1</v>
      </c>
      <c r="F1824" s="3" t="s">
        <v>63</v>
      </c>
      <c r="H1824" s="3">
        <v>0.47400000000000003</v>
      </c>
      <c r="I1824" s="10">
        <f t="shared" si="283"/>
        <v>11.363421189167862</v>
      </c>
      <c r="J1824" s="3">
        <v>1.2513836953922963</v>
      </c>
      <c r="K1824" s="3">
        <v>12</v>
      </c>
      <c r="L1824" s="3">
        <f t="shared" si="284"/>
        <v>0</v>
      </c>
      <c r="M1824" s="32"/>
      <c r="N1824" s="11">
        <f t="shared" si="285"/>
        <v>-0.77738369539229635</v>
      </c>
      <c r="O1824" s="3">
        <v>1.2513836953922963</v>
      </c>
      <c r="P1824" s="11">
        <f t="shared" si="286"/>
        <v>-18.636578810832141</v>
      </c>
      <c r="Q1824" s="12">
        <f t="shared" si="287"/>
        <v>-18.636578810832138</v>
      </c>
      <c r="R1824" s="13">
        <f t="shared" si="288"/>
        <v>0.18903672404124577</v>
      </c>
      <c r="S1824" s="3" t="s">
        <v>31</v>
      </c>
      <c r="T1824" s="3" t="s">
        <v>35</v>
      </c>
      <c r="U1824" s="10">
        <v>0</v>
      </c>
      <c r="V1824" s="3">
        <v>0</v>
      </c>
      <c r="W1824" s="3">
        <f t="shared" si="289"/>
        <v>0</v>
      </c>
      <c r="Y1824" s="3">
        <v>0</v>
      </c>
      <c r="Z1824" s="3">
        <v>2250</v>
      </c>
      <c r="AA1824" s="3">
        <v>48</v>
      </c>
    </row>
    <row r="1825" spans="1:27" x14ac:dyDescent="0.3">
      <c r="A1825" s="3" t="str">
        <f t="shared" si="280"/>
        <v>West9360119922240</v>
      </c>
      <c r="B1825" s="3" t="str">
        <f t="shared" si="281"/>
        <v>Mah9360119922240</v>
      </c>
      <c r="C1825" s="10">
        <v>9360119922240</v>
      </c>
      <c r="D1825" s="10" t="str">
        <f t="shared" si="282"/>
        <v>9360119922</v>
      </c>
      <c r="E1825" s="3" t="s">
        <v>1</v>
      </c>
      <c r="F1825" s="3" t="s">
        <v>63</v>
      </c>
      <c r="H1825" s="3">
        <v>2.4119999999999999</v>
      </c>
      <c r="I1825" s="10">
        <f t="shared" si="283"/>
        <v>59.983637823762862</v>
      </c>
      <c r="J1825" s="3">
        <v>1.2063289694533026</v>
      </c>
      <c r="K1825" s="3">
        <v>0</v>
      </c>
      <c r="L1825" s="3">
        <f t="shared" si="284"/>
        <v>0</v>
      </c>
      <c r="M1825" s="32"/>
      <c r="N1825" s="11">
        <f t="shared" si="285"/>
        <v>1.2056710305466973</v>
      </c>
      <c r="O1825" s="3">
        <v>1.2063289694533026</v>
      </c>
      <c r="P1825" s="11">
        <f t="shared" si="286"/>
        <v>29.983637823762866</v>
      </c>
      <c r="Q1825" s="12">
        <f t="shared" si="287"/>
        <v>29.983637823762866</v>
      </c>
      <c r="R1825" s="13">
        <f t="shared" si="288"/>
        <v>79.889481963770294</v>
      </c>
      <c r="S1825" s="3" t="s">
        <v>31</v>
      </c>
      <c r="T1825" s="3" t="s">
        <v>33</v>
      </c>
      <c r="U1825" s="10">
        <v>0</v>
      </c>
      <c r="V1825" s="3">
        <v>0</v>
      </c>
      <c r="W1825" s="3">
        <f t="shared" si="289"/>
        <v>0</v>
      </c>
      <c r="Y1825" s="3">
        <v>0</v>
      </c>
      <c r="Z1825" s="3">
        <v>299</v>
      </c>
      <c r="AA1825" s="3">
        <v>48</v>
      </c>
    </row>
    <row r="1826" spans="1:27" x14ac:dyDescent="0.3">
      <c r="A1826" s="3" t="str">
        <f t="shared" si="280"/>
        <v>West9320039902839</v>
      </c>
      <c r="B1826" s="3" t="str">
        <f t="shared" si="281"/>
        <v>Mah9320039902839</v>
      </c>
      <c r="C1826" s="10">
        <v>9320039902839</v>
      </c>
      <c r="D1826" s="10" t="str">
        <f t="shared" si="282"/>
        <v>9320039902</v>
      </c>
      <c r="E1826" s="3" t="s">
        <v>1</v>
      </c>
      <c r="F1826" s="3" t="s">
        <v>63</v>
      </c>
      <c r="H1826" s="3">
        <v>1.9187999999999998</v>
      </c>
      <c r="I1826" s="10">
        <f t="shared" si="283"/>
        <v>47.801344832671738</v>
      </c>
      <c r="J1826" s="3">
        <v>1.2042339018180841</v>
      </c>
      <c r="K1826" s="3">
        <v>0</v>
      </c>
      <c r="L1826" s="3">
        <f t="shared" si="284"/>
        <v>0</v>
      </c>
      <c r="M1826" s="32"/>
      <c r="N1826" s="11">
        <f t="shared" si="285"/>
        <v>0.71456609818191574</v>
      </c>
      <c r="O1826" s="3">
        <v>1.2042339018180841</v>
      </c>
      <c r="P1826" s="11">
        <f t="shared" si="286"/>
        <v>17.801344832671735</v>
      </c>
      <c r="Q1826" s="12">
        <f t="shared" si="287"/>
        <v>17.801344832671735</v>
      </c>
      <c r="R1826" s="13">
        <f t="shared" si="288"/>
        <v>25.893509310912197</v>
      </c>
      <c r="S1826" s="3" t="s">
        <v>30</v>
      </c>
      <c r="T1826" s="3" t="s">
        <v>28</v>
      </c>
      <c r="U1826" s="10">
        <v>0</v>
      </c>
      <c r="V1826" s="3">
        <v>0</v>
      </c>
      <c r="W1826" s="3">
        <f t="shared" si="289"/>
        <v>0</v>
      </c>
      <c r="Y1826" s="3">
        <v>-9.9475983006414026E-14</v>
      </c>
      <c r="Z1826" s="3">
        <v>126</v>
      </c>
      <c r="AA1826" s="3">
        <v>48</v>
      </c>
    </row>
    <row r="1827" spans="1:27" x14ac:dyDescent="0.3">
      <c r="A1827" s="3" t="str">
        <f t="shared" si="280"/>
        <v>West9320019900840</v>
      </c>
      <c r="B1827" s="3" t="str">
        <f t="shared" si="281"/>
        <v>Mah9320019900840</v>
      </c>
      <c r="C1827" s="10">
        <v>9320019900840</v>
      </c>
      <c r="D1827" s="10" t="str">
        <f t="shared" si="282"/>
        <v>9320019900</v>
      </c>
      <c r="E1827" s="3" t="s">
        <v>1</v>
      </c>
      <c r="F1827" s="3" t="s">
        <v>63</v>
      </c>
      <c r="H1827" s="3">
        <v>1.5960000000000003</v>
      </c>
      <c r="I1827" s="10">
        <f t="shared" si="283"/>
        <v>40.129363337941363</v>
      </c>
      <c r="J1827" s="3">
        <v>1.1931412815296425</v>
      </c>
      <c r="K1827" s="3">
        <v>0</v>
      </c>
      <c r="L1827" s="3">
        <f t="shared" si="284"/>
        <v>0</v>
      </c>
      <c r="M1827" s="32"/>
      <c r="N1827" s="11">
        <f t="shared" si="285"/>
        <v>0.40285871847035781</v>
      </c>
      <c r="O1827" s="3">
        <v>1.1931412815296425</v>
      </c>
      <c r="P1827" s="11">
        <f t="shared" si="286"/>
        <v>10.129363337941362</v>
      </c>
      <c r="Q1827" s="12">
        <f t="shared" si="287"/>
        <v>10.129363337941362</v>
      </c>
      <c r="R1827" s="13">
        <f t="shared" si="288"/>
        <v>30.390251247234943</v>
      </c>
      <c r="S1827" s="3" t="s">
        <v>30</v>
      </c>
      <c r="T1827" s="3" t="s">
        <v>28</v>
      </c>
      <c r="U1827" s="10">
        <v>0</v>
      </c>
      <c r="V1827" s="3">
        <v>0</v>
      </c>
      <c r="W1827" s="3">
        <f t="shared" si="289"/>
        <v>0</v>
      </c>
      <c r="Y1827" s="3">
        <v>0</v>
      </c>
      <c r="Z1827" s="3">
        <v>150</v>
      </c>
      <c r="AA1827" s="3">
        <v>48</v>
      </c>
    </row>
    <row r="1828" spans="1:27" x14ac:dyDescent="0.3">
      <c r="A1828" s="3" t="str">
        <f t="shared" si="280"/>
        <v>West9330019900210</v>
      </c>
      <c r="B1828" s="3" t="str">
        <f t="shared" si="281"/>
        <v>Mah9330019900210</v>
      </c>
      <c r="C1828" s="10">
        <v>9330019900210</v>
      </c>
      <c r="D1828" s="10" t="str">
        <f t="shared" si="282"/>
        <v>9330019900</v>
      </c>
      <c r="E1828" s="3" t="s">
        <v>1</v>
      </c>
      <c r="F1828" s="3" t="s">
        <v>63</v>
      </c>
      <c r="H1828" s="3">
        <v>1.3189999999999997</v>
      </c>
      <c r="I1828" s="10">
        <f t="shared" si="283"/>
        <v>33.719987869343662</v>
      </c>
      <c r="J1828" s="3">
        <v>1.1734879666423259</v>
      </c>
      <c r="K1828" s="3">
        <v>12</v>
      </c>
      <c r="L1828" s="3">
        <f t="shared" si="284"/>
        <v>0</v>
      </c>
      <c r="M1828" s="32"/>
      <c r="N1828" s="11">
        <f t="shared" si="285"/>
        <v>0.14551203335767382</v>
      </c>
      <c r="O1828" s="3">
        <v>1.1734879666423259</v>
      </c>
      <c r="P1828" s="11">
        <f t="shared" si="286"/>
        <v>3.7199878693436639</v>
      </c>
      <c r="Q1828" s="12">
        <f t="shared" si="287"/>
        <v>3.7199878693436634</v>
      </c>
      <c r="R1828" s="13">
        <f t="shared" si="288"/>
        <v>31.282836342770231</v>
      </c>
      <c r="S1828" s="3" t="s">
        <v>30</v>
      </c>
      <c r="T1828" s="3" t="s">
        <v>35</v>
      </c>
      <c r="U1828" s="10">
        <v>0</v>
      </c>
      <c r="V1828" s="3">
        <v>0</v>
      </c>
      <c r="W1828" s="3">
        <f t="shared" si="289"/>
        <v>0</v>
      </c>
      <c r="Y1828" s="3">
        <v>0</v>
      </c>
      <c r="Z1828" s="3">
        <v>108</v>
      </c>
      <c r="AA1828" s="3">
        <v>48</v>
      </c>
    </row>
    <row r="1829" spans="1:27" x14ac:dyDescent="0.3">
      <c r="A1829" s="3" t="str">
        <f t="shared" si="280"/>
        <v>West9420039901210</v>
      </c>
      <c r="B1829" s="3" t="str">
        <f t="shared" si="281"/>
        <v>Mah9420039901210</v>
      </c>
      <c r="C1829" s="10">
        <v>9420039901210</v>
      </c>
      <c r="D1829" s="10" t="str">
        <f t="shared" si="282"/>
        <v>9420039901</v>
      </c>
      <c r="E1829" s="3" t="s">
        <v>1</v>
      </c>
      <c r="F1829" s="3" t="s">
        <v>63</v>
      </c>
      <c r="H1829" s="3">
        <v>1.0250000000000001</v>
      </c>
      <c r="I1829" s="10">
        <f t="shared" si="283"/>
        <v>27.919356856231708</v>
      </c>
      <c r="J1829" s="3">
        <v>1.1013864022135054</v>
      </c>
      <c r="K1829" s="3">
        <v>12</v>
      </c>
      <c r="L1829" s="3">
        <f t="shared" si="284"/>
        <v>0</v>
      </c>
      <c r="M1829" s="32"/>
      <c r="N1829" s="11">
        <f t="shared" si="285"/>
        <v>-7.6386402213505233E-2</v>
      </c>
      <c r="O1829" s="3">
        <v>1.1013864022135054</v>
      </c>
      <c r="P1829" s="11">
        <f t="shared" si="286"/>
        <v>-2.0806431437682926</v>
      </c>
      <c r="Q1829" s="12">
        <f t="shared" si="287"/>
        <v>-2.0806431437682926</v>
      </c>
      <c r="R1829" s="13">
        <f t="shared" si="288"/>
        <v>-10.289621700239787</v>
      </c>
      <c r="S1829" s="3" t="s">
        <v>31</v>
      </c>
      <c r="T1829" s="3" t="s">
        <v>28</v>
      </c>
      <c r="U1829" s="10">
        <v>0</v>
      </c>
      <c r="V1829" s="3">
        <v>0</v>
      </c>
      <c r="W1829" s="3">
        <f t="shared" si="289"/>
        <v>0</v>
      </c>
      <c r="Y1829" s="3">
        <v>0</v>
      </c>
      <c r="Z1829" s="3">
        <v>150</v>
      </c>
      <c r="AA1829" s="3">
        <v>48</v>
      </c>
    </row>
    <row r="1830" spans="1:27" x14ac:dyDescent="0.3">
      <c r="A1830" s="3" t="str">
        <f t="shared" si="280"/>
        <v>West9420069900210</v>
      </c>
      <c r="B1830" s="3" t="str">
        <f t="shared" si="281"/>
        <v>Mah9420069900210</v>
      </c>
      <c r="C1830" s="10">
        <v>9420069900210</v>
      </c>
      <c r="D1830" s="10" t="str">
        <f t="shared" si="282"/>
        <v>9420069900</v>
      </c>
      <c r="E1830" s="3" t="s">
        <v>1</v>
      </c>
      <c r="F1830" s="3" t="s">
        <v>63</v>
      </c>
      <c r="H1830" s="3">
        <v>0.35100000000000003</v>
      </c>
      <c r="I1830" s="10">
        <f t="shared" si="283"/>
        <v>9.7008685651316977</v>
      </c>
      <c r="J1830" s="3">
        <v>1.0854698143059571</v>
      </c>
      <c r="K1830" s="3">
        <v>0</v>
      </c>
      <c r="L1830" s="3">
        <f t="shared" si="284"/>
        <v>0</v>
      </c>
      <c r="M1830" s="32"/>
      <c r="N1830" s="11">
        <f t="shared" si="285"/>
        <v>-0.73446981430595715</v>
      </c>
      <c r="O1830" s="3">
        <v>1.0854698143059571</v>
      </c>
      <c r="P1830" s="11">
        <f t="shared" si="286"/>
        <v>-20.299131434868304</v>
      </c>
      <c r="Q1830" s="12">
        <f t="shared" si="287"/>
        <v>-20.299131434868304</v>
      </c>
      <c r="R1830" s="13">
        <f t="shared" si="288"/>
        <v>11.072420866839959</v>
      </c>
      <c r="S1830" s="3" t="s">
        <v>31</v>
      </c>
      <c r="T1830" s="3" t="s">
        <v>28</v>
      </c>
      <c r="U1830" s="10">
        <v>0</v>
      </c>
      <c r="V1830" s="3">
        <v>0</v>
      </c>
      <c r="W1830" s="3">
        <f t="shared" si="289"/>
        <v>0</v>
      </c>
      <c r="Y1830" s="3">
        <v>0</v>
      </c>
      <c r="Z1830" s="3">
        <v>0</v>
      </c>
      <c r="AA1830" s="3">
        <v>48</v>
      </c>
    </row>
    <row r="1831" spans="1:27" x14ac:dyDescent="0.3">
      <c r="A1831" s="3" t="str">
        <f t="shared" si="280"/>
        <v>West9420059902195</v>
      </c>
      <c r="B1831" s="3" t="str">
        <f t="shared" si="281"/>
        <v>Mah9420059902195</v>
      </c>
      <c r="C1831" s="10">
        <v>9420059902195</v>
      </c>
      <c r="D1831" s="10" t="str">
        <f t="shared" si="282"/>
        <v>9420059902</v>
      </c>
      <c r="E1831" s="3" t="s">
        <v>1</v>
      </c>
      <c r="F1831" s="3" t="s">
        <v>63</v>
      </c>
      <c r="H1831" s="3">
        <v>1.2464</v>
      </c>
      <c r="I1831" s="10">
        <f t="shared" si="283"/>
        <v>35.458990481835407</v>
      </c>
      <c r="J1831" s="3">
        <v>1.0545139467282583</v>
      </c>
      <c r="K1831" s="3">
        <v>0</v>
      </c>
      <c r="L1831" s="3">
        <f t="shared" si="284"/>
        <v>0</v>
      </c>
      <c r="M1831" s="32"/>
      <c r="N1831" s="11">
        <f t="shared" si="285"/>
        <v>0.19188605327174169</v>
      </c>
      <c r="O1831" s="3">
        <v>1.0545139467282583</v>
      </c>
      <c r="P1831" s="11">
        <f t="shared" si="286"/>
        <v>5.4589904818354062</v>
      </c>
      <c r="Q1831" s="12">
        <f t="shared" si="287"/>
        <v>5.4589904818354062</v>
      </c>
      <c r="R1831" s="13">
        <f t="shared" si="288"/>
        <v>24.314735260595061</v>
      </c>
      <c r="S1831" s="3" t="s">
        <v>31</v>
      </c>
      <c r="T1831" s="3" t="s">
        <v>28</v>
      </c>
      <c r="U1831" s="10">
        <v>0</v>
      </c>
      <c r="V1831" s="3">
        <v>0</v>
      </c>
      <c r="W1831" s="3">
        <f t="shared" si="289"/>
        <v>0</v>
      </c>
      <c r="Y1831" s="3">
        <v>0</v>
      </c>
      <c r="Z1831" s="3">
        <v>0</v>
      </c>
      <c r="AA1831" s="3">
        <v>48</v>
      </c>
    </row>
    <row r="1832" spans="1:27" x14ac:dyDescent="0.3">
      <c r="A1832" s="3" t="str">
        <f t="shared" si="280"/>
        <v>West9360029900210</v>
      </c>
      <c r="B1832" s="3" t="str">
        <f t="shared" si="281"/>
        <v>Mah9360029900210</v>
      </c>
      <c r="C1832" s="10">
        <v>9360029900210</v>
      </c>
      <c r="D1832" s="10" t="str">
        <f t="shared" si="282"/>
        <v>9360029900</v>
      </c>
      <c r="E1832" s="3" t="s">
        <v>1</v>
      </c>
      <c r="F1832" s="3" t="s">
        <v>63</v>
      </c>
      <c r="H1832" s="3">
        <v>1.5429999999999999</v>
      </c>
      <c r="I1832" s="10">
        <f t="shared" si="283"/>
        <v>44.640724848099453</v>
      </c>
      <c r="J1832" s="3">
        <v>1.0369455280467015</v>
      </c>
      <c r="K1832" s="3">
        <v>12</v>
      </c>
      <c r="L1832" s="3">
        <f t="shared" si="284"/>
        <v>0</v>
      </c>
      <c r="M1832" s="32"/>
      <c r="N1832" s="11">
        <f t="shared" si="285"/>
        <v>0.50605447195329845</v>
      </c>
      <c r="O1832" s="3">
        <v>1.0369455280467015</v>
      </c>
      <c r="P1832" s="11">
        <f t="shared" si="286"/>
        <v>14.640724848099456</v>
      </c>
      <c r="Q1832" s="12">
        <f t="shared" si="287"/>
        <v>14.640724848099456</v>
      </c>
      <c r="R1832" s="13">
        <f t="shared" si="288"/>
        <v>28.25136322109687</v>
      </c>
      <c r="S1832" s="3" t="s">
        <v>31</v>
      </c>
      <c r="T1832" s="3" t="s">
        <v>33</v>
      </c>
      <c r="U1832" s="10">
        <v>0</v>
      </c>
      <c r="V1832" s="3">
        <v>0</v>
      </c>
      <c r="W1832" s="3">
        <f t="shared" si="289"/>
        <v>0</v>
      </c>
      <c r="Y1832" s="3">
        <v>0</v>
      </c>
      <c r="Z1832" s="3">
        <v>135</v>
      </c>
      <c r="AA1832" s="3">
        <v>48</v>
      </c>
    </row>
    <row r="1833" spans="1:27" x14ac:dyDescent="0.3">
      <c r="A1833" s="3" t="str">
        <f t="shared" si="280"/>
        <v>West9320039902097</v>
      </c>
      <c r="B1833" s="3" t="str">
        <f t="shared" si="281"/>
        <v>Mah9320039902097</v>
      </c>
      <c r="C1833" s="10">
        <v>9320039902097</v>
      </c>
      <c r="D1833" s="10" t="str">
        <f t="shared" si="282"/>
        <v>9320039902</v>
      </c>
      <c r="E1833" s="3" t="s">
        <v>1</v>
      </c>
      <c r="F1833" s="3" t="s">
        <v>63</v>
      </c>
      <c r="H1833" s="3">
        <v>1.50345</v>
      </c>
      <c r="I1833" s="10">
        <f t="shared" si="283"/>
        <v>45.330355411629007</v>
      </c>
      <c r="J1833" s="3">
        <v>0.99499550776584456</v>
      </c>
      <c r="K1833" s="3">
        <v>0</v>
      </c>
      <c r="L1833" s="3">
        <f t="shared" si="284"/>
        <v>0</v>
      </c>
      <c r="M1833" s="32"/>
      <c r="N1833" s="11">
        <f t="shared" si="285"/>
        <v>0.5084544922341554</v>
      </c>
      <c r="O1833" s="3">
        <v>0.99499550776584456</v>
      </c>
      <c r="P1833" s="11">
        <f t="shared" si="286"/>
        <v>15.330355411629</v>
      </c>
      <c r="Q1833" s="12">
        <f t="shared" si="287"/>
        <v>15.330355411629002</v>
      </c>
      <c r="R1833" s="13">
        <f t="shared" si="288"/>
        <v>14.813342582695007</v>
      </c>
      <c r="S1833" s="3" t="s">
        <v>30</v>
      </c>
      <c r="T1833" s="3" t="s">
        <v>28</v>
      </c>
      <c r="U1833" s="10">
        <v>0</v>
      </c>
      <c r="V1833" s="3">
        <v>0</v>
      </c>
      <c r="W1833" s="3">
        <f t="shared" si="289"/>
        <v>0</v>
      </c>
      <c r="Y1833" s="3">
        <v>0</v>
      </c>
      <c r="Z1833" s="3">
        <v>90</v>
      </c>
      <c r="AA1833" s="3">
        <v>48</v>
      </c>
    </row>
    <row r="1834" spans="1:27" ht="15.6" x14ac:dyDescent="0.3">
      <c r="A1834" s="3" t="str">
        <f t="shared" si="280"/>
        <v>West9320039902297</v>
      </c>
      <c r="B1834" s="3" t="str">
        <f t="shared" si="281"/>
        <v>Mah9320039902297</v>
      </c>
      <c r="C1834" s="10">
        <v>9320039902297</v>
      </c>
      <c r="D1834" s="10" t="str">
        <f t="shared" si="282"/>
        <v>9320039902</v>
      </c>
      <c r="E1834" s="3" t="s">
        <v>1</v>
      </c>
      <c r="F1834" s="3" t="s">
        <v>63</v>
      </c>
      <c r="H1834" s="3">
        <v>2.34</v>
      </c>
      <c r="I1834" s="10">
        <f t="shared" si="283"/>
        <v>87.163824175442002</v>
      </c>
      <c r="J1834" s="3">
        <v>0.80537999180373865</v>
      </c>
      <c r="K1834" s="3">
        <v>0</v>
      </c>
      <c r="L1834" s="3">
        <f t="shared" si="284"/>
        <v>0</v>
      </c>
      <c r="N1834" s="11">
        <f t="shared" si="285"/>
        <v>1.5346200081962613</v>
      </c>
      <c r="O1834" s="3">
        <v>0.80537999180373865</v>
      </c>
      <c r="P1834" s="11">
        <f t="shared" si="286"/>
        <v>57.163824175442009</v>
      </c>
      <c r="Q1834" s="12">
        <f t="shared" si="287"/>
        <v>57.163824175442009</v>
      </c>
      <c r="R1834" s="13">
        <f t="shared" si="288"/>
        <v>2.7993874025720751</v>
      </c>
      <c r="S1834" s="3" t="s">
        <v>30</v>
      </c>
      <c r="T1834" s="3" t="s">
        <v>28</v>
      </c>
      <c r="U1834" s="10">
        <v>9320039900999</v>
      </c>
      <c r="V1834" s="3">
        <v>0.1</v>
      </c>
      <c r="W1834" s="3">
        <f t="shared" si="289"/>
        <v>0</v>
      </c>
      <c r="Y1834">
        <v>-53</v>
      </c>
      <c r="Z1834" s="3">
        <v>72</v>
      </c>
      <c r="AA1834" s="3">
        <v>48</v>
      </c>
    </row>
    <row r="1835" spans="1:27" x14ac:dyDescent="0.3">
      <c r="A1835" s="3" t="str">
        <f t="shared" si="280"/>
        <v>West9360119922210</v>
      </c>
      <c r="B1835" s="3" t="str">
        <f t="shared" si="281"/>
        <v>Mah9360119922210</v>
      </c>
      <c r="C1835" s="10">
        <v>9360119922210</v>
      </c>
      <c r="D1835" s="10" t="str">
        <f t="shared" si="282"/>
        <v>9360119922</v>
      </c>
      <c r="E1835" s="3" t="s">
        <v>1</v>
      </c>
      <c r="F1835" s="3" t="s">
        <v>63</v>
      </c>
      <c r="H1835" s="10">
        <v>10.806000000000001</v>
      </c>
      <c r="I1835" s="10">
        <f t="shared" si="283"/>
        <v>472.6691166959115</v>
      </c>
      <c r="J1835" s="3">
        <v>0.68584975948102622</v>
      </c>
      <c r="K1835" s="3">
        <v>0</v>
      </c>
      <c r="L1835" s="3">
        <f t="shared" si="284"/>
        <v>0</v>
      </c>
      <c r="N1835" s="11">
        <f t="shared" si="285"/>
        <v>10.120150240518974</v>
      </c>
      <c r="O1835" s="3">
        <v>0.68584975948102622</v>
      </c>
      <c r="P1835" s="11">
        <f t="shared" si="286"/>
        <v>442.6691166959115</v>
      </c>
      <c r="Q1835" s="12">
        <f t="shared" si="287"/>
        <v>442.6691166959115</v>
      </c>
      <c r="R1835" s="13">
        <f t="shared" si="288"/>
        <v>83.449892995261749</v>
      </c>
      <c r="S1835" s="3" t="s">
        <v>31</v>
      </c>
      <c r="T1835" s="3" t="s">
        <v>33</v>
      </c>
      <c r="U1835" s="10">
        <v>0</v>
      </c>
      <c r="V1835" s="3">
        <v>0</v>
      </c>
      <c r="W1835" s="3">
        <f t="shared" si="289"/>
        <v>0</v>
      </c>
      <c r="AA1835" s="3">
        <v>48</v>
      </c>
    </row>
    <row r="1836" spans="1:27" x14ac:dyDescent="0.3">
      <c r="A1836" s="3" t="str">
        <f t="shared" si="280"/>
        <v>West9420039900310</v>
      </c>
      <c r="B1836" s="3" t="str">
        <f t="shared" si="281"/>
        <v>Mah9420039900310</v>
      </c>
      <c r="C1836" s="10">
        <v>9420039900310</v>
      </c>
      <c r="D1836" s="10" t="str">
        <f t="shared" si="282"/>
        <v>9420039900</v>
      </c>
      <c r="E1836" s="3" t="s">
        <v>1</v>
      </c>
      <c r="F1836" s="3" t="s">
        <v>63</v>
      </c>
      <c r="H1836" s="3">
        <v>0.78000000000000025</v>
      </c>
      <c r="I1836" s="10">
        <f t="shared" si="283"/>
        <v>36.138844211683427</v>
      </c>
      <c r="J1836" s="3">
        <v>0.64750272208304205</v>
      </c>
      <c r="K1836" s="3">
        <v>0</v>
      </c>
      <c r="L1836" s="3">
        <f t="shared" si="284"/>
        <v>0</v>
      </c>
      <c r="N1836" s="11">
        <f t="shared" si="285"/>
        <v>0.1324972779169582</v>
      </c>
      <c r="O1836" s="3">
        <v>0.64750272208304205</v>
      </c>
      <c r="P1836" s="11">
        <f t="shared" si="286"/>
        <v>6.1388442116834279</v>
      </c>
      <c r="Q1836" s="12">
        <f t="shared" si="287"/>
        <v>6.1388442116834279</v>
      </c>
      <c r="R1836" s="13">
        <f t="shared" si="288"/>
        <v>25.372275431898188</v>
      </c>
      <c r="S1836" s="3" t="s">
        <v>31</v>
      </c>
      <c r="T1836" s="3" t="s">
        <v>28</v>
      </c>
      <c r="U1836" s="10">
        <v>9420039900999</v>
      </c>
      <c r="V1836" s="3">
        <v>0.1</v>
      </c>
      <c r="W1836" s="3">
        <f t="shared" si="289"/>
        <v>0</v>
      </c>
      <c r="AA1836" s="3">
        <v>48</v>
      </c>
    </row>
    <row r="1837" spans="1:27" x14ac:dyDescent="0.3">
      <c r="A1837" s="3" t="str">
        <f t="shared" si="280"/>
        <v>West9420059902838</v>
      </c>
      <c r="B1837" s="3" t="str">
        <f t="shared" si="281"/>
        <v>Mah9420059902838</v>
      </c>
      <c r="C1837" s="10">
        <v>9420059902838</v>
      </c>
      <c r="D1837" s="10" t="str">
        <f t="shared" si="282"/>
        <v>9420059902</v>
      </c>
      <c r="E1837" s="3" t="s">
        <v>1</v>
      </c>
      <c r="F1837" s="3" t="s">
        <v>63</v>
      </c>
      <c r="H1837" s="3">
        <v>0.77519999999999989</v>
      </c>
      <c r="I1837" s="10">
        <f t="shared" si="283"/>
        <v>36.572761564469346</v>
      </c>
      <c r="J1837" s="3">
        <v>0.6358830726797875</v>
      </c>
      <c r="K1837" s="3">
        <v>0</v>
      </c>
      <c r="L1837" s="3">
        <f t="shared" si="284"/>
        <v>0</v>
      </c>
      <c r="N1837" s="11">
        <f t="shared" si="285"/>
        <v>0.13931692732021239</v>
      </c>
      <c r="O1837" s="3">
        <v>0.6358830726797875</v>
      </c>
      <c r="P1837" s="11">
        <f t="shared" si="286"/>
        <v>6.5727615644693413</v>
      </c>
      <c r="Q1837" s="12">
        <f t="shared" si="287"/>
        <v>6.5727615644693405</v>
      </c>
      <c r="R1837" s="13">
        <f t="shared" si="288"/>
        <v>-19.691088593934413</v>
      </c>
      <c r="S1837" s="3" t="s">
        <v>31</v>
      </c>
      <c r="T1837" s="3" t="s">
        <v>28</v>
      </c>
      <c r="U1837" s="10">
        <v>0</v>
      </c>
      <c r="V1837" s="3">
        <v>0</v>
      </c>
      <c r="W1837" s="3">
        <f t="shared" si="289"/>
        <v>0</v>
      </c>
      <c r="AA1837" s="3">
        <v>48</v>
      </c>
    </row>
    <row r="1838" spans="1:27" x14ac:dyDescent="0.3">
      <c r="A1838" s="3" t="str">
        <f t="shared" si="280"/>
        <v>West9320029900840</v>
      </c>
      <c r="B1838" s="3" t="str">
        <f t="shared" si="281"/>
        <v>Mah9320029900840</v>
      </c>
      <c r="C1838" s="10">
        <v>9320029900840</v>
      </c>
      <c r="D1838" s="10" t="str">
        <f t="shared" si="282"/>
        <v>9320029900</v>
      </c>
      <c r="E1838" s="3" t="s">
        <v>1</v>
      </c>
      <c r="F1838" s="3" t="s">
        <v>63</v>
      </c>
      <c r="H1838" s="3">
        <v>2.3280000000000003</v>
      </c>
      <c r="I1838" s="10">
        <f t="shared" si="283"/>
        <v>112.58292918751552</v>
      </c>
      <c r="J1838" s="3">
        <v>0.62034271540116104</v>
      </c>
      <c r="K1838" s="3">
        <v>24</v>
      </c>
      <c r="L1838" s="3">
        <f t="shared" si="284"/>
        <v>0</v>
      </c>
      <c r="N1838" s="11">
        <f t="shared" si="285"/>
        <v>1.7076572845988394</v>
      </c>
      <c r="O1838" s="3">
        <v>0.62034271540116104</v>
      </c>
      <c r="P1838" s="11">
        <f t="shared" si="286"/>
        <v>82.582929187515532</v>
      </c>
      <c r="Q1838" s="12">
        <f t="shared" si="287"/>
        <v>82.582929187515532</v>
      </c>
      <c r="R1838" s="13">
        <f t="shared" si="288"/>
        <v>3.8494905204534557</v>
      </c>
      <c r="S1838" s="3" t="s">
        <v>30</v>
      </c>
      <c r="T1838" s="3" t="s">
        <v>28</v>
      </c>
      <c r="U1838" s="10">
        <v>0</v>
      </c>
      <c r="V1838" s="3">
        <v>0</v>
      </c>
      <c r="W1838" s="3">
        <f t="shared" si="289"/>
        <v>0</v>
      </c>
      <c r="AA1838" s="3">
        <v>48</v>
      </c>
    </row>
    <row r="1839" spans="1:27" x14ac:dyDescent="0.3">
      <c r="A1839" s="3" t="str">
        <f t="shared" si="280"/>
        <v>West9420039902195</v>
      </c>
      <c r="B1839" s="3" t="str">
        <f t="shared" si="281"/>
        <v>Mah9420039902195</v>
      </c>
      <c r="C1839" s="10">
        <v>9420039902195</v>
      </c>
      <c r="D1839" s="10" t="str">
        <f t="shared" si="282"/>
        <v>9420039902</v>
      </c>
      <c r="E1839" s="3" t="s">
        <v>1</v>
      </c>
      <c r="F1839" s="3" t="s">
        <v>63</v>
      </c>
      <c r="H1839" s="3">
        <v>0.76475000000000004</v>
      </c>
      <c r="I1839" s="10">
        <f t="shared" si="283"/>
        <v>46.597238139241114</v>
      </c>
      <c r="J1839" s="3">
        <v>0.49235750692870667</v>
      </c>
      <c r="K1839" s="3">
        <v>0</v>
      </c>
      <c r="L1839" s="3">
        <f t="shared" si="284"/>
        <v>0</v>
      </c>
      <c r="N1839" s="11">
        <f t="shared" si="285"/>
        <v>0.27239249307129337</v>
      </c>
      <c r="O1839" s="3">
        <v>0.49235750692870667</v>
      </c>
      <c r="P1839" s="11">
        <f t="shared" si="286"/>
        <v>16.597238139241114</v>
      </c>
      <c r="Q1839" s="12">
        <f t="shared" si="287"/>
        <v>16.597238139241114</v>
      </c>
      <c r="R1839" s="13">
        <f t="shared" si="288"/>
        <v>11.369139800998852</v>
      </c>
      <c r="S1839" s="3" t="s">
        <v>31</v>
      </c>
      <c r="T1839" s="3" t="s">
        <v>28</v>
      </c>
      <c r="U1839" s="10">
        <v>0</v>
      </c>
      <c r="V1839" s="3">
        <v>0</v>
      </c>
      <c r="W1839" s="3">
        <f t="shared" si="289"/>
        <v>0</v>
      </c>
      <c r="AA1839" s="3">
        <v>48</v>
      </c>
    </row>
    <row r="1840" spans="1:27" x14ac:dyDescent="0.3">
      <c r="A1840" s="3" t="str">
        <f t="shared" si="280"/>
        <v>West9320019900210</v>
      </c>
      <c r="B1840" s="3" t="str">
        <f t="shared" si="281"/>
        <v>Mah9320019900210</v>
      </c>
      <c r="C1840" s="10">
        <v>9320019900210</v>
      </c>
      <c r="D1840" s="10" t="str">
        <f t="shared" si="282"/>
        <v>9320019900</v>
      </c>
      <c r="E1840" s="3" t="s">
        <v>1</v>
      </c>
      <c r="F1840" s="3" t="s">
        <v>63</v>
      </c>
      <c r="H1840" s="3">
        <v>3.206</v>
      </c>
      <c r="I1840" s="10">
        <f t="shared" si="283"/>
        <v>198.60713819741542</v>
      </c>
      <c r="J1840" s="3">
        <v>0.48427262420143791</v>
      </c>
      <c r="K1840" s="3">
        <v>0</v>
      </c>
      <c r="L1840" s="3">
        <f t="shared" si="284"/>
        <v>0</v>
      </c>
      <c r="N1840" s="11">
        <f t="shared" si="285"/>
        <v>2.7217273757985621</v>
      </c>
      <c r="O1840" s="3">
        <v>0.48427262420143791</v>
      </c>
      <c r="P1840" s="11">
        <f t="shared" si="286"/>
        <v>168.60713819741542</v>
      </c>
      <c r="Q1840" s="12">
        <f t="shared" si="287"/>
        <v>168.6071381974154</v>
      </c>
      <c r="R1840" s="13">
        <f t="shared" si="288"/>
        <v>72.211571713659765</v>
      </c>
      <c r="S1840" s="3" t="s">
        <v>31</v>
      </c>
      <c r="T1840" s="3" t="s">
        <v>28</v>
      </c>
      <c r="U1840" s="10">
        <v>0</v>
      </c>
      <c r="V1840" s="3">
        <v>0</v>
      </c>
      <c r="W1840" s="3">
        <f t="shared" si="289"/>
        <v>0</v>
      </c>
      <c r="AA1840" s="3">
        <v>48</v>
      </c>
    </row>
    <row r="1841" spans="1:27" x14ac:dyDescent="0.3">
      <c r="A1841" s="3" t="str">
        <f t="shared" si="280"/>
        <v>West9420039900840</v>
      </c>
      <c r="B1841" s="3" t="str">
        <f t="shared" si="281"/>
        <v>Mah9420039900840</v>
      </c>
      <c r="C1841" s="10">
        <v>9420039900840</v>
      </c>
      <c r="D1841" s="10" t="str">
        <f t="shared" si="282"/>
        <v>9420039900</v>
      </c>
      <c r="E1841" s="3" t="s">
        <v>1</v>
      </c>
      <c r="F1841" s="3" t="s">
        <v>63</v>
      </c>
      <c r="H1841" s="3">
        <v>0.30800000000000005</v>
      </c>
      <c r="I1841" s="10">
        <f t="shared" si="283"/>
        <v>20.692189985489069</v>
      </c>
      <c r="J1841" s="3">
        <v>0.44654529107261187</v>
      </c>
      <c r="K1841" s="3">
        <v>0</v>
      </c>
      <c r="L1841" s="3">
        <f t="shared" si="284"/>
        <v>0</v>
      </c>
      <c r="N1841" s="11">
        <f t="shared" si="285"/>
        <v>-0.13854529107261182</v>
      </c>
      <c r="O1841" s="3">
        <v>0.44654529107261187</v>
      </c>
      <c r="P1841" s="11">
        <f t="shared" si="286"/>
        <v>-9.3078100145109293</v>
      </c>
      <c r="Q1841" s="12">
        <f t="shared" si="287"/>
        <v>-9.3078100145109293</v>
      </c>
      <c r="R1841" s="13">
        <f t="shared" si="288"/>
        <v>-9.128082310210873</v>
      </c>
      <c r="S1841" s="3" t="s">
        <v>31</v>
      </c>
      <c r="T1841" s="3" t="s">
        <v>28</v>
      </c>
      <c r="U1841" s="10">
        <v>0</v>
      </c>
      <c r="V1841" s="3">
        <v>0</v>
      </c>
      <c r="W1841" s="3">
        <f t="shared" si="289"/>
        <v>0</v>
      </c>
      <c r="AA1841" s="3">
        <v>48</v>
      </c>
    </row>
    <row r="1842" spans="1:27" x14ac:dyDescent="0.3">
      <c r="A1842" s="3" t="str">
        <f t="shared" si="280"/>
        <v>West9420059902295</v>
      </c>
      <c r="B1842" s="3" t="str">
        <f t="shared" si="281"/>
        <v>Mah9420059902295</v>
      </c>
      <c r="C1842" s="10">
        <v>9420059902295</v>
      </c>
      <c r="D1842" s="10" t="str">
        <f t="shared" si="282"/>
        <v>9420059902</v>
      </c>
      <c r="E1842" s="3" t="s">
        <v>1</v>
      </c>
      <c r="F1842" s="3" t="s">
        <v>63</v>
      </c>
      <c r="H1842" s="3">
        <v>1.4059999999999999</v>
      </c>
      <c r="I1842" s="10">
        <f t="shared" si="283"/>
        <v>124.11314012930755</v>
      </c>
      <c r="J1842" s="3">
        <v>0.3398512031526611</v>
      </c>
      <c r="K1842" s="3">
        <v>0</v>
      </c>
      <c r="L1842" s="3">
        <f t="shared" si="284"/>
        <v>0</v>
      </c>
      <c r="N1842" s="11">
        <f t="shared" si="285"/>
        <v>1.0661487968473389</v>
      </c>
      <c r="O1842" s="3">
        <v>0.3398512031526611</v>
      </c>
      <c r="P1842" s="11">
        <f t="shared" si="286"/>
        <v>94.113140129307567</v>
      </c>
      <c r="Q1842" s="12">
        <f t="shared" si="287"/>
        <v>94.113140129307567</v>
      </c>
      <c r="R1842" s="13">
        <f t="shared" si="288"/>
        <v>18.893711823657888</v>
      </c>
      <c r="S1842" s="3" t="s">
        <v>31</v>
      </c>
      <c r="T1842" s="3" t="s">
        <v>28</v>
      </c>
      <c r="U1842" s="10">
        <v>9420059900999</v>
      </c>
      <c r="V1842" s="3">
        <v>0.1</v>
      </c>
      <c r="W1842" s="3">
        <f t="shared" si="289"/>
        <v>0</v>
      </c>
      <c r="AA1842" s="3">
        <v>48</v>
      </c>
    </row>
    <row r="1843" spans="1:27" x14ac:dyDescent="0.3">
      <c r="A1843" s="3" t="str">
        <f t="shared" si="280"/>
        <v>West9420039902838</v>
      </c>
      <c r="B1843" s="3" t="str">
        <f t="shared" si="281"/>
        <v>Mah9420039902838</v>
      </c>
      <c r="C1843" s="10">
        <v>9420039902838</v>
      </c>
      <c r="D1843" s="10" t="str">
        <f t="shared" si="282"/>
        <v>9420039902</v>
      </c>
      <c r="E1843" s="3" t="s">
        <v>1</v>
      </c>
      <c r="F1843" s="3" t="s">
        <v>63</v>
      </c>
      <c r="H1843" s="3">
        <v>0.76379999999999981</v>
      </c>
      <c r="I1843" s="10">
        <f t="shared" si="283"/>
        <v>74.38585392565551</v>
      </c>
      <c r="J1843" s="3">
        <v>0.30804244074284948</v>
      </c>
      <c r="K1843" s="3">
        <v>0</v>
      </c>
      <c r="L1843" s="3">
        <f t="shared" si="284"/>
        <v>0</v>
      </c>
      <c r="N1843" s="11">
        <f t="shared" si="285"/>
        <v>0.45575755925715034</v>
      </c>
      <c r="O1843" s="3">
        <v>0.30804244074284948</v>
      </c>
      <c r="P1843" s="11">
        <f t="shared" si="286"/>
        <v>44.38585392565551</v>
      </c>
      <c r="Q1843" s="12">
        <f t="shared" si="287"/>
        <v>44.38585392565551</v>
      </c>
      <c r="R1843" s="13">
        <f t="shared" si="288"/>
        <v>35.173429095369414</v>
      </c>
      <c r="S1843" s="3" t="s">
        <v>31</v>
      </c>
      <c r="T1843" s="3" t="s">
        <v>28</v>
      </c>
      <c r="U1843" s="10">
        <v>0</v>
      </c>
      <c r="V1843" s="3">
        <v>0</v>
      </c>
      <c r="W1843" s="3">
        <f t="shared" si="289"/>
        <v>0</v>
      </c>
      <c r="AA1843" s="3">
        <v>48</v>
      </c>
    </row>
    <row r="1844" spans="1:27" x14ac:dyDescent="0.3">
      <c r="A1844" s="3" t="str">
        <f t="shared" si="280"/>
        <v>West9320029900210</v>
      </c>
      <c r="B1844" s="3" t="str">
        <f t="shared" si="281"/>
        <v>Mah9320029900210</v>
      </c>
      <c r="C1844" s="10">
        <v>9320029900210</v>
      </c>
      <c r="D1844" s="10" t="str">
        <f t="shared" si="282"/>
        <v>9320029900</v>
      </c>
      <c r="E1844" s="3" t="s">
        <v>1</v>
      </c>
      <c r="F1844" s="3" t="s">
        <v>63</v>
      </c>
      <c r="H1844" s="3">
        <v>1.3059999999999998</v>
      </c>
      <c r="I1844" s="10">
        <f t="shared" si="283"/>
        <v>151.2871932995416</v>
      </c>
      <c r="J1844" s="3">
        <v>0.25897763812978813</v>
      </c>
      <c r="K1844" s="3">
        <v>0</v>
      </c>
      <c r="L1844" s="3">
        <f t="shared" si="284"/>
        <v>0</v>
      </c>
      <c r="N1844" s="11">
        <f t="shared" si="285"/>
        <v>1.0470223618702117</v>
      </c>
      <c r="O1844" s="3">
        <v>0.25897763812978813</v>
      </c>
      <c r="P1844" s="11">
        <f t="shared" si="286"/>
        <v>121.28719329954161</v>
      </c>
      <c r="Q1844" s="12">
        <f t="shared" si="287"/>
        <v>121.2871932995416</v>
      </c>
      <c r="R1844" s="13">
        <f t="shared" si="288"/>
        <v>20.758348619970487</v>
      </c>
      <c r="S1844" s="3" t="s">
        <v>31</v>
      </c>
      <c r="T1844" s="3" t="s">
        <v>28</v>
      </c>
      <c r="U1844" s="10">
        <v>0</v>
      </c>
      <c r="V1844" s="3">
        <v>0</v>
      </c>
      <c r="W1844" s="3">
        <f t="shared" si="289"/>
        <v>0</v>
      </c>
      <c r="AA1844" s="3">
        <v>48</v>
      </c>
    </row>
    <row r="1845" spans="1:27" x14ac:dyDescent="0.3">
      <c r="A1845" s="3" t="str">
        <f t="shared" si="280"/>
        <v>West9420039900210</v>
      </c>
      <c r="B1845" s="3" t="str">
        <f t="shared" si="281"/>
        <v>Mah9420039900210</v>
      </c>
      <c r="C1845" s="10">
        <v>9420039900210</v>
      </c>
      <c r="D1845" s="10" t="str">
        <f t="shared" si="282"/>
        <v>9420039900</v>
      </c>
      <c r="E1845" s="3" t="s">
        <v>1</v>
      </c>
      <c r="F1845" s="3" t="s">
        <v>63</v>
      </c>
      <c r="H1845" s="3">
        <v>1.8879999999999997</v>
      </c>
      <c r="I1845" s="10">
        <f t="shared" si="283"/>
        <v>247.18623663805658</v>
      </c>
      <c r="J1845" s="3">
        <v>0.22913897136973421</v>
      </c>
      <c r="K1845" s="3">
        <v>0</v>
      </c>
      <c r="L1845" s="3">
        <f t="shared" si="284"/>
        <v>0</v>
      </c>
      <c r="N1845" s="11">
        <f t="shared" si="285"/>
        <v>1.6588610286302654</v>
      </c>
      <c r="O1845" s="3">
        <v>0.22913897136973421</v>
      </c>
      <c r="P1845" s="11">
        <f t="shared" si="286"/>
        <v>217.18623663805656</v>
      </c>
      <c r="Q1845" s="12">
        <f t="shared" si="287"/>
        <v>217.18623663805656</v>
      </c>
      <c r="R1845" s="13">
        <f t="shared" si="288"/>
        <v>66.549270263730406</v>
      </c>
      <c r="S1845" s="3" t="s">
        <v>31</v>
      </c>
      <c r="T1845" s="3" t="s">
        <v>28</v>
      </c>
      <c r="U1845" s="10">
        <v>0</v>
      </c>
      <c r="V1845" s="3">
        <v>0</v>
      </c>
      <c r="W1845" s="3">
        <f t="shared" si="289"/>
        <v>0</v>
      </c>
      <c r="AA1845" s="3">
        <v>48</v>
      </c>
    </row>
    <row r="1846" spans="1:27" x14ac:dyDescent="0.3">
      <c r="A1846" s="3" t="str">
        <f t="shared" si="280"/>
        <v>West9420059902319</v>
      </c>
      <c r="B1846" s="3" t="str">
        <f t="shared" si="281"/>
        <v>Mah9420059902319</v>
      </c>
      <c r="C1846" s="10">
        <v>9420059902319</v>
      </c>
      <c r="D1846" s="10" t="str">
        <f t="shared" si="282"/>
        <v>9420059902</v>
      </c>
      <c r="E1846" s="3" t="s">
        <v>1</v>
      </c>
      <c r="F1846" s="3" t="s">
        <v>63</v>
      </c>
      <c r="H1846" s="3">
        <v>2.4129999999999998</v>
      </c>
      <c r="I1846" s="10">
        <f t="shared" si="283"/>
        <v>342.87722922695281</v>
      </c>
      <c r="J1846" s="3">
        <v>0.21112513118240508</v>
      </c>
      <c r="K1846" s="3">
        <v>0</v>
      </c>
      <c r="L1846" s="3">
        <f t="shared" si="284"/>
        <v>0</v>
      </c>
      <c r="N1846" s="11">
        <f t="shared" si="285"/>
        <v>2.2018748688175949</v>
      </c>
      <c r="O1846" s="3">
        <v>0.21112513118240508</v>
      </c>
      <c r="P1846" s="11">
        <f t="shared" si="286"/>
        <v>312.87722922695286</v>
      </c>
      <c r="Q1846" s="12">
        <f t="shared" si="287"/>
        <v>312.87722922695281</v>
      </c>
      <c r="R1846" s="13">
        <f t="shared" si="288"/>
        <v>170.75579655594075</v>
      </c>
      <c r="S1846" s="3" t="s">
        <v>31</v>
      </c>
      <c r="T1846" s="3" t="s">
        <v>28</v>
      </c>
      <c r="U1846" s="10">
        <v>9420059900999</v>
      </c>
      <c r="V1846" s="3">
        <v>0.1</v>
      </c>
      <c r="W1846" s="3">
        <f t="shared" si="289"/>
        <v>0</v>
      </c>
      <c r="AA1846" s="3">
        <v>48</v>
      </c>
    </row>
    <row r="1847" spans="1:27" x14ac:dyDescent="0.3">
      <c r="A1847" s="3" t="str">
        <f t="shared" si="280"/>
        <v>West9310029902219</v>
      </c>
      <c r="B1847" s="3" t="str">
        <f t="shared" si="281"/>
        <v>Mah9310029902219</v>
      </c>
      <c r="C1847" s="10">
        <v>9310029902219</v>
      </c>
      <c r="D1847" s="10" t="str">
        <f t="shared" si="282"/>
        <v>9310029902</v>
      </c>
      <c r="E1847" s="3" t="s">
        <v>1</v>
      </c>
      <c r="F1847" s="3" t="s">
        <v>63</v>
      </c>
      <c r="H1847" s="3">
        <v>1.794</v>
      </c>
      <c r="I1847" s="10">
        <f t="shared" si="283"/>
        <v>256.77664602423994</v>
      </c>
      <c r="J1847" s="3">
        <v>0.20959850061644369</v>
      </c>
      <c r="K1847" s="3">
        <v>0</v>
      </c>
      <c r="L1847" s="3">
        <f t="shared" si="284"/>
        <v>0</v>
      </c>
      <c r="N1847" s="11">
        <f t="shared" si="285"/>
        <v>1.5844014993835565</v>
      </c>
      <c r="O1847" s="3">
        <v>0.20959850061644369</v>
      </c>
      <c r="P1847" s="11">
        <f t="shared" si="286"/>
        <v>226.77664602423997</v>
      </c>
      <c r="Q1847" s="12">
        <f t="shared" si="287"/>
        <v>226.77664602423997</v>
      </c>
      <c r="R1847" s="13">
        <f t="shared" si="288"/>
        <v>448.67095814884334</v>
      </c>
      <c r="S1847" s="3" t="s">
        <v>31</v>
      </c>
      <c r="T1847" s="3" t="s">
        <v>32</v>
      </c>
      <c r="U1847" s="10">
        <v>9310029900999</v>
      </c>
      <c r="V1847" s="3">
        <v>0.1</v>
      </c>
      <c r="W1847" s="3">
        <f t="shared" si="289"/>
        <v>0</v>
      </c>
      <c r="AA1847" s="3">
        <v>48</v>
      </c>
    </row>
    <row r="1848" spans="1:27" x14ac:dyDescent="0.3">
      <c r="A1848" s="3" t="str">
        <f t="shared" si="280"/>
        <v>West9420039902319</v>
      </c>
      <c r="B1848" s="3" t="str">
        <f t="shared" si="281"/>
        <v>Mah9420039902319</v>
      </c>
      <c r="C1848" s="10">
        <v>9420039902319</v>
      </c>
      <c r="D1848" s="10" t="str">
        <f t="shared" si="282"/>
        <v>9420039902</v>
      </c>
      <c r="E1848" s="3" t="s">
        <v>1</v>
      </c>
      <c r="F1848" s="3" t="s">
        <v>63</v>
      </c>
      <c r="H1848" s="3">
        <v>0.89300000000000002</v>
      </c>
      <c r="I1848" s="10">
        <f t="shared" si="283"/>
        <v>195.06063341514056</v>
      </c>
      <c r="J1848" s="3">
        <v>0.1373419102099592</v>
      </c>
      <c r="K1848" s="3">
        <v>0</v>
      </c>
      <c r="L1848" s="3">
        <f t="shared" si="284"/>
        <v>0</v>
      </c>
      <c r="N1848" s="11">
        <f t="shared" si="285"/>
        <v>0.75565808979004079</v>
      </c>
      <c r="O1848" s="3">
        <v>0.1373419102099592</v>
      </c>
      <c r="P1848" s="11">
        <f t="shared" si="286"/>
        <v>165.06063341514056</v>
      </c>
      <c r="Q1848" s="12">
        <f t="shared" si="287"/>
        <v>165.06063341514056</v>
      </c>
      <c r="R1848" s="13">
        <f t="shared" si="288"/>
        <v>30.585208828369929</v>
      </c>
      <c r="S1848" s="3" t="s">
        <v>31</v>
      </c>
      <c r="T1848" s="3" t="s">
        <v>28</v>
      </c>
      <c r="U1848" s="10">
        <v>9420039900999</v>
      </c>
      <c r="V1848" s="3">
        <v>0.1</v>
      </c>
      <c r="W1848" s="3">
        <f t="shared" si="289"/>
        <v>0</v>
      </c>
      <c r="AA1848" s="3">
        <v>48</v>
      </c>
    </row>
    <row r="1849" spans="1:27" x14ac:dyDescent="0.3">
      <c r="A1849" s="3" t="str">
        <f t="shared" si="280"/>
        <v>West9310029902839</v>
      </c>
      <c r="B1849" s="3" t="str">
        <f t="shared" si="281"/>
        <v>Mah9310029902839</v>
      </c>
      <c r="C1849" s="10">
        <v>9310029902839</v>
      </c>
      <c r="D1849" s="10" t="str">
        <f t="shared" si="282"/>
        <v>9310029902</v>
      </c>
      <c r="E1849" s="3" t="s">
        <v>1</v>
      </c>
      <c r="F1849" s="3" t="s">
        <v>63</v>
      </c>
      <c r="H1849" s="3">
        <v>0.67079999999999995</v>
      </c>
      <c r="I1849" s="10">
        <f t="shared" si="283"/>
        <v>161.83414372971021</v>
      </c>
      <c r="J1849" s="3">
        <v>0.12434953178737367</v>
      </c>
      <c r="K1849" s="3">
        <v>0</v>
      </c>
      <c r="L1849" s="3">
        <f t="shared" si="284"/>
        <v>0</v>
      </c>
      <c r="N1849" s="11">
        <f t="shared" si="285"/>
        <v>0.54645046821262633</v>
      </c>
      <c r="O1849" s="3">
        <v>0.12434953178737367</v>
      </c>
      <c r="P1849" s="11">
        <f t="shared" si="286"/>
        <v>131.83414372971023</v>
      </c>
      <c r="Q1849" s="12">
        <f t="shared" si="287"/>
        <v>131.83414372971023</v>
      </c>
      <c r="R1849" s="13">
        <f t="shared" si="288"/>
        <v>778.76793913046367</v>
      </c>
      <c r="S1849" s="3" t="s">
        <v>31</v>
      </c>
      <c r="T1849" s="3" t="s">
        <v>32</v>
      </c>
      <c r="U1849" s="10">
        <v>0</v>
      </c>
      <c r="V1849" s="3">
        <v>0</v>
      </c>
      <c r="W1849" s="3">
        <f t="shared" si="289"/>
        <v>0</v>
      </c>
      <c r="AA1849" s="3">
        <v>48</v>
      </c>
    </row>
    <row r="1850" spans="1:27" x14ac:dyDescent="0.3">
      <c r="A1850" s="3" t="str">
        <f t="shared" si="280"/>
        <v>West9420039902295</v>
      </c>
      <c r="B1850" s="3" t="str">
        <f t="shared" si="281"/>
        <v>Mah9420039902295</v>
      </c>
      <c r="C1850" s="10">
        <v>9420039902295</v>
      </c>
      <c r="D1850" s="10" t="str">
        <f t="shared" si="282"/>
        <v>9420039902</v>
      </c>
      <c r="E1850" s="3" t="s">
        <v>1</v>
      </c>
      <c r="F1850" s="3" t="s">
        <v>63</v>
      </c>
      <c r="H1850" s="3">
        <v>0.96900000000000008</v>
      </c>
      <c r="I1850" s="10">
        <f t="shared" si="283"/>
        <v>255.2356110058048</v>
      </c>
      <c r="J1850" s="3">
        <v>0.11389476525412774</v>
      </c>
      <c r="K1850" s="3">
        <v>0</v>
      </c>
      <c r="L1850" s="3">
        <f t="shared" si="284"/>
        <v>0</v>
      </c>
      <c r="N1850" s="11">
        <f t="shared" si="285"/>
        <v>0.8551052347458723</v>
      </c>
      <c r="O1850" s="3">
        <v>0.11389476525412774</v>
      </c>
      <c r="P1850" s="11">
        <f t="shared" si="286"/>
        <v>225.2356110058048</v>
      </c>
      <c r="Q1850" s="12">
        <f t="shared" si="287"/>
        <v>225.2356110058048</v>
      </c>
      <c r="R1850" s="13">
        <f t="shared" si="288"/>
        <v>60.650053320416951</v>
      </c>
      <c r="S1850" s="3" t="s">
        <v>31</v>
      </c>
      <c r="T1850" s="3" t="s">
        <v>28</v>
      </c>
      <c r="U1850" s="10">
        <v>9420039900999</v>
      </c>
      <c r="V1850" s="3">
        <v>0.1</v>
      </c>
      <c r="W1850" s="3">
        <f t="shared" si="289"/>
        <v>0</v>
      </c>
      <c r="AA1850" s="3">
        <v>48</v>
      </c>
    </row>
    <row r="1851" spans="1:27" x14ac:dyDescent="0.3">
      <c r="A1851" s="3" t="str">
        <f t="shared" si="280"/>
        <v>West9310029902297</v>
      </c>
      <c r="B1851" s="3" t="str">
        <f t="shared" si="281"/>
        <v>Mah9310029902297</v>
      </c>
      <c r="C1851" s="10">
        <v>9310029902297</v>
      </c>
      <c r="D1851" s="10" t="str">
        <f t="shared" si="282"/>
        <v>9310029902</v>
      </c>
      <c r="E1851" s="3" t="s">
        <v>1</v>
      </c>
      <c r="F1851" s="3" t="s">
        <v>63</v>
      </c>
      <c r="H1851" s="3">
        <v>1.5209999999999999</v>
      </c>
      <c r="I1851" s="10">
        <f t="shared" si="283"/>
        <v>814.31363371690827</v>
      </c>
      <c r="J1851" s="3">
        <v>5.603492083476895E-2</v>
      </c>
      <c r="K1851" s="3">
        <v>0</v>
      </c>
      <c r="L1851" s="3">
        <f t="shared" si="284"/>
        <v>0</v>
      </c>
      <c r="N1851" s="11">
        <f t="shared" si="285"/>
        <v>1.4649650791652309</v>
      </c>
      <c r="O1851" s="3">
        <v>5.603492083476895E-2</v>
      </c>
      <c r="P1851" s="11">
        <f t="shared" si="286"/>
        <v>784.31363371690827</v>
      </c>
      <c r="Q1851" s="12">
        <f t="shared" si="287"/>
        <v>784.31363371690827</v>
      </c>
      <c r="R1851" s="13">
        <f t="shared" si="288"/>
        <v>963.61422022948886</v>
      </c>
      <c r="S1851" s="3" t="s">
        <v>31</v>
      </c>
      <c r="T1851" s="3" t="s">
        <v>32</v>
      </c>
      <c r="U1851" s="10">
        <v>9310029900999</v>
      </c>
      <c r="V1851" s="3">
        <v>0.1</v>
      </c>
      <c r="W1851" s="3">
        <f t="shared" si="289"/>
        <v>0</v>
      </c>
      <c r="AA1851" s="3">
        <v>48</v>
      </c>
    </row>
    <row r="1852" spans="1:27" x14ac:dyDescent="0.3">
      <c r="A1852" s="3" t="str">
        <f t="shared" si="280"/>
        <v>West9420049902195</v>
      </c>
      <c r="B1852" s="3" t="str">
        <f t="shared" si="281"/>
        <v>Mah9420049902195</v>
      </c>
      <c r="C1852" s="10">
        <v>9420049902195</v>
      </c>
      <c r="D1852" s="10" t="str">
        <f t="shared" si="282"/>
        <v>9420049902</v>
      </c>
      <c r="E1852" s="3" t="s">
        <v>1</v>
      </c>
      <c r="F1852" s="3" t="s">
        <v>63</v>
      </c>
      <c r="H1852" s="3">
        <v>0</v>
      </c>
      <c r="I1852" s="10">
        <f t="shared" si="283"/>
        <v>0</v>
      </c>
      <c r="J1852" s="3">
        <v>2.6457116444412558E-2</v>
      </c>
      <c r="K1852" s="3">
        <v>0</v>
      </c>
      <c r="L1852" s="3">
        <f t="shared" si="284"/>
        <v>0</v>
      </c>
      <c r="N1852" s="11">
        <f t="shared" si="285"/>
        <v>-2.6457116444412558E-2</v>
      </c>
      <c r="O1852" s="3">
        <v>2.6457116444412558E-2</v>
      </c>
      <c r="P1852" s="11">
        <f t="shared" si="286"/>
        <v>-30</v>
      </c>
      <c r="Q1852" s="12">
        <f t="shared" si="287"/>
        <v>-30</v>
      </c>
      <c r="R1852" s="13">
        <f t="shared" si="288"/>
        <v>-30</v>
      </c>
      <c r="S1852" s="3" t="s">
        <v>31</v>
      </c>
      <c r="T1852" s="3" t="s">
        <v>28</v>
      </c>
      <c r="U1852" s="10">
        <v>0</v>
      </c>
      <c r="V1852" s="3">
        <v>0</v>
      </c>
      <c r="W1852" s="3">
        <f t="shared" si="289"/>
        <v>0</v>
      </c>
      <c r="AA1852" s="3">
        <v>48</v>
      </c>
    </row>
    <row r="1853" spans="1:27" x14ac:dyDescent="0.3">
      <c r="A1853" s="3" t="str">
        <f t="shared" si="280"/>
        <v>West9420049902319</v>
      </c>
      <c r="B1853" s="3" t="str">
        <f t="shared" si="281"/>
        <v>Mah9420049902319</v>
      </c>
      <c r="C1853" s="10">
        <v>9420049902319</v>
      </c>
      <c r="D1853" s="10" t="str">
        <f t="shared" si="282"/>
        <v>9420049902</v>
      </c>
      <c r="E1853" s="3" t="s">
        <v>1</v>
      </c>
      <c r="F1853" s="3" t="s">
        <v>63</v>
      </c>
      <c r="H1853" s="3">
        <v>4.3130000000000006</v>
      </c>
      <c r="I1853" s="10">
        <f t="shared" si="283"/>
        <v>8694.3632297218828</v>
      </c>
      <c r="J1853" s="3">
        <v>1.4882055946049882E-2</v>
      </c>
      <c r="K1853" s="3">
        <v>0</v>
      </c>
      <c r="L1853" s="3">
        <f t="shared" si="284"/>
        <v>0</v>
      </c>
      <c r="N1853" s="11">
        <f t="shared" si="285"/>
        <v>4.298117944053951</v>
      </c>
      <c r="O1853" s="3">
        <v>1.4882055946049882E-2</v>
      </c>
      <c r="P1853" s="11">
        <f t="shared" si="286"/>
        <v>8664.3632297218846</v>
      </c>
      <c r="Q1853" s="12">
        <f t="shared" si="287"/>
        <v>8664.3632297218828</v>
      </c>
      <c r="R1853" s="13">
        <f t="shared" si="288"/>
        <v>24424.26870277066</v>
      </c>
      <c r="S1853" s="3" t="s">
        <v>31</v>
      </c>
      <c r="T1853" s="3" t="s">
        <v>28</v>
      </c>
      <c r="U1853" s="10">
        <v>9420049900999</v>
      </c>
      <c r="V1853" s="3">
        <v>0.1</v>
      </c>
      <c r="W1853" s="3">
        <f t="shared" si="289"/>
        <v>0</v>
      </c>
      <c r="AA1853" s="3">
        <v>48</v>
      </c>
    </row>
    <row r="1854" spans="1:27" x14ac:dyDescent="0.3">
      <c r="A1854" s="3" t="str">
        <f t="shared" si="280"/>
        <v>West9420049902295</v>
      </c>
      <c r="B1854" s="3" t="str">
        <f t="shared" si="281"/>
        <v>Mah9420049902295</v>
      </c>
      <c r="C1854" s="10">
        <v>9420049902295</v>
      </c>
      <c r="D1854" s="10" t="str">
        <f t="shared" si="282"/>
        <v>9420049902</v>
      </c>
      <c r="E1854" s="3" t="s">
        <v>1</v>
      </c>
      <c r="F1854" s="3" t="s">
        <v>63</v>
      </c>
      <c r="H1854" s="3">
        <v>2.0709999999999997</v>
      </c>
      <c r="I1854" s="10">
        <f t="shared" si="283"/>
        <v>4486.1674145491061</v>
      </c>
      <c r="J1854" s="3">
        <v>1.3849237948299915E-2</v>
      </c>
      <c r="K1854" s="3">
        <v>0</v>
      </c>
      <c r="L1854" s="3">
        <f t="shared" si="284"/>
        <v>0</v>
      </c>
      <c r="N1854" s="11">
        <f t="shared" si="285"/>
        <v>2.0571507620517</v>
      </c>
      <c r="O1854" s="3">
        <v>1.3849237948299915E-2</v>
      </c>
      <c r="P1854" s="11">
        <f t="shared" si="286"/>
        <v>4456.1674145491061</v>
      </c>
      <c r="Q1854" s="12">
        <f t="shared" si="287"/>
        <v>4456.167414549107</v>
      </c>
      <c r="R1854" s="13">
        <f t="shared" si="288"/>
        <v>15203.553616405226</v>
      </c>
      <c r="S1854" s="3" t="s">
        <v>31</v>
      </c>
      <c r="T1854" s="3" t="s">
        <v>28</v>
      </c>
      <c r="U1854" s="10">
        <v>9420049900999</v>
      </c>
      <c r="V1854" s="3">
        <v>0.1</v>
      </c>
      <c r="W1854" s="3">
        <f t="shared" si="289"/>
        <v>0</v>
      </c>
      <c r="AA1854" s="3">
        <v>48</v>
      </c>
    </row>
    <row r="1855" spans="1:27" x14ac:dyDescent="0.3">
      <c r="A1855" s="3" t="str">
        <f t="shared" si="280"/>
        <v>West9160709901210</v>
      </c>
      <c r="B1855" s="3" t="str">
        <f t="shared" si="281"/>
        <v>Mah9160709901210</v>
      </c>
      <c r="C1855" s="10">
        <v>9160709901210</v>
      </c>
      <c r="D1855" s="10" t="str">
        <f t="shared" si="282"/>
        <v>9160709901</v>
      </c>
      <c r="E1855" s="3" t="s">
        <v>1</v>
      </c>
      <c r="F1855" s="3" t="s">
        <v>63</v>
      </c>
      <c r="H1855" s="3">
        <v>0</v>
      </c>
      <c r="I1855" s="10">
        <f t="shared" si="283"/>
        <v>0</v>
      </c>
      <c r="J1855" s="3">
        <v>0</v>
      </c>
      <c r="K1855" s="3">
        <v>0</v>
      </c>
      <c r="L1855" s="3">
        <f t="shared" si="284"/>
        <v>0</v>
      </c>
      <c r="N1855" s="11">
        <f t="shared" si="285"/>
        <v>0</v>
      </c>
      <c r="O1855" s="3">
        <v>0</v>
      </c>
      <c r="P1855" s="11">
        <f t="shared" si="286"/>
        <v>9999</v>
      </c>
      <c r="Q1855" s="12">
        <f t="shared" si="287"/>
        <v>9999</v>
      </c>
      <c r="R1855" s="13">
        <f t="shared" si="288"/>
        <v>9999</v>
      </c>
      <c r="S1855" s="3" t="s">
        <v>31</v>
      </c>
      <c r="T1855" s="3" t="s">
        <v>34</v>
      </c>
      <c r="U1855" s="10">
        <v>0</v>
      </c>
      <c r="V1855" s="3">
        <v>0</v>
      </c>
      <c r="W1855" s="3">
        <f t="shared" si="289"/>
        <v>0</v>
      </c>
      <c r="AA1855" s="3">
        <v>48</v>
      </c>
    </row>
    <row r="1856" spans="1:27" x14ac:dyDescent="0.3">
      <c r="A1856" s="3" t="str">
        <f t="shared" si="280"/>
        <v>West9160509902097</v>
      </c>
      <c r="B1856" s="3" t="str">
        <f t="shared" si="281"/>
        <v>Mah9160509902097</v>
      </c>
      <c r="C1856" s="10">
        <v>9160509902097</v>
      </c>
      <c r="D1856" s="10" t="str">
        <f t="shared" si="282"/>
        <v>9160509902</v>
      </c>
      <c r="E1856" s="3" t="s">
        <v>1</v>
      </c>
      <c r="F1856" s="3" t="s">
        <v>63</v>
      </c>
      <c r="H1856" s="3">
        <v>0</v>
      </c>
      <c r="I1856" s="10">
        <f t="shared" si="283"/>
        <v>0</v>
      </c>
      <c r="J1856" s="3">
        <v>0</v>
      </c>
      <c r="K1856" s="3">
        <v>0</v>
      </c>
      <c r="L1856" s="3">
        <f t="shared" si="284"/>
        <v>0</v>
      </c>
      <c r="N1856" s="11">
        <f t="shared" si="285"/>
        <v>0</v>
      </c>
      <c r="O1856" s="3">
        <v>0</v>
      </c>
      <c r="P1856" s="11">
        <f t="shared" si="286"/>
        <v>9999</v>
      </c>
      <c r="Q1856" s="12">
        <f t="shared" si="287"/>
        <v>9999</v>
      </c>
      <c r="R1856" s="13">
        <f t="shared" si="288"/>
        <v>9999</v>
      </c>
      <c r="S1856" s="3" t="s">
        <v>31</v>
      </c>
      <c r="T1856" s="3" t="s">
        <v>34</v>
      </c>
      <c r="U1856" s="10" t="s">
        <v>72</v>
      </c>
      <c r="V1856" s="3" t="s">
        <v>72</v>
      </c>
      <c r="W1856" s="3">
        <f t="shared" si="289"/>
        <v>0</v>
      </c>
      <c r="AA1856" s="3">
        <v>48</v>
      </c>
    </row>
    <row r="1857" spans="1:27" x14ac:dyDescent="0.3">
      <c r="A1857" s="3" t="str">
        <f t="shared" si="280"/>
        <v>West9310029902097</v>
      </c>
      <c r="B1857" s="3" t="str">
        <f t="shared" si="281"/>
        <v>Mah9310029902097</v>
      </c>
      <c r="C1857" s="10">
        <v>9310029902097</v>
      </c>
      <c r="D1857" s="10" t="str">
        <f t="shared" si="282"/>
        <v>9310029902</v>
      </c>
      <c r="E1857" s="3" t="s">
        <v>1</v>
      </c>
      <c r="F1857" s="3" t="s">
        <v>63</v>
      </c>
      <c r="H1857" s="3">
        <v>0</v>
      </c>
      <c r="I1857" s="10">
        <f t="shared" si="283"/>
        <v>0</v>
      </c>
      <c r="J1857" s="3">
        <v>0</v>
      </c>
      <c r="K1857" s="3">
        <v>0</v>
      </c>
      <c r="L1857" s="3">
        <f t="shared" si="284"/>
        <v>0</v>
      </c>
      <c r="N1857" s="11">
        <f t="shared" si="285"/>
        <v>0</v>
      </c>
      <c r="O1857" s="3">
        <v>0</v>
      </c>
      <c r="P1857" s="11">
        <f t="shared" si="286"/>
        <v>9999</v>
      </c>
      <c r="Q1857" s="12">
        <f t="shared" si="287"/>
        <v>9999</v>
      </c>
      <c r="R1857" s="13">
        <f t="shared" si="288"/>
        <v>9999</v>
      </c>
      <c r="S1857" s="3" t="s">
        <v>31</v>
      </c>
      <c r="T1857" s="3" t="s">
        <v>32</v>
      </c>
      <c r="U1857" s="10">
        <v>0</v>
      </c>
      <c r="V1857" s="3">
        <v>0</v>
      </c>
      <c r="W1857" s="3">
        <f t="shared" si="289"/>
        <v>0</v>
      </c>
      <c r="AA1857" s="3">
        <v>48</v>
      </c>
    </row>
    <row r="1858" spans="1:27" x14ac:dyDescent="0.3">
      <c r="A1858" s="3" t="str">
        <f t="shared" si="280"/>
        <v>West9160709902097</v>
      </c>
      <c r="B1858" s="3" t="str">
        <f t="shared" si="281"/>
        <v>Mah9160709902097</v>
      </c>
      <c r="C1858" s="10">
        <v>9160709902097</v>
      </c>
      <c r="D1858" s="10" t="str">
        <f t="shared" si="282"/>
        <v>9160709902</v>
      </c>
      <c r="E1858" s="3" t="s">
        <v>1</v>
      </c>
      <c r="F1858" s="3" t="s">
        <v>63</v>
      </c>
      <c r="H1858" s="3">
        <v>0</v>
      </c>
      <c r="I1858" s="10">
        <f t="shared" si="283"/>
        <v>0</v>
      </c>
      <c r="J1858" s="3">
        <v>0</v>
      </c>
      <c r="K1858" s="3">
        <v>0</v>
      </c>
      <c r="L1858" s="3">
        <f t="shared" si="284"/>
        <v>0</v>
      </c>
      <c r="N1858" s="11">
        <f t="shared" si="285"/>
        <v>0</v>
      </c>
      <c r="O1858" s="3">
        <v>0</v>
      </c>
      <c r="P1858" s="11">
        <f t="shared" si="286"/>
        <v>9999</v>
      </c>
      <c r="Q1858" s="12">
        <f t="shared" si="287"/>
        <v>9999</v>
      </c>
      <c r="R1858" s="13">
        <f t="shared" si="288"/>
        <v>9999</v>
      </c>
      <c r="S1858" s="3" t="s">
        <v>31</v>
      </c>
      <c r="T1858" s="3" t="s">
        <v>34</v>
      </c>
      <c r="U1858" s="10" t="s">
        <v>72</v>
      </c>
      <c r="V1858" s="3" t="s">
        <v>72</v>
      </c>
      <c r="W1858" s="3">
        <f t="shared" si="289"/>
        <v>0</v>
      </c>
      <c r="AA1858" s="3">
        <v>48</v>
      </c>
    </row>
    <row r="1859" spans="1:27" x14ac:dyDescent="0.3">
      <c r="A1859" s="3" t="str">
        <f t="shared" si="280"/>
        <v>West9420049902838</v>
      </c>
      <c r="B1859" s="3" t="str">
        <f t="shared" si="281"/>
        <v>Mah9420049902838</v>
      </c>
      <c r="C1859" s="10">
        <v>9420049902838</v>
      </c>
      <c r="D1859" s="10" t="str">
        <f t="shared" si="282"/>
        <v>9420049902</v>
      </c>
      <c r="E1859" s="3" t="s">
        <v>1</v>
      </c>
      <c r="F1859" s="3" t="s">
        <v>63</v>
      </c>
      <c r="H1859" s="3">
        <v>0</v>
      </c>
      <c r="I1859" s="10">
        <f t="shared" si="283"/>
        <v>0</v>
      </c>
      <c r="J1859" s="3">
        <v>0</v>
      </c>
      <c r="K1859" s="3">
        <v>0</v>
      </c>
      <c r="L1859" s="3">
        <f t="shared" si="284"/>
        <v>0</v>
      </c>
      <c r="N1859" s="11">
        <f t="shared" si="285"/>
        <v>0</v>
      </c>
      <c r="O1859" s="3">
        <v>0</v>
      </c>
      <c r="P1859" s="11">
        <f t="shared" si="286"/>
        <v>9999</v>
      </c>
      <c r="Q1859" s="12">
        <f t="shared" si="287"/>
        <v>9999</v>
      </c>
      <c r="R1859" s="13">
        <f t="shared" si="288"/>
        <v>-30</v>
      </c>
      <c r="S1859" s="3" t="s">
        <v>31</v>
      </c>
      <c r="T1859" s="3" t="s">
        <v>28</v>
      </c>
      <c r="U1859" s="10">
        <v>0</v>
      </c>
      <c r="V1859" s="3">
        <v>0</v>
      </c>
      <c r="W1859" s="3">
        <f t="shared" si="289"/>
        <v>0</v>
      </c>
      <c r="AA1859" s="3">
        <v>48</v>
      </c>
    </row>
    <row r="1860" spans="1:27" x14ac:dyDescent="0.3">
      <c r="A1860" s="3" t="str">
        <f t="shared" ref="A1860:A1923" si="290">_xlfn.CONCAT(F1860,C1860)</f>
        <v>West9181709900210</v>
      </c>
      <c r="B1860" s="3" t="str">
        <f t="shared" ref="B1860:B1923" si="291">_xlfn.CONCAT(E1860,C1860)</f>
        <v>Mah9181709900210</v>
      </c>
      <c r="C1860" s="10">
        <v>9181709900210</v>
      </c>
      <c r="D1860" s="10" t="str">
        <f t="shared" ref="D1860:D1923" si="292">LEFT(C1860,10)</f>
        <v>9181709900</v>
      </c>
      <c r="E1860" s="3" t="s">
        <v>1</v>
      </c>
      <c r="F1860" s="3" t="s">
        <v>63</v>
      </c>
      <c r="H1860" s="3">
        <v>0</v>
      </c>
      <c r="I1860" s="10">
        <f t="shared" ref="I1860:I1923" si="293">IFERROR(H1860/J1860*30,0)</f>
        <v>0</v>
      </c>
      <c r="J1860" s="3">
        <v>0</v>
      </c>
      <c r="K1860" s="3">
        <v>0</v>
      </c>
      <c r="L1860" s="3">
        <f t="shared" ref="L1860:L1923" si="294">M1860*G1860</f>
        <v>0</v>
      </c>
      <c r="N1860" s="11">
        <f t="shared" ref="N1860:N1923" si="295">H1860-J1860+L1860</f>
        <v>0</v>
      </c>
      <c r="O1860" s="3">
        <v>0</v>
      </c>
      <c r="P1860" s="11">
        <f t="shared" ref="P1860:P1923" si="296">IF(O1860=0,9999,N1860/O1860*30)</f>
        <v>9999</v>
      </c>
      <c r="Q1860" s="12">
        <f t="shared" ref="Q1860:Q1923" si="297">IF(SUMIF($A:$A,$A1860,$O:$O)=0,9999,SUMIF($A:$A,$A1860,$N:$N)*30/SUMIF($A:$A,$A1860,$O:$O))</f>
        <v>9999</v>
      </c>
      <c r="R1860" s="13">
        <f t="shared" ref="R1860:R1923" si="298">IF(SUMIF($C:$C,$C1860,$O:$O)=0,9999,SUMIF($C:$C,$C1860,$N:$N)*30/SUMIF($C:$C,$C1860,$O:$O))</f>
        <v>9999</v>
      </c>
      <c r="S1860" s="3" t="s">
        <v>31</v>
      </c>
      <c r="T1860" s="3" t="s">
        <v>34</v>
      </c>
      <c r="U1860" s="10" t="s">
        <v>72</v>
      </c>
      <c r="V1860" s="3" t="s">
        <v>72</v>
      </c>
      <c r="W1860" s="3">
        <f t="shared" ref="W1860:W1923" si="299">IFERROR(K1860*V1860,0)</f>
        <v>0</v>
      </c>
      <c r="AA1860" s="3">
        <v>48</v>
      </c>
    </row>
    <row r="1861" spans="1:27" x14ac:dyDescent="0.3">
      <c r="A1861" s="3" t="str">
        <f t="shared" si="290"/>
        <v>West9160909900210</v>
      </c>
      <c r="B1861" s="3" t="str">
        <f t="shared" si="291"/>
        <v>Mah9160909900210</v>
      </c>
      <c r="C1861" s="10">
        <v>9160909900210</v>
      </c>
      <c r="D1861" s="10" t="str">
        <f t="shared" si="292"/>
        <v>9160909900</v>
      </c>
      <c r="E1861" s="3" t="s">
        <v>1</v>
      </c>
      <c r="F1861" s="3" t="s">
        <v>63</v>
      </c>
      <c r="H1861" s="3">
        <v>0</v>
      </c>
      <c r="I1861" s="10">
        <f t="shared" si="293"/>
        <v>0</v>
      </c>
      <c r="J1861" s="3">
        <v>0</v>
      </c>
      <c r="K1861" s="3">
        <v>0</v>
      </c>
      <c r="L1861" s="3">
        <f t="shared" si="294"/>
        <v>0</v>
      </c>
      <c r="N1861" s="11">
        <f t="shared" si="295"/>
        <v>0</v>
      </c>
      <c r="O1861" s="3">
        <v>0</v>
      </c>
      <c r="P1861" s="11">
        <f t="shared" si="296"/>
        <v>9999</v>
      </c>
      <c r="Q1861" s="12">
        <f t="shared" si="297"/>
        <v>9999</v>
      </c>
      <c r="R1861" s="13">
        <f t="shared" si="298"/>
        <v>9999</v>
      </c>
      <c r="S1861" s="3" t="s">
        <v>31</v>
      </c>
      <c r="T1861" s="3" t="s">
        <v>34</v>
      </c>
      <c r="U1861" s="10" t="s">
        <v>72</v>
      </c>
      <c r="V1861" s="3" t="s">
        <v>72</v>
      </c>
      <c r="W1861" s="3">
        <f t="shared" si="299"/>
        <v>0</v>
      </c>
      <c r="AA1861" s="3">
        <v>48</v>
      </c>
    </row>
    <row r="1862" spans="1:27" x14ac:dyDescent="0.3">
      <c r="A1862" s="3" t="str">
        <f t="shared" si="290"/>
        <v>West9160509901210</v>
      </c>
      <c r="B1862" s="3" t="str">
        <f t="shared" si="291"/>
        <v>Mah9160509901210</v>
      </c>
      <c r="C1862" s="10">
        <v>9160509901210</v>
      </c>
      <c r="D1862" s="10" t="str">
        <f t="shared" si="292"/>
        <v>9160509901</v>
      </c>
      <c r="E1862" s="3" t="s">
        <v>1</v>
      </c>
      <c r="F1862" s="3" t="s">
        <v>63</v>
      </c>
      <c r="H1862" s="3">
        <v>1.7000000000000001E-2</v>
      </c>
      <c r="I1862" s="10">
        <f t="shared" si="293"/>
        <v>0</v>
      </c>
      <c r="J1862" s="3">
        <v>0</v>
      </c>
      <c r="K1862" s="3">
        <v>0</v>
      </c>
      <c r="L1862" s="3">
        <f t="shared" si="294"/>
        <v>0</v>
      </c>
      <c r="N1862" s="11">
        <f t="shared" si="295"/>
        <v>1.7000000000000001E-2</v>
      </c>
      <c r="O1862" s="3">
        <v>0</v>
      </c>
      <c r="P1862" s="11">
        <f t="shared" si="296"/>
        <v>9999</v>
      </c>
      <c r="Q1862" s="12">
        <f t="shared" si="297"/>
        <v>9999</v>
      </c>
      <c r="R1862" s="13">
        <f t="shared" si="298"/>
        <v>9999</v>
      </c>
      <c r="S1862" s="3" t="s">
        <v>31</v>
      </c>
      <c r="T1862" s="3" t="s">
        <v>34</v>
      </c>
      <c r="U1862" s="10" t="s">
        <v>72</v>
      </c>
      <c r="V1862" s="3" t="s">
        <v>72</v>
      </c>
      <c r="W1862" s="3">
        <f t="shared" si="299"/>
        <v>0</v>
      </c>
      <c r="AA1862" s="3">
        <v>48</v>
      </c>
    </row>
    <row r="1863" spans="1:27" x14ac:dyDescent="0.3">
      <c r="A1863" s="3" t="str">
        <f t="shared" si="290"/>
        <v>North9431009913820</v>
      </c>
      <c r="B1863" s="3" t="str">
        <f t="shared" si="291"/>
        <v>Pan9431009913820</v>
      </c>
      <c r="C1863" s="10">
        <v>9431009913820</v>
      </c>
      <c r="D1863" s="10" t="str">
        <f t="shared" si="292"/>
        <v>9431009913</v>
      </c>
      <c r="E1863" s="3" t="s">
        <v>2</v>
      </c>
      <c r="F1863" s="3" t="s">
        <v>64</v>
      </c>
      <c r="H1863" s="3">
        <v>431.02000000000004</v>
      </c>
      <c r="I1863" s="10">
        <f t="shared" si="293"/>
        <v>28.091758548572667</v>
      </c>
      <c r="J1863" s="3">
        <v>460.29870211372014</v>
      </c>
      <c r="K1863" s="3">
        <v>264</v>
      </c>
      <c r="L1863" s="3">
        <f t="shared" si="294"/>
        <v>0</v>
      </c>
      <c r="N1863" s="11">
        <f t="shared" si="295"/>
        <v>-29.278702113720101</v>
      </c>
      <c r="O1863" s="3">
        <v>460.29870211372014</v>
      </c>
      <c r="P1863" s="11">
        <f t="shared" si="296"/>
        <v>-1.9082414514273331</v>
      </c>
      <c r="Q1863" s="12">
        <f t="shared" si="297"/>
        <v>0.58461345242409402</v>
      </c>
      <c r="R1863" s="13">
        <f t="shared" si="298"/>
        <v>-2.5561230746082235</v>
      </c>
      <c r="S1863" s="3" t="s">
        <v>29</v>
      </c>
      <c r="T1863" s="3" t="s">
        <v>35</v>
      </c>
      <c r="U1863" s="10">
        <v>0</v>
      </c>
      <c r="V1863" s="3">
        <v>0</v>
      </c>
      <c r="W1863" s="3">
        <f t="shared" si="299"/>
        <v>0</v>
      </c>
      <c r="AA1863" s="3">
        <v>48</v>
      </c>
    </row>
    <row r="1864" spans="1:27" x14ac:dyDescent="0.3">
      <c r="A1864" s="3" t="str">
        <f t="shared" si="290"/>
        <v>North9437019900320</v>
      </c>
      <c r="B1864" s="3" t="str">
        <f t="shared" si="291"/>
        <v>Pan9437019900320</v>
      </c>
      <c r="C1864" s="10">
        <v>9437019900320</v>
      </c>
      <c r="D1864" s="10" t="str">
        <f t="shared" si="292"/>
        <v>9437019900</v>
      </c>
      <c r="E1864" s="3" t="s">
        <v>2</v>
      </c>
      <c r="F1864" s="3" t="s">
        <v>64</v>
      </c>
      <c r="H1864" s="3">
        <v>117.71200000000002</v>
      </c>
      <c r="I1864" s="10">
        <f t="shared" si="293"/>
        <v>14.962265688332723</v>
      </c>
      <c r="J1864" s="3">
        <v>236.01773110830968</v>
      </c>
      <c r="K1864" s="3">
        <v>240</v>
      </c>
      <c r="L1864" s="3">
        <f t="shared" si="294"/>
        <v>0</v>
      </c>
      <c r="N1864" s="11">
        <f t="shared" si="295"/>
        <v>-118.30573110830966</v>
      </c>
      <c r="O1864" s="3">
        <v>236.01773110830968</v>
      </c>
      <c r="P1864" s="11">
        <f t="shared" si="296"/>
        <v>-15.037734311667277</v>
      </c>
      <c r="Q1864" s="12">
        <f t="shared" si="297"/>
        <v>-11.14928281707407</v>
      </c>
      <c r="R1864" s="13">
        <f t="shared" si="298"/>
        <v>-12.572634329089414</v>
      </c>
      <c r="S1864" s="3" t="s">
        <v>29</v>
      </c>
      <c r="T1864" s="3" t="s">
        <v>35</v>
      </c>
      <c r="U1864" s="10">
        <v>0</v>
      </c>
      <c r="V1864" s="3">
        <v>0</v>
      </c>
      <c r="W1864" s="3">
        <f t="shared" si="299"/>
        <v>0</v>
      </c>
      <c r="AA1864" s="3">
        <v>48</v>
      </c>
    </row>
    <row r="1865" spans="1:27" x14ac:dyDescent="0.3">
      <c r="A1865" s="3" t="str">
        <f t="shared" si="290"/>
        <v>North9320039900320</v>
      </c>
      <c r="B1865" s="3" t="str">
        <f t="shared" si="291"/>
        <v>Pan9320039900320</v>
      </c>
      <c r="C1865" s="10">
        <v>9320039900320</v>
      </c>
      <c r="D1865" s="10" t="str">
        <f t="shared" si="292"/>
        <v>9320039900</v>
      </c>
      <c r="E1865" s="3" t="s">
        <v>2</v>
      </c>
      <c r="F1865" s="3" t="s">
        <v>64</v>
      </c>
      <c r="H1865" s="3">
        <v>77.3</v>
      </c>
      <c r="I1865" s="10">
        <f t="shared" si="293"/>
        <v>13.145359949258468</v>
      </c>
      <c r="J1865" s="3">
        <v>176.41205786311048</v>
      </c>
      <c r="K1865" s="3">
        <v>252</v>
      </c>
      <c r="L1865" s="3">
        <f t="shared" si="294"/>
        <v>0</v>
      </c>
      <c r="N1865" s="11">
        <f t="shared" si="295"/>
        <v>-99.112057863110479</v>
      </c>
      <c r="O1865" s="3">
        <v>176.41205786311048</v>
      </c>
      <c r="P1865" s="11">
        <f t="shared" si="296"/>
        <v>-16.854640050741533</v>
      </c>
      <c r="Q1865" s="12">
        <f t="shared" si="297"/>
        <v>-15.239849435997494</v>
      </c>
      <c r="R1865" s="13">
        <f t="shared" si="298"/>
        <v>-10.513995057186442</v>
      </c>
      <c r="S1865" s="3" t="s">
        <v>29</v>
      </c>
      <c r="T1865" s="3" t="s">
        <v>28</v>
      </c>
      <c r="U1865" s="10">
        <v>9320039900999</v>
      </c>
      <c r="V1865" s="3">
        <v>0.1</v>
      </c>
      <c r="W1865" s="3">
        <f t="shared" si="299"/>
        <v>25.200000000000003</v>
      </c>
      <c r="AA1865" s="3">
        <v>48</v>
      </c>
    </row>
    <row r="1866" spans="1:27" x14ac:dyDescent="0.3">
      <c r="A1866" s="3" t="str">
        <f t="shared" si="290"/>
        <v>North9330019900820</v>
      </c>
      <c r="B1866" s="3" t="str">
        <f t="shared" si="291"/>
        <v>Pan9330019900820</v>
      </c>
      <c r="C1866" s="10">
        <v>9330019900820</v>
      </c>
      <c r="D1866" s="10" t="str">
        <f t="shared" si="292"/>
        <v>9330019900</v>
      </c>
      <c r="E1866" s="3" t="s">
        <v>2</v>
      </c>
      <c r="F1866" s="3" t="s">
        <v>64</v>
      </c>
      <c r="H1866" s="3">
        <v>63.500000000000007</v>
      </c>
      <c r="I1866" s="10">
        <f t="shared" si="293"/>
        <v>11.799400658281865</v>
      </c>
      <c r="J1866" s="3">
        <v>161.4488782244124</v>
      </c>
      <c r="K1866" s="3">
        <v>188</v>
      </c>
      <c r="L1866" s="3">
        <f t="shared" si="294"/>
        <v>0</v>
      </c>
      <c r="N1866" s="11">
        <f t="shared" si="295"/>
        <v>-97.948878224412397</v>
      </c>
      <c r="O1866" s="3">
        <v>161.4488782244124</v>
      </c>
      <c r="P1866" s="11">
        <f t="shared" si="296"/>
        <v>-18.200599341718135</v>
      </c>
      <c r="Q1866" s="12">
        <f t="shared" si="297"/>
        <v>-8.5416877079128071</v>
      </c>
      <c r="R1866" s="13">
        <f t="shared" si="298"/>
        <v>-9.2235664855163968</v>
      </c>
      <c r="S1866" s="3" t="s">
        <v>29</v>
      </c>
      <c r="T1866" s="3" t="s">
        <v>35</v>
      </c>
      <c r="U1866" s="10">
        <v>0</v>
      </c>
      <c r="V1866" s="3">
        <v>0</v>
      </c>
      <c r="W1866" s="3">
        <f t="shared" si="299"/>
        <v>0</v>
      </c>
      <c r="AA1866" s="3">
        <v>48</v>
      </c>
    </row>
    <row r="1867" spans="1:27" x14ac:dyDescent="0.3">
      <c r="A1867" s="3" t="str">
        <f t="shared" si="290"/>
        <v>North9320039901320</v>
      </c>
      <c r="B1867" s="3" t="str">
        <f t="shared" si="291"/>
        <v>Pan9320039901320</v>
      </c>
      <c r="C1867" s="10">
        <v>9320039901320</v>
      </c>
      <c r="D1867" s="10" t="str">
        <f t="shared" si="292"/>
        <v>9320039901</v>
      </c>
      <c r="E1867" s="3" t="s">
        <v>2</v>
      </c>
      <c r="F1867" s="3" t="s">
        <v>64</v>
      </c>
      <c r="H1867" s="3">
        <v>67.800000000000011</v>
      </c>
      <c r="I1867" s="10">
        <f t="shared" si="293"/>
        <v>13.883984808305739</v>
      </c>
      <c r="J1867" s="3">
        <v>146.49972814600113</v>
      </c>
      <c r="K1867" s="3">
        <v>180</v>
      </c>
      <c r="L1867" s="3">
        <f t="shared" si="294"/>
        <v>0</v>
      </c>
      <c r="N1867" s="11">
        <f t="shared" si="295"/>
        <v>-78.699728146001121</v>
      </c>
      <c r="O1867" s="3">
        <v>146.49972814600113</v>
      </c>
      <c r="P1867" s="11">
        <f t="shared" si="296"/>
        <v>-16.116015191694263</v>
      </c>
      <c r="Q1867" s="12">
        <f t="shared" si="297"/>
        <v>-12.904521836889991</v>
      </c>
      <c r="R1867" s="13">
        <f t="shared" si="298"/>
        <v>-7.7301793479032082</v>
      </c>
      <c r="S1867" s="3" t="s">
        <v>29</v>
      </c>
      <c r="T1867" s="3" t="s">
        <v>28</v>
      </c>
      <c r="U1867" s="10">
        <v>9320039900999</v>
      </c>
      <c r="V1867" s="3">
        <v>0.1</v>
      </c>
      <c r="W1867" s="3">
        <f t="shared" si="299"/>
        <v>18</v>
      </c>
      <c r="AA1867" s="3">
        <v>48</v>
      </c>
    </row>
    <row r="1868" spans="1:27" x14ac:dyDescent="0.3">
      <c r="A1868" s="3" t="str">
        <f t="shared" si="290"/>
        <v>North9360049900320</v>
      </c>
      <c r="B1868" s="3" t="str">
        <f t="shared" si="291"/>
        <v>Pan9360049900320</v>
      </c>
      <c r="C1868" s="10">
        <v>9360049900320</v>
      </c>
      <c r="D1868" s="10" t="str">
        <f t="shared" si="292"/>
        <v>9360049900</v>
      </c>
      <c r="E1868" s="3" t="s">
        <v>2</v>
      </c>
      <c r="F1868" s="3" t="s">
        <v>64</v>
      </c>
      <c r="H1868" s="3">
        <v>45.719999999999992</v>
      </c>
      <c r="I1868" s="10">
        <f t="shared" si="293"/>
        <v>9.6927863708518398</v>
      </c>
      <c r="J1868" s="3">
        <v>141.50729702706303</v>
      </c>
      <c r="K1868" s="3">
        <v>228</v>
      </c>
      <c r="L1868" s="3">
        <f t="shared" si="294"/>
        <v>0</v>
      </c>
      <c r="N1868" s="11">
        <f t="shared" si="295"/>
        <v>-95.787297027063033</v>
      </c>
      <c r="O1868" s="3">
        <v>141.50729702706303</v>
      </c>
      <c r="P1868" s="11">
        <f t="shared" si="296"/>
        <v>-20.307213629148155</v>
      </c>
      <c r="Q1868" s="12">
        <f t="shared" si="297"/>
        <v>-20.307213629148158</v>
      </c>
      <c r="R1868" s="13">
        <f t="shared" si="298"/>
        <v>-12.795776026595203</v>
      </c>
      <c r="S1868" s="3" t="s">
        <v>29</v>
      </c>
      <c r="T1868" s="3" t="s">
        <v>70</v>
      </c>
      <c r="U1868" s="10">
        <v>9360049900999</v>
      </c>
      <c r="V1868" s="3">
        <v>0.1</v>
      </c>
      <c r="W1868" s="3">
        <f t="shared" si="299"/>
        <v>22.8</v>
      </c>
      <c r="AA1868" s="3">
        <v>48</v>
      </c>
    </row>
    <row r="1869" spans="1:27" x14ac:dyDescent="0.3">
      <c r="A1869" s="3" t="str">
        <f t="shared" si="290"/>
        <v>North9431009913810</v>
      </c>
      <c r="B1869" s="3" t="str">
        <f t="shared" si="291"/>
        <v>Pan9431009913810</v>
      </c>
      <c r="C1869" s="10">
        <v>9431009913810</v>
      </c>
      <c r="D1869" s="10" t="str">
        <f t="shared" si="292"/>
        <v>9431009913</v>
      </c>
      <c r="E1869" s="3" t="s">
        <v>2</v>
      </c>
      <c r="F1869" s="3" t="s">
        <v>64</v>
      </c>
      <c r="H1869" s="3">
        <v>110.83</v>
      </c>
      <c r="I1869" s="10">
        <f t="shared" si="293"/>
        <v>33.067210795555056</v>
      </c>
      <c r="J1869" s="3">
        <v>100.54975669272167</v>
      </c>
      <c r="K1869" s="3">
        <v>48</v>
      </c>
      <c r="L1869" s="3">
        <f t="shared" si="294"/>
        <v>0</v>
      </c>
      <c r="N1869" s="11">
        <f t="shared" si="295"/>
        <v>10.280243307278326</v>
      </c>
      <c r="O1869" s="3">
        <v>100.54975669272167</v>
      </c>
      <c r="P1869" s="11">
        <f t="shared" si="296"/>
        <v>3.0672107955550523</v>
      </c>
      <c r="Q1869" s="12">
        <f t="shared" si="297"/>
        <v>3.3343695106960061</v>
      </c>
      <c r="R1869" s="13">
        <f t="shared" si="298"/>
        <v>-1.8048507430937932</v>
      </c>
      <c r="S1869" s="3" t="s">
        <v>29</v>
      </c>
      <c r="T1869" s="3" t="s">
        <v>35</v>
      </c>
      <c r="U1869" s="10">
        <v>0</v>
      </c>
      <c r="V1869" s="3">
        <v>0</v>
      </c>
      <c r="W1869" s="3">
        <f t="shared" si="299"/>
        <v>0</v>
      </c>
      <c r="AA1869" s="3">
        <v>48</v>
      </c>
    </row>
    <row r="1870" spans="1:27" x14ac:dyDescent="0.3">
      <c r="A1870" s="3" t="str">
        <f t="shared" si="290"/>
        <v>North9320099900320</v>
      </c>
      <c r="B1870" s="3" t="str">
        <f t="shared" si="291"/>
        <v>Pan9320099900320</v>
      </c>
      <c r="C1870" s="10">
        <v>9320099900320</v>
      </c>
      <c r="D1870" s="10" t="str">
        <f t="shared" si="292"/>
        <v>9320099900</v>
      </c>
      <c r="E1870" s="3" t="s">
        <v>2</v>
      </c>
      <c r="F1870" s="3" t="s">
        <v>64</v>
      </c>
      <c r="H1870" s="3">
        <v>114.78</v>
      </c>
      <c r="I1870" s="10">
        <f t="shared" si="293"/>
        <v>43.420733870545533</v>
      </c>
      <c r="J1870" s="3">
        <v>79.303127631747174</v>
      </c>
      <c r="K1870" s="3">
        <v>36</v>
      </c>
      <c r="L1870" s="3">
        <f t="shared" si="294"/>
        <v>0</v>
      </c>
      <c r="N1870" s="11">
        <f t="shared" si="295"/>
        <v>35.476872368252828</v>
      </c>
      <c r="O1870" s="3">
        <v>79.303127631747174</v>
      </c>
      <c r="P1870" s="11">
        <f t="shared" si="296"/>
        <v>13.420733870545535</v>
      </c>
      <c r="Q1870" s="12">
        <f t="shared" si="297"/>
        <v>15.335207320517947</v>
      </c>
      <c r="R1870" s="13">
        <f t="shared" si="298"/>
        <v>17.971452330671681</v>
      </c>
      <c r="S1870" s="3" t="s">
        <v>31</v>
      </c>
      <c r="T1870" s="3" t="s">
        <v>28</v>
      </c>
      <c r="U1870" s="10">
        <v>9320099900999</v>
      </c>
      <c r="V1870" s="3">
        <v>0.1</v>
      </c>
      <c r="W1870" s="3">
        <f t="shared" si="299"/>
        <v>3.6</v>
      </c>
      <c r="AA1870" s="3">
        <v>48</v>
      </c>
    </row>
    <row r="1871" spans="1:27" x14ac:dyDescent="0.3">
      <c r="A1871" s="3" t="str">
        <f t="shared" si="290"/>
        <v>North9432009901320</v>
      </c>
      <c r="B1871" s="3" t="str">
        <f t="shared" si="291"/>
        <v>Pan9432009901320</v>
      </c>
      <c r="C1871" s="10">
        <v>9432009901320</v>
      </c>
      <c r="D1871" s="10" t="str">
        <f t="shared" si="292"/>
        <v>9432009901</v>
      </c>
      <c r="E1871" s="3" t="s">
        <v>2</v>
      </c>
      <c r="F1871" s="3" t="s">
        <v>64</v>
      </c>
      <c r="H1871" s="3">
        <v>74.120000000000019</v>
      </c>
      <c r="I1871" s="10">
        <f t="shared" si="293"/>
        <v>28.078247815178894</v>
      </c>
      <c r="J1871" s="3">
        <v>79.192975809478355</v>
      </c>
      <c r="K1871" s="3">
        <v>48</v>
      </c>
      <c r="L1871" s="3">
        <f t="shared" si="294"/>
        <v>0</v>
      </c>
      <c r="N1871" s="11">
        <f t="shared" si="295"/>
        <v>-5.0729758094783364</v>
      </c>
      <c r="O1871" s="3">
        <v>79.192975809478355</v>
      </c>
      <c r="P1871" s="11">
        <f t="shared" si="296"/>
        <v>-1.9217521848211068</v>
      </c>
      <c r="Q1871" s="12">
        <f t="shared" si="297"/>
        <v>2.2319996604304548</v>
      </c>
      <c r="R1871" s="13">
        <f t="shared" si="298"/>
        <v>-3.1849715455509404</v>
      </c>
      <c r="S1871" s="3" t="s">
        <v>29</v>
      </c>
      <c r="T1871" s="3" t="s">
        <v>35</v>
      </c>
      <c r="U1871" s="10">
        <v>9432009900999</v>
      </c>
      <c r="V1871" s="3">
        <v>0.1</v>
      </c>
      <c r="W1871" s="3">
        <f t="shared" si="299"/>
        <v>4.8000000000000007</v>
      </c>
      <c r="AA1871" s="3">
        <v>48</v>
      </c>
    </row>
    <row r="1872" spans="1:27" x14ac:dyDescent="0.3">
      <c r="A1872" s="3" t="str">
        <f t="shared" si="290"/>
        <v>North9320099901320</v>
      </c>
      <c r="B1872" s="3" t="str">
        <f t="shared" si="291"/>
        <v>Pan9320099901320</v>
      </c>
      <c r="C1872" s="10">
        <v>9320099901320</v>
      </c>
      <c r="D1872" s="10" t="str">
        <f t="shared" si="292"/>
        <v>9320099901</v>
      </c>
      <c r="E1872" s="3" t="s">
        <v>2</v>
      </c>
      <c r="F1872" s="3" t="s">
        <v>64</v>
      </c>
      <c r="H1872" s="3">
        <v>70.84</v>
      </c>
      <c r="I1872" s="10">
        <f t="shared" si="293"/>
        <v>27.397713512206533</v>
      </c>
      <c r="J1872" s="3">
        <v>77.568516768859467</v>
      </c>
      <c r="K1872" s="3">
        <v>48</v>
      </c>
      <c r="L1872" s="3">
        <f t="shared" si="294"/>
        <v>0</v>
      </c>
      <c r="N1872" s="11">
        <f t="shared" si="295"/>
        <v>-6.728516768859464</v>
      </c>
      <c r="O1872" s="3">
        <v>77.568516768859467</v>
      </c>
      <c r="P1872" s="11">
        <f t="shared" si="296"/>
        <v>-2.6022864877934664</v>
      </c>
      <c r="Q1872" s="12">
        <f t="shared" si="297"/>
        <v>-2.0999995784505958</v>
      </c>
      <c r="R1872" s="13">
        <f t="shared" si="298"/>
        <v>2.6817619389753564</v>
      </c>
      <c r="S1872" s="3" t="s">
        <v>31</v>
      </c>
      <c r="T1872" s="3" t="s">
        <v>28</v>
      </c>
      <c r="U1872" s="10">
        <v>9320099900999</v>
      </c>
      <c r="V1872" s="3">
        <v>0.1</v>
      </c>
      <c r="W1872" s="3">
        <f t="shared" si="299"/>
        <v>4.8000000000000007</v>
      </c>
      <c r="AA1872" s="3">
        <v>48</v>
      </c>
    </row>
    <row r="1873" spans="1:27" x14ac:dyDescent="0.3">
      <c r="A1873" s="3" t="str">
        <f t="shared" si="290"/>
        <v>North9432009900320</v>
      </c>
      <c r="B1873" s="3" t="str">
        <f t="shared" si="291"/>
        <v>Pan9432009900320</v>
      </c>
      <c r="C1873" s="10">
        <v>9432009900320</v>
      </c>
      <c r="D1873" s="10" t="str">
        <f t="shared" si="292"/>
        <v>9432009900</v>
      </c>
      <c r="E1873" s="3" t="s">
        <v>2</v>
      </c>
      <c r="F1873" s="3" t="s">
        <v>64</v>
      </c>
      <c r="H1873" s="3">
        <v>48.75500000000001</v>
      </c>
      <c r="I1873" s="10">
        <f t="shared" si="293"/>
        <v>21.041107162808974</v>
      </c>
      <c r="J1873" s="3">
        <v>69.513927602882731</v>
      </c>
      <c r="K1873" s="3">
        <v>60</v>
      </c>
      <c r="L1873" s="3">
        <f t="shared" si="294"/>
        <v>0</v>
      </c>
      <c r="N1873" s="11">
        <f t="shared" si="295"/>
        <v>-20.758927602882721</v>
      </c>
      <c r="O1873" s="3">
        <v>69.513927602882731</v>
      </c>
      <c r="P1873" s="11">
        <f t="shared" si="296"/>
        <v>-8.9588928371910264</v>
      </c>
      <c r="Q1873" s="12">
        <f t="shared" si="297"/>
        <v>-10.746326084685188</v>
      </c>
      <c r="R1873" s="13">
        <f t="shared" si="298"/>
        <v>0.17373377487676703</v>
      </c>
      <c r="S1873" s="3" t="s">
        <v>29</v>
      </c>
      <c r="T1873" s="3" t="s">
        <v>35</v>
      </c>
      <c r="U1873" s="10">
        <v>9432009900999</v>
      </c>
      <c r="V1873" s="3">
        <v>0.1</v>
      </c>
      <c r="W1873" s="3">
        <f t="shared" si="299"/>
        <v>6</v>
      </c>
      <c r="AA1873" s="3">
        <v>48</v>
      </c>
    </row>
    <row r="1874" spans="1:27" x14ac:dyDescent="0.3">
      <c r="A1874" s="3" t="str">
        <f t="shared" si="290"/>
        <v>North9432029901320</v>
      </c>
      <c r="B1874" s="3" t="str">
        <f t="shared" si="291"/>
        <v>Pan9432029901320</v>
      </c>
      <c r="C1874" s="10">
        <v>9432029901320</v>
      </c>
      <c r="D1874" s="10" t="str">
        <f t="shared" si="292"/>
        <v>9432029901</v>
      </c>
      <c r="E1874" s="3" t="s">
        <v>2</v>
      </c>
      <c r="F1874" s="3" t="s">
        <v>64</v>
      </c>
      <c r="H1874" s="3">
        <v>59.239999999999981</v>
      </c>
      <c r="I1874" s="10">
        <f t="shared" si="293"/>
        <v>26.591256296991805</v>
      </c>
      <c r="J1874" s="3">
        <v>66.833999121773317</v>
      </c>
      <c r="K1874" s="3">
        <v>48</v>
      </c>
      <c r="L1874" s="3">
        <f t="shared" si="294"/>
        <v>0</v>
      </c>
      <c r="N1874" s="11">
        <f t="shared" si="295"/>
        <v>-7.5939991217733365</v>
      </c>
      <c r="O1874" s="3">
        <v>66.833999121773317</v>
      </c>
      <c r="P1874" s="11">
        <f t="shared" si="296"/>
        <v>-3.408743703008196</v>
      </c>
      <c r="Q1874" s="12">
        <f t="shared" si="297"/>
        <v>6.9216093371991771</v>
      </c>
      <c r="R1874" s="13">
        <f t="shared" si="298"/>
        <v>34.940925816612058</v>
      </c>
      <c r="S1874" s="3" t="s">
        <v>31</v>
      </c>
      <c r="T1874" s="3" t="s">
        <v>35</v>
      </c>
      <c r="U1874" s="10">
        <v>9432029900999</v>
      </c>
      <c r="V1874" s="3">
        <v>0.1</v>
      </c>
      <c r="W1874" s="3">
        <f t="shared" si="299"/>
        <v>4.8000000000000007</v>
      </c>
      <c r="AA1874" s="3">
        <v>48</v>
      </c>
    </row>
    <row r="1875" spans="1:27" x14ac:dyDescent="0.3">
      <c r="A1875" s="3" t="str">
        <f t="shared" si="290"/>
        <v>North9320029901320</v>
      </c>
      <c r="B1875" s="3" t="str">
        <f t="shared" si="291"/>
        <v>Pan9320029901320</v>
      </c>
      <c r="C1875" s="10">
        <v>9320029901320</v>
      </c>
      <c r="D1875" s="10" t="str">
        <f t="shared" si="292"/>
        <v>9320029901</v>
      </c>
      <c r="E1875" s="3" t="s">
        <v>2</v>
      </c>
      <c r="F1875" s="3" t="s">
        <v>64</v>
      </c>
      <c r="H1875" s="3">
        <v>62.380000000000017</v>
      </c>
      <c r="I1875" s="10">
        <f t="shared" si="293"/>
        <v>34.822983609168958</v>
      </c>
      <c r="J1875" s="3">
        <v>53.740369320544303</v>
      </c>
      <c r="K1875" s="3">
        <v>0</v>
      </c>
      <c r="L1875" s="3">
        <f t="shared" si="294"/>
        <v>0</v>
      </c>
      <c r="N1875" s="11">
        <f t="shared" si="295"/>
        <v>8.6396306794557134</v>
      </c>
      <c r="O1875" s="3">
        <v>53.740369320544303</v>
      </c>
      <c r="P1875" s="11">
        <f t="shared" si="296"/>
        <v>4.822983609168956</v>
      </c>
      <c r="Q1875" s="12">
        <f t="shared" si="297"/>
        <v>0.95887000754321727</v>
      </c>
      <c r="R1875" s="13">
        <f t="shared" si="298"/>
        <v>9.4573161093933802</v>
      </c>
      <c r="S1875" s="3" t="s">
        <v>29</v>
      </c>
      <c r="T1875" s="3" t="s">
        <v>28</v>
      </c>
      <c r="U1875" s="10">
        <v>9320029900999</v>
      </c>
      <c r="V1875" s="3">
        <v>0.1</v>
      </c>
      <c r="W1875" s="3">
        <f t="shared" si="299"/>
        <v>0</v>
      </c>
      <c r="AA1875" s="3">
        <v>48</v>
      </c>
    </row>
    <row r="1876" spans="1:27" x14ac:dyDescent="0.3">
      <c r="A1876" s="3" t="str">
        <f t="shared" si="290"/>
        <v>North9437019900310</v>
      </c>
      <c r="B1876" s="3" t="str">
        <f t="shared" si="291"/>
        <v>Pan9437019900310</v>
      </c>
      <c r="C1876" s="10">
        <v>9437019900310</v>
      </c>
      <c r="D1876" s="10" t="str">
        <f t="shared" si="292"/>
        <v>9437019900</v>
      </c>
      <c r="E1876" s="3" t="s">
        <v>2</v>
      </c>
      <c r="F1876" s="3" t="s">
        <v>64</v>
      </c>
      <c r="H1876" s="3">
        <v>35.92</v>
      </c>
      <c r="I1876" s="10">
        <f t="shared" si="293"/>
        <v>22.36424846468897</v>
      </c>
      <c r="J1876" s="3">
        <v>48.184047038353576</v>
      </c>
      <c r="K1876" s="3">
        <v>48</v>
      </c>
      <c r="L1876" s="3">
        <f t="shared" si="294"/>
        <v>0</v>
      </c>
      <c r="N1876" s="11">
        <f t="shared" si="295"/>
        <v>-12.264047038353574</v>
      </c>
      <c r="O1876" s="3">
        <v>48.184047038353576</v>
      </c>
      <c r="P1876" s="11">
        <f t="shared" si="296"/>
        <v>-7.6357515353110301</v>
      </c>
      <c r="Q1876" s="12">
        <f t="shared" si="297"/>
        <v>-11.264349735766478</v>
      </c>
      <c r="R1876" s="13">
        <f t="shared" si="298"/>
        <v>-5.621670159363906</v>
      </c>
      <c r="S1876" s="3" t="s">
        <v>29</v>
      </c>
      <c r="T1876" s="3" t="s">
        <v>35</v>
      </c>
      <c r="U1876" s="10">
        <v>0</v>
      </c>
      <c r="V1876" s="3">
        <v>0</v>
      </c>
      <c r="W1876" s="3">
        <f t="shared" si="299"/>
        <v>0</v>
      </c>
      <c r="AA1876" s="3">
        <v>48</v>
      </c>
    </row>
    <row r="1877" spans="1:27" x14ac:dyDescent="0.3">
      <c r="A1877" s="3" t="str">
        <f t="shared" si="290"/>
        <v>North9360029900320</v>
      </c>
      <c r="B1877" s="3" t="str">
        <f t="shared" si="291"/>
        <v>Pan9360029900320</v>
      </c>
      <c r="C1877" s="10">
        <v>9360029900320</v>
      </c>
      <c r="D1877" s="10" t="str">
        <f t="shared" si="292"/>
        <v>9360029900</v>
      </c>
      <c r="E1877" s="3" t="s">
        <v>2</v>
      </c>
      <c r="F1877" s="3" t="s">
        <v>64</v>
      </c>
      <c r="H1877" s="3">
        <v>11.299999999999999</v>
      </c>
      <c r="I1877" s="10">
        <f t="shared" si="293"/>
        <v>7.593561312524014</v>
      </c>
      <c r="J1877" s="3">
        <v>44.643084588108792</v>
      </c>
      <c r="K1877" s="3">
        <v>48</v>
      </c>
      <c r="L1877" s="3">
        <f t="shared" si="294"/>
        <v>0</v>
      </c>
      <c r="N1877" s="11">
        <f t="shared" si="295"/>
        <v>-33.343084588108795</v>
      </c>
      <c r="O1877" s="3">
        <v>44.643084588108792</v>
      </c>
      <c r="P1877" s="11">
        <f t="shared" si="296"/>
        <v>-22.406438687475987</v>
      </c>
      <c r="Q1877" s="12">
        <f t="shared" si="297"/>
        <v>-13.380726451225069</v>
      </c>
      <c r="R1877" s="13">
        <f t="shared" si="298"/>
        <v>-17.132899621612285</v>
      </c>
      <c r="S1877" s="3" t="s">
        <v>29</v>
      </c>
      <c r="T1877" s="3" t="s">
        <v>33</v>
      </c>
      <c r="U1877" s="10">
        <v>9360029900999</v>
      </c>
      <c r="V1877" s="3">
        <v>0.1</v>
      </c>
      <c r="W1877" s="3">
        <f t="shared" si="299"/>
        <v>4.8000000000000007</v>
      </c>
      <c r="AA1877" s="3">
        <v>48</v>
      </c>
    </row>
    <row r="1878" spans="1:27" x14ac:dyDescent="0.3">
      <c r="A1878" s="3" t="str">
        <f t="shared" si="290"/>
        <v>North9330239901320</v>
      </c>
      <c r="B1878" s="3" t="str">
        <f t="shared" si="291"/>
        <v>Pan9330239901320</v>
      </c>
      <c r="C1878" s="10">
        <v>9330239901320</v>
      </c>
      <c r="D1878" s="10" t="str">
        <f t="shared" si="292"/>
        <v>9330239901</v>
      </c>
      <c r="E1878" s="3" t="s">
        <v>2</v>
      </c>
      <c r="F1878" s="3" t="s">
        <v>64</v>
      </c>
      <c r="H1878" s="3">
        <v>38.320000000000007</v>
      </c>
      <c r="I1878" s="10">
        <f t="shared" si="293"/>
        <v>26.055202412554678</v>
      </c>
      <c r="J1878" s="3">
        <v>44.12170674391178</v>
      </c>
      <c r="K1878" s="3">
        <v>120</v>
      </c>
      <c r="L1878" s="3">
        <f t="shared" si="294"/>
        <v>0</v>
      </c>
      <c r="N1878" s="11">
        <f t="shared" si="295"/>
        <v>-5.8017067439117724</v>
      </c>
      <c r="O1878" s="3">
        <v>44.12170674391178</v>
      </c>
      <c r="P1878" s="11">
        <f t="shared" si="296"/>
        <v>-3.9447975874453221</v>
      </c>
      <c r="Q1878" s="12">
        <f t="shared" si="297"/>
        <v>-3.9447975874453216</v>
      </c>
      <c r="R1878" s="13">
        <f t="shared" si="298"/>
        <v>17.518926818935931</v>
      </c>
      <c r="S1878" s="3" t="s">
        <v>31</v>
      </c>
      <c r="T1878" s="3" t="s">
        <v>35</v>
      </c>
      <c r="U1878" s="10">
        <v>9330239900999</v>
      </c>
      <c r="V1878" s="3">
        <v>0.1</v>
      </c>
      <c r="W1878" s="3">
        <f t="shared" si="299"/>
        <v>12</v>
      </c>
      <c r="AA1878" s="3">
        <v>48</v>
      </c>
    </row>
    <row r="1879" spans="1:27" x14ac:dyDescent="0.3">
      <c r="A1879" s="3" t="str">
        <f t="shared" si="290"/>
        <v>North9320029900320</v>
      </c>
      <c r="B1879" s="3" t="str">
        <f t="shared" si="291"/>
        <v>Pan9320029900320</v>
      </c>
      <c r="C1879" s="10">
        <v>9320029900320</v>
      </c>
      <c r="D1879" s="10" t="str">
        <f t="shared" si="292"/>
        <v>9320029900</v>
      </c>
      <c r="E1879" s="3" t="s">
        <v>2</v>
      </c>
      <c r="F1879" s="3" t="s">
        <v>64</v>
      </c>
      <c r="H1879" s="3">
        <v>32.879999999999995</v>
      </c>
      <c r="I1879" s="10">
        <f t="shared" si="293"/>
        <v>23.736309508142039</v>
      </c>
      <c r="J1879" s="3">
        <v>41.556586530928257</v>
      </c>
      <c r="K1879" s="3">
        <v>36</v>
      </c>
      <c r="L1879" s="3">
        <f t="shared" si="294"/>
        <v>0</v>
      </c>
      <c r="N1879" s="11">
        <f t="shared" si="295"/>
        <v>-8.6765865309282617</v>
      </c>
      <c r="O1879" s="3">
        <v>41.556586530928257</v>
      </c>
      <c r="P1879" s="11">
        <f t="shared" si="296"/>
        <v>-6.2636904918579592</v>
      </c>
      <c r="Q1879" s="12">
        <f t="shared" si="297"/>
        <v>-9.3859221666778172</v>
      </c>
      <c r="R1879" s="13">
        <f t="shared" si="298"/>
        <v>-2.4182637214499976</v>
      </c>
      <c r="S1879" s="3" t="s">
        <v>29</v>
      </c>
      <c r="T1879" s="3" t="s">
        <v>28</v>
      </c>
      <c r="U1879" s="10">
        <v>9320029900999</v>
      </c>
      <c r="V1879" s="3">
        <v>0.1</v>
      </c>
      <c r="W1879" s="3">
        <f t="shared" si="299"/>
        <v>3.6</v>
      </c>
      <c r="AA1879" s="3">
        <v>48</v>
      </c>
    </row>
    <row r="1880" spans="1:27" x14ac:dyDescent="0.3">
      <c r="A1880" s="3" t="str">
        <f t="shared" si="290"/>
        <v>North9310019901320</v>
      </c>
      <c r="B1880" s="3" t="str">
        <f t="shared" si="291"/>
        <v>Pan9310019901320</v>
      </c>
      <c r="C1880" s="10">
        <v>9310019901320</v>
      </c>
      <c r="D1880" s="10" t="str">
        <f t="shared" si="292"/>
        <v>9310019901</v>
      </c>
      <c r="E1880" s="3" t="s">
        <v>2</v>
      </c>
      <c r="F1880" s="3" t="s">
        <v>64</v>
      </c>
      <c r="H1880" s="3">
        <v>23.039999999999988</v>
      </c>
      <c r="I1880" s="10">
        <f t="shared" si="293"/>
        <v>17.25548418351606</v>
      </c>
      <c r="J1880" s="3">
        <v>40.056830202440459</v>
      </c>
      <c r="K1880" s="3">
        <v>36</v>
      </c>
      <c r="L1880" s="3">
        <f t="shared" si="294"/>
        <v>0</v>
      </c>
      <c r="N1880" s="11">
        <f t="shared" si="295"/>
        <v>-17.01683020244047</v>
      </c>
      <c r="O1880" s="3">
        <v>40.056830202440459</v>
      </c>
      <c r="P1880" s="11">
        <f t="shared" si="296"/>
        <v>-12.744515816483943</v>
      </c>
      <c r="Q1880" s="12">
        <f t="shared" si="297"/>
        <v>-10.728812386561957</v>
      </c>
      <c r="R1880" s="13">
        <f t="shared" si="298"/>
        <v>15.311331395407025</v>
      </c>
      <c r="S1880" s="3" t="s">
        <v>29</v>
      </c>
      <c r="T1880" s="3" t="s">
        <v>32</v>
      </c>
      <c r="U1880" s="10">
        <v>9310019900999</v>
      </c>
      <c r="V1880" s="3">
        <v>0.1</v>
      </c>
      <c r="W1880" s="3">
        <f t="shared" si="299"/>
        <v>3.6</v>
      </c>
      <c r="AA1880" s="3">
        <v>48</v>
      </c>
    </row>
    <row r="1881" spans="1:27" x14ac:dyDescent="0.3">
      <c r="A1881" s="3" t="str">
        <f t="shared" si="290"/>
        <v>North9437009900820</v>
      </c>
      <c r="B1881" s="3" t="str">
        <f t="shared" si="291"/>
        <v>Pan9437009900820</v>
      </c>
      <c r="C1881" s="10">
        <v>9437009900820</v>
      </c>
      <c r="D1881" s="10" t="str">
        <f t="shared" si="292"/>
        <v>9437009900</v>
      </c>
      <c r="E1881" s="3" t="s">
        <v>2</v>
      </c>
      <c r="F1881" s="3" t="s">
        <v>64</v>
      </c>
      <c r="H1881" s="3">
        <v>41.360000000000007</v>
      </c>
      <c r="I1881" s="10">
        <f t="shared" si="293"/>
        <v>34.443089591632777</v>
      </c>
      <c r="J1881" s="3">
        <v>36.024642815475715</v>
      </c>
      <c r="K1881" s="3">
        <v>24</v>
      </c>
      <c r="L1881" s="3">
        <f t="shared" si="294"/>
        <v>0</v>
      </c>
      <c r="N1881" s="11">
        <f t="shared" si="295"/>
        <v>5.3353571845242911</v>
      </c>
      <c r="O1881" s="3">
        <v>36.024642815475715</v>
      </c>
      <c r="P1881" s="11">
        <f t="shared" si="296"/>
        <v>4.4430895916327797</v>
      </c>
      <c r="Q1881" s="12">
        <f t="shared" si="297"/>
        <v>-2.2471083328804684</v>
      </c>
      <c r="R1881" s="13">
        <f t="shared" si="298"/>
        <v>5.1370180655364761</v>
      </c>
      <c r="S1881" s="3" t="s">
        <v>29</v>
      </c>
      <c r="T1881" s="3" t="s">
        <v>35</v>
      </c>
      <c r="U1881" s="10">
        <v>0</v>
      </c>
      <c r="V1881" s="3">
        <v>0</v>
      </c>
      <c r="W1881" s="3">
        <f t="shared" si="299"/>
        <v>0</v>
      </c>
      <c r="AA1881" s="3">
        <v>48</v>
      </c>
    </row>
    <row r="1882" spans="1:27" x14ac:dyDescent="0.3">
      <c r="A1882" s="3" t="str">
        <f t="shared" si="290"/>
        <v>North9420039901320</v>
      </c>
      <c r="B1882" s="3" t="str">
        <f t="shared" si="291"/>
        <v>Pan9420039901320</v>
      </c>
      <c r="C1882" s="10">
        <v>9420039901320</v>
      </c>
      <c r="D1882" s="10" t="str">
        <f t="shared" si="292"/>
        <v>9420039901</v>
      </c>
      <c r="E1882" s="3" t="s">
        <v>2</v>
      </c>
      <c r="F1882" s="3" t="s">
        <v>64</v>
      </c>
      <c r="H1882" s="3">
        <v>41.545999999999999</v>
      </c>
      <c r="I1882" s="10">
        <f t="shared" si="293"/>
        <v>35.649351982189849</v>
      </c>
      <c r="J1882" s="3">
        <v>34.962206343124613</v>
      </c>
      <c r="K1882" s="3">
        <v>0</v>
      </c>
      <c r="L1882" s="3">
        <f t="shared" si="294"/>
        <v>0</v>
      </c>
      <c r="N1882" s="11">
        <f t="shared" si="295"/>
        <v>6.5837936568753861</v>
      </c>
      <c r="O1882" s="3">
        <v>34.962206343124613</v>
      </c>
      <c r="P1882" s="11">
        <f t="shared" si="296"/>
        <v>5.6493519821898506</v>
      </c>
      <c r="Q1882" s="12">
        <f t="shared" si="297"/>
        <v>5.7599993642921063</v>
      </c>
      <c r="R1882" s="13">
        <f t="shared" si="298"/>
        <v>12.411220962330324</v>
      </c>
      <c r="S1882" s="3" t="s">
        <v>29</v>
      </c>
      <c r="T1882" s="3" t="s">
        <v>28</v>
      </c>
      <c r="U1882" s="10">
        <v>9420039900999</v>
      </c>
      <c r="V1882" s="3">
        <v>0.1</v>
      </c>
      <c r="W1882" s="3">
        <f t="shared" si="299"/>
        <v>0</v>
      </c>
      <c r="AA1882" s="3">
        <v>48</v>
      </c>
    </row>
    <row r="1883" spans="1:27" x14ac:dyDescent="0.3">
      <c r="A1883" s="3" t="str">
        <f t="shared" si="290"/>
        <v>North9320039900310</v>
      </c>
      <c r="B1883" s="3" t="str">
        <f t="shared" si="291"/>
        <v>Pan9320039900310</v>
      </c>
      <c r="C1883" s="10">
        <v>9320039900310</v>
      </c>
      <c r="D1883" s="10" t="str">
        <f t="shared" si="292"/>
        <v>9320039900</v>
      </c>
      <c r="E1883" s="3" t="s">
        <v>2</v>
      </c>
      <c r="F1883" s="3" t="s">
        <v>64</v>
      </c>
      <c r="H1883" s="3">
        <v>38.25</v>
      </c>
      <c r="I1883" s="10">
        <f t="shared" si="293"/>
        <v>33.089711685992881</v>
      </c>
      <c r="J1883" s="3">
        <v>34.678452652875336</v>
      </c>
      <c r="K1883" s="3">
        <v>24</v>
      </c>
      <c r="L1883" s="3">
        <f t="shared" si="294"/>
        <v>0</v>
      </c>
      <c r="N1883" s="11">
        <f t="shared" si="295"/>
        <v>3.5715473471246639</v>
      </c>
      <c r="O1883" s="3">
        <v>34.678452652875336</v>
      </c>
      <c r="P1883" s="11">
        <f t="shared" si="296"/>
        <v>3.0897116859928859</v>
      </c>
      <c r="Q1883" s="12">
        <f t="shared" si="297"/>
        <v>9.5067485879387803</v>
      </c>
      <c r="R1883" s="13">
        <f t="shared" si="298"/>
        <v>11.051869163953389</v>
      </c>
      <c r="S1883" s="3" t="s">
        <v>30</v>
      </c>
      <c r="T1883" s="3" t="s">
        <v>28</v>
      </c>
      <c r="U1883" s="10">
        <v>9320039900999</v>
      </c>
      <c r="V1883" s="3">
        <v>0.1</v>
      </c>
      <c r="W1883" s="3">
        <f t="shared" si="299"/>
        <v>2.4000000000000004</v>
      </c>
      <c r="AA1883" s="3">
        <v>48</v>
      </c>
    </row>
    <row r="1884" spans="1:27" x14ac:dyDescent="0.3">
      <c r="A1884" s="3" t="str">
        <f t="shared" si="290"/>
        <v>North9431009913840</v>
      </c>
      <c r="B1884" s="3" t="str">
        <f t="shared" si="291"/>
        <v>Pan9431009913840</v>
      </c>
      <c r="C1884" s="10">
        <v>9431009913840</v>
      </c>
      <c r="D1884" s="10" t="str">
        <f t="shared" si="292"/>
        <v>9431009913</v>
      </c>
      <c r="E1884" s="3" t="s">
        <v>2</v>
      </c>
      <c r="F1884" s="3" t="s">
        <v>64</v>
      </c>
      <c r="H1884" s="3">
        <v>35.887999999999991</v>
      </c>
      <c r="I1884" s="10">
        <f t="shared" si="293"/>
        <v>32.466954455791118</v>
      </c>
      <c r="J1884" s="3">
        <v>33.161102359200797</v>
      </c>
      <c r="K1884" s="3">
        <v>24</v>
      </c>
      <c r="L1884" s="3">
        <f t="shared" si="294"/>
        <v>0</v>
      </c>
      <c r="N1884" s="11">
        <f t="shared" si="295"/>
        <v>2.7268976407991943</v>
      </c>
      <c r="O1884" s="3">
        <v>33.161102359200797</v>
      </c>
      <c r="P1884" s="11">
        <f t="shared" si="296"/>
        <v>2.4669544557911203</v>
      </c>
      <c r="Q1884" s="12">
        <f t="shared" si="297"/>
        <v>-0.70671276468343458</v>
      </c>
      <c r="R1884" s="13">
        <f t="shared" si="298"/>
        <v>-5.4650966833710344</v>
      </c>
      <c r="S1884" s="3" t="s">
        <v>29</v>
      </c>
      <c r="T1884" s="3" t="s">
        <v>35</v>
      </c>
      <c r="U1884" s="10">
        <v>0</v>
      </c>
      <c r="V1884" s="3">
        <v>0</v>
      </c>
      <c r="W1884" s="3">
        <f t="shared" si="299"/>
        <v>0</v>
      </c>
      <c r="AA1884" s="3">
        <v>48</v>
      </c>
    </row>
    <row r="1885" spans="1:27" x14ac:dyDescent="0.3">
      <c r="A1885" s="3" t="str">
        <f t="shared" si="290"/>
        <v>North9170519901320</v>
      </c>
      <c r="B1885" s="3" t="str">
        <f t="shared" si="291"/>
        <v>Pan9170519901320</v>
      </c>
      <c r="C1885" s="10">
        <v>9170519901320</v>
      </c>
      <c r="D1885" s="10" t="str">
        <f t="shared" si="292"/>
        <v>9170519901</v>
      </c>
      <c r="E1885" s="3" t="s">
        <v>2</v>
      </c>
      <c r="F1885" s="3" t="s">
        <v>64</v>
      </c>
      <c r="H1885" s="3">
        <v>14.700000000000001</v>
      </c>
      <c r="I1885" s="10">
        <f t="shared" si="293"/>
        <v>14.253844259857592</v>
      </c>
      <c r="J1885" s="3">
        <v>30.939021919999988</v>
      </c>
      <c r="K1885" s="3">
        <v>48</v>
      </c>
      <c r="L1885" s="3">
        <f t="shared" si="294"/>
        <v>0</v>
      </c>
      <c r="N1885" s="11">
        <f t="shared" si="295"/>
        <v>-16.239021919999985</v>
      </c>
      <c r="O1885" s="3">
        <v>30.939021919999988</v>
      </c>
      <c r="P1885" s="11">
        <f t="shared" si="296"/>
        <v>-15.746155740142406</v>
      </c>
      <c r="Q1885" s="12">
        <f t="shared" si="297"/>
        <v>-15.746155740142408</v>
      </c>
      <c r="R1885" s="13">
        <f t="shared" si="298"/>
        <v>-8.5242304754950098</v>
      </c>
      <c r="S1885" s="3" t="s">
        <v>31</v>
      </c>
      <c r="T1885" s="3" t="s">
        <v>34</v>
      </c>
      <c r="U1885" s="10">
        <v>0</v>
      </c>
      <c r="V1885" s="3">
        <v>0</v>
      </c>
      <c r="W1885" s="3">
        <f t="shared" si="299"/>
        <v>0</v>
      </c>
      <c r="AA1885" s="3">
        <v>48</v>
      </c>
    </row>
    <row r="1886" spans="1:27" x14ac:dyDescent="0.3">
      <c r="A1886" s="3" t="str">
        <f t="shared" si="290"/>
        <v>North9320039901310</v>
      </c>
      <c r="B1886" s="3" t="str">
        <f t="shared" si="291"/>
        <v>Pan9320039901310</v>
      </c>
      <c r="C1886" s="10">
        <v>9320039901310</v>
      </c>
      <c r="D1886" s="10" t="str">
        <f t="shared" si="292"/>
        <v>9320039901</v>
      </c>
      <c r="E1886" s="3" t="s">
        <v>2</v>
      </c>
      <c r="F1886" s="3" t="s">
        <v>64</v>
      </c>
      <c r="H1886" s="3">
        <v>22.62</v>
      </c>
      <c r="I1886" s="10">
        <f t="shared" si="293"/>
        <v>21.939670444854716</v>
      </c>
      <c r="J1886" s="3">
        <v>30.930273164570032</v>
      </c>
      <c r="K1886" s="3">
        <v>24</v>
      </c>
      <c r="L1886" s="3">
        <f t="shared" si="294"/>
        <v>0</v>
      </c>
      <c r="N1886" s="11">
        <f t="shared" si="295"/>
        <v>-8.310273164570031</v>
      </c>
      <c r="O1886" s="3">
        <v>30.930273164570032</v>
      </c>
      <c r="P1886" s="11">
        <f t="shared" si="296"/>
        <v>-8.0603295551452838</v>
      </c>
      <c r="Q1886" s="12">
        <f t="shared" si="297"/>
        <v>4.4606339995964124</v>
      </c>
      <c r="R1886" s="13">
        <f t="shared" si="298"/>
        <v>5.5999242697400797</v>
      </c>
      <c r="S1886" s="3" t="s">
        <v>29</v>
      </c>
      <c r="T1886" s="3" t="s">
        <v>28</v>
      </c>
      <c r="U1886" s="10">
        <v>9320039900999</v>
      </c>
      <c r="V1886" s="3">
        <v>0.1</v>
      </c>
      <c r="W1886" s="3">
        <f t="shared" si="299"/>
        <v>2.4000000000000004</v>
      </c>
      <c r="AA1886" s="3">
        <v>48</v>
      </c>
    </row>
    <row r="1887" spans="1:27" x14ac:dyDescent="0.3">
      <c r="A1887" s="3" t="str">
        <f t="shared" si="290"/>
        <v>North9160509901320</v>
      </c>
      <c r="B1887" s="3" t="str">
        <f t="shared" si="291"/>
        <v>Pan9160509901320</v>
      </c>
      <c r="C1887" s="10">
        <v>9160509901320</v>
      </c>
      <c r="D1887" s="10" t="str">
        <f t="shared" si="292"/>
        <v>9160509901</v>
      </c>
      <c r="E1887" s="3" t="s">
        <v>2</v>
      </c>
      <c r="F1887" s="3" t="s">
        <v>64</v>
      </c>
      <c r="H1887" s="3">
        <v>65.580000000000013</v>
      </c>
      <c r="I1887" s="10">
        <f t="shared" si="293"/>
        <v>65.128390008720928</v>
      </c>
      <c r="J1887" s="3">
        <v>30.208024484200489</v>
      </c>
      <c r="K1887" s="3">
        <v>48</v>
      </c>
      <c r="L1887" s="3">
        <f t="shared" si="294"/>
        <v>0</v>
      </c>
      <c r="N1887" s="11">
        <f t="shared" si="295"/>
        <v>35.371975515799519</v>
      </c>
      <c r="O1887" s="3">
        <v>30.208024484200489</v>
      </c>
      <c r="P1887" s="11">
        <f t="shared" si="296"/>
        <v>35.128390008720928</v>
      </c>
      <c r="Q1887" s="12">
        <f t="shared" si="297"/>
        <v>28.277306696252701</v>
      </c>
      <c r="R1887" s="13">
        <f t="shared" si="298"/>
        <v>20.628605749315501</v>
      </c>
      <c r="S1887" s="3" t="s">
        <v>29</v>
      </c>
      <c r="T1887" s="3" t="s">
        <v>34</v>
      </c>
      <c r="U1887" s="10">
        <v>0</v>
      </c>
      <c r="V1887" s="3">
        <v>0</v>
      </c>
      <c r="W1887" s="3">
        <f t="shared" si="299"/>
        <v>0</v>
      </c>
      <c r="AA1887" s="3">
        <v>48</v>
      </c>
    </row>
    <row r="1888" spans="1:27" x14ac:dyDescent="0.3">
      <c r="A1888" s="3" t="str">
        <f t="shared" si="290"/>
        <v>North9310099901320</v>
      </c>
      <c r="B1888" s="3" t="str">
        <f t="shared" si="291"/>
        <v>Pan9310099901320</v>
      </c>
      <c r="C1888" s="10">
        <v>9310099901320</v>
      </c>
      <c r="D1888" s="10" t="str">
        <f t="shared" si="292"/>
        <v>9310099901</v>
      </c>
      <c r="E1888" s="3" t="s">
        <v>2</v>
      </c>
      <c r="F1888" s="3" t="s">
        <v>64</v>
      </c>
      <c r="H1888" s="3">
        <v>0</v>
      </c>
      <c r="I1888" s="10">
        <f t="shared" si="293"/>
        <v>0</v>
      </c>
      <c r="J1888" s="3">
        <v>29.030034529999998</v>
      </c>
      <c r="K1888" s="3">
        <v>0</v>
      </c>
      <c r="L1888" s="3">
        <f t="shared" si="294"/>
        <v>0</v>
      </c>
      <c r="N1888" s="11">
        <f t="shared" si="295"/>
        <v>-29.030034529999998</v>
      </c>
      <c r="O1888" s="3">
        <v>29.030034529999998</v>
      </c>
      <c r="P1888" s="11">
        <f t="shared" si="296"/>
        <v>-30</v>
      </c>
      <c r="Q1888" s="12">
        <f t="shared" si="297"/>
        <v>-30</v>
      </c>
      <c r="R1888" s="13">
        <f t="shared" si="298"/>
        <v>-30</v>
      </c>
      <c r="S1888" s="3">
        <v>0</v>
      </c>
      <c r="T1888" s="3" t="s">
        <v>32</v>
      </c>
      <c r="U1888" s="10">
        <v>9310099900999</v>
      </c>
      <c r="V1888" s="3">
        <v>0.1</v>
      </c>
      <c r="W1888" s="3">
        <f t="shared" si="299"/>
        <v>0</v>
      </c>
      <c r="AA1888" s="3">
        <v>48</v>
      </c>
    </row>
    <row r="1889" spans="1:27" x14ac:dyDescent="0.3">
      <c r="A1889" s="3" t="str">
        <f t="shared" si="290"/>
        <v>North9360049900310</v>
      </c>
      <c r="B1889" s="3" t="str">
        <f t="shared" si="291"/>
        <v>Pan9360049900310</v>
      </c>
      <c r="C1889" s="10">
        <v>9360049900310</v>
      </c>
      <c r="D1889" s="10" t="str">
        <f t="shared" si="292"/>
        <v>9360049900</v>
      </c>
      <c r="E1889" s="3" t="s">
        <v>2</v>
      </c>
      <c r="F1889" s="3" t="s">
        <v>64</v>
      </c>
      <c r="H1889" s="3">
        <v>21.52000000000001</v>
      </c>
      <c r="I1889" s="10">
        <f t="shared" si="293"/>
        <v>25.056699162381534</v>
      </c>
      <c r="J1889" s="3">
        <v>25.765564562839998</v>
      </c>
      <c r="K1889" s="3">
        <v>48</v>
      </c>
      <c r="L1889" s="3">
        <f t="shared" si="294"/>
        <v>0</v>
      </c>
      <c r="N1889" s="11">
        <f t="shared" si="295"/>
        <v>-4.2455645628399878</v>
      </c>
      <c r="O1889" s="3">
        <v>25.765564562839998</v>
      </c>
      <c r="P1889" s="11">
        <f t="shared" si="296"/>
        <v>-4.9433008376184668</v>
      </c>
      <c r="Q1889" s="12">
        <f t="shared" si="297"/>
        <v>-4.9433008376184659</v>
      </c>
      <c r="R1889" s="13">
        <f t="shared" si="298"/>
        <v>-1.0585234656142879</v>
      </c>
      <c r="S1889" s="3" t="s">
        <v>31</v>
      </c>
      <c r="T1889" s="3" t="s">
        <v>70</v>
      </c>
      <c r="U1889" s="10">
        <v>0</v>
      </c>
      <c r="V1889" s="3">
        <v>0</v>
      </c>
      <c r="W1889" s="3">
        <f t="shared" si="299"/>
        <v>0</v>
      </c>
      <c r="AA1889" s="3">
        <v>48</v>
      </c>
    </row>
    <row r="1890" spans="1:27" x14ac:dyDescent="0.3">
      <c r="A1890" s="3" t="str">
        <f t="shared" si="290"/>
        <v>North9330239900320</v>
      </c>
      <c r="B1890" s="3" t="str">
        <f t="shared" si="291"/>
        <v>Pan9330239900320</v>
      </c>
      <c r="C1890" s="10">
        <v>9330239900320</v>
      </c>
      <c r="D1890" s="10" t="str">
        <f t="shared" si="292"/>
        <v>9330239900</v>
      </c>
      <c r="E1890" s="3" t="s">
        <v>2</v>
      </c>
      <c r="F1890" s="3" t="s">
        <v>64</v>
      </c>
      <c r="H1890" s="3">
        <v>47.400000000000013</v>
      </c>
      <c r="I1890" s="10">
        <f t="shared" si="293"/>
        <v>56.722437072514921</v>
      </c>
      <c r="J1890" s="3">
        <v>25.069444709896572</v>
      </c>
      <c r="K1890" s="3">
        <v>88</v>
      </c>
      <c r="L1890" s="3">
        <f t="shared" si="294"/>
        <v>0</v>
      </c>
      <c r="N1890" s="11">
        <f t="shared" si="295"/>
        <v>22.33055529010344</v>
      </c>
      <c r="O1890" s="3">
        <v>25.069444709896572</v>
      </c>
      <c r="P1890" s="11">
        <f t="shared" si="296"/>
        <v>26.722437072514918</v>
      </c>
      <c r="Q1890" s="12">
        <f t="shared" si="297"/>
        <v>47.889787131430971</v>
      </c>
      <c r="R1890" s="13">
        <f t="shared" si="298"/>
        <v>49.457242370391903</v>
      </c>
      <c r="S1890" s="3" t="s">
        <v>31</v>
      </c>
      <c r="T1890" s="3" t="s">
        <v>35</v>
      </c>
      <c r="U1890" s="10">
        <v>9330239900999</v>
      </c>
      <c r="V1890" s="3">
        <v>0.1</v>
      </c>
      <c r="W1890" s="3">
        <f t="shared" si="299"/>
        <v>8.8000000000000007</v>
      </c>
      <c r="AA1890" s="3">
        <v>48</v>
      </c>
    </row>
    <row r="1891" spans="1:27" x14ac:dyDescent="0.3">
      <c r="A1891" s="3" t="str">
        <f t="shared" si="290"/>
        <v>North9432029900320</v>
      </c>
      <c r="B1891" s="3" t="str">
        <f t="shared" si="291"/>
        <v>Pan9432029900320</v>
      </c>
      <c r="C1891" s="10">
        <v>9432029900320</v>
      </c>
      <c r="D1891" s="10" t="str">
        <f t="shared" si="292"/>
        <v>9432029900</v>
      </c>
      <c r="E1891" s="3" t="s">
        <v>2</v>
      </c>
      <c r="F1891" s="3" t="s">
        <v>64</v>
      </c>
      <c r="H1891" s="3">
        <v>45.16</v>
      </c>
      <c r="I1891" s="10">
        <f t="shared" si="293"/>
        <v>54.247487921836544</v>
      </c>
      <c r="J1891" s="3">
        <v>24.974428344997055</v>
      </c>
      <c r="K1891" s="3">
        <v>0</v>
      </c>
      <c r="L1891" s="3">
        <f t="shared" si="294"/>
        <v>0</v>
      </c>
      <c r="N1891" s="11">
        <f t="shared" si="295"/>
        <v>20.185571655002942</v>
      </c>
      <c r="O1891" s="3">
        <v>24.974428344997055</v>
      </c>
      <c r="P1891" s="11">
        <f t="shared" si="296"/>
        <v>24.247487921836541</v>
      </c>
      <c r="Q1891" s="12">
        <f t="shared" si="297"/>
        <v>22.136749959608558</v>
      </c>
      <c r="R1891" s="13">
        <f t="shared" si="298"/>
        <v>44.067510562075888</v>
      </c>
      <c r="S1891" s="3" t="s">
        <v>31</v>
      </c>
      <c r="T1891" s="3" t="s">
        <v>35</v>
      </c>
      <c r="U1891" s="10">
        <v>9432029900999</v>
      </c>
      <c r="V1891" s="3">
        <v>0.1</v>
      </c>
      <c r="W1891" s="3">
        <f t="shared" si="299"/>
        <v>0</v>
      </c>
      <c r="AA1891" s="3">
        <v>48</v>
      </c>
    </row>
    <row r="1892" spans="1:27" x14ac:dyDescent="0.3">
      <c r="A1892" s="3" t="str">
        <f t="shared" si="290"/>
        <v>North9330019900810</v>
      </c>
      <c r="B1892" s="3" t="str">
        <f t="shared" si="291"/>
        <v>Pan9330019900810</v>
      </c>
      <c r="C1892" s="10">
        <v>9330019900810</v>
      </c>
      <c r="D1892" s="10" t="str">
        <f t="shared" si="292"/>
        <v>9330019900</v>
      </c>
      <c r="E1892" s="3" t="s">
        <v>2</v>
      </c>
      <c r="F1892" s="3" t="s">
        <v>64</v>
      </c>
      <c r="H1892" s="3">
        <v>19.689999999999998</v>
      </c>
      <c r="I1892" s="10">
        <f t="shared" si="293"/>
        <v>23.91448765245044</v>
      </c>
      <c r="J1892" s="3">
        <v>24.700508268654996</v>
      </c>
      <c r="K1892" s="3">
        <v>23.5</v>
      </c>
      <c r="L1892" s="3">
        <f t="shared" si="294"/>
        <v>0</v>
      </c>
      <c r="N1892" s="11">
        <f t="shared" si="295"/>
        <v>-5.0105082686549984</v>
      </c>
      <c r="O1892" s="3">
        <v>24.700508268654996</v>
      </c>
      <c r="P1892" s="11">
        <f t="shared" si="296"/>
        <v>-6.0855123475495585</v>
      </c>
      <c r="Q1892" s="12">
        <f t="shared" si="297"/>
        <v>-1.8433832180079632</v>
      </c>
      <c r="R1892" s="13">
        <f t="shared" si="298"/>
        <v>-9.2433968520070948</v>
      </c>
      <c r="S1892" s="3" t="s">
        <v>29</v>
      </c>
      <c r="T1892" s="3" t="s">
        <v>35</v>
      </c>
      <c r="U1892" s="10">
        <v>0</v>
      </c>
      <c r="V1892" s="3">
        <v>0</v>
      </c>
      <c r="W1892" s="3">
        <f t="shared" si="299"/>
        <v>0</v>
      </c>
      <c r="AA1892" s="3">
        <v>48</v>
      </c>
    </row>
    <row r="1893" spans="1:27" x14ac:dyDescent="0.3">
      <c r="A1893" s="3" t="str">
        <f t="shared" si="290"/>
        <v>North9410039913320</v>
      </c>
      <c r="B1893" s="3" t="str">
        <f t="shared" si="291"/>
        <v>Pan9410039913320</v>
      </c>
      <c r="C1893" s="10">
        <v>9410039913320</v>
      </c>
      <c r="D1893" s="10" t="str">
        <f t="shared" si="292"/>
        <v>9410039913</v>
      </c>
      <c r="E1893" s="3" t="s">
        <v>2</v>
      </c>
      <c r="F1893" s="3" t="s">
        <v>64</v>
      </c>
      <c r="H1893" s="3">
        <v>3.4800000000000004</v>
      </c>
      <c r="I1893" s="10">
        <f t="shared" si="293"/>
        <v>4.3071059419714661</v>
      </c>
      <c r="J1893" s="3">
        <v>24.239013715138299</v>
      </c>
      <c r="K1893" s="3">
        <v>120</v>
      </c>
      <c r="L1893" s="3">
        <f t="shared" si="294"/>
        <v>0</v>
      </c>
      <c r="N1893" s="11">
        <f t="shared" si="295"/>
        <v>-20.759013715138298</v>
      </c>
      <c r="O1893" s="3">
        <v>24.239013715138299</v>
      </c>
      <c r="P1893" s="11">
        <f t="shared" si="296"/>
        <v>-25.692894058028536</v>
      </c>
      <c r="Q1893" s="12">
        <f t="shared" si="297"/>
        <v>-25.692894058028536</v>
      </c>
      <c r="R1893" s="13">
        <f t="shared" si="298"/>
        <v>-24.610155052378161</v>
      </c>
      <c r="S1893" s="3" t="s">
        <v>30</v>
      </c>
      <c r="T1893" s="3" t="s">
        <v>32</v>
      </c>
      <c r="U1893" s="10">
        <v>9410039913999</v>
      </c>
      <c r="V1893" s="3">
        <v>0.1</v>
      </c>
      <c r="W1893" s="3">
        <f t="shared" si="299"/>
        <v>12</v>
      </c>
      <c r="AA1893" s="3">
        <v>48</v>
      </c>
    </row>
    <row r="1894" spans="1:27" x14ac:dyDescent="0.3">
      <c r="A1894" s="3" t="str">
        <f t="shared" si="290"/>
        <v>North9320089901320</v>
      </c>
      <c r="B1894" s="3" t="str">
        <f t="shared" si="291"/>
        <v>Pan9320089901320</v>
      </c>
      <c r="C1894" s="10">
        <v>9320089901320</v>
      </c>
      <c r="D1894" s="10" t="str">
        <f t="shared" si="292"/>
        <v>9320089901</v>
      </c>
      <c r="E1894" s="3" t="s">
        <v>2</v>
      </c>
      <c r="F1894" s="3" t="s">
        <v>64</v>
      </c>
      <c r="H1894" s="3">
        <v>44.84</v>
      </c>
      <c r="I1894" s="10">
        <f t="shared" si="293"/>
        <v>56.40168523245714</v>
      </c>
      <c r="J1894" s="3">
        <v>23.850351181100631</v>
      </c>
      <c r="K1894" s="3">
        <v>12</v>
      </c>
      <c r="L1894" s="3">
        <f t="shared" si="294"/>
        <v>0</v>
      </c>
      <c r="N1894" s="11">
        <f t="shared" si="295"/>
        <v>20.989648818899372</v>
      </c>
      <c r="O1894" s="3">
        <v>23.850351181100631</v>
      </c>
      <c r="P1894" s="11">
        <f t="shared" si="296"/>
        <v>26.401685232457137</v>
      </c>
      <c r="Q1894" s="12">
        <f t="shared" si="297"/>
        <v>21.721183672986459</v>
      </c>
      <c r="R1894" s="13">
        <f t="shared" si="298"/>
        <v>31.812152870329982</v>
      </c>
      <c r="S1894" s="3" t="s">
        <v>31</v>
      </c>
      <c r="T1894" s="3" t="s">
        <v>28</v>
      </c>
      <c r="U1894" s="10">
        <v>9320089900999</v>
      </c>
      <c r="V1894" s="3">
        <v>0.1</v>
      </c>
      <c r="W1894" s="3">
        <f t="shared" si="299"/>
        <v>1.2000000000000002</v>
      </c>
      <c r="AA1894" s="3">
        <v>48</v>
      </c>
    </row>
    <row r="1895" spans="1:27" x14ac:dyDescent="0.3">
      <c r="A1895" s="3" t="str">
        <f t="shared" si="290"/>
        <v>North9320079901320</v>
      </c>
      <c r="B1895" s="3" t="str">
        <f t="shared" si="291"/>
        <v>Pan9320079901320</v>
      </c>
      <c r="C1895" s="10">
        <v>9320079901320</v>
      </c>
      <c r="D1895" s="10" t="str">
        <f t="shared" si="292"/>
        <v>9320079901</v>
      </c>
      <c r="E1895" s="3" t="s">
        <v>2</v>
      </c>
      <c r="F1895" s="3" t="s">
        <v>64</v>
      </c>
      <c r="H1895" s="3">
        <v>0</v>
      </c>
      <c r="I1895" s="10">
        <f t="shared" si="293"/>
        <v>0</v>
      </c>
      <c r="J1895" s="3">
        <v>23.436172817072851</v>
      </c>
      <c r="K1895" s="3">
        <v>60</v>
      </c>
      <c r="L1895" s="3">
        <f t="shared" si="294"/>
        <v>0</v>
      </c>
      <c r="N1895" s="11">
        <f t="shared" si="295"/>
        <v>-23.436172817072851</v>
      </c>
      <c r="O1895" s="3">
        <v>23.436172817072851</v>
      </c>
      <c r="P1895" s="11">
        <f t="shared" si="296"/>
        <v>-30</v>
      </c>
      <c r="Q1895" s="12">
        <f t="shared" si="297"/>
        <v>-30</v>
      </c>
      <c r="R1895" s="13">
        <f t="shared" si="298"/>
        <v>-30</v>
      </c>
      <c r="S1895" s="3">
        <v>0</v>
      </c>
      <c r="T1895" s="3" t="s">
        <v>28</v>
      </c>
      <c r="U1895" s="10">
        <v>9320079900999</v>
      </c>
      <c r="V1895" s="3">
        <v>0.1</v>
      </c>
      <c r="W1895" s="3">
        <f t="shared" si="299"/>
        <v>6</v>
      </c>
      <c r="AA1895" s="3">
        <v>48</v>
      </c>
    </row>
    <row r="1896" spans="1:27" x14ac:dyDescent="0.3">
      <c r="A1896" s="3" t="str">
        <f t="shared" si="290"/>
        <v>North9170529901320</v>
      </c>
      <c r="B1896" s="3" t="str">
        <f t="shared" si="291"/>
        <v>Pan9170529901320</v>
      </c>
      <c r="C1896" s="10">
        <v>9170529901320</v>
      </c>
      <c r="D1896" s="10" t="str">
        <f t="shared" si="292"/>
        <v>9170529901</v>
      </c>
      <c r="E1896" s="3" t="s">
        <v>2</v>
      </c>
      <c r="F1896" s="3" t="s">
        <v>64</v>
      </c>
      <c r="H1896" s="3">
        <v>67.02</v>
      </c>
      <c r="I1896" s="10">
        <f t="shared" si="293"/>
        <v>90.888860919144619</v>
      </c>
      <c r="J1896" s="3">
        <v>22.121522699999993</v>
      </c>
      <c r="K1896" s="3">
        <v>0</v>
      </c>
      <c r="L1896" s="3">
        <f t="shared" si="294"/>
        <v>0</v>
      </c>
      <c r="N1896" s="11">
        <f t="shared" si="295"/>
        <v>44.898477300000003</v>
      </c>
      <c r="O1896" s="3">
        <v>22.121522699999993</v>
      </c>
      <c r="P1896" s="11">
        <f t="shared" si="296"/>
        <v>60.888860919144619</v>
      </c>
      <c r="Q1896" s="12">
        <f t="shared" si="297"/>
        <v>60.888860919144619</v>
      </c>
      <c r="R1896" s="13">
        <f t="shared" si="298"/>
        <v>60.888860919144619</v>
      </c>
      <c r="S1896" s="3" t="s">
        <v>31</v>
      </c>
      <c r="T1896" s="3" t="s">
        <v>34</v>
      </c>
      <c r="U1896" s="10">
        <v>0</v>
      </c>
      <c r="V1896" s="3">
        <v>0</v>
      </c>
      <c r="W1896" s="3">
        <f t="shared" si="299"/>
        <v>0</v>
      </c>
      <c r="AA1896" s="3">
        <v>48</v>
      </c>
    </row>
    <row r="1897" spans="1:27" x14ac:dyDescent="0.3">
      <c r="A1897" s="3" t="str">
        <f t="shared" si="290"/>
        <v>North9161089900320</v>
      </c>
      <c r="B1897" s="3" t="str">
        <f t="shared" si="291"/>
        <v>Pan9161089900320</v>
      </c>
      <c r="C1897" s="10">
        <v>9161089900320</v>
      </c>
      <c r="D1897" s="10" t="str">
        <f t="shared" si="292"/>
        <v>9161089900</v>
      </c>
      <c r="E1897" s="3" t="s">
        <v>2</v>
      </c>
      <c r="F1897" s="3" t="s">
        <v>64</v>
      </c>
      <c r="H1897" s="3">
        <v>51.78</v>
      </c>
      <c r="I1897" s="10">
        <f t="shared" si="293"/>
        <v>70.390132783424718</v>
      </c>
      <c r="J1897" s="3">
        <v>22.068434005934854</v>
      </c>
      <c r="K1897" s="3">
        <v>48</v>
      </c>
      <c r="L1897" s="3">
        <f t="shared" si="294"/>
        <v>0</v>
      </c>
      <c r="N1897" s="11">
        <f t="shared" si="295"/>
        <v>29.711565994065147</v>
      </c>
      <c r="O1897" s="3">
        <v>22.068434005934854</v>
      </c>
      <c r="P1897" s="11">
        <f t="shared" si="296"/>
        <v>40.390132783424725</v>
      </c>
      <c r="Q1897" s="12">
        <f t="shared" si="297"/>
        <v>30.479124913312688</v>
      </c>
      <c r="R1897" s="13">
        <f t="shared" si="298"/>
        <v>27.706955085899509</v>
      </c>
      <c r="S1897" s="3" t="s">
        <v>29</v>
      </c>
      <c r="T1897" s="3" t="s">
        <v>34</v>
      </c>
      <c r="U1897" s="10">
        <v>0</v>
      </c>
      <c r="V1897" s="3">
        <v>0</v>
      </c>
      <c r="W1897" s="3">
        <f t="shared" si="299"/>
        <v>0</v>
      </c>
      <c r="AA1897" s="3">
        <v>48</v>
      </c>
    </row>
    <row r="1898" spans="1:27" x14ac:dyDescent="0.3">
      <c r="A1898" s="3" t="str">
        <f t="shared" si="290"/>
        <v>North9432009901310</v>
      </c>
      <c r="B1898" s="3" t="str">
        <f t="shared" si="291"/>
        <v>Pan9432009901310</v>
      </c>
      <c r="C1898" s="10">
        <v>9432009901310</v>
      </c>
      <c r="D1898" s="10" t="str">
        <f t="shared" si="292"/>
        <v>9432009901</v>
      </c>
      <c r="E1898" s="3" t="s">
        <v>2</v>
      </c>
      <c r="F1898" s="3" t="s">
        <v>64</v>
      </c>
      <c r="H1898" s="3">
        <v>17.559999999999999</v>
      </c>
      <c r="I1898" s="10">
        <f t="shared" si="293"/>
        <v>23.953181169854552</v>
      </c>
      <c r="J1898" s="3">
        <v>21.992903417062028</v>
      </c>
      <c r="K1898" s="3">
        <v>24</v>
      </c>
      <c r="L1898" s="3">
        <f t="shared" si="294"/>
        <v>0</v>
      </c>
      <c r="N1898" s="11">
        <f t="shared" si="295"/>
        <v>-4.432903417062029</v>
      </c>
      <c r="O1898" s="3">
        <v>21.992903417062028</v>
      </c>
      <c r="P1898" s="11">
        <f t="shared" si="296"/>
        <v>-6.0468188301454493</v>
      </c>
      <c r="Q1898" s="12">
        <f t="shared" si="297"/>
        <v>2.0046655270469262</v>
      </c>
      <c r="R1898" s="13">
        <f t="shared" si="298"/>
        <v>-1.3984884331744118</v>
      </c>
      <c r="S1898" s="3" t="s">
        <v>29</v>
      </c>
      <c r="T1898" s="3" t="s">
        <v>35</v>
      </c>
      <c r="U1898" s="10">
        <v>9432009900999</v>
      </c>
      <c r="V1898" s="3">
        <v>0.1</v>
      </c>
      <c r="W1898" s="3">
        <f t="shared" si="299"/>
        <v>2.4000000000000004</v>
      </c>
      <c r="AA1898" s="3">
        <v>48</v>
      </c>
    </row>
    <row r="1899" spans="1:27" x14ac:dyDescent="0.3">
      <c r="A1899" s="3" t="str">
        <f t="shared" si="290"/>
        <v>North9420139901320</v>
      </c>
      <c r="B1899" s="3" t="str">
        <f t="shared" si="291"/>
        <v>Pan9420139901320</v>
      </c>
      <c r="C1899" s="10">
        <v>9420139901320</v>
      </c>
      <c r="D1899" s="10" t="str">
        <f t="shared" si="292"/>
        <v>9420139901</v>
      </c>
      <c r="E1899" s="3" t="s">
        <v>2</v>
      </c>
      <c r="F1899" s="3" t="s">
        <v>64</v>
      </c>
      <c r="H1899" s="3">
        <v>15.519999999999996</v>
      </c>
      <c r="I1899" s="10">
        <f t="shared" si="293"/>
        <v>21.254944045594051</v>
      </c>
      <c r="J1899" s="3">
        <v>21.905491682369981</v>
      </c>
      <c r="K1899" s="3">
        <v>38</v>
      </c>
      <c r="L1899" s="3">
        <f t="shared" si="294"/>
        <v>0</v>
      </c>
      <c r="N1899" s="11">
        <f t="shared" si="295"/>
        <v>-6.3854916823699845</v>
      </c>
      <c r="O1899" s="3">
        <v>21.905491682369981</v>
      </c>
      <c r="P1899" s="11">
        <f t="shared" si="296"/>
        <v>-8.745055954405947</v>
      </c>
      <c r="Q1899" s="12">
        <f t="shared" si="297"/>
        <v>-9.2142220418553151</v>
      </c>
      <c r="R1899" s="13">
        <f t="shared" si="298"/>
        <v>3.4542911269476986</v>
      </c>
      <c r="S1899" s="3" t="s">
        <v>31</v>
      </c>
      <c r="T1899" s="3" t="s">
        <v>28</v>
      </c>
      <c r="U1899" s="10">
        <v>9420139900999</v>
      </c>
      <c r="V1899" s="3">
        <v>0.1</v>
      </c>
      <c r="W1899" s="3">
        <f t="shared" si="299"/>
        <v>3.8000000000000003</v>
      </c>
      <c r="AA1899" s="3">
        <v>48</v>
      </c>
    </row>
    <row r="1900" spans="1:27" x14ac:dyDescent="0.3">
      <c r="A1900" s="3" t="str">
        <f t="shared" si="290"/>
        <v>North9101069900320</v>
      </c>
      <c r="B1900" s="3" t="str">
        <f t="shared" si="291"/>
        <v>Pan9101069900320</v>
      </c>
      <c r="C1900" s="10">
        <v>9101069900320</v>
      </c>
      <c r="D1900" s="10" t="str">
        <f t="shared" si="292"/>
        <v>9101069900</v>
      </c>
      <c r="E1900" s="3" t="s">
        <v>2</v>
      </c>
      <c r="F1900" s="3" t="s">
        <v>64</v>
      </c>
      <c r="H1900" s="3">
        <v>28.360000000000007</v>
      </c>
      <c r="I1900" s="10">
        <f t="shared" si="293"/>
        <v>42.358325120166405</v>
      </c>
      <c r="J1900" s="3">
        <v>20.08578001104539</v>
      </c>
      <c r="K1900" s="3">
        <v>48</v>
      </c>
      <c r="L1900" s="3">
        <f t="shared" si="294"/>
        <v>0</v>
      </c>
      <c r="N1900" s="11">
        <f t="shared" si="295"/>
        <v>8.2742199889546164</v>
      </c>
      <c r="O1900" s="3">
        <v>20.08578001104539</v>
      </c>
      <c r="P1900" s="11">
        <f t="shared" si="296"/>
        <v>12.358325120166405</v>
      </c>
      <c r="Q1900" s="12">
        <f t="shared" si="297"/>
        <v>9.1578461621437235</v>
      </c>
      <c r="R1900" s="13">
        <f t="shared" si="298"/>
        <v>25.087060035412687</v>
      </c>
      <c r="S1900" s="3" t="s">
        <v>29</v>
      </c>
      <c r="T1900" s="3" t="s">
        <v>34</v>
      </c>
      <c r="U1900" s="10">
        <v>0</v>
      </c>
      <c r="V1900" s="3">
        <v>0</v>
      </c>
      <c r="W1900" s="3">
        <f t="shared" si="299"/>
        <v>0</v>
      </c>
      <c r="AA1900" s="3">
        <v>48</v>
      </c>
    </row>
    <row r="1901" spans="1:27" x14ac:dyDescent="0.3">
      <c r="A1901" s="3" t="str">
        <f t="shared" si="290"/>
        <v>North9320079900320</v>
      </c>
      <c r="B1901" s="3" t="str">
        <f t="shared" si="291"/>
        <v>Pan9320079900320</v>
      </c>
      <c r="C1901" s="10">
        <v>9320079900320</v>
      </c>
      <c r="D1901" s="10" t="str">
        <f t="shared" si="292"/>
        <v>9320079900</v>
      </c>
      <c r="E1901" s="3" t="s">
        <v>2</v>
      </c>
      <c r="F1901" s="3" t="s">
        <v>64</v>
      </c>
      <c r="H1901" s="3">
        <v>0</v>
      </c>
      <c r="I1901" s="10">
        <f t="shared" si="293"/>
        <v>0</v>
      </c>
      <c r="J1901" s="3">
        <v>16.851254694414461</v>
      </c>
      <c r="K1901" s="3">
        <v>60</v>
      </c>
      <c r="L1901" s="3">
        <f t="shared" si="294"/>
        <v>0</v>
      </c>
      <c r="N1901" s="11">
        <f t="shared" si="295"/>
        <v>-16.851254694414461</v>
      </c>
      <c r="O1901" s="3">
        <v>16.851254694414461</v>
      </c>
      <c r="P1901" s="11">
        <f t="shared" si="296"/>
        <v>-30</v>
      </c>
      <c r="Q1901" s="12">
        <f t="shared" si="297"/>
        <v>-30</v>
      </c>
      <c r="R1901" s="13">
        <f t="shared" si="298"/>
        <v>-30</v>
      </c>
      <c r="S1901" s="3">
        <v>0</v>
      </c>
      <c r="T1901" s="3" t="s">
        <v>28</v>
      </c>
      <c r="U1901" s="10">
        <v>9320079900999</v>
      </c>
      <c r="V1901" s="3">
        <v>0.1</v>
      </c>
      <c r="W1901" s="3">
        <f t="shared" si="299"/>
        <v>6</v>
      </c>
      <c r="AA1901" s="3">
        <v>48</v>
      </c>
    </row>
    <row r="1902" spans="1:27" x14ac:dyDescent="0.3">
      <c r="A1902" s="3" t="str">
        <f t="shared" si="290"/>
        <v>North9437019900240</v>
      </c>
      <c r="B1902" s="3" t="str">
        <f t="shared" si="291"/>
        <v>Pan9437019900240</v>
      </c>
      <c r="C1902" s="10">
        <v>9437019900240</v>
      </c>
      <c r="D1902" s="10" t="str">
        <f t="shared" si="292"/>
        <v>9437019900</v>
      </c>
      <c r="E1902" s="3" t="s">
        <v>2</v>
      </c>
      <c r="F1902" s="3" t="s">
        <v>64</v>
      </c>
      <c r="H1902" s="3">
        <v>19.914999999999992</v>
      </c>
      <c r="I1902" s="10">
        <f t="shared" si="293"/>
        <v>35.62373314953345</v>
      </c>
      <c r="J1902" s="3">
        <v>16.771122708901842</v>
      </c>
      <c r="K1902" s="3">
        <v>24</v>
      </c>
      <c r="L1902" s="3">
        <f t="shared" si="294"/>
        <v>0</v>
      </c>
      <c r="N1902" s="11">
        <f t="shared" si="295"/>
        <v>3.1438772910981498</v>
      </c>
      <c r="O1902" s="3">
        <v>16.771122708901842</v>
      </c>
      <c r="P1902" s="11">
        <f t="shared" si="296"/>
        <v>5.6237331495334484</v>
      </c>
      <c r="Q1902" s="12">
        <f t="shared" si="297"/>
        <v>5.2150345363456649</v>
      </c>
      <c r="R1902" s="13">
        <f t="shared" si="298"/>
        <v>10.080966563011508</v>
      </c>
      <c r="S1902" s="3" t="s">
        <v>29</v>
      </c>
      <c r="T1902" s="3" t="s">
        <v>35</v>
      </c>
      <c r="U1902" s="10">
        <v>0</v>
      </c>
      <c r="V1902" s="3">
        <v>0</v>
      </c>
      <c r="W1902" s="3">
        <f t="shared" si="299"/>
        <v>0</v>
      </c>
      <c r="AA1902" s="3">
        <v>48</v>
      </c>
    </row>
    <row r="1903" spans="1:27" x14ac:dyDescent="0.3">
      <c r="A1903" s="3" t="str">
        <f t="shared" si="290"/>
        <v>North9432029901310</v>
      </c>
      <c r="B1903" s="3" t="str">
        <f t="shared" si="291"/>
        <v>Pan9432029901310</v>
      </c>
      <c r="C1903" s="10">
        <v>9432029901310</v>
      </c>
      <c r="D1903" s="10" t="str">
        <f t="shared" si="292"/>
        <v>9432029901</v>
      </c>
      <c r="E1903" s="3" t="s">
        <v>2</v>
      </c>
      <c r="F1903" s="3" t="s">
        <v>64</v>
      </c>
      <c r="H1903" s="3">
        <v>36.69</v>
      </c>
      <c r="I1903" s="10">
        <f t="shared" si="293"/>
        <v>70.079100450559608</v>
      </c>
      <c r="J1903" s="3">
        <v>15.706537226124034</v>
      </c>
      <c r="K1903" s="3">
        <v>0</v>
      </c>
      <c r="L1903" s="3">
        <f t="shared" si="294"/>
        <v>0</v>
      </c>
      <c r="N1903" s="11">
        <f t="shared" si="295"/>
        <v>20.983462773875964</v>
      </c>
      <c r="O1903" s="3">
        <v>15.706537226124034</v>
      </c>
      <c r="P1903" s="11">
        <f t="shared" si="296"/>
        <v>40.079100450559601</v>
      </c>
      <c r="Q1903" s="12">
        <f t="shared" si="297"/>
        <v>40.70674985485357</v>
      </c>
      <c r="R1903" s="13">
        <f t="shared" si="298"/>
        <v>43.777640765882907</v>
      </c>
      <c r="S1903" s="3" t="s">
        <v>31</v>
      </c>
      <c r="T1903" s="3" t="s">
        <v>35</v>
      </c>
      <c r="U1903" s="10">
        <v>9432029900999</v>
      </c>
      <c r="V1903" s="3">
        <v>0.1</v>
      </c>
      <c r="W1903" s="3">
        <f t="shared" si="299"/>
        <v>0</v>
      </c>
      <c r="AA1903" s="3">
        <v>48</v>
      </c>
    </row>
    <row r="1904" spans="1:27" x14ac:dyDescent="0.3">
      <c r="A1904" s="3" t="str">
        <f t="shared" si="290"/>
        <v>North9410029900320</v>
      </c>
      <c r="B1904" s="3" t="str">
        <f t="shared" si="291"/>
        <v>Pan9410029900320</v>
      </c>
      <c r="C1904" s="10">
        <v>9410029900320</v>
      </c>
      <c r="D1904" s="10" t="str">
        <f t="shared" si="292"/>
        <v>9410029900</v>
      </c>
      <c r="E1904" s="3" t="s">
        <v>2</v>
      </c>
      <c r="F1904" s="3" t="s">
        <v>64</v>
      </c>
      <c r="H1904" s="3">
        <v>13.999999999999996</v>
      </c>
      <c r="I1904" s="10">
        <f t="shared" si="293"/>
        <v>29.899036050042398</v>
      </c>
      <c r="J1904" s="3">
        <v>14.04727561440578</v>
      </c>
      <c r="K1904" s="3">
        <v>36</v>
      </c>
      <c r="L1904" s="3">
        <f t="shared" si="294"/>
        <v>0</v>
      </c>
      <c r="N1904" s="11">
        <f t="shared" si="295"/>
        <v>-4.7275614405783983E-2</v>
      </c>
      <c r="O1904" s="3">
        <v>14.04727561440578</v>
      </c>
      <c r="P1904" s="11">
        <f t="shared" si="296"/>
        <v>-0.10096394995760281</v>
      </c>
      <c r="Q1904" s="12">
        <f t="shared" si="297"/>
        <v>-0.10096394995760281</v>
      </c>
      <c r="R1904" s="13">
        <f t="shared" si="298"/>
        <v>18.008421131063521</v>
      </c>
      <c r="S1904" s="3" t="s">
        <v>30</v>
      </c>
      <c r="T1904" s="3" t="s">
        <v>32</v>
      </c>
      <c r="U1904" s="10">
        <v>9410029900999</v>
      </c>
      <c r="V1904" s="3">
        <v>0.1</v>
      </c>
      <c r="W1904" s="3">
        <f t="shared" si="299"/>
        <v>3.6</v>
      </c>
      <c r="AA1904" s="3">
        <v>48</v>
      </c>
    </row>
    <row r="1905" spans="1:27" x14ac:dyDescent="0.3">
      <c r="A1905" s="3" t="str">
        <f t="shared" si="290"/>
        <v>North9320029901310</v>
      </c>
      <c r="B1905" s="3" t="str">
        <f t="shared" si="291"/>
        <v>Pan9320029901310</v>
      </c>
      <c r="C1905" s="10">
        <v>9320029901310</v>
      </c>
      <c r="D1905" s="10" t="str">
        <f t="shared" si="292"/>
        <v>9320029901</v>
      </c>
      <c r="E1905" s="3" t="s">
        <v>2</v>
      </c>
      <c r="F1905" s="3" t="s">
        <v>64</v>
      </c>
      <c r="H1905" s="3">
        <v>18.11</v>
      </c>
      <c r="I1905" s="10">
        <f t="shared" si="293"/>
        <v>40.511674982574405</v>
      </c>
      <c r="J1905" s="3">
        <v>13.410948824843549</v>
      </c>
      <c r="K1905" s="3">
        <v>0</v>
      </c>
      <c r="L1905" s="3">
        <f t="shared" si="294"/>
        <v>0</v>
      </c>
      <c r="N1905" s="11">
        <f t="shared" si="295"/>
        <v>4.6990511751564501</v>
      </c>
      <c r="O1905" s="3">
        <v>13.410948824843549</v>
      </c>
      <c r="P1905" s="11">
        <f t="shared" si="296"/>
        <v>10.511674982574402</v>
      </c>
      <c r="Q1905" s="12">
        <f t="shared" si="297"/>
        <v>7.2264259783968363</v>
      </c>
      <c r="R1905" s="13">
        <f t="shared" si="298"/>
        <v>10.117410198257529</v>
      </c>
      <c r="S1905" s="3" t="s">
        <v>29</v>
      </c>
      <c r="T1905" s="3" t="s">
        <v>28</v>
      </c>
      <c r="U1905" s="10">
        <v>9320029900999</v>
      </c>
      <c r="V1905" s="3">
        <v>0.1</v>
      </c>
      <c r="W1905" s="3">
        <f t="shared" si="299"/>
        <v>0</v>
      </c>
      <c r="AA1905" s="3">
        <v>48</v>
      </c>
    </row>
    <row r="1906" spans="1:27" x14ac:dyDescent="0.3">
      <c r="A1906" s="3" t="str">
        <f t="shared" si="290"/>
        <v>North9432009900310</v>
      </c>
      <c r="B1906" s="3" t="str">
        <f t="shared" si="291"/>
        <v>Pan9432009900310</v>
      </c>
      <c r="C1906" s="10">
        <v>9432009900310</v>
      </c>
      <c r="D1906" s="10" t="str">
        <f t="shared" si="292"/>
        <v>9432009900</v>
      </c>
      <c r="E1906" s="3" t="s">
        <v>2</v>
      </c>
      <c r="F1906" s="3" t="s">
        <v>64</v>
      </c>
      <c r="H1906" s="3">
        <v>20.209999999999997</v>
      </c>
      <c r="I1906" s="10">
        <f t="shared" si="293"/>
        <v>47.060929264999004</v>
      </c>
      <c r="J1906" s="3">
        <v>12.883298512571621</v>
      </c>
      <c r="K1906" s="3">
        <v>0</v>
      </c>
      <c r="L1906" s="3">
        <f t="shared" si="294"/>
        <v>0</v>
      </c>
      <c r="N1906" s="11">
        <f t="shared" si="295"/>
        <v>7.3267014874283767</v>
      </c>
      <c r="O1906" s="3">
        <v>12.883298512571621</v>
      </c>
      <c r="P1906" s="11">
        <f t="shared" si="296"/>
        <v>17.060929264999004</v>
      </c>
      <c r="Q1906" s="12">
        <f t="shared" si="297"/>
        <v>8.7409676022864513</v>
      </c>
      <c r="R1906" s="13">
        <f t="shared" si="298"/>
        <v>13.907087089372547</v>
      </c>
      <c r="S1906" s="3" t="s">
        <v>30</v>
      </c>
      <c r="T1906" s="3" t="s">
        <v>35</v>
      </c>
      <c r="U1906" s="10">
        <v>9432009900999</v>
      </c>
      <c r="V1906" s="3">
        <v>0.1</v>
      </c>
      <c r="W1906" s="3">
        <f t="shared" si="299"/>
        <v>0</v>
      </c>
      <c r="AA1906" s="3">
        <v>48</v>
      </c>
    </row>
    <row r="1907" spans="1:27" x14ac:dyDescent="0.3">
      <c r="A1907" s="3" t="str">
        <f t="shared" si="290"/>
        <v>North9431009913210</v>
      </c>
      <c r="B1907" s="3" t="str">
        <f t="shared" si="291"/>
        <v>Pan9431009913210</v>
      </c>
      <c r="C1907" s="10">
        <v>9431009913210</v>
      </c>
      <c r="D1907" s="10" t="str">
        <f t="shared" si="292"/>
        <v>9431009913</v>
      </c>
      <c r="E1907" s="3" t="s">
        <v>2</v>
      </c>
      <c r="F1907" s="3" t="s">
        <v>64</v>
      </c>
      <c r="H1907" s="3">
        <v>22.114999999999998</v>
      </c>
      <c r="I1907" s="10">
        <f t="shared" si="293"/>
        <v>51.736646285226534</v>
      </c>
      <c r="J1907" s="3">
        <v>12.823598892405382</v>
      </c>
      <c r="K1907" s="3">
        <v>24</v>
      </c>
      <c r="L1907" s="3">
        <f t="shared" si="294"/>
        <v>0</v>
      </c>
      <c r="N1907" s="11">
        <f t="shared" si="295"/>
        <v>9.2914011075946163</v>
      </c>
      <c r="O1907" s="3">
        <v>12.823598892405382</v>
      </c>
      <c r="P1907" s="11">
        <f t="shared" si="296"/>
        <v>21.736646285226531</v>
      </c>
      <c r="Q1907" s="12">
        <f t="shared" si="297"/>
        <v>24.52183733807243</v>
      </c>
      <c r="R1907" s="13">
        <f t="shared" si="298"/>
        <v>26.053752707382994</v>
      </c>
      <c r="S1907" s="3" t="s">
        <v>30</v>
      </c>
      <c r="T1907" s="3" t="s">
        <v>35</v>
      </c>
      <c r="U1907" s="10">
        <v>0</v>
      </c>
      <c r="V1907" s="3">
        <v>0</v>
      </c>
      <c r="W1907" s="3">
        <f t="shared" si="299"/>
        <v>0</v>
      </c>
      <c r="AA1907" s="3">
        <v>48</v>
      </c>
    </row>
    <row r="1908" spans="1:27" x14ac:dyDescent="0.3">
      <c r="A1908" s="3" t="str">
        <f t="shared" si="290"/>
        <v>North9320039901840</v>
      </c>
      <c r="B1908" s="3" t="str">
        <f t="shared" si="291"/>
        <v>Pan9320039901840</v>
      </c>
      <c r="C1908" s="10">
        <v>9320039901840</v>
      </c>
      <c r="D1908" s="10" t="str">
        <f t="shared" si="292"/>
        <v>9320039901</v>
      </c>
      <c r="E1908" s="3" t="s">
        <v>2</v>
      </c>
      <c r="F1908" s="3" t="s">
        <v>64</v>
      </c>
      <c r="H1908" s="3">
        <v>5.2399999999999993</v>
      </c>
      <c r="I1908" s="10">
        <f t="shared" si="293"/>
        <v>12.709915868287165</v>
      </c>
      <c r="J1908" s="3">
        <v>12.368295874580388</v>
      </c>
      <c r="K1908" s="3">
        <v>24</v>
      </c>
      <c r="L1908" s="3">
        <f t="shared" si="294"/>
        <v>0</v>
      </c>
      <c r="N1908" s="11">
        <f t="shared" si="295"/>
        <v>-7.128295874580389</v>
      </c>
      <c r="O1908" s="3">
        <v>12.368295874580388</v>
      </c>
      <c r="P1908" s="11">
        <f t="shared" si="296"/>
        <v>-17.290084131712835</v>
      </c>
      <c r="Q1908" s="12">
        <f t="shared" si="297"/>
        <v>16.808762799143288</v>
      </c>
      <c r="R1908" s="13">
        <f t="shared" si="298"/>
        <v>11.907427871935532</v>
      </c>
      <c r="S1908" s="3" t="s">
        <v>30</v>
      </c>
      <c r="T1908" s="3" t="s">
        <v>28</v>
      </c>
      <c r="U1908" s="10">
        <v>0</v>
      </c>
      <c r="V1908" s="3">
        <v>0</v>
      </c>
      <c r="W1908" s="3">
        <f t="shared" si="299"/>
        <v>0</v>
      </c>
      <c r="AA1908" s="3">
        <v>48</v>
      </c>
    </row>
    <row r="1909" spans="1:27" x14ac:dyDescent="0.3">
      <c r="A1909" s="3" t="str">
        <f t="shared" si="290"/>
        <v>North9320039902219</v>
      </c>
      <c r="B1909" s="3" t="str">
        <f t="shared" si="291"/>
        <v>Pan9320039902219</v>
      </c>
      <c r="C1909" s="10">
        <v>9320039902219</v>
      </c>
      <c r="D1909" s="10" t="str">
        <f t="shared" si="292"/>
        <v>9320039902</v>
      </c>
      <c r="E1909" s="3" t="s">
        <v>2</v>
      </c>
      <c r="F1909" s="3" t="s">
        <v>64</v>
      </c>
      <c r="H1909" s="3">
        <v>30.0105</v>
      </c>
      <c r="I1909" s="10">
        <f t="shared" si="293"/>
        <v>74.403897506229626</v>
      </c>
      <c r="J1909" s="3">
        <v>12.100374176293913</v>
      </c>
      <c r="K1909" s="3">
        <v>0</v>
      </c>
      <c r="L1909" s="3">
        <f t="shared" si="294"/>
        <v>0</v>
      </c>
      <c r="N1909" s="11">
        <f t="shared" si="295"/>
        <v>17.910125823706089</v>
      </c>
      <c r="O1909" s="3">
        <v>12.100374176293913</v>
      </c>
      <c r="P1909" s="11">
        <f t="shared" si="296"/>
        <v>44.403897506229626</v>
      </c>
      <c r="Q1909" s="12">
        <f t="shared" si="297"/>
        <v>39.508849867787553</v>
      </c>
      <c r="R1909" s="13">
        <f t="shared" si="298"/>
        <v>37.449963075784481</v>
      </c>
      <c r="S1909" s="3" t="s">
        <v>30</v>
      </c>
      <c r="T1909" s="3" t="s">
        <v>28</v>
      </c>
      <c r="U1909" s="10">
        <v>9320039900999</v>
      </c>
      <c r="V1909" s="3">
        <v>0.1</v>
      </c>
      <c r="W1909" s="3">
        <f t="shared" si="299"/>
        <v>0</v>
      </c>
      <c r="AA1909" s="3">
        <v>48</v>
      </c>
    </row>
    <row r="1910" spans="1:27" x14ac:dyDescent="0.3">
      <c r="A1910" s="3" t="str">
        <f t="shared" si="290"/>
        <v>North9420039900320</v>
      </c>
      <c r="B1910" s="3" t="str">
        <f t="shared" si="291"/>
        <v>Pan9420039900320</v>
      </c>
      <c r="C1910" s="10">
        <v>9420039900320</v>
      </c>
      <c r="D1910" s="10" t="str">
        <f t="shared" si="292"/>
        <v>9420039900</v>
      </c>
      <c r="E1910" s="3" t="s">
        <v>2</v>
      </c>
      <c r="F1910" s="3" t="s">
        <v>64</v>
      </c>
      <c r="H1910" s="3">
        <v>23.259999999999998</v>
      </c>
      <c r="I1910" s="10">
        <f t="shared" si="293"/>
        <v>59.277007295776443</v>
      </c>
      <c r="J1910" s="3">
        <v>11.771849353294174</v>
      </c>
      <c r="K1910" s="3">
        <v>0</v>
      </c>
      <c r="L1910" s="3">
        <f t="shared" si="294"/>
        <v>0</v>
      </c>
      <c r="N1910" s="11">
        <f t="shared" si="295"/>
        <v>11.488150646705824</v>
      </c>
      <c r="O1910" s="3">
        <v>11.771849353294174</v>
      </c>
      <c r="P1910" s="11">
        <f t="shared" si="296"/>
        <v>29.277007295776443</v>
      </c>
      <c r="Q1910" s="12">
        <f t="shared" si="297"/>
        <v>25.806519045779464</v>
      </c>
      <c r="R1910" s="13">
        <f t="shared" si="298"/>
        <v>23.422416878504819</v>
      </c>
      <c r="S1910" s="3" t="s">
        <v>30</v>
      </c>
      <c r="T1910" s="3" t="s">
        <v>28</v>
      </c>
      <c r="U1910" s="10">
        <v>9420039900999</v>
      </c>
      <c r="V1910" s="3">
        <v>0.1</v>
      </c>
      <c r="W1910" s="3">
        <f t="shared" si="299"/>
        <v>0</v>
      </c>
      <c r="AA1910" s="3">
        <v>48</v>
      </c>
    </row>
    <row r="1911" spans="1:27" x14ac:dyDescent="0.3">
      <c r="A1911" s="3" t="str">
        <f t="shared" si="290"/>
        <v>North9170529900320</v>
      </c>
      <c r="B1911" s="3" t="str">
        <f t="shared" si="291"/>
        <v>Pan9170529900320</v>
      </c>
      <c r="C1911" s="10">
        <v>9170529900320</v>
      </c>
      <c r="D1911" s="10" t="str">
        <f t="shared" si="292"/>
        <v>9170529900</v>
      </c>
      <c r="E1911" s="3" t="s">
        <v>2</v>
      </c>
      <c r="F1911" s="3" t="s">
        <v>64</v>
      </c>
      <c r="H1911" s="3">
        <v>42.66</v>
      </c>
      <c r="I1911" s="10">
        <f t="shared" si="293"/>
        <v>108.9513709100374</v>
      </c>
      <c r="J1911" s="3">
        <v>11.746524980000002</v>
      </c>
      <c r="K1911" s="3">
        <v>0</v>
      </c>
      <c r="L1911" s="3">
        <f t="shared" si="294"/>
        <v>0</v>
      </c>
      <c r="N1911" s="11">
        <f t="shared" si="295"/>
        <v>30.913475019999993</v>
      </c>
      <c r="O1911" s="3">
        <v>11.746524980000002</v>
      </c>
      <c r="P1911" s="11">
        <f t="shared" si="296"/>
        <v>78.951370910037397</v>
      </c>
      <c r="Q1911" s="12">
        <f t="shared" si="297"/>
        <v>78.951370910037397</v>
      </c>
      <c r="R1911" s="13">
        <f t="shared" si="298"/>
        <v>78.951370910037397</v>
      </c>
      <c r="S1911" s="3" t="s">
        <v>31</v>
      </c>
      <c r="T1911" s="3" t="s">
        <v>34</v>
      </c>
      <c r="U1911" s="10">
        <v>0</v>
      </c>
      <c r="V1911" s="3">
        <v>0</v>
      </c>
      <c r="W1911" s="3">
        <f t="shared" si="299"/>
        <v>0</v>
      </c>
      <c r="AA1911" s="3">
        <v>48</v>
      </c>
    </row>
    <row r="1912" spans="1:27" x14ac:dyDescent="0.3">
      <c r="A1912" s="3" t="str">
        <f t="shared" si="290"/>
        <v>North9360119922320</v>
      </c>
      <c r="B1912" s="3" t="str">
        <f t="shared" si="291"/>
        <v>Pan9360119922320</v>
      </c>
      <c r="C1912" s="10">
        <v>9360119922320</v>
      </c>
      <c r="D1912" s="10" t="str">
        <f t="shared" si="292"/>
        <v>9360119922</v>
      </c>
      <c r="E1912" s="3" t="s">
        <v>2</v>
      </c>
      <c r="F1912" s="3" t="s">
        <v>64</v>
      </c>
      <c r="H1912" s="3">
        <v>16.339999999999993</v>
      </c>
      <c r="I1912" s="10">
        <f t="shared" si="293"/>
        <v>43.126625625891656</v>
      </c>
      <c r="J1912" s="3">
        <v>11.366528052816207</v>
      </c>
      <c r="K1912" s="3">
        <v>12</v>
      </c>
      <c r="L1912" s="3">
        <f t="shared" si="294"/>
        <v>0</v>
      </c>
      <c r="N1912" s="11">
        <f t="shared" si="295"/>
        <v>4.9734719471837856</v>
      </c>
      <c r="O1912" s="3">
        <v>11.366528052816207</v>
      </c>
      <c r="P1912" s="11">
        <f t="shared" si="296"/>
        <v>13.126625625891652</v>
      </c>
      <c r="Q1912" s="12">
        <f t="shared" si="297"/>
        <v>14.405605724950179</v>
      </c>
      <c r="R1912" s="13">
        <f t="shared" si="298"/>
        <v>5.798507580120047</v>
      </c>
      <c r="S1912" s="3" t="s">
        <v>29</v>
      </c>
      <c r="T1912" s="3" t="s">
        <v>33</v>
      </c>
      <c r="U1912" s="10">
        <v>9360119922999</v>
      </c>
      <c r="V1912" s="3">
        <v>0.1</v>
      </c>
      <c r="W1912" s="3">
        <f t="shared" si="299"/>
        <v>1.2000000000000002</v>
      </c>
      <c r="AA1912" s="3">
        <v>48</v>
      </c>
    </row>
    <row r="1913" spans="1:27" x14ac:dyDescent="0.3">
      <c r="A1913" s="3" t="str">
        <f t="shared" si="290"/>
        <v>North9420139900320</v>
      </c>
      <c r="B1913" s="3" t="str">
        <f t="shared" si="291"/>
        <v>Pan9420139900320</v>
      </c>
      <c r="C1913" s="10">
        <v>9420139900320</v>
      </c>
      <c r="D1913" s="10" t="str">
        <f t="shared" si="292"/>
        <v>9420139900</v>
      </c>
      <c r="E1913" s="3" t="s">
        <v>2</v>
      </c>
      <c r="F1913" s="3" t="s">
        <v>64</v>
      </c>
      <c r="H1913" s="3">
        <v>16.16</v>
      </c>
      <c r="I1913" s="10">
        <f t="shared" si="293"/>
        <v>45.238601440623469</v>
      </c>
      <c r="J1913" s="3">
        <v>10.716511663967093</v>
      </c>
      <c r="K1913" s="3">
        <v>24</v>
      </c>
      <c r="L1913" s="3">
        <f t="shared" si="294"/>
        <v>0</v>
      </c>
      <c r="N1913" s="11">
        <f t="shared" si="295"/>
        <v>5.4434883360329067</v>
      </c>
      <c r="O1913" s="3">
        <v>10.716511663967093</v>
      </c>
      <c r="P1913" s="11">
        <f t="shared" si="296"/>
        <v>15.238601440623471</v>
      </c>
      <c r="Q1913" s="12">
        <f t="shared" si="297"/>
        <v>13.510125932788961</v>
      </c>
      <c r="R1913" s="13">
        <f t="shared" si="298"/>
        <v>20.904234494707751</v>
      </c>
      <c r="S1913" s="3" t="s">
        <v>31</v>
      </c>
      <c r="T1913" s="3" t="s">
        <v>28</v>
      </c>
      <c r="U1913" s="10">
        <v>9420139900999</v>
      </c>
      <c r="V1913" s="3">
        <v>0.1</v>
      </c>
      <c r="W1913" s="3">
        <f t="shared" si="299"/>
        <v>2.4000000000000004</v>
      </c>
      <c r="AA1913" s="3">
        <v>48</v>
      </c>
    </row>
    <row r="1914" spans="1:27" x14ac:dyDescent="0.3">
      <c r="A1914" s="3" t="str">
        <f t="shared" si="290"/>
        <v>North9420039901310</v>
      </c>
      <c r="B1914" s="3" t="str">
        <f t="shared" si="291"/>
        <v>Pan9420039901310</v>
      </c>
      <c r="C1914" s="10">
        <v>9420039901310</v>
      </c>
      <c r="D1914" s="10" t="str">
        <f t="shared" si="292"/>
        <v>9420039901</v>
      </c>
      <c r="E1914" s="3" t="s">
        <v>2</v>
      </c>
      <c r="F1914" s="3" t="s">
        <v>64</v>
      </c>
      <c r="H1914" s="3">
        <v>16.019999999999996</v>
      </c>
      <c r="I1914" s="10">
        <f t="shared" si="293"/>
        <v>45.308292479030307</v>
      </c>
      <c r="J1914" s="3">
        <v>10.607329777930438</v>
      </c>
      <c r="K1914" s="3">
        <v>12</v>
      </c>
      <c r="L1914" s="3">
        <f t="shared" si="294"/>
        <v>0</v>
      </c>
      <c r="N1914" s="11">
        <f t="shared" si="295"/>
        <v>5.4126702220695577</v>
      </c>
      <c r="O1914" s="3">
        <v>10.607329777930438</v>
      </c>
      <c r="P1914" s="11">
        <f t="shared" si="296"/>
        <v>15.308292479030305</v>
      </c>
      <c r="Q1914" s="12">
        <f t="shared" si="297"/>
        <v>13.916880936485585</v>
      </c>
      <c r="R1914" s="13">
        <f t="shared" si="298"/>
        <v>-0.5574194861834727</v>
      </c>
      <c r="S1914" s="3" t="s">
        <v>30</v>
      </c>
      <c r="T1914" s="3" t="s">
        <v>28</v>
      </c>
      <c r="U1914" s="10">
        <v>9420039900999</v>
      </c>
      <c r="V1914" s="3">
        <v>0.1</v>
      </c>
      <c r="W1914" s="3">
        <f t="shared" si="299"/>
        <v>1.2000000000000002</v>
      </c>
      <c r="AA1914" s="3">
        <v>48</v>
      </c>
    </row>
    <row r="1915" spans="1:27" x14ac:dyDescent="0.3">
      <c r="A1915" s="3" t="str">
        <f t="shared" si="290"/>
        <v>North9310019901310</v>
      </c>
      <c r="B1915" s="3" t="str">
        <f t="shared" si="291"/>
        <v>Pan9310019901310</v>
      </c>
      <c r="C1915" s="10">
        <v>9310019901310</v>
      </c>
      <c r="D1915" s="10" t="str">
        <f t="shared" si="292"/>
        <v>9310019901</v>
      </c>
      <c r="E1915" s="3" t="s">
        <v>2</v>
      </c>
      <c r="F1915" s="3" t="s">
        <v>64</v>
      </c>
      <c r="H1915" s="3">
        <v>23.28</v>
      </c>
      <c r="I1915" s="10">
        <f t="shared" si="293"/>
        <v>66.641976747516026</v>
      </c>
      <c r="J1915" s="3">
        <v>10.479881211297229</v>
      </c>
      <c r="K1915" s="3">
        <v>0</v>
      </c>
      <c r="L1915" s="3">
        <f t="shared" si="294"/>
        <v>0</v>
      </c>
      <c r="N1915" s="11">
        <f t="shared" si="295"/>
        <v>12.800118788702772</v>
      </c>
      <c r="O1915" s="3">
        <v>10.479881211297229</v>
      </c>
      <c r="P1915" s="11">
        <f t="shared" si="296"/>
        <v>36.641976747516026</v>
      </c>
      <c r="Q1915" s="12">
        <f t="shared" si="297"/>
        <v>48.052278768150494</v>
      </c>
      <c r="R1915" s="13">
        <f t="shared" si="298"/>
        <v>34.329351227139078</v>
      </c>
      <c r="S1915" s="3" t="s">
        <v>30</v>
      </c>
      <c r="T1915" s="3" t="s">
        <v>32</v>
      </c>
      <c r="U1915" s="10">
        <v>9310019900999</v>
      </c>
      <c r="V1915" s="3">
        <v>0.1</v>
      </c>
      <c r="W1915" s="3">
        <f t="shared" si="299"/>
        <v>0</v>
      </c>
      <c r="AA1915" s="3">
        <v>48</v>
      </c>
    </row>
    <row r="1916" spans="1:27" x14ac:dyDescent="0.3">
      <c r="A1916" s="3" t="str">
        <f t="shared" si="290"/>
        <v>North9320039900840</v>
      </c>
      <c r="B1916" s="3" t="str">
        <f t="shared" si="291"/>
        <v>Pan9320039900840</v>
      </c>
      <c r="C1916" s="10">
        <v>9320039900840</v>
      </c>
      <c r="D1916" s="10" t="str">
        <f t="shared" si="292"/>
        <v>9320039900</v>
      </c>
      <c r="E1916" s="3" t="s">
        <v>2</v>
      </c>
      <c r="F1916" s="3" t="s">
        <v>64</v>
      </c>
      <c r="H1916" s="3">
        <v>3.6240000000000001</v>
      </c>
      <c r="I1916" s="10">
        <f t="shared" si="293"/>
        <v>10.585772706740613</v>
      </c>
      <c r="J1916" s="3">
        <v>10.270388663339737</v>
      </c>
      <c r="K1916" s="3">
        <v>24</v>
      </c>
      <c r="L1916" s="3">
        <f t="shared" si="294"/>
        <v>0</v>
      </c>
      <c r="N1916" s="11">
        <f t="shared" si="295"/>
        <v>-6.6463886633397369</v>
      </c>
      <c r="O1916" s="3">
        <v>10.270388663339737</v>
      </c>
      <c r="P1916" s="11">
        <f t="shared" si="296"/>
        <v>-19.414227293259383</v>
      </c>
      <c r="Q1916" s="12">
        <f t="shared" si="297"/>
        <v>-19.528704038969398</v>
      </c>
      <c r="R1916" s="13">
        <f t="shared" si="298"/>
        <v>-11.770542147540164</v>
      </c>
      <c r="S1916" s="3" t="s">
        <v>30</v>
      </c>
      <c r="T1916" s="3" t="s">
        <v>28</v>
      </c>
      <c r="U1916" s="10">
        <v>0</v>
      </c>
      <c r="V1916" s="3">
        <v>0</v>
      </c>
      <c r="W1916" s="3">
        <f t="shared" si="299"/>
        <v>0</v>
      </c>
      <c r="AA1916" s="3">
        <v>48</v>
      </c>
    </row>
    <row r="1917" spans="1:27" x14ac:dyDescent="0.3">
      <c r="A1917" s="3" t="str">
        <f t="shared" si="290"/>
        <v>North9320029900310</v>
      </c>
      <c r="B1917" s="3" t="str">
        <f t="shared" si="291"/>
        <v>Pan9320029900310</v>
      </c>
      <c r="C1917" s="10">
        <v>9320029900310</v>
      </c>
      <c r="D1917" s="10" t="str">
        <f t="shared" si="292"/>
        <v>9320029900</v>
      </c>
      <c r="E1917" s="3" t="s">
        <v>2</v>
      </c>
      <c r="F1917" s="3" t="s">
        <v>64</v>
      </c>
      <c r="H1917" s="3">
        <v>10.27</v>
      </c>
      <c r="I1917" s="10">
        <f t="shared" si="293"/>
        <v>31.190174380396559</v>
      </c>
      <c r="J1917" s="3">
        <v>9.8781108512700389</v>
      </c>
      <c r="K1917" s="3">
        <v>24</v>
      </c>
      <c r="L1917" s="3">
        <f t="shared" si="294"/>
        <v>0</v>
      </c>
      <c r="N1917" s="11">
        <f t="shared" si="295"/>
        <v>0.39188914872996072</v>
      </c>
      <c r="O1917" s="3">
        <v>9.8781108512700389</v>
      </c>
      <c r="P1917" s="11">
        <f t="shared" si="296"/>
        <v>1.1901743803965565</v>
      </c>
      <c r="Q1917" s="12">
        <f t="shared" si="297"/>
        <v>-4.4423866546108899</v>
      </c>
      <c r="R1917" s="13">
        <f t="shared" si="298"/>
        <v>9.5182439109816208</v>
      </c>
      <c r="S1917" s="3" t="s">
        <v>30</v>
      </c>
      <c r="T1917" s="3" t="s">
        <v>28</v>
      </c>
      <c r="U1917" s="10">
        <v>9320029900999</v>
      </c>
      <c r="V1917" s="3">
        <v>0.1</v>
      </c>
      <c r="W1917" s="3">
        <f t="shared" si="299"/>
        <v>2.4000000000000004</v>
      </c>
      <c r="AA1917" s="3">
        <v>48</v>
      </c>
    </row>
    <row r="1918" spans="1:27" x14ac:dyDescent="0.3">
      <c r="A1918" s="3" t="str">
        <f t="shared" si="290"/>
        <v>North9320089900320</v>
      </c>
      <c r="B1918" s="3" t="str">
        <f t="shared" si="291"/>
        <v>Pan9320089900320</v>
      </c>
      <c r="C1918" s="10">
        <v>9320089900320</v>
      </c>
      <c r="D1918" s="10" t="str">
        <f t="shared" si="292"/>
        <v>9320089900</v>
      </c>
      <c r="E1918" s="3" t="s">
        <v>2</v>
      </c>
      <c r="F1918" s="3" t="s">
        <v>64</v>
      </c>
      <c r="H1918" s="3">
        <v>38.340000000000003</v>
      </c>
      <c r="I1918" s="10">
        <f t="shared" si="293"/>
        <v>118.70713283073242</v>
      </c>
      <c r="J1918" s="3">
        <v>9.6893924785471839</v>
      </c>
      <c r="K1918" s="3">
        <v>0</v>
      </c>
      <c r="L1918" s="3">
        <f t="shared" si="294"/>
        <v>0</v>
      </c>
      <c r="N1918" s="11">
        <f t="shared" si="295"/>
        <v>28.65060752145282</v>
      </c>
      <c r="O1918" s="3">
        <v>9.6893924785471839</v>
      </c>
      <c r="P1918" s="11">
        <f t="shared" si="296"/>
        <v>88.707132830732419</v>
      </c>
      <c r="Q1918" s="12">
        <f t="shared" si="297"/>
        <v>39.666116567328864</v>
      </c>
      <c r="R1918" s="13">
        <f t="shared" si="298"/>
        <v>49.657770810926209</v>
      </c>
      <c r="S1918" s="3" t="s">
        <v>31</v>
      </c>
      <c r="T1918" s="3" t="s">
        <v>28</v>
      </c>
      <c r="U1918" s="10">
        <v>9320089900999</v>
      </c>
      <c r="V1918" s="3">
        <v>0.1</v>
      </c>
      <c r="W1918" s="3">
        <f t="shared" si="299"/>
        <v>0</v>
      </c>
      <c r="AA1918" s="3">
        <v>48</v>
      </c>
    </row>
    <row r="1919" spans="1:27" x14ac:dyDescent="0.3">
      <c r="A1919" s="3" t="str">
        <f t="shared" si="290"/>
        <v>North9432009901840</v>
      </c>
      <c r="B1919" s="3" t="str">
        <f t="shared" si="291"/>
        <v>Pan9432009901840</v>
      </c>
      <c r="C1919" s="10">
        <v>9432009901840</v>
      </c>
      <c r="D1919" s="10" t="str">
        <f t="shared" si="292"/>
        <v>9432009901</v>
      </c>
      <c r="E1919" s="3" t="s">
        <v>2</v>
      </c>
      <c r="F1919" s="3" t="s">
        <v>64</v>
      </c>
      <c r="H1919" s="3">
        <v>17.623999999999999</v>
      </c>
      <c r="I1919" s="10">
        <f t="shared" si="293"/>
        <v>60.896434695895238</v>
      </c>
      <c r="J1919" s="3">
        <v>8.6822816908793303</v>
      </c>
      <c r="K1919" s="3">
        <v>12</v>
      </c>
      <c r="L1919" s="3">
        <f t="shared" si="294"/>
        <v>0</v>
      </c>
      <c r="N1919" s="11">
        <f t="shared" si="295"/>
        <v>8.9417183091206685</v>
      </c>
      <c r="O1919" s="3">
        <v>8.6822816908793303</v>
      </c>
      <c r="P1919" s="11">
        <f t="shared" si="296"/>
        <v>30.896434695895234</v>
      </c>
      <c r="Q1919" s="12">
        <f t="shared" si="297"/>
        <v>14.794858542202762</v>
      </c>
      <c r="R1919" s="13">
        <f t="shared" si="298"/>
        <v>-1.9751548200886611</v>
      </c>
      <c r="S1919" s="3" t="s">
        <v>29</v>
      </c>
      <c r="T1919" s="3" t="s">
        <v>35</v>
      </c>
      <c r="U1919" s="10">
        <v>0</v>
      </c>
      <c r="V1919" s="3">
        <v>0</v>
      </c>
      <c r="W1919" s="3">
        <f t="shared" si="299"/>
        <v>0</v>
      </c>
      <c r="AA1919" s="3">
        <v>48</v>
      </c>
    </row>
    <row r="1920" spans="1:27" x14ac:dyDescent="0.3">
      <c r="A1920" s="3" t="str">
        <f t="shared" si="290"/>
        <v>North9320099901310</v>
      </c>
      <c r="B1920" s="3" t="str">
        <f t="shared" si="291"/>
        <v>Pan9320099901310</v>
      </c>
      <c r="C1920" s="10">
        <v>9320099901310</v>
      </c>
      <c r="D1920" s="10" t="str">
        <f t="shared" si="292"/>
        <v>9320099901</v>
      </c>
      <c r="E1920" s="3" t="s">
        <v>2</v>
      </c>
      <c r="F1920" s="3" t="s">
        <v>64</v>
      </c>
      <c r="H1920" s="3">
        <v>11.939999999999998</v>
      </c>
      <c r="I1920" s="10">
        <f t="shared" si="293"/>
        <v>41.535253970044614</v>
      </c>
      <c r="J1920" s="3">
        <v>8.6239992720000007</v>
      </c>
      <c r="K1920" s="3">
        <v>18</v>
      </c>
      <c r="L1920" s="3">
        <f t="shared" si="294"/>
        <v>0</v>
      </c>
      <c r="N1920" s="11">
        <f t="shared" si="295"/>
        <v>3.316000727999997</v>
      </c>
      <c r="O1920" s="3">
        <v>8.6239992720000007</v>
      </c>
      <c r="P1920" s="11">
        <f t="shared" si="296"/>
        <v>11.535253970044618</v>
      </c>
      <c r="Q1920" s="12">
        <f t="shared" si="297"/>
        <v>6.8156021831112339</v>
      </c>
      <c r="R1920" s="13">
        <f t="shared" si="298"/>
        <v>10.747191543098038</v>
      </c>
      <c r="S1920" s="3" t="s">
        <v>31</v>
      </c>
      <c r="T1920" s="3" t="s">
        <v>28</v>
      </c>
      <c r="U1920" s="10">
        <v>9320099900999</v>
      </c>
      <c r="V1920" s="3">
        <v>0.1</v>
      </c>
      <c r="W1920" s="3">
        <f t="shared" si="299"/>
        <v>1.8</v>
      </c>
      <c r="AA1920" s="3">
        <v>48</v>
      </c>
    </row>
    <row r="1921" spans="1:27" x14ac:dyDescent="0.3">
      <c r="A1921" s="3" t="str">
        <f t="shared" si="290"/>
        <v>North9320039902839</v>
      </c>
      <c r="B1921" s="3" t="str">
        <f t="shared" si="291"/>
        <v>Pan9320039902839</v>
      </c>
      <c r="C1921" s="10">
        <v>9320039902839</v>
      </c>
      <c r="D1921" s="10" t="str">
        <f t="shared" si="292"/>
        <v>9320039902</v>
      </c>
      <c r="E1921" s="3" t="s">
        <v>2</v>
      </c>
      <c r="F1921" s="3" t="s">
        <v>64</v>
      </c>
      <c r="H1921" s="3">
        <v>14.168700000000001</v>
      </c>
      <c r="I1921" s="10">
        <f t="shared" si="293"/>
        <v>52.94305160493218</v>
      </c>
      <c r="J1921" s="3">
        <v>8.0286456317603214</v>
      </c>
      <c r="K1921" s="3">
        <v>0</v>
      </c>
      <c r="L1921" s="3">
        <f t="shared" si="294"/>
        <v>0</v>
      </c>
      <c r="N1921" s="11">
        <f t="shared" si="295"/>
        <v>6.1400543682396798</v>
      </c>
      <c r="O1921" s="3">
        <v>8.0286456317603214</v>
      </c>
      <c r="P1921" s="11">
        <f t="shared" si="296"/>
        <v>22.943051604932183</v>
      </c>
      <c r="Q1921" s="12">
        <f t="shared" si="297"/>
        <v>18.589845450211435</v>
      </c>
      <c r="R1921" s="13">
        <f t="shared" si="298"/>
        <v>25.893509310912197</v>
      </c>
      <c r="S1921" s="3" t="s">
        <v>30</v>
      </c>
      <c r="T1921" s="3" t="s">
        <v>28</v>
      </c>
      <c r="U1921" s="10">
        <v>0</v>
      </c>
      <c r="V1921" s="3">
        <v>0</v>
      </c>
      <c r="W1921" s="3">
        <f t="shared" si="299"/>
        <v>0</v>
      </c>
      <c r="AA1921" s="3">
        <v>48</v>
      </c>
    </row>
    <row r="1922" spans="1:27" x14ac:dyDescent="0.3">
      <c r="A1922" s="3" t="str">
        <f t="shared" si="290"/>
        <v>North9360019900320</v>
      </c>
      <c r="B1922" s="3" t="str">
        <f t="shared" si="291"/>
        <v>Pan9360019900320</v>
      </c>
      <c r="C1922" s="10">
        <v>9360019900320</v>
      </c>
      <c r="D1922" s="10" t="str">
        <f t="shared" si="292"/>
        <v>9360019900</v>
      </c>
      <c r="E1922" s="3" t="s">
        <v>2</v>
      </c>
      <c r="F1922" s="3" t="s">
        <v>64</v>
      </c>
      <c r="H1922" s="3">
        <v>11.2</v>
      </c>
      <c r="I1922" s="10">
        <f t="shared" si="293"/>
        <v>43.478392575041219</v>
      </c>
      <c r="J1922" s="3">
        <v>7.7279765902127862</v>
      </c>
      <c r="K1922" s="3">
        <v>24</v>
      </c>
      <c r="L1922" s="3">
        <f t="shared" si="294"/>
        <v>0</v>
      </c>
      <c r="N1922" s="11">
        <f t="shared" si="295"/>
        <v>3.4720234097872131</v>
      </c>
      <c r="O1922" s="3">
        <v>7.7279765902127862</v>
      </c>
      <c r="P1922" s="11">
        <f t="shared" si="296"/>
        <v>13.478392575041221</v>
      </c>
      <c r="Q1922" s="12">
        <f t="shared" si="297"/>
        <v>10.497720503551337</v>
      </c>
      <c r="R1922" s="13">
        <f t="shared" si="298"/>
        <v>8.1280544165909951</v>
      </c>
      <c r="S1922" s="3" t="s">
        <v>29</v>
      </c>
      <c r="T1922" s="3" t="s">
        <v>33</v>
      </c>
      <c r="U1922" s="10">
        <v>9360019900999</v>
      </c>
      <c r="V1922" s="3">
        <v>0.1</v>
      </c>
      <c r="W1922" s="3">
        <f t="shared" si="299"/>
        <v>2.4000000000000004</v>
      </c>
      <c r="AA1922" s="3">
        <v>48</v>
      </c>
    </row>
    <row r="1923" spans="1:27" x14ac:dyDescent="0.3">
      <c r="A1923" s="3" t="str">
        <f t="shared" si="290"/>
        <v>North9320079901310</v>
      </c>
      <c r="B1923" s="3" t="str">
        <f t="shared" si="291"/>
        <v>Pan9320079901310</v>
      </c>
      <c r="C1923" s="10">
        <v>9320079901310</v>
      </c>
      <c r="D1923" s="10" t="str">
        <f t="shared" si="292"/>
        <v>9320079901</v>
      </c>
      <c r="E1923" s="3" t="s">
        <v>2</v>
      </c>
      <c r="F1923" s="3" t="s">
        <v>64</v>
      </c>
      <c r="H1923" s="3">
        <v>0</v>
      </c>
      <c r="I1923" s="10">
        <f t="shared" si="293"/>
        <v>0</v>
      </c>
      <c r="J1923" s="3">
        <v>7.6170078307712128</v>
      </c>
      <c r="K1923" s="3">
        <v>36</v>
      </c>
      <c r="L1923" s="3">
        <f t="shared" si="294"/>
        <v>0</v>
      </c>
      <c r="N1923" s="11">
        <f t="shared" si="295"/>
        <v>-7.6170078307712128</v>
      </c>
      <c r="O1923" s="3">
        <v>7.6170078307712128</v>
      </c>
      <c r="P1923" s="11">
        <f t="shared" si="296"/>
        <v>-30</v>
      </c>
      <c r="Q1923" s="12">
        <f t="shared" si="297"/>
        <v>-30</v>
      </c>
      <c r="R1923" s="13">
        <f t="shared" si="298"/>
        <v>-30</v>
      </c>
      <c r="S1923" s="3">
        <v>0</v>
      </c>
      <c r="T1923" s="3" t="s">
        <v>28</v>
      </c>
      <c r="U1923" s="10">
        <v>9320079900999</v>
      </c>
      <c r="V1923" s="3">
        <v>0.1</v>
      </c>
      <c r="W1923" s="3">
        <f t="shared" si="299"/>
        <v>3.6</v>
      </c>
      <c r="AA1923" s="3">
        <v>48</v>
      </c>
    </row>
    <row r="1924" spans="1:27" x14ac:dyDescent="0.3">
      <c r="A1924" s="3" t="str">
        <f t="shared" ref="A1924:A1987" si="300">_xlfn.CONCAT(F1924,C1924)</f>
        <v>North9310099901310</v>
      </c>
      <c r="B1924" s="3" t="str">
        <f t="shared" ref="B1924:B1987" si="301">_xlfn.CONCAT(E1924,C1924)</f>
        <v>Pan9310099901310</v>
      </c>
      <c r="C1924" s="10">
        <v>9310099901310</v>
      </c>
      <c r="D1924" s="10" t="str">
        <f t="shared" ref="D1924:D1987" si="302">LEFT(C1924,10)</f>
        <v>9310099901</v>
      </c>
      <c r="E1924" s="3" t="s">
        <v>2</v>
      </c>
      <c r="F1924" s="3" t="s">
        <v>64</v>
      </c>
      <c r="H1924" s="3">
        <v>0</v>
      </c>
      <c r="I1924" s="10">
        <f t="shared" ref="I1924:I1987" si="303">IFERROR(H1924/J1924*30,0)</f>
        <v>0</v>
      </c>
      <c r="J1924" s="3">
        <v>7.6161371474999999</v>
      </c>
      <c r="K1924" s="3">
        <v>0</v>
      </c>
      <c r="L1924" s="3">
        <f t="shared" ref="L1924:L1987" si="304">M1924*G1924</f>
        <v>0</v>
      </c>
      <c r="N1924" s="11">
        <f t="shared" ref="N1924:N1987" si="305">H1924-J1924+L1924</f>
        <v>-7.6161371474999999</v>
      </c>
      <c r="O1924" s="3">
        <v>7.6161371474999999</v>
      </c>
      <c r="P1924" s="11">
        <f t="shared" ref="P1924:P1987" si="306">IF(O1924=0,9999,N1924/O1924*30)</f>
        <v>-30</v>
      </c>
      <c r="Q1924" s="12">
        <f t="shared" ref="Q1924:Q1987" si="307">IF(SUMIF($A:$A,$A1924,$O:$O)=0,9999,SUMIF($A:$A,$A1924,$N:$N)*30/SUMIF($A:$A,$A1924,$O:$O))</f>
        <v>-30</v>
      </c>
      <c r="R1924" s="13">
        <f t="shared" ref="R1924:R1987" si="308">IF(SUMIF($C:$C,$C1924,$O:$O)=0,9999,SUMIF($C:$C,$C1924,$N:$N)*30/SUMIF($C:$C,$C1924,$O:$O))</f>
        <v>-30.000000000000004</v>
      </c>
      <c r="S1924" s="3">
        <v>0</v>
      </c>
      <c r="T1924" s="3" t="s">
        <v>32</v>
      </c>
      <c r="U1924" s="10">
        <v>9310099900999</v>
      </c>
      <c r="V1924" s="3">
        <v>0.1</v>
      </c>
      <c r="W1924" s="3">
        <f t="shared" ref="W1924:W1987" si="309">IFERROR(K1924*V1924,0)</f>
        <v>0</v>
      </c>
      <c r="AA1924" s="3">
        <v>48</v>
      </c>
    </row>
    <row r="1925" spans="1:27" x14ac:dyDescent="0.3">
      <c r="A1925" s="3" t="str">
        <f t="shared" si="300"/>
        <v>North9330239901310</v>
      </c>
      <c r="B1925" s="3" t="str">
        <f t="shared" si="301"/>
        <v>Pan9330239901310</v>
      </c>
      <c r="C1925" s="10">
        <v>9330239901310</v>
      </c>
      <c r="D1925" s="10" t="str">
        <f t="shared" si="302"/>
        <v>9330239901</v>
      </c>
      <c r="E1925" s="3" t="s">
        <v>2</v>
      </c>
      <c r="F1925" s="3" t="s">
        <v>64</v>
      </c>
      <c r="H1925" s="3">
        <v>19.740000000000002</v>
      </c>
      <c r="I1925" s="10">
        <f t="shared" si="303"/>
        <v>80.096473359166296</v>
      </c>
      <c r="J1925" s="3">
        <v>7.3935839514990116</v>
      </c>
      <c r="K1925" s="3">
        <v>0</v>
      </c>
      <c r="L1925" s="3">
        <f t="shared" si="304"/>
        <v>0</v>
      </c>
      <c r="N1925" s="11">
        <f t="shared" si="305"/>
        <v>12.346416048500991</v>
      </c>
      <c r="O1925" s="3">
        <v>7.3935839514990116</v>
      </c>
      <c r="P1925" s="11">
        <f t="shared" si="306"/>
        <v>50.096473359166303</v>
      </c>
      <c r="Q1925" s="12">
        <f t="shared" si="307"/>
        <v>50.096473359166296</v>
      </c>
      <c r="R1925" s="13">
        <f t="shared" si="308"/>
        <v>36.938343606674806</v>
      </c>
      <c r="S1925" s="3" t="s">
        <v>31</v>
      </c>
      <c r="T1925" s="3" t="s">
        <v>35</v>
      </c>
      <c r="U1925" s="10">
        <v>9330239900999</v>
      </c>
      <c r="V1925" s="3">
        <v>0.1</v>
      </c>
      <c r="W1925" s="3">
        <f t="shared" si="309"/>
        <v>0</v>
      </c>
      <c r="AA1925" s="3">
        <v>48</v>
      </c>
    </row>
    <row r="1926" spans="1:27" x14ac:dyDescent="0.3">
      <c r="A1926" s="3" t="str">
        <f t="shared" si="300"/>
        <v>North9330019900840</v>
      </c>
      <c r="B1926" s="3" t="str">
        <f t="shared" si="301"/>
        <v>Pan9330019900840</v>
      </c>
      <c r="C1926" s="10">
        <v>9330019900840</v>
      </c>
      <c r="D1926" s="10" t="str">
        <f t="shared" si="302"/>
        <v>9330019900</v>
      </c>
      <c r="E1926" s="3" t="s">
        <v>2</v>
      </c>
      <c r="F1926" s="3" t="s">
        <v>64</v>
      </c>
      <c r="H1926" s="3">
        <v>7.620000000000001</v>
      </c>
      <c r="I1926" s="10">
        <f t="shared" si="303"/>
        <v>31.736838277542443</v>
      </c>
      <c r="J1926" s="3">
        <v>7.2029859433654257</v>
      </c>
      <c r="K1926" s="3">
        <v>23.5</v>
      </c>
      <c r="L1926" s="3">
        <f t="shared" si="304"/>
        <v>0</v>
      </c>
      <c r="N1926" s="11">
        <f t="shared" si="305"/>
        <v>0.41701405663457525</v>
      </c>
      <c r="O1926" s="3">
        <v>7.2029859433654257</v>
      </c>
      <c r="P1926" s="11">
        <f t="shared" si="306"/>
        <v>1.736838277542446</v>
      </c>
      <c r="Q1926" s="12">
        <f t="shared" si="307"/>
        <v>35.49187972485398</v>
      </c>
      <c r="R1926" s="13">
        <f t="shared" si="308"/>
        <v>9.4476303331844651</v>
      </c>
      <c r="S1926" s="3" t="s">
        <v>29</v>
      </c>
      <c r="T1926" s="3" t="s">
        <v>35</v>
      </c>
      <c r="U1926" s="10">
        <v>0</v>
      </c>
      <c r="V1926" s="3">
        <v>0</v>
      </c>
      <c r="W1926" s="3">
        <f t="shared" si="309"/>
        <v>0</v>
      </c>
      <c r="AA1926" s="3">
        <v>48</v>
      </c>
    </row>
    <row r="1927" spans="1:27" x14ac:dyDescent="0.3">
      <c r="A1927" s="3" t="str">
        <f t="shared" si="300"/>
        <v>North9181309900320</v>
      </c>
      <c r="B1927" s="3" t="str">
        <f t="shared" si="301"/>
        <v>Pan9181309900320</v>
      </c>
      <c r="C1927" s="10">
        <v>9181309900320</v>
      </c>
      <c r="D1927" s="10" t="str">
        <f t="shared" si="302"/>
        <v>9181309900</v>
      </c>
      <c r="E1927" s="3" t="s">
        <v>2</v>
      </c>
      <c r="F1927" s="3" t="s">
        <v>64</v>
      </c>
      <c r="H1927" s="3">
        <v>38.700000000000003</v>
      </c>
      <c r="I1927" s="10">
        <f t="shared" si="303"/>
        <v>163.14672905762177</v>
      </c>
      <c r="J1927" s="3">
        <v>7.1162934537899725</v>
      </c>
      <c r="K1927" s="3">
        <v>0</v>
      </c>
      <c r="L1927" s="3">
        <f t="shared" si="304"/>
        <v>0</v>
      </c>
      <c r="N1927" s="11">
        <f t="shared" si="305"/>
        <v>31.583706546210031</v>
      </c>
      <c r="O1927" s="3">
        <v>7.1162934537899725</v>
      </c>
      <c r="P1927" s="11">
        <f t="shared" si="306"/>
        <v>133.14672905762177</v>
      </c>
      <c r="Q1927" s="12">
        <f t="shared" si="307"/>
        <v>100.96983333824409</v>
      </c>
      <c r="R1927" s="13">
        <f t="shared" si="308"/>
        <v>61.057190306933194</v>
      </c>
      <c r="S1927" s="3" t="s">
        <v>29</v>
      </c>
      <c r="T1927" s="3" t="s">
        <v>34</v>
      </c>
      <c r="U1927" s="10">
        <v>0</v>
      </c>
      <c r="V1927" s="3">
        <v>0</v>
      </c>
      <c r="W1927" s="3">
        <f t="shared" si="309"/>
        <v>0</v>
      </c>
      <c r="AA1927" s="3">
        <v>48</v>
      </c>
    </row>
    <row r="1928" spans="1:27" x14ac:dyDescent="0.3">
      <c r="A1928" s="3" t="str">
        <f t="shared" si="300"/>
        <v>North9437009900810</v>
      </c>
      <c r="B1928" s="3" t="str">
        <f t="shared" si="301"/>
        <v>Pan9437009900810</v>
      </c>
      <c r="C1928" s="10">
        <v>9437009900810</v>
      </c>
      <c r="D1928" s="10" t="str">
        <f t="shared" si="302"/>
        <v>9437009900</v>
      </c>
      <c r="E1928" s="3" t="s">
        <v>2</v>
      </c>
      <c r="F1928" s="3" t="s">
        <v>64</v>
      </c>
      <c r="H1928" s="3">
        <v>9.9500000000000011</v>
      </c>
      <c r="I1928" s="10">
        <f t="shared" si="303"/>
        <v>42.711778936513056</v>
      </c>
      <c r="J1928" s="3">
        <v>6.9887044612141187</v>
      </c>
      <c r="K1928" s="3">
        <v>12</v>
      </c>
      <c r="L1928" s="3">
        <f t="shared" si="304"/>
        <v>0</v>
      </c>
      <c r="N1928" s="11">
        <f t="shared" si="305"/>
        <v>2.9612955387858824</v>
      </c>
      <c r="O1928" s="3">
        <v>6.9887044612141187</v>
      </c>
      <c r="P1928" s="11">
        <f t="shared" si="306"/>
        <v>12.711778936513058</v>
      </c>
      <c r="Q1928" s="12">
        <f t="shared" si="307"/>
        <v>8.5406795661060393</v>
      </c>
      <c r="R1928" s="13">
        <f t="shared" si="308"/>
        <v>12.39250820735101</v>
      </c>
      <c r="S1928" s="3" t="s">
        <v>29</v>
      </c>
      <c r="T1928" s="3" t="s">
        <v>35</v>
      </c>
      <c r="U1928" s="10">
        <v>0</v>
      </c>
      <c r="V1928" s="3">
        <v>0</v>
      </c>
      <c r="W1928" s="3">
        <f t="shared" si="309"/>
        <v>0</v>
      </c>
      <c r="AA1928" s="3">
        <v>48</v>
      </c>
    </row>
    <row r="1929" spans="1:27" x14ac:dyDescent="0.3">
      <c r="A1929" s="3" t="str">
        <f t="shared" si="300"/>
        <v>North9320039902297</v>
      </c>
      <c r="B1929" s="3" t="str">
        <f t="shared" si="301"/>
        <v>Pan9320039902297</v>
      </c>
      <c r="C1929" s="10">
        <v>9320039902297</v>
      </c>
      <c r="D1929" s="10" t="str">
        <f t="shared" si="302"/>
        <v>9320039902</v>
      </c>
      <c r="E1929" s="3" t="s">
        <v>2</v>
      </c>
      <c r="F1929" s="3" t="s">
        <v>64</v>
      </c>
      <c r="H1929" s="3">
        <v>5.4795000000000007</v>
      </c>
      <c r="I1929" s="10">
        <f t="shared" si="303"/>
        <v>24.347647282394917</v>
      </c>
      <c r="J1929" s="3">
        <v>6.7515763676625173</v>
      </c>
      <c r="K1929" s="3">
        <v>0</v>
      </c>
      <c r="L1929" s="3">
        <f t="shared" si="304"/>
        <v>0</v>
      </c>
      <c r="N1929" s="11">
        <f t="shared" si="305"/>
        <v>-1.2720763676625166</v>
      </c>
      <c r="O1929" s="3">
        <v>6.7515763676625173</v>
      </c>
      <c r="P1929" s="11">
        <f t="shared" si="306"/>
        <v>-5.6523527176050852</v>
      </c>
      <c r="Q1929" s="12">
        <f t="shared" si="307"/>
        <v>-4.5020509455849531</v>
      </c>
      <c r="R1929" s="13">
        <f t="shared" si="308"/>
        <v>2.7993874025720751</v>
      </c>
      <c r="S1929" s="3" t="s">
        <v>30</v>
      </c>
      <c r="T1929" s="3" t="s">
        <v>28</v>
      </c>
      <c r="U1929" s="10">
        <v>9320039900999</v>
      </c>
      <c r="V1929" s="3">
        <v>0.1</v>
      </c>
      <c r="W1929" s="3">
        <f t="shared" si="309"/>
        <v>0</v>
      </c>
      <c r="AA1929" s="3">
        <v>48</v>
      </c>
    </row>
    <row r="1930" spans="1:27" x14ac:dyDescent="0.3">
      <c r="A1930" s="3" t="str">
        <f t="shared" si="300"/>
        <v>North9360029900310</v>
      </c>
      <c r="B1930" s="3" t="str">
        <f t="shared" si="301"/>
        <v>Pan9360029900310</v>
      </c>
      <c r="C1930" s="10">
        <v>9360029900310</v>
      </c>
      <c r="D1930" s="10" t="str">
        <f t="shared" si="302"/>
        <v>9360029900</v>
      </c>
      <c r="E1930" s="3" t="s">
        <v>2</v>
      </c>
      <c r="F1930" s="3" t="s">
        <v>64</v>
      </c>
      <c r="H1930" s="3">
        <v>5.3299999999999992</v>
      </c>
      <c r="I1930" s="10">
        <f t="shared" si="303"/>
        <v>24.204725398372634</v>
      </c>
      <c r="J1930" s="3">
        <v>6.6061480710188345</v>
      </c>
      <c r="K1930" s="3">
        <v>0</v>
      </c>
      <c r="L1930" s="3">
        <f t="shared" si="304"/>
        <v>0</v>
      </c>
      <c r="N1930" s="11">
        <f t="shared" si="305"/>
        <v>-1.2761480710188353</v>
      </c>
      <c r="O1930" s="3">
        <v>6.6061480710188345</v>
      </c>
      <c r="P1930" s="11">
        <f t="shared" si="306"/>
        <v>-5.7952746016273649</v>
      </c>
      <c r="Q1930" s="12">
        <f t="shared" si="307"/>
        <v>33.759467160806061</v>
      </c>
      <c r="R1930" s="13">
        <f t="shared" si="308"/>
        <v>-3.3162661745390394</v>
      </c>
      <c r="S1930" s="3" t="s">
        <v>29</v>
      </c>
      <c r="T1930" s="3" t="s">
        <v>33</v>
      </c>
      <c r="U1930" s="10">
        <v>9360029900999</v>
      </c>
      <c r="V1930" s="3">
        <v>0.1</v>
      </c>
      <c r="W1930" s="3">
        <f t="shared" si="309"/>
        <v>0</v>
      </c>
      <c r="AA1930" s="3">
        <v>48</v>
      </c>
    </row>
    <row r="1931" spans="1:27" x14ac:dyDescent="0.3">
      <c r="A1931" s="3" t="str">
        <f t="shared" si="300"/>
        <v>North9320099900310</v>
      </c>
      <c r="B1931" s="3" t="str">
        <f t="shared" si="301"/>
        <v>Pan9320099900310</v>
      </c>
      <c r="C1931" s="10">
        <v>9320099900310</v>
      </c>
      <c r="D1931" s="10" t="str">
        <f t="shared" si="302"/>
        <v>9320099900</v>
      </c>
      <c r="E1931" s="3" t="s">
        <v>2</v>
      </c>
      <c r="F1931" s="3" t="s">
        <v>64</v>
      </c>
      <c r="H1931" s="3">
        <v>41.38</v>
      </c>
      <c r="I1931" s="10">
        <f t="shared" si="303"/>
        <v>190.69126064318061</v>
      </c>
      <c r="J1931" s="3">
        <v>6.5099994400000005</v>
      </c>
      <c r="K1931" s="3">
        <v>0</v>
      </c>
      <c r="L1931" s="3">
        <f t="shared" si="304"/>
        <v>0</v>
      </c>
      <c r="N1931" s="11">
        <f t="shared" si="305"/>
        <v>34.870000560000001</v>
      </c>
      <c r="O1931" s="3">
        <v>6.5099994400000005</v>
      </c>
      <c r="P1931" s="11">
        <f t="shared" si="306"/>
        <v>160.69126064318061</v>
      </c>
      <c r="Q1931" s="12">
        <f t="shared" si="307"/>
        <v>140.26929347092835</v>
      </c>
      <c r="R1931" s="13">
        <f t="shared" si="308"/>
        <v>124.33472921467568</v>
      </c>
      <c r="S1931" s="3" t="s">
        <v>31</v>
      </c>
      <c r="T1931" s="3" t="s">
        <v>28</v>
      </c>
      <c r="U1931" s="10">
        <v>9320099900999</v>
      </c>
      <c r="V1931" s="3">
        <v>0.1</v>
      </c>
      <c r="W1931" s="3">
        <f t="shared" si="309"/>
        <v>0</v>
      </c>
      <c r="AA1931" s="3">
        <v>48</v>
      </c>
    </row>
    <row r="1932" spans="1:27" x14ac:dyDescent="0.3">
      <c r="A1932" s="3" t="str">
        <f t="shared" si="300"/>
        <v>North9420139901310</v>
      </c>
      <c r="B1932" s="3" t="str">
        <f t="shared" si="301"/>
        <v>Pan9420139901310</v>
      </c>
      <c r="C1932" s="10">
        <v>9420139901310</v>
      </c>
      <c r="D1932" s="10" t="str">
        <f t="shared" si="302"/>
        <v>9420139901</v>
      </c>
      <c r="E1932" s="3" t="s">
        <v>2</v>
      </c>
      <c r="F1932" s="3" t="s">
        <v>64</v>
      </c>
      <c r="H1932" s="3">
        <v>12.830000000000002</v>
      </c>
      <c r="I1932" s="10">
        <f t="shared" si="303"/>
        <v>60.114340379160659</v>
      </c>
      <c r="J1932" s="3">
        <v>6.4027983601302259</v>
      </c>
      <c r="K1932" s="3">
        <v>12</v>
      </c>
      <c r="L1932" s="3">
        <f t="shared" si="304"/>
        <v>0</v>
      </c>
      <c r="N1932" s="11">
        <f t="shared" si="305"/>
        <v>6.427201639869776</v>
      </c>
      <c r="O1932" s="3">
        <v>6.4027983601302259</v>
      </c>
      <c r="P1932" s="11">
        <f t="shared" si="306"/>
        <v>30.114340379160652</v>
      </c>
      <c r="Q1932" s="12">
        <f t="shared" si="307"/>
        <v>21.476719339185674</v>
      </c>
      <c r="R1932" s="13">
        <f t="shared" si="308"/>
        <v>7.9243561134415827</v>
      </c>
      <c r="S1932" s="3" t="s">
        <v>31</v>
      </c>
      <c r="T1932" s="3" t="s">
        <v>28</v>
      </c>
      <c r="U1932" s="10">
        <v>9420139900999</v>
      </c>
      <c r="V1932" s="3">
        <v>0.1</v>
      </c>
      <c r="W1932" s="3">
        <f t="shared" si="309"/>
        <v>1.2000000000000002</v>
      </c>
      <c r="AA1932" s="3">
        <v>48</v>
      </c>
    </row>
    <row r="1933" spans="1:27" x14ac:dyDescent="0.3">
      <c r="A1933" s="3" t="str">
        <f t="shared" si="300"/>
        <v>North9320029902219</v>
      </c>
      <c r="B1933" s="3" t="str">
        <f t="shared" si="301"/>
        <v>Pan9320029902219</v>
      </c>
      <c r="C1933" s="10">
        <v>9320029902219</v>
      </c>
      <c r="D1933" s="10" t="str">
        <f t="shared" si="302"/>
        <v>9320029902</v>
      </c>
      <c r="E1933" s="3" t="s">
        <v>2</v>
      </c>
      <c r="F1933" s="3" t="s">
        <v>64</v>
      </c>
      <c r="H1933" s="3">
        <v>12.480000000000004</v>
      </c>
      <c r="I1933" s="10">
        <f t="shared" si="303"/>
        <v>58.637733139509564</v>
      </c>
      <c r="J1933" s="3">
        <v>6.3849671526222904</v>
      </c>
      <c r="K1933" s="3">
        <v>0</v>
      </c>
      <c r="L1933" s="3">
        <f t="shared" si="304"/>
        <v>0</v>
      </c>
      <c r="N1933" s="11">
        <f t="shared" si="305"/>
        <v>6.0950328473777136</v>
      </c>
      <c r="O1933" s="3">
        <v>6.3849671526222904</v>
      </c>
      <c r="P1933" s="11">
        <f t="shared" si="306"/>
        <v>28.637733139509567</v>
      </c>
      <c r="Q1933" s="12">
        <f t="shared" si="307"/>
        <v>19.401855834121147</v>
      </c>
      <c r="R1933" s="13">
        <f t="shared" si="308"/>
        <v>24.165952135270057</v>
      </c>
      <c r="S1933" s="3" t="s">
        <v>29</v>
      </c>
      <c r="T1933" s="3" t="s">
        <v>28</v>
      </c>
      <c r="U1933" s="10">
        <v>9320029900999</v>
      </c>
      <c r="V1933" s="3">
        <v>0.1</v>
      </c>
      <c r="W1933" s="3">
        <f t="shared" si="309"/>
        <v>0</v>
      </c>
      <c r="AA1933" s="3">
        <v>48</v>
      </c>
    </row>
    <row r="1934" spans="1:27" x14ac:dyDescent="0.3">
      <c r="A1934" s="3" t="str">
        <f t="shared" si="300"/>
        <v>North9432029901840</v>
      </c>
      <c r="B1934" s="3" t="str">
        <f t="shared" si="301"/>
        <v>Pan9432029901840</v>
      </c>
      <c r="C1934" s="10">
        <v>9432029901840</v>
      </c>
      <c r="D1934" s="10" t="str">
        <f t="shared" si="302"/>
        <v>9432029901</v>
      </c>
      <c r="E1934" s="3" t="s">
        <v>2</v>
      </c>
      <c r="F1934" s="3" t="s">
        <v>64</v>
      </c>
      <c r="H1934" s="3">
        <v>18.060000000000002</v>
      </c>
      <c r="I1934" s="10">
        <f t="shared" si="303"/>
        <v>87.777926599640111</v>
      </c>
      <c r="J1934" s="3">
        <v>6.172394598372998</v>
      </c>
      <c r="K1934" s="3">
        <v>0</v>
      </c>
      <c r="L1934" s="3">
        <f t="shared" si="304"/>
        <v>0</v>
      </c>
      <c r="N1934" s="11">
        <f t="shared" si="305"/>
        <v>11.887605401627004</v>
      </c>
      <c r="O1934" s="3">
        <v>6.172394598372998</v>
      </c>
      <c r="P1934" s="11">
        <f t="shared" si="306"/>
        <v>57.777926599640104</v>
      </c>
      <c r="Q1934" s="12">
        <f t="shared" si="307"/>
        <v>49.967394857908268</v>
      </c>
      <c r="R1934" s="13">
        <f t="shared" si="308"/>
        <v>45.487316805056096</v>
      </c>
      <c r="S1934" s="3" t="s">
        <v>31</v>
      </c>
      <c r="T1934" s="3" t="s">
        <v>35</v>
      </c>
      <c r="U1934" s="10">
        <v>0</v>
      </c>
      <c r="V1934" s="3">
        <v>0</v>
      </c>
      <c r="W1934" s="3">
        <f t="shared" si="309"/>
        <v>0</v>
      </c>
      <c r="AA1934" s="3">
        <v>48</v>
      </c>
    </row>
    <row r="1935" spans="1:27" x14ac:dyDescent="0.3">
      <c r="A1935" s="3" t="str">
        <f t="shared" si="300"/>
        <v>North9320039902097</v>
      </c>
      <c r="B1935" s="3" t="str">
        <f t="shared" si="301"/>
        <v>Pan9320039902097</v>
      </c>
      <c r="C1935" s="10">
        <v>9320039902097</v>
      </c>
      <c r="D1935" s="10" t="str">
        <f t="shared" si="302"/>
        <v>9320039902</v>
      </c>
      <c r="E1935" s="3" t="s">
        <v>2</v>
      </c>
      <c r="F1935" s="3" t="s">
        <v>64</v>
      </c>
      <c r="H1935" s="3">
        <v>4.0599000000000007</v>
      </c>
      <c r="I1935" s="10">
        <f t="shared" si="303"/>
        <v>21.13595258229623</v>
      </c>
      <c r="J1935" s="3">
        <v>5.76255077814751</v>
      </c>
      <c r="K1935" s="3">
        <v>0</v>
      </c>
      <c r="L1935" s="3">
        <f t="shared" si="304"/>
        <v>0</v>
      </c>
      <c r="N1935" s="11">
        <f t="shared" si="305"/>
        <v>-1.7026507781475093</v>
      </c>
      <c r="O1935" s="3">
        <v>5.76255077814751</v>
      </c>
      <c r="P1935" s="11">
        <f t="shared" si="306"/>
        <v>-8.8640474177037678</v>
      </c>
      <c r="Q1935" s="12">
        <f t="shared" si="307"/>
        <v>-8.8436699979735351</v>
      </c>
      <c r="R1935" s="13">
        <f t="shared" si="308"/>
        <v>14.813342582695007</v>
      </c>
      <c r="S1935" s="3" t="s">
        <v>30</v>
      </c>
      <c r="T1935" s="3" t="s">
        <v>28</v>
      </c>
      <c r="U1935" s="10">
        <v>0</v>
      </c>
      <c r="V1935" s="3">
        <v>0</v>
      </c>
      <c r="W1935" s="3">
        <f t="shared" si="309"/>
        <v>0</v>
      </c>
      <c r="AA1935" s="3">
        <v>48</v>
      </c>
    </row>
    <row r="1936" spans="1:27" x14ac:dyDescent="0.3">
      <c r="A1936" s="3" t="str">
        <f t="shared" si="300"/>
        <v>North9320029901840</v>
      </c>
      <c r="B1936" s="3" t="str">
        <f t="shared" si="301"/>
        <v>Pan9320029901840</v>
      </c>
      <c r="C1936" s="10">
        <v>9320029901840</v>
      </c>
      <c r="D1936" s="10" t="str">
        <f t="shared" si="302"/>
        <v>9320029901</v>
      </c>
      <c r="E1936" s="3" t="s">
        <v>2</v>
      </c>
      <c r="F1936" s="3" t="s">
        <v>64</v>
      </c>
      <c r="H1936" s="3">
        <v>4.6719999999999997</v>
      </c>
      <c r="I1936" s="10">
        <f t="shared" si="303"/>
        <v>24.603615573693443</v>
      </c>
      <c r="J1936" s="3">
        <v>5.6967237022619219</v>
      </c>
      <c r="K1936" s="3">
        <v>0</v>
      </c>
      <c r="L1936" s="3">
        <f t="shared" si="304"/>
        <v>0</v>
      </c>
      <c r="N1936" s="11">
        <f t="shared" si="305"/>
        <v>-1.0247237022619222</v>
      </c>
      <c r="O1936" s="3">
        <v>5.6967237022619219</v>
      </c>
      <c r="P1936" s="11">
        <f t="shared" si="306"/>
        <v>-5.3963844263065575</v>
      </c>
      <c r="Q1936" s="12">
        <f t="shared" si="307"/>
        <v>30.988895982935979</v>
      </c>
      <c r="R1936" s="13">
        <f t="shared" si="308"/>
        <v>12.080184680245301</v>
      </c>
      <c r="S1936" s="3" t="s">
        <v>30</v>
      </c>
      <c r="T1936" s="3" t="s">
        <v>28</v>
      </c>
      <c r="U1936" s="10">
        <v>0</v>
      </c>
      <c r="V1936" s="3">
        <v>0</v>
      </c>
      <c r="W1936" s="3">
        <f t="shared" si="309"/>
        <v>0</v>
      </c>
      <c r="AA1936" s="3">
        <v>48</v>
      </c>
    </row>
    <row r="1937" spans="1:27" x14ac:dyDescent="0.3">
      <c r="A1937" s="3" t="str">
        <f t="shared" si="300"/>
        <v>North9360049900840</v>
      </c>
      <c r="B1937" s="3" t="str">
        <f t="shared" si="301"/>
        <v>Pan9360049900840</v>
      </c>
      <c r="C1937" s="10">
        <v>9360049900840</v>
      </c>
      <c r="D1937" s="10" t="str">
        <f t="shared" si="302"/>
        <v>9360049900</v>
      </c>
      <c r="E1937" s="3" t="s">
        <v>2</v>
      </c>
      <c r="F1937" s="3" t="s">
        <v>64</v>
      </c>
      <c r="H1937" s="3">
        <v>15.316000000000001</v>
      </c>
      <c r="I1937" s="10">
        <f t="shared" si="303"/>
        <v>83.031377792997318</v>
      </c>
      <c r="J1937" s="3">
        <v>5.5338115807919497</v>
      </c>
      <c r="K1937" s="3">
        <v>0</v>
      </c>
      <c r="L1937" s="3">
        <f t="shared" si="304"/>
        <v>0</v>
      </c>
      <c r="N1937" s="11">
        <f t="shared" si="305"/>
        <v>9.782188419208051</v>
      </c>
      <c r="O1937" s="3">
        <v>5.5338115807919497</v>
      </c>
      <c r="P1937" s="11">
        <f t="shared" si="306"/>
        <v>53.031377792997304</v>
      </c>
      <c r="Q1937" s="12">
        <f t="shared" si="307"/>
        <v>53.031377792997311</v>
      </c>
      <c r="R1937" s="13">
        <f t="shared" si="308"/>
        <v>27.610530652502934</v>
      </c>
      <c r="S1937" s="3" t="s">
        <v>31</v>
      </c>
      <c r="T1937" s="3" t="s">
        <v>70</v>
      </c>
      <c r="U1937" s="10">
        <v>0</v>
      </c>
      <c r="V1937" s="3">
        <v>0</v>
      </c>
      <c r="W1937" s="3">
        <f t="shared" si="309"/>
        <v>0</v>
      </c>
      <c r="AA1937" s="3">
        <v>48</v>
      </c>
    </row>
    <row r="1938" spans="1:27" x14ac:dyDescent="0.3">
      <c r="A1938" s="3" t="str">
        <f t="shared" si="300"/>
        <v>North9160509902219</v>
      </c>
      <c r="B1938" s="3" t="str">
        <f t="shared" si="301"/>
        <v>Pan9160509902219</v>
      </c>
      <c r="C1938" s="10">
        <v>9160509902219</v>
      </c>
      <c r="D1938" s="10" t="str">
        <f t="shared" si="302"/>
        <v>9160509902</v>
      </c>
      <c r="E1938" s="3" t="s">
        <v>2</v>
      </c>
      <c r="F1938" s="3" t="s">
        <v>64</v>
      </c>
      <c r="H1938" s="3">
        <v>9.7500000000000018</v>
      </c>
      <c r="I1938" s="10">
        <f t="shared" si="303"/>
        <v>54.238927962665464</v>
      </c>
      <c r="J1938" s="3">
        <v>5.3928057022317617</v>
      </c>
      <c r="K1938" s="3">
        <v>0</v>
      </c>
      <c r="L1938" s="3">
        <f t="shared" si="304"/>
        <v>0</v>
      </c>
      <c r="N1938" s="11">
        <f t="shared" si="305"/>
        <v>4.3571942977682401</v>
      </c>
      <c r="O1938" s="3">
        <v>5.3928057022317617</v>
      </c>
      <c r="P1938" s="11">
        <f t="shared" si="306"/>
        <v>24.238927962665461</v>
      </c>
      <c r="Q1938" s="12">
        <f t="shared" si="307"/>
        <v>38.348338948494764</v>
      </c>
      <c r="R1938" s="13">
        <f t="shared" si="308"/>
        <v>65.8644667568567</v>
      </c>
      <c r="S1938" s="3" t="s">
        <v>30</v>
      </c>
      <c r="T1938" s="3" t="s">
        <v>34</v>
      </c>
      <c r="U1938" s="10">
        <v>0</v>
      </c>
      <c r="V1938" s="3">
        <v>0</v>
      </c>
      <c r="W1938" s="3">
        <f t="shared" si="309"/>
        <v>0</v>
      </c>
      <c r="AA1938" s="3">
        <v>48</v>
      </c>
    </row>
    <row r="1939" spans="1:27" x14ac:dyDescent="0.3">
      <c r="A1939" s="3" t="str">
        <f t="shared" si="300"/>
        <v>North9310019901840</v>
      </c>
      <c r="B1939" s="3" t="str">
        <f t="shared" si="301"/>
        <v>Pan9310019901840</v>
      </c>
      <c r="C1939" s="10">
        <v>9310019901840</v>
      </c>
      <c r="D1939" s="10" t="str">
        <f t="shared" si="302"/>
        <v>9310019901</v>
      </c>
      <c r="E1939" s="3" t="s">
        <v>2</v>
      </c>
      <c r="F1939" s="3" t="s">
        <v>64</v>
      </c>
      <c r="H1939" s="3">
        <v>3.7480000000000016</v>
      </c>
      <c r="I1939" s="10">
        <f t="shared" si="303"/>
        <v>20.970370804194953</v>
      </c>
      <c r="J1939" s="3">
        <v>5.3618508251416959</v>
      </c>
      <c r="K1939" s="3">
        <v>12</v>
      </c>
      <c r="L1939" s="3">
        <f t="shared" si="304"/>
        <v>0</v>
      </c>
      <c r="N1939" s="11">
        <f t="shared" si="305"/>
        <v>-1.6138508251416943</v>
      </c>
      <c r="O1939" s="3">
        <v>5.3618508251416959</v>
      </c>
      <c r="P1939" s="11">
        <f t="shared" si="306"/>
        <v>-9.029629195805045</v>
      </c>
      <c r="Q1939" s="12">
        <f t="shared" si="307"/>
        <v>-7.7863805200307512</v>
      </c>
      <c r="R1939" s="13">
        <f t="shared" si="308"/>
        <v>45.841224370308467</v>
      </c>
      <c r="S1939" s="3" t="s">
        <v>30</v>
      </c>
      <c r="T1939" s="3" t="s">
        <v>32</v>
      </c>
      <c r="U1939" s="10">
        <v>0</v>
      </c>
      <c r="V1939" s="3">
        <v>0</v>
      </c>
      <c r="W1939" s="3">
        <f t="shared" si="309"/>
        <v>0</v>
      </c>
      <c r="AA1939" s="3">
        <v>48</v>
      </c>
    </row>
    <row r="1940" spans="1:27" x14ac:dyDescent="0.3">
      <c r="A1940" s="3" t="str">
        <f t="shared" si="300"/>
        <v>North9420039901840</v>
      </c>
      <c r="B1940" s="3" t="str">
        <f t="shared" si="301"/>
        <v>Pan9420039901840</v>
      </c>
      <c r="C1940" s="10">
        <v>9420039901840</v>
      </c>
      <c r="D1940" s="10" t="str">
        <f t="shared" si="302"/>
        <v>9420039901</v>
      </c>
      <c r="E1940" s="3" t="s">
        <v>2</v>
      </c>
      <c r="F1940" s="3" t="s">
        <v>64</v>
      </c>
      <c r="H1940" s="3">
        <v>16.52</v>
      </c>
      <c r="I1940" s="10">
        <f t="shared" si="303"/>
        <v>95.723884350129737</v>
      </c>
      <c r="J1940" s="3">
        <v>5.1773912369377042</v>
      </c>
      <c r="K1940" s="3">
        <v>0</v>
      </c>
      <c r="L1940" s="3">
        <f t="shared" si="304"/>
        <v>0</v>
      </c>
      <c r="N1940" s="11">
        <f t="shared" si="305"/>
        <v>11.342608763062294</v>
      </c>
      <c r="O1940" s="3">
        <v>5.1773912369377042</v>
      </c>
      <c r="P1940" s="11">
        <f t="shared" si="306"/>
        <v>65.723884350129737</v>
      </c>
      <c r="Q1940" s="12">
        <f t="shared" si="307"/>
        <v>62.917990330474034</v>
      </c>
      <c r="R1940" s="13">
        <f t="shared" si="308"/>
        <v>8.7861449633385647</v>
      </c>
      <c r="S1940" s="3" t="s">
        <v>30</v>
      </c>
      <c r="T1940" s="3" t="s">
        <v>28</v>
      </c>
      <c r="U1940" s="10">
        <v>0</v>
      </c>
      <c r="V1940" s="3">
        <v>0</v>
      </c>
      <c r="W1940" s="3">
        <f t="shared" si="309"/>
        <v>0</v>
      </c>
      <c r="AA1940" s="3">
        <v>48</v>
      </c>
    </row>
    <row r="1941" spans="1:27" x14ac:dyDescent="0.3">
      <c r="A1941" s="3" t="str">
        <f t="shared" si="300"/>
        <v>North9320079900310</v>
      </c>
      <c r="B1941" s="3" t="str">
        <f t="shared" si="301"/>
        <v>Pan9320079900310</v>
      </c>
      <c r="C1941" s="10">
        <v>9320079900310</v>
      </c>
      <c r="D1941" s="10" t="str">
        <f t="shared" si="302"/>
        <v>9320079900</v>
      </c>
      <c r="E1941" s="3" t="s">
        <v>2</v>
      </c>
      <c r="F1941" s="3" t="s">
        <v>64</v>
      </c>
      <c r="H1941" s="3">
        <v>0</v>
      </c>
      <c r="I1941" s="10">
        <f t="shared" si="303"/>
        <v>0</v>
      </c>
      <c r="J1941" s="3">
        <v>5.0109212521573321</v>
      </c>
      <c r="K1941" s="3">
        <v>12</v>
      </c>
      <c r="L1941" s="3">
        <f t="shared" si="304"/>
        <v>0</v>
      </c>
      <c r="N1941" s="11">
        <f t="shared" si="305"/>
        <v>-5.0109212521573321</v>
      </c>
      <c r="O1941" s="3">
        <v>5.0109212521573321</v>
      </c>
      <c r="P1941" s="11">
        <f t="shared" si="306"/>
        <v>-30</v>
      </c>
      <c r="Q1941" s="12">
        <f t="shared" si="307"/>
        <v>-30</v>
      </c>
      <c r="R1941" s="13">
        <f t="shared" si="308"/>
        <v>-30</v>
      </c>
      <c r="S1941" s="3">
        <v>0</v>
      </c>
      <c r="T1941" s="3" t="s">
        <v>28</v>
      </c>
      <c r="U1941" s="10">
        <v>9320079900999</v>
      </c>
      <c r="V1941" s="3">
        <v>0.1</v>
      </c>
      <c r="W1941" s="3">
        <f t="shared" si="309"/>
        <v>1.2000000000000002</v>
      </c>
      <c r="AA1941" s="3">
        <v>48</v>
      </c>
    </row>
    <row r="1942" spans="1:27" x14ac:dyDescent="0.3">
      <c r="A1942" s="3" t="str">
        <f t="shared" si="300"/>
        <v>North9320039901210</v>
      </c>
      <c r="B1942" s="3" t="str">
        <f t="shared" si="301"/>
        <v>Pan9320039901210</v>
      </c>
      <c r="C1942" s="10">
        <v>9320039901210</v>
      </c>
      <c r="D1942" s="10" t="str">
        <f t="shared" si="302"/>
        <v>9320039901</v>
      </c>
      <c r="E1942" s="3" t="s">
        <v>2</v>
      </c>
      <c r="F1942" s="3" t="s">
        <v>64</v>
      </c>
      <c r="H1942" s="3">
        <v>12.094000000000001</v>
      </c>
      <c r="I1942" s="10">
        <f t="shared" si="303"/>
        <v>72.804746541350639</v>
      </c>
      <c r="J1942" s="3">
        <v>4.9834662880658547</v>
      </c>
      <c r="K1942" s="3">
        <v>0</v>
      </c>
      <c r="L1942" s="3">
        <f t="shared" si="304"/>
        <v>0</v>
      </c>
      <c r="N1942" s="11">
        <f t="shared" si="305"/>
        <v>7.1105337119341465</v>
      </c>
      <c r="O1942" s="3">
        <v>4.9834662880658547</v>
      </c>
      <c r="P1942" s="11">
        <f t="shared" si="306"/>
        <v>42.804746541350639</v>
      </c>
      <c r="Q1942" s="12">
        <f t="shared" si="307"/>
        <v>31.335432881649357</v>
      </c>
      <c r="R1942" s="13">
        <f t="shared" si="308"/>
        <v>17.999842974581782</v>
      </c>
      <c r="S1942" s="3" t="s">
        <v>30</v>
      </c>
      <c r="T1942" s="3" t="s">
        <v>28</v>
      </c>
      <c r="U1942" s="10">
        <v>0</v>
      </c>
      <c r="V1942" s="3">
        <v>0</v>
      </c>
      <c r="W1942" s="3">
        <f t="shared" si="309"/>
        <v>0</v>
      </c>
      <c r="AA1942" s="3">
        <v>48</v>
      </c>
    </row>
    <row r="1943" spans="1:27" x14ac:dyDescent="0.3">
      <c r="A1943" s="3" t="str">
        <f t="shared" si="300"/>
        <v>North9410029900310</v>
      </c>
      <c r="B1943" s="3" t="str">
        <f t="shared" si="301"/>
        <v>Pan9410029900310</v>
      </c>
      <c r="C1943" s="10">
        <v>9410029900310</v>
      </c>
      <c r="D1943" s="10" t="str">
        <f t="shared" si="302"/>
        <v>9410029900</v>
      </c>
      <c r="E1943" s="3" t="s">
        <v>2</v>
      </c>
      <c r="F1943" s="3" t="s">
        <v>64</v>
      </c>
      <c r="H1943" s="3">
        <v>3.4299999999999997</v>
      </c>
      <c r="I1943" s="10">
        <f t="shared" si="303"/>
        <v>21.253236140934781</v>
      </c>
      <c r="J1943" s="3">
        <v>4.8416156164476769</v>
      </c>
      <c r="K1943" s="3">
        <v>12</v>
      </c>
      <c r="L1943" s="3">
        <f t="shared" si="304"/>
        <v>0</v>
      </c>
      <c r="N1943" s="11">
        <f t="shared" si="305"/>
        <v>-1.4116156164476772</v>
      </c>
      <c r="O1943" s="3">
        <v>4.8416156164476769</v>
      </c>
      <c r="P1943" s="11">
        <f t="shared" si="306"/>
        <v>-8.7467638590652204</v>
      </c>
      <c r="Q1943" s="12">
        <f t="shared" si="307"/>
        <v>-8.7467638590652204</v>
      </c>
      <c r="R1943" s="13">
        <f t="shared" si="308"/>
        <v>-6.4410101637640524</v>
      </c>
      <c r="S1943" s="3" t="s">
        <v>31</v>
      </c>
      <c r="T1943" s="3" t="s">
        <v>32</v>
      </c>
      <c r="U1943" s="10">
        <v>9410029900999</v>
      </c>
      <c r="V1943" s="3">
        <v>0.1</v>
      </c>
      <c r="W1943" s="3">
        <f t="shared" si="309"/>
        <v>1.2000000000000002</v>
      </c>
      <c r="AA1943" s="3">
        <v>48</v>
      </c>
    </row>
    <row r="1944" spans="1:27" x14ac:dyDescent="0.3">
      <c r="A1944" s="3" t="str">
        <f t="shared" si="300"/>
        <v>North9437019900210</v>
      </c>
      <c r="B1944" s="3" t="str">
        <f t="shared" si="301"/>
        <v>Pan9437019900210</v>
      </c>
      <c r="C1944" s="10">
        <v>9437019900210</v>
      </c>
      <c r="D1944" s="10" t="str">
        <f t="shared" si="302"/>
        <v>9437019900</v>
      </c>
      <c r="E1944" s="3" t="s">
        <v>2</v>
      </c>
      <c r="F1944" s="3" t="s">
        <v>64</v>
      </c>
      <c r="H1944" s="3">
        <v>7.101</v>
      </c>
      <c r="I1944" s="10">
        <f t="shared" si="303"/>
        <v>45.467523425099472</v>
      </c>
      <c r="J1944" s="3">
        <v>4.6853222685623752</v>
      </c>
      <c r="K1944" s="3">
        <v>0</v>
      </c>
      <c r="L1944" s="3">
        <f t="shared" si="304"/>
        <v>0</v>
      </c>
      <c r="N1944" s="11">
        <f t="shared" si="305"/>
        <v>2.4156777314376248</v>
      </c>
      <c r="O1944" s="3">
        <v>4.6853222685623752</v>
      </c>
      <c r="P1944" s="11">
        <f t="shared" si="306"/>
        <v>15.467523425099472</v>
      </c>
      <c r="Q1944" s="12">
        <f t="shared" si="307"/>
        <v>16.009207383512042</v>
      </c>
      <c r="R1944" s="13">
        <f t="shared" si="308"/>
        <v>21.676130298195474</v>
      </c>
      <c r="S1944" s="3" t="s">
        <v>30</v>
      </c>
      <c r="T1944" s="3" t="s">
        <v>35</v>
      </c>
      <c r="U1944" s="10">
        <v>0</v>
      </c>
      <c r="V1944" s="3">
        <v>0</v>
      </c>
      <c r="W1944" s="3">
        <f t="shared" si="309"/>
        <v>0</v>
      </c>
      <c r="AA1944" s="3">
        <v>48</v>
      </c>
    </row>
    <row r="1945" spans="1:27" x14ac:dyDescent="0.3">
      <c r="A1945" s="3" t="str">
        <f t="shared" si="300"/>
        <v>North9432029900310</v>
      </c>
      <c r="B1945" s="3" t="str">
        <f t="shared" si="301"/>
        <v>Pan9432029900310</v>
      </c>
      <c r="C1945" s="10">
        <v>9432029900310</v>
      </c>
      <c r="D1945" s="10" t="str">
        <f t="shared" si="302"/>
        <v>9432029900</v>
      </c>
      <c r="E1945" s="3" t="s">
        <v>2</v>
      </c>
      <c r="F1945" s="3" t="s">
        <v>64</v>
      </c>
      <c r="H1945" s="3">
        <v>25.69</v>
      </c>
      <c r="I1945" s="10">
        <f t="shared" si="303"/>
        <v>165.06004341789856</v>
      </c>
      <c r="J1945" s="3">
        <v>4.6692099677251626</v>
      </c>
      <c r="K1945" s="3">
        <v>0</v>
      </c>
      <c r="L1945" s="3">
        <f t="shared" si="304"/>
        <v>0</v>
      </c>
      <c r="N1945" s="11">
        <f t="shared" si="305"/>
        <v>21.020790032274839</v>
      </c>
      <c r="O1945" s="3">
        <v>4.6692099677251626</v>
      </c>
      <c r="P1945" s="11">
        <f t="shared" si="306"/>
        <v>135.06004341789856</v>
      </c>
      <c r="Q1945" s="12">
        <f t="shared" si="307"/>
        <v>99.548439352843175</v>
      </c>
      <c r="R1945" s="13">
        <f t="shared" si="308"/>
        <v>63.07750694482106</v>
      </c>
      <c r="S1945" s="3" t="s">
        <v>31</v>
      </c>
      <c r="T1945" s="3" t="s">
        <v>35</v>
      </c>
      <c r="U1945" s="10">
        <v>9432029900999</v>
      </c>
      <c r="V1945" s="3">
        <v>0.1</v>
      </c>
      <c r="W1945" s="3">
        <f t="shared" si="309"/>
        <v>0</v>
      </c>
      <c r="AA1945" s="3">
        <v>48</v>
      </c>
    </row>
    <row r="1946" spans="1:27" x14ac:dyDescent="0.3">
      <c r="A1946" s="3" t="str">
        <f t="shared" si="300"/>
        <v>North9330239900310</v>
      </c>
      <c r="B1946" s="3" t="str">
        <f t="shared" si="301"/>
        <v>Pan9330239900310</v>
      </c>
      <c r="C1946" s="10">
        <v>9330239900310</v>
      </c>
      <c r="D1946" s="10" t="str">
        <f t="shared" si="302"/>
        <v>9330239900</v>
      </c>
      <c r="E1946" s="3" t="s">
        <v>2</v>
      </c>
      <c r="F1946" s="3" t="s">
        <v>64</v>
      </c>
      <c r="H1946" s="3">
        <v>27.87</v>
      </c>
      <c r="I1946" s="10">
        <f t="shared" si="303"/>
        <v>183.41384160116488</v>
      </c>
      <c r="J1946" s="3">
        <v>4.5585436338992746</v>
      </c>
      <c r="K1946" s="3">
        <v>0</v>
      </c>
      <c r="L1946" s="3">
        <f t="shared" si="304"/>
        <v>0</v>
      </c>
      <c r="N1946" s="11">
        <f t="shared" si="305"/>
        <v>23.311456366100728</v>
      </c>
      <c r="O1946" s="3">
        <v>4.5585436338992746</v>
      </c>
      <c r="P1946" s="11">
        <f t="shared" si="306"/>
        <v>153.41384160116488</v>
      </c>
      <c r="Q1946" s="12">
        <f t="shared" si="307"/>
        <v>107.22657074241567</v>
      </c>
      <c r="R1946" s="13">
        <f t="shared" si="308"/>
        <v>86.092170811049129</v>
      </c>
      <c r="S1946" s="3" t="s">
        <v>31</v>
      </c>
      <c r="T1946" s="3" t="s">
        <v>35</v>
      </c>
      <c r="U1946" s="10">
        <v>9330239900999</v>
      </c>
      <c r="V1946" s="3">
        <v>0.1</v>
      </c>
      <c r="W1946" s="3">
        <f t="shared" si="309"/>
        <v>0</v>
      </c>
      <c r="AA1946" s="3">
        <v>48</v>
      </c>
    </row>
    <row r="1947" spans="1:27" x14ac:dyDescent="0.3">
      <c r="A1947" s="3" t="str">
        <f t="shared" si="300"/>
        <v>North9320099901210</v>
      </c>
      <c r="B1947" s="3" t="str">
        <f t="shared" si="301"/>
        <v>Pan9320099901210</v>
      </c>
      <c r="C1947" s="10">
        <v>9320099901210</v>
      </c>
      <c r="D1947" s="10" t="str">
        <f t="shared" si="302"/>
        <v>9320099901</v>
      </c>
      <c r="E1947" s="3" t="s">
        <v>2</v>
      </c>
      <c r="F1947" s="3" t="s">
        <v>64</v>
      </c>
      <c r="H1947" s="3">
        <v>12.07</v>
      </c>
      <c r="I1947" s="10">
        <f t="shared" si="303"/>
        <v>84.285020221929315</v>
      </c>
      <c r="J1947" s="3">
        <v>4.2961370721222023</v>
      </c>
      <c r="K1947" s="3">
        <v>18</v>
      </c>
      <c r="L1947" s="3">
        <f t="shared" si="304"/>
        <v>0</v>
      </c>
      <c r="N1947" s="11">
        <f t="shared" si="305"/>
        <v>7.773862927877798</v>
      </c>
      <c r="O1947" s="3">
        <v>4.2961370721222023</v>
      </c>
      <c r="P1947" s="11">
        <f t="shared" si="306"/>
        <v>54.285020221929315</v>
      </c>
      <c r="Q1947" s="12">
        <f t="shared" si="307"/>
        <v>45.571439493587192</v>
      </c>
      <c r="R1947" s="13">
        <f t="shared" si="308"/>
        <v>29.724229731147283</v>
      </c>
      <c r="S1947" s="3" t="s">
        <v>31</v>
      </c>
      <c r="T1947" s="3" t="s">
        <v>28</v>
      </c>
      <c r="U1947" s="10">
        <v>0</v>
      </c>
      <c r="V1947" s="3">
        <v>0</v>
      </c>
      <c r="W1947" s="3">
        <f t="shared" si="309"/>
        <v>0</v>
      </c>
      <c r="AA1947" s="3">
        <v>48</v>
      </c>
    </row>
    <row r="1948" spans="1:27" x14ac:dyDescent="0.3">
      <c r="A1948" s="3" t="str">
        <f t="shared" si="300"/>
        <v>North9320079901840</v>
      </c>
      <c r="B1948" s="3" t="str">
        <f t="shared" si="301"/>
        <v>Pan9320079901840</v>
      </c>
      <c r="C1948" s="10">
        <v>9320079901840</v>
      </c>
      <c r="D1948" s="10" t="str">
        <f t="shared" si="302"/>
        <v>9320079901</v>
      </c>
      <c r="E1948" s="3" t="s">
        <v>2</v>
      </c>
      <c r="F1948" s="3" t="s">
        <v>64</v>
      </c>
      <c r="H1948" s="3">
        <v>0</v>
      </c>
      <c r="I1948" s="10">
        <f t="shared" si="303"/>
        <v>0</v>
      </c>
      <c r="J1948" s="3">
        <v>4.2660277007707057</v>
      </c>
      <c r="K1948" s="3">
        <v>0</v>
      </c>
      <c r="L1948" s="3">
        <f t="shared" si="304"/>
        <v>0</v>
      </c>
      <c r="N1948" s="11">
        <f t="shared" si="305"/>
        <v>-4.2660277007707057</v>
      </c>
      <c r="O1948" s="3">
        <v>4.2660277007707057</v>
      </c>
      <c r="P1948" s="11">
        <f t="shared" si="306"/>
        <v>-30</v>
      </c>
      <c r="Q1948" s="12">
        <f t="shared" si="307"/>
        <v>-30</v>
      </c>
      <c r="R1948" s="13">
        <f t="shared" si="308"/>
        <v>-30</v>
      </c>
      <c r="S1948" s="3">
        <v>0</v>
      </c>
      <c r="T1948" s="3" t="s">
        <v>28</v>
      </c>
      <c r="U1948" s="10">
        <v>0</v>
      </c>
      <c r="V1948" s="3">
        <v>0</v>
      </c>
      <c r="W1948" s="3">
        <f t="shared" si="309"/>
        <v>0</v>
      </c>
      <c r="AA1948" s="3">
        <v>48</v>
      </c>
    </row>
    <row r="1949" spans="1:27" x14ac:dyDescent="0.3">
      <c r="A1949" s="3" t="str">
        <f t="shared" si="300"/>
        <v>North9320029902839</v>
      </c>
      <c r="B1949" s="3" t="str">
        <f t="shared" si="301"/>
        <v>Pan9320029902839</v>
      </c>
      <c r="C1949" s="10">
        <v>9320029902839</v>
      </c>
      <c r="D1949" s="10" t="str">
        <f t="shared" si="302"/>
        <v>9320029902</v>
      </c>
      <c r="E1949" s="3" t="s">
        <v>2</v>
      </c>
      <c r="F1949" s="3" t="s">
        <v>64</v>
      </c>
      <c r="H1949" s="3">
        <v>18.700499999999998</v>
      </c>
      <c r="I1949" s="10">
        <f t="shared" si="303"/>
        <v>132.6170733500646</v>
      </c>
      <c r="J1949" s="3">
        <v>4.2303376618718502</v>
      </c>
      <c r="K1949" s="3">
        <v>0</v>
      </c>
      <c r="L1949" s="3">
        <f t="shared" si="304"/>
        <v>0</v>
      </c>
      <c r="N1949" s="11">
        <f t="shared" si="305"/>
        <v>14.470162338128148</v>
      </c>
      <c r="O1949" s="3">
        <v>4.2303376618718502</v>
      </c>
      <c r="P1949" s="11">
        <f t="shared" si="306"/>
        <v>102.6170733500646</v>
      </c>
      <c r="Q1949" s="12">
        <f t="shared" si="307"/>
        <v>71.0916793067844</v>
      </c>
      <c r="R1949" s="13">
        <f t="shared" si="308"/>
        <v>29.839396520491132</v>
      </c>
      <c r="S1949" s="3" t="s">
        <v>30</v>
      </c>
      <c r="T1949" s="3" t="s">
        <v>28</v>
      </c>
      <c r="U1949" s="10">
        <v>0</v>
      </c>
      <c r="V1949" s="3">
        <v>0</v>
      </c>
      <c r="W1949" s="3">
        <f t="shared" si="309"/>
        <v>0</v>
      </c>
      <c r="AA1949" s="3">
        <v>48</v>
      </c>
    </row>
    <row r="1950" spans="1:27" x14ac:dyDescent="0.3">
      <c r="A1950" s="3" t="str">
        <f t="shared" si="300"/>
        <v>North9310099901840</v>
      </c>
      <c r="B1950" s="3" t="str">
        <f t="shared" si="301"/>
        <v>Pan9310099901840</v>
      </c>
      <c r="C1950" s="10">
        <v>9310099901840</v>
      </c>
      <c r="D1950" s="10" t="str">
        <f t="shared" si="302"/>
        <v>9310099901</v>
      </c>
      <c r="E1950" s="3" t="s">
        <v>2</v>
      </c>
      <c r="F1950" s="3" t="s">
        <v>64</v>
      </c>
      <c r="H1950" s="3">
        <v>0</v>
      </c>
      <c r="I1950" s="10">
        <f t="shared" si="303"/>
        <v>0</v>
      </c>
      <c r="J1950" s="3">
        <v>4.0921401080000006</v>
      </c>
      <c r="K1950" s="3">
        <v>0</v>
      </c>
      <c r="L1950" s="3">
        <f t="shared" si="304"/>
        <v>0</v>
      </c>
      <c r="N1950" s="11">
        <f t="shared" si="305"/>
        <v>-4.0921401080000006</v>
      </c>
      <c r="O1950" s="3">
        <v>4.0921401080000006</v>
      </c>
      <c r="P1950" s="11">
        <f t="shared" si="306"/>
        <v>-30</v>
      </c>
      <c r="Q1950" s="12">
        <f t="shared" si="307"/>
        <v>-30</v>
      </c>
      <c r="R1950" s="13">
        <f t="shared" si="308"/>
        <v>-29.999999999999996</v>
      </c>
      <c r="S1950" s="3">
        <v>0</v>
      </c>
      <c r="T1950" s="3" t="s">
        <v>32</v>
      </c>
      <c r="U1950" s="10">
        <v>0</v>
      </c>
      <c r="V1950" s="3">
        <v>0</v>
      </c>
      <c r="W1950" s="3">
        <f t="shared" si="309"/>
        <v>0</v>
      </c>
      <c r="AA1950" s="3">
        <v>48</v>
      </c>
    </row>
    <row r="1951" spans="1:27" x14ac:dyDescent="0.3">
      <c r="A1951" s="3" t="str">
        <f t="shared" si="300"/>
        <v>North9320079999839</v>
      </c>
      <c r="B1951" s="3" t="str">
        <f t="shared" si="301"/>
        <v>Pan9320079999839</v>
      </c>
      <c r="C1951" s="10">
        <v>9320079999839</v>
      </c>
      <c r="D1951" s="10" t="str">
        <f t="shared" si="302"/>
        <v>9320079999</v>
      </c>
      <c r="E1951" s="3" t="s">
        <v>2</v>
      </c>
      <c r="F1951" s="3" t="s">
        <v>64</v>
      </c>
      <c r="H1951" s="3">
        <v>0</v>
      </c>
      <c r="I1951" s="10">
        <f t="shared" si="303"/>
        <v>0</v>
      </c>
      <c r="J1951" s="3">
        <v>3.9615686461137156</v>
      </c>
      <c r="K1951" s="3">
        <v>36</v>
      </c>
      <c r="L1951" s="3">
        <f t="shared" si="304"/>
        <v>0</v>
      </c>
      <c r="N1951" s="11">
        <f t="shared" si="305"/>
        <v>-3.9615686461137156</v>
      </c>
      <c r="O1951" s="3">
        <v>3.9615686461137156</v>
      </c>
      <c r="P1951" s="11">
        <f t="shared" si="306"/>
        <v>-30</v>
      </c>
      <c r="Q1951" s="12">
        <f t="shared" si="307"/>
        <v>-30</v>
      </c>
      <c r="R1951" s="13">
        <f t="shared" si="308"/>
        <v>-30</v>
      </c>
      <c r="S1951" s="3">
        <v>0</v>
      </c>
      <c r="T1951" s="3" t="s">
        <v>28</v>
      </c>
      <c r="U1951" s="10">
        <v>0</v>
      </c>
      <c r="V1951" s="3">
        <v>0</v>
      </c>
      <c r="W1951" s="3">
        <f t="shared" si="309"/>
        <v>0</v>
      </c>
      <c r="AA1951" s="3">
        <v>48</v>
      </c>
    </row>
    <row r="1952" spans="1:27" x14ac:dyDescent="0.3">
      <c r="A1952" s="3" t="str">
        <f t="shared" si="300"/>
        <v>North9100509900320</v>
      </c>
      <c r="B1952" s="3" t="str">
        <f t="shared" si="301"/>
        <v>Pan9100509900320</v>
      </c>
      <c r="C1952" s="10">
        <v>9100509900320</v>
      </c>
      <c r="D1952" s="10" t="str">
        <f t="shared" si="302"/>
        <v>9100509900</v>
      </c>
      <c r="E1952" s="3" t="s">
        <v>2</v>
      </c>
      <c r="F1952" s="3" t="s">
        <v>64</v>
      </c>
      <c r="H1952" s="3">
        <v>11.059999999999999</v>
      </c>
      <c r="I1952" s="10">
        <f t="shared" si="303"/>
        <v>84.748230133257039</v>
      </c>
      <c r="J1952" s="3">
        <v>3.9151260088651036</v>
      </c>
      <c r="K1952" s="3">
        <v>0</v>
      </c>
      <c r="L1952" s="3">
        <f t="shared" si="304"/>
        <v>0</v>
      </c>
      <c r="N1952" s="11">
        <f t="shared" si="305"/>
        <v>7.1448739911348955</v>
      </c>
      <c r="O1952" s="3">
        <v>3.9151260088651036</v>
      </c>
      <c r="P1952" s="11">
        <f t="shared" si="306"/>
        <v>54.748230133257053</v>
      </c>
      <c r="Q1952" s="12">
        <f t="shared" si="307"/>
        <v>27.180693130631511</v>
      </c>
      <c r="R1952" s="13">
        <f t="shared" si="308"/>
        <v>28.679587677970176</v>
      </c>
      <c r="S1952" s="3" t="s">
        <v>30</v>
      </c>
      <c r="T1952" s="3" t="s">
        <v>34</v>
      </c>
      <c r="U1952" s="10">
        <v>0</v>
      </c>
      <c r="V1952" s="3">
        <v>0</v>
      </c>
      <c r="W1952" s="3">
        <f t="shared" si="309"/>
        <v>0</v>
      </c>
      <c r="AA1952" s="3">
        <v>48</v>
      </c>
    </row>
    <row r="1953" spans="1:27" x14ac:dyDescent="0.3">
      <c r="A1953" s="3" t="str">
        <f t="shared" si="300"/>
        <v>North9320079900840</v>
      </c>
      <c r="B1953" s="3" t="str">
        <f t="shared" si="301"/>
        <v>Pan9320079900840</v>
      </c>
      <c r="C1953" s="10">
        <v>9320079900840</v>
      </c>
      <c r="D1953" s="10" t="str">
        <f t="shared" si="302"/>
        <v>9320079900</v>
      </c>
      <c r="E1953" s="3" t="s">
        <v>2</v>
      </c>
      <c r="F1953" s="3" t="s">
        <v>64</v>
      </c>
      <c r="H1953" s="3">
        <v>0</v>
      </c>
      <c r="I1953" s="10">
        <f t="shared" si="303"/>
        <v>0</v>
      </c>
      <c r="J1953" s="3">
        <v>3.9011653508402042</v>
      </c>
      <c r="K1953" s="3">
        <v>0</v>
      </c>
      <c r="L1953" s="3">
        <f t="shared" si="304"/>
        <v>0</v>
      </c>
      <c r="N1953" s="11">
        <f t="shared" si="305"/>
        <v>-3.9011653508402042</v>
      </c>
      <c r="O1953" s="3">
        <v>3.9011653508402042</v>
      </c>
      <c r="P1953" s="11">
        <f t="shared" si="306"/>
        <v>-30</v>
      </c>
      <c r="Q1953" s="12">
        <f t="shared" si="307"/>
        <v>-30.000000000000004</v>
      </c>
      <c r="R1953" s="13">
        <f t="shared" si="308"/>
        <v>-30.000000000000004</v>
      </c>
      <c r="S1953" s="3">
        <v>0</v>
      </c>
      <c r="T1953" s="3" t="s">
        <v>28</v>
      </c>
      <c r="U1953" s="10">
        <v>0</v>
      </c>
      <c r="V1953" s="3">
        <v>0</v>
      </c>
      <c r="W1953" s="3">
        <f t="shared" si="309"/>
        <v>0</v>
      </c>
      <c r="AA1953" s="3">
        <v>48</v>
      </c>
    </row>
    <row r="1954" spans="1:27" x14ac:dyDescent="0.3">
      <c r="A1954" s="3" t="str">
        <f t="shared" si="300"/>
        <v>North9432009900840</v>
      </c>
      <c r="B1954" s="3" t="str">
        <f t="shared" si="301"/>
        <v>Pan9432009900840</v>
      </c>
      <c r="C1954" s="10">
        <v>9432009900840</v>
      </c>
      <c r="D1954" s="10" t="str">
        <f t="shared" si="302"/>
        <v>9432009900</v>
      </c>
      <c r="E1954" s="3" t="s">
        <v>2</v>
      </c>
      <c r="F1954" s="3" t="s">
        <v>64</v>
      </c>
      <c r="H1954" s="3">
        <v>4.2840000000000007</v>
      </c>
      <c r="I1954" s="10">
        <f t="shared" si="303"/>
        <v>33.861736605551457</v>
      </c>
      <c r="J1954" s="3">
        <v>3.7954344012861356</v>
      </c>
      <c r="K1954" s="3">
        <v>0</v>
      </c>
      <c r="L1954" s="3">
        <f t="shared" si="304"/>
        <v>0</v>
      </c>
      <c r="N1954" s="11">
        <f t="shared" si="305"/>
        <v>0.48856559871386507</v>
      </c>
      <c r="O1954" s="3">
        <v>3.7954344012861356</v>
      </c>
      <c r="P1954" s="11">
        <f t="shared" si="306"/>
        <v>3.8617366055514584</v>
      </c>
      <c r="Q1954" s="12">
        <f t="shared" si="307"/>
        <v>50.85777282204085</v>
      </c>
      <c r="R1954" s="13">
        <f t="shared" si="308"/>
        <v>16.28600824867836</v>
      </c>
      <c r="S1954" s="3" t="s">
        <v>30</v>
      </c>
      <c r="T1954" s="3" t="s">
        <v>35</v>
      </c>
      <c r="U1954" s="10">
        <v>0</v>
      </c>
      <c r="V1954" s="3">
        <v>0</v>
      </c>
      <c r="W1954" s="3">
        <f t="shared" si="309"/>
        <v>0</v>
      </c>
      <c r="AA1954" s="3">
        <v>48</v>
      </c>
    </row>
    <row r="1955" spans="1:27" x14ac:dyDescent="0.3">
      <c r="A1955" s="3" t="str">
        <f t="shared" si="300"/>
        <v>North9432009901210</v>
      </c>
      <c r="B1955" s="3" t="str">
        <f t="shared" si="301"/>
        <v>Pan9432009901210</v>
      </c>
      <c r="C1955" s="10">
        <v>9432009901210</v>
      </c>
      <c r="D1955" s="10" t="str">
        <f t="shared" si="302"/>
        <v>9432009901</v>
      </c>
      <c r="E1955" s="3" t="s">
        <v>2</v>
      </c>
      <c r="F1955" s="3" t="s">
        <v>64</v>
      </c>
      <c r="H1955" s="3">
        <v>8.6939999999999991</v>
      </c>
      <c r="I1955" s="10">
        <f t="shared" si="303"/>
        <v>70.948339364153242</v>
      </c>
      <c r="J1955" s="3">
        <v>3.6761959805895001</v>
      </c>
      <c r="K1955" s="3">
        <v>0</v>
      </c>
      <c r="L1955" s="3">
        <f t="shared" si="304"/>
        <v>0</v>
      </c>
      <c r="N1955" s="11">
        <f t="shared" si="305"/>
        <v>5.0178040194104989</v>
      </c>
      <c r="O1955" s="3">
        <v>3.6761959805895001</v>
      </c>
      <c r="P1955" s="11">
        <f t="shared" si="306"/>
        <v>40.948339364153249</v>
      </c>
      <c r="Q1955" s="12">
        <f t="shared" si="307"/>
        <v>46.925563385154554</v>
      </c>
      <c r="R1955" s="13">
        <f t="shared" si="308"/>
        <v>10.799641646358246</v>
      </c>
      <c r="S1955" s="3" t="s">
        <v>30</v>
      </c>
      <c r="T1955" s="3" t="s">
        <v>35</v>
      </c>
      <c r="U1955" s="10">
        <v>0</v>
      </c>
      <c r="V1955" s="3">
        <v>0</v>
      </c>
      <c r="W1955" s="3">
        <f t="shared" si="309"/>
        <v>0</v>
      </c>
      <c r="AA1955" s="3">
        <v>48</v>
      </c>
    </row>
    <row r="1956" spans="1:27" x14ac:dyDescent="0.3">
      <c r="A1956" s="3" t="str">
        <f t="shared" si="300"/>
        <v>North9160309999219</v>
      </c>
      <c r="B1956" s="3" t="str">
        <f t="shared" si="301"/>
        <v>Pan9160309999219</v>
      </c>
      <c r="C1956" s="10">
        <v>9160309999219</v>
      </c>
      <c r="D1956" s="10" t="str">
        <f t="shared" si="302"/>
        <v>9160309999</v>
      </c>
      <c r="E1956" s="3" t="s">
        <v>2</v>
      </c>
      <c r="F1956" s="3" t="s">
        <v>64</v>
      </c>
      <c r="H1956" s="3">
        <v>30.7515</v>
      </c>
      <c r="I1956" s="10">
        <f t="shared" si="303"/>
        <v>252.15320137280347</v>
      </c>
      <c r="J1956" s="3">
        <v>3.6586685990000007</v>
      </c>
      <c r="K1956" s="3">
        <v>0</v>
      </c>
      <c r="L1956" s="3">
        <f t="shared" si="304"/>
        <v>0</v>
      </c>
      <c r="N1956" s="11">
        <f t="shared" si="305"/>
        <v>27.092831400999998</v>
      </c>
      <c r="O1956" s="3">
        <v>3.6586685990000007</v>
      </c>
      <c r="P1956" s="11">
        <f t="shared" si="306"/>
        <v>222.15320137280347</v>
      </c>
      <c r="Q1956" s="12">
        <f t="shared" si="307"/>
        <v>222.15320137280347</v>
      </c>
      <c r="R1956" s="13">
        <f t="shared" si="308"/>
        <v>222.15320137280347</v>
      </c>
      <c r="S1956" s="3" t="s">
        <v>31</v>
      </c>
      <c r="T1956" s="3" t="s">
        <v>34</v>
      </c>
      <c r="U1956" s="10">
        <v>0</v>
      </c>
      <c r="V1956" s="3">
        <v>0</v>
      </c>
      <c r="W1956" s="3">
        <f t="shared" si="309"/>
        <v>0</v>
      </c>
      <c r="AA1956" s="3">
        <v>48</v>
      </c>
    </row>
    <row r="1957" spans="1:27" x14ac:dyDescent="0.3">
      <c r="A1957" s="3" t="str">
        <f t="shared" si="300"/>
        <v>North9320029900840</v>
      </c>
      <c r="B1957" s="3" t="str">
        <f t="shared" si="301"/>
        <v>Pan9320029900840</v>
      </c>
      <c r="C1957" s="10">
        <v>9320029900840</v>
      </c>
      <c r="D1957" s="10" t="str">
        <f t="shared" si="302"/>
        <v>9320029900</v>
      </c>
      <c r="E1957" s="3" t="s">
        <v>2</v>
      </c>
      <c r="F1957" s="3" t="s">
        <v>64</v>
      </c>
      <c r="H1957" s="3">
        <v>3.620000000000001</v>
      </c>
      <c r="I1957" s="10">
        <f t="shared" si="303"/>
        <v>31.060426806404749</v>
      </c>
      <c r="J1957" s="3">
        <v>3.4964104220746379</v>
      </c>
      <c r="K1957" s="3">
        <v>0</v>
      </c>
      <c r="L1957" s="3">
        <f t="shared" si="304"/>
        <v>0</v>
      </c>
      <c r="N1957" s="11">
        <f t="shared" si="305"/>
        <v>0.12358957792536307</v>
      </c>
      <c r="O1957" s="3">
        <v>3.4964104220746379</v>
      </c>
      <c r="P1957" s="11">
        <f t="shared" si="306"/>
        <v>1.06042680640475</v>
      </c>
      <c r="Q1957" s="12">
        <f t="shared" si="307"/>
        <v>-5.3369342206698827</v>
      </c>
      <c r="R1957" s="13">
        <f t="shared" si="308"/>
        <v>3.8494905204534557</v>
      </c>
      <c r="S1957" s="3" t="s">
        <v>30</v>
      </c>
      <c r="T1957" s="3" t="s">
        <v>28</v>
      </c>
      <c r="U1957" s="10">
        <v>0</v>
      </c>
      <c r="V1957" s="3">
        <v>0</v>
      </c>
      <c r="W1957" s="3">
        <f t="shared" si="309"/>
        <v>0</v>
      </c>
      <c r="AA1957" s="3">
        <v>48</v>
      </c>
    </row>
    <row r="1958" spans="1:27" x14ac:dyDescent="0.3">
      <c r="A1958" s="3" t="str">
        <f t="shared" si="300"/>
        <v>North9320079902839</v>
      </c>
      <c r="B1958" s="3" t="str">
        <f t="shared" si="301"/>
        <v>Pan9320079902839</v>
      </c>
      <c r="C1958" s="10">
        <v>9320079902839</v>
      </c>
      <c r="D1958" s="10" t="str">
        <f t="shared" si="302"/>
        <v>9320079902</v>
      </c>
      <c r="E1958" s="3" t="s">
        <v>2</v>
      </c>
      <c r="F1958" s="3" t="s">
        <v>64</v>
      </c>
      <c r="H1958" s="3">
        <v>0</v>
      </c>
      <c r="I1958" s="10">
        <f t="shared" si="303"/>
        <v>0</v>
      </c>
      <c r="J1958" s="3">
        <v>3.4732984056212595</v>
      </c>
      <c r="K1958" s="3">
        <v>36</v>
      </c>
      <c r="L1958" s="3">
        <f t="shared" si="304"/>
        <v>0</v>
      </c>
      <c r="N1958" s="11">
        <f t="shared" si="305"/>
        <v>-3.4732984056212595</v>
      </c>
      <c r="O1958" s="3">
        <v>3.4732984056212595</v>
      </c>
      <c r="P1958" s="11">
        <f t="shared" si="306"/>
        <v>-30</v>
      </c>
      <c r="Q1958" s="12">
        <f t="shared" si="307"/>
        <v>-30</v>
      </c>
      <c r="R1958" s="13">
        <f t="shared" si="308"/>
        <v>-30</v>
      </c>
      <c r="S1958" s="3">
        <v>0</v>
      </c>
      <c r="T1958" s="3" t="s">
        <v>28</v>
      </c>
      <c r="U1958" s="10">
        <v>0</v>
      </c>
      <c r="V1958" s="3">
        <v>0</v>
      </c>
      <c r="W1958" s="3">
        <f t="shared" si="309"/>
        <v>0</v>
      </c>
      <c r="AA1958" s="3">
        <v>48</v>
      </c>
    </row>
    <row r="1959" spans="1:27" x14ac:dyDescent="0.3">
      <c r="A1959" s="3" t="str">
        <f t="shared" si="300"/>
        <v>North9410039913310</v>
      </c>
      <c r="B1959" s="3" t="str">
        <f t="shared" si="301"/>
        <v>Pan9410039913310</v>
      </c>
      <c r="C1959" s="10">
        <v>9410039913310</v>
      </c>
      <c r="D1959" s="10" t="str">
        <f t="shared" si="302"/>
        <v>9410039913</v>
      </c>
      <c r="E1959" s="3" t="s">
        <v>2</v>
      </c>
      <c r="F1959" s="3" t="s">
        <v>64</v>
      </c>
      <c r="H1959" s="3">
        <v>3.17</v>
      </c>
      <c r="I1959" s="10">
        <f t="shared" si="303"/>
        <v>28.717484425106498</v>
      </c>
      <c r="J1959" s="3">
        <v>3.311571396443695</v>
      </c>
      <c r="K1959" s="3">
        <v>24</v>
      </c>
      <c r="L1959" s="3">
        <f t="shared" si="304"/>
        <v>0</v>
      </c>
      <c r="N1959" s="11">
        <f t="shared" si="305"/>
        <v>-0.1415713964436951</v>
      </c>
      <c r="O1959" s="3">
        <v>3.311571396443695</v>
      </c>
      <c r="P1959" s="11">
        <f t="shared" si="306"/>
        <v>-1.2825155748934989</v>
      </c>
      <c r="Q1959" s="12">
        <f t="shared" si="307"/>
        <v>-1.2825155748934991</v>
      </c>
      <c r="R1959" s="13">
        <f t="shared" si="308"/>
        <v>1.878232723294978</v>
      </c>
      <c r="S1959" s="3" t="s">
        <v>31</v>
      </c>
      <c r="T1959" s="3" t="s">
        <v>32</v>
      </c>
      <c r="U1959" s="10">
        <v>9410039913999</v>
      </c>
      <c r="V1959" s="3">
        <v>0.1</v>
      </c>
      <c r="W1959" s="3">
        <f t="shared" si="309"/>
        <v>2.4000000000000004</v>
      </c>
      <c r="AA1959" s="3">
        <v>48</v>
      </c>
    </row>
    <row r="1960" spans="1:27" x14ac:dyDescent="0.3">
      <c r="A1960" s="3" t="str">
        <f t="shared" si="300"/>
        <v>North9320029902097</v>
      </c>
      <c r="B1960" s="3" t="str">
        <f t="shared" si="301"/>
        <v>Pan9320029902097</v>
      </c>
      <c r="C1960" s="10">
        <v>9320029902097</v>
      </c>
      <c r="D1960" s="10" t="str">
        <f t="shared" si="302"/>
        <v>9320029902</v>
      </c>
      <c r="E1960" s="3" t="s">
        <v>2</v>
      </c>
      <c r="F1960" s="3" t="s">
        <v>64</v>
      </c>
      <c r="H1960" s="3">
        <v>1.9616999999999998</v>
      </c>
      <c r="I1960" s="10">
        <f t="shared" si="303"/>
        <v>19.175592082803128</v>
      </c>
      <c r="J1960" s="3">
        <v>3.069057776462516</v>
      </c>
      <c r="K1960" s="3">
        <v>5.76</v>
      </c>
      <c r="L1960" s="3">
        <f t="shared" si="304"/>
        <v>0</v>
      </c>
      <c r="N1960" s="11">
        <f t="shared" si="305"/>
        <v>-1.1073577764625162</v>
      </c>
      <c r="O1960" s="3">
        <v>3.069057776462516</v>
      </c>
      <c r="P1960" s="11">
        <f t="shared" si="306"/>
        <v>-10.824407917196872</v>
      </c>
      <c r="Q1960" s="12">
        <f t="shared" si="307"/>
        <v>-7.0409201336664706</v>
      </c>
      <c r="R1960" s="13">
        <f t="shared" si="308"/>
        <v>32.356577789682831</v>
      </c>
      <c r="S1960" s="3" t="s">
        <v>30</v>
      </c>
      <c r="T1960" s="3" t="s">
        <v>28</v>
      </c>
      <c r="U1960" s="10">
        <v>0</v>
      </c>
      <c r="V1960" s="3">
        <v>0</v>
      </c>
      <c r="W1960" s="3">
        <f t="shared" si="309"/>
        <v>0</v>
      </c>
      <c r="AA1960" s="3">
        <v>48</v>
      </c>
    </row>
    <row r="1961" spans="1:27" x14ac:dyDescent="0.3">
      <c r="A1961" s="3" t="str">
        <f t="shared" si="300"/>
        <v>North9320079902219</v>
      </c>
      <c r="B1961" s="3" t="str">
        <f t="shared" si="301"/>
        <v>Pan9320079902219</v>
      </c>
      <c r="C1961" s="10">
        <v>9320079902219</v>
      </c>
      <c r="D1961" s="10" t="str">
        <f t="shared" si="302"/>
        <v>9320079902</v>
      </c>
      <c r="E1961" s="3" t="s">
        <v>2</v>
      </c>
      <c r="F1961" s="3" t="s">
        <v>64</v>
      </c>
      <c r="H1961" s="3">
        <v>0</v>
      </c>
      <c r="I1961" s="10">
        <f t="shared" si="303"/>
        <v>0</v>
      </c>
      <c r="J1961" s="3">
        <v>3.0513818578029364</v>
      </c>
      <c r="K1961" s="3">
        <v>12</v>
      </c>
      <c r="L1961" s="3">
        <f t="shared" si="304"/>
        <v>0</v>
      </c>
      <c r="N1961" s="11">
        <f t="shared" si="305"/>
        <v>-3.0513818578029364</v>
      </c>
      <c r="O1961" s="3">
        <v>3.0513818578029364</v>
      </c>
      <c r="P1961" s="11">
        <f t="shared" si="306"/>
        <v>-30</v>
      </c>
      <c r="Q1961" s="12">
        <f t="shared" si="307"/>
        <v>-30</v>
      </c>
      <c r="R1961" s="13">
        <f t="shared" si="308"/>
        <v>-30</v>
      </c>
      <c r="S1961" s="3">
        <v>0</v>
      </c>
      <c r="T1961" s="3" t="s">
        <v>28</v>
      </c>
      <c r="U1961" s="10">
        <v>0</v>
      </c>
      <c r="V1961" s="3">
        <v>0</v>
      </c>
      <c r="W1961" s="3">
        <f t="shared" si="309"/>
        <v>0</v>
      </c>
      <c r="AA1961" s="3">
        <v>48</v>
      </c>
    </row>
    <row r="1962" spans="1:27" x14ac:dyDescent="0.3">
      <c r="A1962" s="3" t="str">
        <f t="shared" si="300"/>
        <v>North9320029902297</v>
      </c>
      <c r="B1962" s="3" t="str">
        <f t="shared" si="301"/>
        <v>Pan9320029902297</v>
      </c>
      <c r="C1962" s="10">
        <v>9320029902297</v>
      </c>
      <c r="D1962" s="10" t="str">
        <f t="shared" si="302"/>
        <v>9320029902</v>
      </c>
      <c r="E1962" s="3" t="s">
        <v>2</v>
      </c>
      <c r="F1962" s="3" t="s">
        <v>64</v>
      </c>
      <c r="H1962" s="3">
        <v>2.6422500000000011</v>
      </c>
      <c r="I1962" s="10">
        <f t="shared" si="303"/>
        <v>26.686250735480588</v>
      </c>
      <c r="J1962" s="3">
        <v>2.9703498174290281</v>
      </c>
      <c r="K1962" s="3">
        <v>0</v>
      </c>
      <c r="L1962" s="3">
        <f t="shared" si="304"/>
        <v>0</v>
      </c>
      <c r="N1962" s="11">
        <f t="shared" si="305"/>
        <v>-0.32809981742902705</v>
      </c>
      <c r="O1962" s="3">
        <v>2.9703498174290281</v>
      </c>
      <c r="P1962" s="11">
        <f t="shared" si="306"/>
        <v>-3.3137492645194122</v>
      </c>
      <c r="Q1962" s="12">
        <f t="shared" si="307"/>
        <v>-3.5167241923270289</v>
      </c>
      <c r="R1962" s="13">
        <f t="shared" si="308"/>
        <v>18.208892829292608</v>
      </c>
      <c r="S1962" s="3" t="s">
        <v>30</v>
      </c>
      <c r="T1962" s="3" t="s">
        <v>28</v>
      </c>
      <c r="U1962" s="10">
        <v>9320029900999</v>
      </c>
      <c r="V1962" s="3">
        <v>0.1</v>
      </c>
      <c r="W1962" s="3">
        <f t="shared" si="309"/>
        <v>0</v>
      </c>
      <c r="AA1962" s="3">
        <v>48</v>
      </c>
    </row>
    <row r="1963" spans="1:27" x14ac:dyDescent="0.3">
      <c r="A1963" s="3" t="str">
        <f t="shared" si="300"/>
        <v>North9310019902839</v>
      </c>
      <c r="B1963" s="3" t="str">
        <f t="shared" si="301"/>
        <v>Pan9310019902839</v>
      </c>
      <c r="C1963" s="10">
        <v>9310019902839</v>
      </c>
      <c r="D1963" s="10" t="str">
        <f t="shared" si="302"/>
        <v>9310019902</v>
      </c>
      <c r="E1963" s="3" t="s">
        <v>2</v>
      </c>
      <c r="F1963" s="3" t="s">
        <v>64</v>
      </c>
      <c r="H1963" s="3">
        <v>2.5623000000000005</v>
      </c>
      <c r="I1963" s="10">
        <f t="shared" si="303"/>
        <v>26.107643784939434</v>
      </c>
      <c r="J1963" s="3">
        <v>2.9443101274555841</v>
      </c>
      <c r="K1963" s="3">
        <v>0</v>
      </c>
      <c r="L1963" s="3">
        <f t="shared" si="304"/>
        <v>0</v>
      </c>
      <c r="N1963" s="11">
        <f t="shared" si="305"/>
        <v>-0.3820101274555836</v>
      </c>
      <c r="O1963" s="3">
        <v>2.9443101274555841</v>
      </c>
      <c r="P1963" s="11">
        <f t="shared" si="306"/>
        <v>-3.8923562150605653</v>
      </c>
      <c r="Q1963" s="12">
        <f t="shared" si="307"/>
        <v>-1.8744184679129317</v>
      </c>
      <c r="R1963" s="13">
        <f t="shared" si="308"/>
        <v>34.250706408111796</v>
      </c>
      <c r="S1963" s="3" t="s">
        <v>31</v>
      </c>
      <c r="T1963" s="3" t="s">
        <v>32</v>
      </c>
      <c r="U1963" s="10">
        <v>0</v>
      </c>
      <c r="V1963" s="3">
        <v>0</v>
      </c>
      <c r="W1963" s="3">
        <f t="shared" si="309"/>
        <v>0</v>
      </c>
      <c r="AA1963" s="3">
        <v>48</v>
      </c>
    </row>
    <row r="1964" spans="1:27" x14ac:dyDescent="0.3">
      <c r="A1964" s="3" t="str">
        <f t="shared" si="300"/>
        <v>North9420139901840</v>
      </c>
      <c r="B1964" s="3" t="str">
        <f t="shared" si="301"/>
        <v>Pan9420139901840</v>
      </c>
      <c r="C1964" s="10">
        <v>9420139901840</v>
      </c>
      <c r="D1964" s="10" t="str">
        <f t="shared" si="302"/>
        <v>9420139901</v>
      </c>
      <c r="E1964" s="3" t="s">
        <v>2</v>
      </c>
      <c r="F1964" s="3" t="s">
        <v>64</v>
      </c>
      <c r="H1964" s="3">
        <v>0</v>
      </c>
      <c r="I1964" s="10">
        <f t="shared" si="303"/>
        <v>0</v>
      </c>
      <c r="J1964" s="3">
        <v>2.9010814717392321</v>
      </c>
      <c r="K1964" s="3">
        <v>12</v>
      </c>
      <c r="L1964" s="3">
        <f t="shared" si="304"/>
        <v>0</v>
      </c>
      <c r="N1964" s="11">
        <f t="shared" si="305"/>
        <v>-2.9010814717392321</v>
      </c>
      <c r="O1964" s="3">
        <v>2.9010814717392321</v>
      </c>
      <c r="P1964" s="11">
        <f t="shared" si="306"/>
        <v>-30</v>
      </c>
      <c r="Q1964" s="12">
        <f t="shared" si="307"/>
        <v>-30</v>
      </c>
      <c r="R1964" s="13">
        <f t="shared" si="308"/>
        <v>50.297723678272817</v>
      </c>
      <c r="S1964" s="3" t="s">
        <v>31</v>
      </c>
      <c r="T1964" s="3" t="s">
        <v>28</v>
      </c>
      <c r="U1964" s="10">
        <v>0</v>
      </c>
      <c r="V1964" s="3">
        <v>0</v>
      </c>
      <c r="W1964" s="3">
        <f t="shared" si="309"/>
        <v>0</v>
      </c>
      <c r="AA1964" s="3">
        <v>48</v>
      </c>
    </row>
    <row r="1965" spans="1:27" x14ac:dyDescent="0.3">
      <c r="A1965" s="3" t="str">
        <f t="shared" si="300"/>
        <v>North9310019902219</v>
      </c>
      <c r="B1965" s="3" t="str">
        <f t="shared" si="301"/>
        <v>Pan9310019902219</v>
      </c>
      <c r="C1965" s="10">
        <v>9310019902219</v>
      </c>
      <c r="D1965" s="10" t="str">
        <f t="shared" si="302"/>
        <v>9310019902</v>
      </c>
      <c r="E1965" s="3" t="s">
        <v>2</v>
      </c>
      <c r="F1965" s="3" t="s">
        <v>64</v>
      </c>
      <c r="H1965" s="3">
        <v>3.8025000000000002</v>
      </c>
      <c r="I1965" s="10">
        <f t="shared" si="303"/>
        <v>44.262166979305029</v>
      </c>
      <c r="J1965" s="3">
        <v>2.5772574590244592</v>
      </c>
      <c r="K1965" s="3">
        <v>0</v>
      </c>
      <c r="L1965" s="3">
        <f t="shared" si="304"/>
        <v>0</v>
      </c>
      <c r="N1965" s="11">
        <f t="shared" si="305"/>
        <v>1.225242540975541</v>
      </c>
      <c r="O1965" s="3">
        <v>2.5772574590244592</v>
      </c>
      <c r="P1965" s="11">
        <f t="shared" si="306"/>
        <v>14.262166979305029</v>
      </c>
      <c r="Q1965" s="12">
        <f t="shared" si="307"/>
        <v>20.642101074104076</v>
      </c>
      <c r="R1965" s="13">
        <f t="shared" si="308"/>
        <v>23.550066035894439</v>
      </c>
      <c r="S1965" s="3" t="s">
        <v>30</v>
      </c>
      <c r="T1965" s="3" t="s">
        <v>32</v>
      </c>
      <c r="U1965" s="10">
        <v>9310019900999</v>
      </c>
      <c r="V1965" s="3">
        <v>0.1</v>
      </c>
      <c r="W1965" s="3">
        <f t="shared" si="309"/>
        <v>0</v>
      </c>
      <c r="AA1965" s="3">
        <v>48</v>
      </c>
    </row>
    <row r="1966" spans="1:27" x14ac:dyDescent="0.3">
      <c r="A1966" s="3" t="str">
        <f t="shared" si="300"/>
        <v>North9420039900310</v>
      </c>
      <c r="B1966" s="3" t="str">
        <f t="shared" si="301"/>
        <v>Pan9420039900310</v>
      </c>
      <c r="C1966" s="10">
        <v>9420039900310</v>
      </c>
      <c r="D1966" s="10" t="str">
        <f t="shared" si="302"/>
        <v>9420039900</v>
      </c>
      <c r="E1966" s="3" t="s">
        <v>2</v>
      </c>
      <c r="F1966" s="3" t="s">
        <v>64</v>
      </c>
      <c r="H1966" s="3">
        <v>7.29</v>
      </c>
      <c r="I1966" s="10">
        <f t="shared" si="303"/>
        <v>85.415273555099887</v>
      </c>
      <c r="J1966" s="3">
        <v>2.5604320035212496</v>
      </c>
      <c r="K1966" s="3">
        <v>0</v>
      </c>
      <c r="L1966" s="3">
        <f t="shared" si="304"/>
        <v>0</v>
      </c>
      <c r="N1966" s="11">
        <f t="shared" si="305"/>
        <v>4.7295679964787505</v>
      </c>
      <c r="O1966" s="3">
        <v>2.5604320035212496</v>
      </c>
      <c r="P1966" s="11">
        <f t="shared" si="306"/>
        <v>55.415273555099887</v>
      </c>
      <c r="Q1966" s="12">
        <f t="shared" si="307"/>
        <v>47.332779399695674</v>
      </c>
      <c r="R1966" s="13">
        <f t="shared" si="308"/>
        <v>25.372275431898188</v>
      </c>
      <c r="S1966" s="3" t="s">
        <v>31</v>
      </c>
      <c r="T1966" s="3" t="s">
        <v>28</v>
      </c>
      <c r="U1966" s="10">
        <v>9420039900999</v>
      </c>
      <c r="V1966" s="3">
        <v>0.1</v>
      </c>
      <c r="W1966" s="3">
        <f t="shared" si="309"/>
        <v>0</v>
      </c>
      <c r="AA1966" s="3">
        <v>48</v>
      </c>
    </row>
    <row r="1967" spans="1:27" x14ac:dyDescent="0.3">
      <c r="A1967" s="3" t="str">
        <f t="shared" si="300"/>
        <v>North9360049900210</v>
      </c>
      <c r="B1967" s="3" t="str">
        <f t="shared" si="301"/>
        <v>Pan9360049900210</v>
      </c>
      <c r="C1967" s="10">
        <v>9360049900210</v>
      </c>
      <c r="D1967" s="10" t="str">
        <f t="shared" si="302"/>
        <v>9360049900</v>
      </c>
      <c r="E1967" s="3" t="s">
        <v>2</v>
      </c>
      <c r="F1967" s="3" t="s">
        <v>64</v>
      </c>
      <c r="H1967" s="3">
        <v>2.4100000000000006</v>
      </c>
      <c r="I1967" s="10">
        <f t="shared" si="303"/>
        <v>28.735695844637238</v>
      </c>
      <c r="J1967" s="3">
        <v>2.516034425994</v>
      </c>
      <c r="K1967" s="3">
        <v>12</v>
      </c>
      <c r="L1967" s="3">
        <f t="shared" si="304"/>
        <v>0</v>
      </c>
      <c r="N1967" s="11">
        <f t="shared" si="305"/>
        <v>-0.10603442599399937</v>
      </c>
      <c r="O1967" s="3">
        <v>2.516034425994</v>
      </c>
      <c r="P1967" s="11">
        <f t="shared" si="306"/>
        <v>-1.2643041553627641</v>
      </c>
      <c r="Q1967" s="12">
        <f t="shared" si="307"/>
        <v>-1.2643041553627641</v>
      </c>
      <c r="R1967" s="13">
        <f t="shared" si="308"/>
        <v>16.599900440963403</v>
      </c>
      <c r="S1967" s="3" t="s">
        <v>31</v>
      </c>
      <c r="T1967" s="3" t="s">
        <v>70</v>
      </c>
      <c r="U1967" s="10">
        <v>0</v>
      </c>
      <c r="V1967" s="3">
        <v>0</v>
      </c>
      <c r="W1967" s="3">
        <f t="shared" si="309"/>
        <v>0</v>
      </c>
      <c r="AA1967" s="3">
        <v>48</v>
      </c>
    </row>
    <row r="1968" spans="1:27" x14ac:dyDescent="0.3">
      <c r="A1968" s="3" t="str">
        <f t="shared" si="300"/>
        <v>North9320099900210</v>
      </c>
      <c r="B1968" s="3" t="str">
        <f t="shared" si="301"/>
        <v>Pan9320099900210</v>
      </c>
      <c r="C1968" s="10">
        <v>9320099900210</v>
      </c>
      <c r="D1968" s="10" t="str">
        <f t="shared" si="302"/>
        <v>9320099900</v>
      </c>
      <c r="E1968" s="3" t="s">
        <v>2</v>
      </c>
      <c r="F1968" s="3" t="s">
        <v>64</v>
      </c>
      <c r="H1968" s="3">
        <v>2.048</v>
      </c>
      <c r="I1968" s="10">
        <f t="shared" si="303"/>
        <v>24.766314342070245</v>
      </c>
      <c r="J1968" s="3">
        <v>2.4807889923141531</v>
      </c>
      <c r="K1968" s="3">
        <v>5.76</v>
      </c>
      <c r="L1968" s="3">
        <f t="shared" si="304"/>
        <v>0</v>
      </c>
      <c r="N1968" s="11">
        <f t="shared" si="305"/>
        <v>-0.43278899231415302</v>
      </c>
      <c r="O1968" s="3">
        <v>2.4807889923141531</v>
      </c>
      <c r="P1968" s="11">
        <f t="shared" si="306"/>
        <v>-5.2336856579297546</v>
      </c>
      <c r="Q1968" s="12">
        <f t="shared" si="307"/>
        <v>-3.4025202824862304</v>
      </c>
      <c r="R1968" s="13">
        <f t="shared" si="308"/>
        <v>28.658286020871561</v>
      </c>
      <c r="S1968" s="3" t="s">
        <v>31</v>
      </c>
      <c r="T1968" s="3" t="s">
        <v>28</v>
      </c>
      <c r="U1968" s="10">
        <v>0</v>
      </c>
      <c r="V1968" s="3">
        <v>0</v>
      </c>
      <c r="W1968" s="3">
        <f t="shared" si="309"/>
        <v>0</v>
      </c>
      <c r="AA1968" s="3">
        <v>48</v>
      </c>
    </row>
    <row r="1969" spans="1:27" x14ac:dyDescent="0.3">
      <c r="A1969" s="3" t="str">
        <f t="shared" si="300"/>
        <v>North9320079902097</v>
      </c>
      <c r="B1969" s="3" t="str">
        <f t="shared" si="301"/>
        <v>Pan9320079902097</v>
      </c>
      <c r="C1969" s="10">
        <v>9320079902097</v>
      </c>
      <c r="D1969" s="10" t="str">
        <f t="shared" si="302"/>
        <v>9320079902</v>
      </c>
      <c r="E1969" s="3" t="s">
        <v>2</v>
      </c>
      <c r="F1969" s="3" t="s">
        <v>64</v>
      </c>
      <c r="H1969" s="3">
        <v>0</v>
      </c>
      <c r="I1969" s="10">
        <f t="shared" si="303"/>
        <v>0</v>
      </c>
      <c r="J1969" s="3">
        <v>2.4735902966402739</v>
      </c>
      <c r="K1969" s="3">
        <v>24</v>
      </c>
      <c r="L1969" s="3">
        <f t="shared" si="304"/>
        <v>0</v>
      </c>
      <c r="N1969" s="11">
        <f t="shared" si="305"/>
        <v>-2.4735902966402739</v>
      </c>
      <c r="O1969" s="3">
        <v>2.4735902966402739</v>
      </c>
      <c r="P1969" s="11">
        <f t="shared" si="306"/>
        <v>-30</v>
      </c>
      <c r="Q1969" s="12">
        <f t="shared" si="307"/>
        <v>-30</v>
      </c>
      <c r="R1969" s="13">
        <f t="shared" si="308"/>
        <v>-30</v>
      </c>
      <c r="S1969" s="3">
        <v>0</v>
      </c>
      <c r="T1969" s="3" t="s">
        <v>28</v>
      </c>
      <c r="U1969" s="10">
        <v>0</v>
      </c>
      <c r="V1969" s="3">
        <v>0</v>
      </c>
      <c r="W1969" s="3">
        <f t="shared" si="309"/>
        <v>0</v>
      </c>
      <c r="AA1969" s="3">
        <v>48</v>
      </c>
    </row>
    <row r="1970" spans="1:27" x14ac:dyDescent="0.3">
      <c r="A1970" s="3" t="str">
        <f t="shared" si="300"/>
        <v>North9360119922310</v>
      </c>
      <c r="B1970" s="3" t="str">
        <f t="shared" si="301"/>
        <v>Pan9360119922310</v>
      </c>
      <c r="C1970" s="10">
        <v>9360119922310</v>
      </c>
      <c r="D1970" s="10" t="str">
        <f t="shared" si="302"/>
        <v>9360119922</v>
      </c>
      <c r="E1970" s="3" t="s">
        <v>2</v>
      </c>
      <c r="F1970" s="3" t="s">
        <v>64</v>
      </c>
      <c r="H1970" s="3">
        <v>4.0599999999999996</v>
      </c>
      <c r="I1970" s="10">
        <f t="shared" si="303"/>
        <v>50.211715161882339</v>
      </c>
      <c r="J1970" s="3">
        <v>2.425728728989188</v>
      </c>
      <c r="K1970" s="3">
        <v>0</v>
      </c>
      <c r="L1970" s="3">
        <f t="shared" si="304"/>
        <v>0</v>
      </c>
      <c r="N1970" s="11">
        <f t="shared" si="305"/>
        <v>1.6342712710108116</v>
      </c>
      <c r="O1970" s="3">
        <v>2.425728728989188</v>
      </c>
      <c r="P1970" s="11">
        <f t="shared" si="306"/>
        <v>20.211715161882339</v>
      </c>
      <c r="Q1970" s="12">
        <f t="shared" si="307"/>
        <v>35.253082364251298</v>
      </c>
      <c r="R1970" s="13">
        <f t="shared" si="308"/>
        <v>13.901872457836575</v>
      </c>
      <c r="S1970" s="3" t="s">
        <v>30</v>
      </c>
      <c r="T1970" s="3" t="s">
        <v>33</v>
      </c>
      <c r="U1970" s="10">
        <v>9360119922999</v>
      </c>
      <c r="V1970" s="3">
        <v>0.1</v>
      </c>
      <c r="W1970" s="3">
        <f t="shared" si="309"/>
        <v>0</v>
      </c>
      <c r="AA1970" s="3">
        <v>48</v>
      </c>
    </row>
    <row r="1971" spans="1:27" x14ac:dyDescent="0.3">
      <c r="A1971" s="3" t="str">
        <f t="shared" si="300"/>
        <v>North9420039901210</v>
      </c>
      <c r="B1971" s="3" t="str">
        <f t="shared" si="301"/>
        <v>Pan9420039901210</v>
      </c>
      <c r="C1971" s="10">
        <v>9420039901210</v>
      </c>
      <c r="D1971" s="10" t="str">
        <f t="shared" si="302"/>
        <v>9420039901</v>
      </c>
      <c r="E1971" s="3" t="s">
        <v>2</v>
      </c>
      <c r="F1971" s="3" t="s">
        <v>64</v>
      </c>
      <c r="H1971" s="3">
        <v>1.2729999999999999</v>
      </c>
      <c r="I1971" s="10">
        <f t="shared" si="303"/>
        <v>16.456244828687826</v>
      </c>
      <c r="J1971" s="3">
        <v>2.3206995519065305</v>
      </c>
      <c r="K1971" s="3">
        <v>0</v>
      </c>
      <c r="L1971" s="3">
        <f t="shared" si="304"/>
        <v>0</v>
      </c>
      <c r="N1971" s="11">
        <f t="shared" si="305"/>
        <v>-1.0476995519065306</v>
      </c>
      <c r="O1971" s="3">
        <v>2.3206995519065305</v>
      </c>
      <c r="P1971" s="11">
        <f t="shared" si="306"/>
        <v>-13.543755171312174</v>
      </c>
      <c r="Q1971" s="12">
        <f t="shared" si="307"/>
        <v>-2.445557569856363</v>
      </c>
      <c r="R1971" s="13">
        <f t="shared" si="308"/>
        <v>-10.289621700239787</v>
      </c>
      <c r="S1971" s="3" t="s">
        <v>31</v>
      </c>
      <c r="T1971" s="3" t="s">
        <v>28</v>
      </c>
      <c r="U1971" s="10">
        <v>0</v>
      </c>
      <c r="V1971" s="3">
        <v>0</v>
      </c>
      <c r="W1971" s="3">
        <f t="shared" si="309"/>
        <v>0</v>
      </c>
      <c r="AA1971" s="3">
        <v>48</v>
      </c>
    </row>
    <row r="1972" spans="1:27" x14ac:dyDescent="0.3">
      <c r="A1972" s="3" t="str">
        <f t="shared" si="300"/>
        <v>North9320029901210</v>
      </c>
      <c r="B1972" s="3" t="str">
        <f t="shared" si="301"/>
        <v>Pan9320029901210</v>
      </c>
      <c r="C1972" s="10">
        <v>9320029901210</v>
      </c>
      <c r="D1972" s="10" t="str">
        <f t="shared" si="302"/>
        <v>9320029901</v>
      </c>
      <c r="E1972" s="3" t="s">
        <v>2</v>
      </c>
      <c r="F1972" s="3" t="s">
        <v>64</v>
      </c>
      <c r="H1972" s="3">
        <v>1.6540000000000004</v>
      </c>
      <c r="I1972" s="10">
        <f t="shared" si="303"/>
        <v>21.619263114999626</v>
      </c>
      <c r="J1972" s="3">
        <v>2.2951753598656763</v>
      </c>
      <c r="K1972" s="3">
        <v>12</v>
      </c>
      <c r="L1972" s="3">
        <f t="shared" si="304"/>
        <v>0</v>
      </c>
      <c r="N1972" s="11">
        <f t="shared" si="305"/>
        <v>-0.64117535986567598</v>
      </c>
      <c r="O1972" s="3">
        <v>2.2951753598656763</v>
      </c>
      <c r="P1972" s="11">
        <f t="shared" si="306"/>
        <v>-8.3807368850003741</v>
      </c>
      <c r="Q1972" s="12">
        <f t="shared" si="307"/>
        <v>-7.8618663311614974</v>
      </c>
      <c r="R1972" s="13">
        <f t="shared" si="308"/>
        <v>31.098176860777059</v>
      </c>
      <c r="S1972" s="3" t="s">
        <v>30</v>
      </c>
      <c r="T1972" s="3" t="s">
        <v>28</v>
      </c>
      <c r="U1972" s="10">
        <v>0</v>
      </c>
      <c r="V1972" s="3">
        <v>0</v>
      </c>
      <c r="W1972" s="3">
        <f t="shared" si="309"/>
        <v>0</v>
      </c>
      <c r="AA1972" s="3">
        <v>48</v>
      </c>
    </row>
    <row r="1973" spans="1:27" x14ac:dyDescent="0.3">
      <c r="A1973" s="3" t="str">
        <f t="shared" si="300"/>
        <v>North9432029901210</v>
      </c>
      <c r="B1973" s="3" t="str">
        <f t="shared" si="301"/>
        <v>Pan9432029901210</v>
      </c>
      <c r="C1973" s="10">
        <v>9432029901210</v>
      </c>
      <c r="D1973" s="10" t="str">
        <f t="shared" si="302"/>
        <v>9432029901</v>
      </c>
      <c r="E1973" s="3" t="s">
        <v>2</v>
      </c>
      <c r="F1973" s="3" t="s">
        <v>64</v>
      </c>
      <c r="H1973" s="3">
        <v>13.463999999999999</v>
      </c>
      <c r="I1973" s="10">
        <f t="shared" si="303"/>
        <v>194.57279213781197</v>
      </c>
      <c r="J1973" s="3">
        <v>2.075932588323611</v>
      </c>
      <c r="K1973" s="3">
        <v>0</v>
      </c>
      <c r="L1973" s="3">
        <f t="shared" si="304"/>
        <v>0</v>
      </c>
      <c r="N1973" s="11">
        <f t="shared" si="305"/>
        <v>11.388067411676388</v>
      </c>
      <c r="O1973" s="3">
        <v>2.075932588323611</v>
      </c>
      <c r="P1973" s="11">
        <f t="shared" si="306"/>
        <v>164.57279213781197</v>
      </c>
      <c r="Q1973" s="12">
        <f t="shared" si="307"/>
        <v>120.42630531533398</v>
      </c>
      <c r="R1973" s="13">
        <f t="shared" si="308"/>
        <v>66.700184019047626</v>
      </c>
      <c r="S1973" s="3" t="s">
        <v>31</v>
      </c>
      <c r="T1973" s="3" t="s">
        <v>35</v>
      </c>
      <c r="U1973" s="10">
        <v>0</v>
      </c>
      <c r="V1973" s="3">
        <v>0</v>
      </c>
      <c r="W1973" s="3">
        <f t="shared" si="309"/>
        <v>0</v>
      </c>
      <c r="AA1973" s="3">
        <v>48</v>
      </c>
    </row>
    <row r="1974" spans="1:27" x14ac:dyDescent="0.3">
      <c r="A1974" s="3" t="str">
        <f t="shared" si="300"/>
        <v>North9310019901210</v>
      </c>
      <c r="B1974" s="3" t="str">
        <f t="shared" si="301"/>
        <v>Pan9310019901210</v>
      </c>
      <c r="C1974" s="10">
        <v>9310019901210</v>
      </c>
      <c r="D1974" s="10" t="str">
        <f t="shared" si="302"/>
        <v>9310019901</v>
      </c>
      <c r="E1974" s="3" t="s">
        <v>2</v>
      </c>
      <c r="F1974" s="3" t="s">
        <v>64</v>
      </c>
      <c r="H1974" s="3">
        <v>1.6599999999999997</v>
      </c>
      <c r="I1974" s="10">
        <f t="shared" si="303"/>
        <v>24.130324598682538</v>
      </c>
      <c r="J1974" s="3">
        <v>2.0637932074365448</v>
      </c>
      <c r="K1974" s="3">
        <v>0</v>
      </c>
      <c r="L1974" s="3">
        <f t="shared" si="304"/>
        <v>0</v>
      </c>
      <c r="N1974" s="11">
        <f t="shared" si="305"/>
        <v>-0.40379320743654512</v>
      </c>
      <c r="O1974" s="3">
        <v>2.0637932074365448</v>
      </c>
      <c r="P1974" s="11">
        <f t="shared" si="306"/>
        <v>-5.8696754013174619</v>
      </c>
      <c r="Q1974" s="12">
        <f t="shared" si="307"/>
        <v>-3.1336425548862352</v>
      </c>
      <c r="R1974" s="13">
        <f t="shared" si="308"/>
        <v>38.257893326302671</v>
      </c>
      <c r="S1974" s="3" t="s">
        <v>31</v>
      </c>
      <c r="T1974" s="3" t="s">
        <v>32</v>
      </c>
      <c r="U1974" s="10">
        <v>0</v>
      </c>
      <c r="V1974" s="3">
        <v>0</v>
      </c>
      <c r="W1974" s="3">
        <f t="shared" si="309"/>
        <v>0</v>
      </c>
      <c r="AA1974" s="3">
        <v>48</v>
      </c>
    </row>
    <row r="1975" spans="1:27" x14ac:dyDescent="0.3">
      <c r="A1975" s="3" t="str">
        <f t="shared" si="300"/>
        <v>North9330239901840</v>
      </c>
      <c r="B1975" s="3" t="str">
        <f t="shared" si="301"/>
        <v>Pan9330239901840</v>
      </c>
      <c r="C1975" s="10">
        <v>9330239901840</v>
      </c>
      <c r="D1975" s="10" t="str">
        <f t="shared" si="302"/>
        <v>9330239901</v>
      </c>
      <c r="E1975" s="3" t="s">
        <v>2</v>
      </c>
      <c r="F1975" s="3" t="s">
        <v>64</v>
      </c>
      <c r="H1975" s="3">
        <v>2.4640000000000004</v>
      </c>
      <c r="I1975" s="10">
        <f t="shared" si="303"/>
        <v>36.405377375294194</v>
      </c>
      <c r="J1975" s="3">
        <v>2.0304692693603115</v>
      </c>
      <c r="K1975" s="3">
        <v>0</v>
      </c>
      <c r="L1975" s="3">
        <f t="shared" si="304"/>
        <v>0</v>
      </c>
      <c r="N1975" s="11">
        <f t="shared" si="305"/>
        <v>0.43353073063968894</v>
      </c>
      <c r="O1975" s="3">
        <v>2.0304692693603115</v>
      </c>
      <c r="P1975" s="11">
        <f t="shared" si="306"/>
        <v>6.4053773752941918</v>
      </c>
      <c r="Q1975" s="12">
        <f t="shared" si="307"/>
        <v>6.4053773752941927</v>
      </c>
      <c r="R1975" s="13">
        <f t="shared" si="308"/>
        <v>21.476269672649831</v>
      </c>
      <c r="S1975" s="3" t="s">
        <v>31</v>
      </c>
      <c r="T1975" s="3" t="s">
        <v>35</v>
      </c>
      <c r="U1975" s="10">
        <v>0</v>
      </c>
      <c r="V1975" s="3">
        <v>0</v>
      </c>
      <c r="W1975" s="3">
        <f t="shared" si="309"/>
        <v>0</v>
      </c>
      <c r="AA1975" s="3">
        <v>48</v>
      </c>
    </row>
    <row r="1976" spans="1:27" x14ac:dyDescent="0.3">
      <c r="A1976" s="3" t="str">
        <f t="shared" si="300"/>
        <v>North9160709902219</v>
      </c>
      <c r="B1976" s="3" t="str">
        <f t="shared" si="301"/>
        <v>Pan9160709902219</v>
      </c>
      <c r="C1976" s="10">
        <v>9160709902219</v>
      </c>
      <c r="D1976" s="10" t="str">
        <f t="shared" si="302"/>
        <v>9160709902</v>
      </c>
      <c r="E1976" s="3" t="s">
        <v>2</v>
      </c>
      <c r="F1976" s="3" t="s">
        <v>64</v>
      </c>
      <c r="H1976" s="3">
        <v>4.4070000000000009</v>
      </c>
      <c r="I1976" s="10">
        <f t="shared" si="303"/>
        <v>68.210833811778031</v>
      </c>
      <c r="J1976" s="3">
        <v>1.9382551511512411</v>
      </c>
      <c r="K1976" s="3">
        <v>0</v>
      </c>
      <c r="L1976" s="3">
        <f t="shared" si="304"/>
        <v>0</v>
      </c>
      <c r="N1976" s="11">
        <f t="shared" si="305"/>
        <v>2.4687448488487598</v>
      </c>
      <c r="O1976" s="3">
        <v>1.9382551511512411</v>
      </c>
      <c r="P1976" s="11">
        <f t="shared" si="306"/>
        <v>38.210833811778038</v>
      </c>
      <c r="Q1976" s="12">
        <f t="shared" si="307"/>
        <v>45.300535078320806</v>
      </c>
      <c r="R1976" s="13">
        <f t="shared" si="308"/>
        <v>76.886003319418222</v>
      </c>
      <c r="S1976" s="3" t="s">
        <v>31</v>
      </c>
      <c r="T1976" s="3" t="s">
        <v>34</v>
      </c>
      <c r="U1976" s="10">
        <v>0</v>
      </c>
      <c r="V1976" s="3">
        <v>0</v>
      </c>
      <c r="W1976" s="3">
        <f t="shared" si="309"/>
        <v>0</v>
      </c>
      <c r="AA1976" s="3">
        <v>48</v>
      </c>
    </row>
    <row r="1977" spans="1:27" x14ac:dyDescent="0.3">
      <c r="A1977" s="3" t="str">
        <f t="shared" si="300"/>
        <v>North9320079902297</v>
      </c>
      <c r="B1977" s="3" t="str">
        <f t="shared" si="301"/>
        <v>Pan9320079902297</v>
      </c>
      <c r="C1977" s="10">
        <v>9320079902297</v>
      </c>
      <c r="D1977" s="10" t="str">
        <f t="shared" si="302"/>
        <v>9320079902</v>
      </c>
      <c r="E1977" s="3" t="s">
        <v>2</v>
      </c>
      <c r="F1977" s="3" t="s">
        <v>64</v>
      </c>
      <c r="H1977" s="3">
        <v>0</v>
      </c>
      <c r="I1977" s="10">
        <f t="shared" si="303"/>
        <v>0</v>
      </c>
      <c r="J1977" s="3">
        <v>1.8917294399355296</v>
      </c>
      <c r="K1977" s="3">
        <v>24</v>
      </c>
      <c r="L1977" s="3">
        <f t="shared" si="304"/>
        <v>0</v>
      </c>
      <c r="N1977" s="11">
        <f t="shared" si="305"/>
        <v>-1.8917294399355296</v>
      </c>
      <c r="O1977" s="3">
        <v>1.8917294399355296</v>
      </c>
      <c r="P1977" s="11">
        <f t="shared" si="306"/>
        <v>-30</v>
      </c>
      <c r="Q1977" s="12">
        <f t="shared" si="307"/>
        <v>-30</v>
      </c>
      <c r="R1977" s="13">
        <f t="shared" si="308"/>
        <v>-30</v>
      </c>
      <c r="S1977" s="3">
        <v>0</v>
      </c>
      <c r="T1977" s="3" t="s">
        <v>28</v>
      </c>
      <c r="U1977" s="10">
        <v>0</v>
      </c>
      <c r="V1977" s="3">
        <v>0</v>
      </c>
      <c r="W1977" s="3">
        <f t="shared" si="309"/>
        <v>0</v>
      </c>
      <c r="AA1977" s="3">
        <v>48</v>
      </c>
    </row>
    <row r="1978" spans="1:27" x14ac:dyDescent="0.3">
      <c r="A1978" s="3" t="str">
        <f t="shared" si="300"/>
        <v>North9320079901210</v>
      </c>
      <c r="B1978" s="3" t="str">
        <f t="shared" si="301"/>
        <v>Pan9320079901210</v>
      </c>
      <c r="C1978" s="10">
        <v>9320079901210</v>
      </c>
      <c r="D1978" s="10" t="str">
        <f t="shared" si="302"/>
        <v>9320079901</v>
      </c>
      <c r="E1978" s="3" t="s">
        <v>2</v>
      </c>
      <c r="F1978" s="3" t="s">
        <v>64</v>
      </c>
      <c r="H1978" s="3">
        <v>0</v>
      </c>
      <c r="I1978" s="10">
        <f t="shared" si="303"/>
        <v>0</v>
      </c>
      <c r="J1978" s="3">
        <v>1.8807916513852343</v>
      </c>
      <c r="K1978" s="3">
        <v>0</v>
      </c>
      <c r="L1978" s="3">
        <f t="shared" si="304"/>
        <v>0</v>
      </c>
      <c r="N1978" s="11">
        <f t="shared" si="305"/>
        <v>-1.8807916513852343</v>
      </c>
      <c r="O1978" s="3">
        <v>1.8807916513852343</v>
      </c>
      <c r="P1978" s="11">
        <f t="shared" si="306"/>
        <v>-30</v>
      </c>
      <c r="Q1978" s="12">
        <f t="shared" si="307"/>
        <v>-30</v>
      </c>
      <c r="R1978" s="13">
        <f t="shared" si="308"/>
        <v>-30</v>
      </c>
      <c r="S1978" s="3">
        <v>0</v>
      </c>
      <c r="T1978" s="3" t="s">
        <v>28</v>
      </c>
      <c r="U1978" s="10">
        <v>0</v>
      </c>
      <c r="V1978" s="3">
        <v>0</v>
      </c>
      <c r="W1978" s="3">
        <f t="shared" si="309"/>
        <v>0</v>
      </c>
      <c r="AA1978" s="3">
        <v>48</v>
      </c>
    </row>
    <row r="1979" spans="1:27" x14ac:dyDescent="0.3">
      <c r="A1979" s="3" t="str">
        <f t="shared" si="300"/>
        <v>North9320079900210</v>
      </c>
      <c r="B1979" s="3" t="str">
        <f t="shared" si="301"/>
        <v>Pan9320079900210</v>
      </c>
      <c r="C1979" s="10">
        <v>9320079900210</v>
      </c>
      <c r="D1979" s="10" t="str">
        <f t="shared" si="302"/>
        <v>9320079900</v>
      </c>
      <c r="E1979" s="3" t="s">
        <v>2</v>
      </c>
      <c r="F1979" s="3" t="s">
        <v>64</v>
      </c>
      <c r="H1979" s="3">
        <v>0</v>
      </c>
      <c r="I1979" s="10">
        <f t="shared" si="303"/>
        <v>0</v>
      </c>
      <c r="J1979" s="3">
        <v>1.8366587025880015</v>
      </c>
      <c r="K1979" s="3">
        <v>0</v>
      </c>
      <c r="L1979" s="3">
        <f t="shared" si="304"/>
        <v>0</v>
      </c>
      <c r="N1979" s="11">
        <f t="shared" si="305"/>
        <v>-1.8366587025880015</v>
      </c>
      <c r="O1979" s="3">
        <v>1.8366587025880015</v>
      </c>
      <c r="P1979" s="11">
        <f t="shared" si="306"/>
        <v>-30</v>
      </c>
      <c r="Q1979" s="12">
        <f t="shared" si="307"/>
        <v>-30</v>
      </c>
      <c r="R1979" s="13">
        <f t="shared" si="308"/>
        <v>-30</v>
      </c>
      <c r="S1979" s="3">
        <v>0</v>
      </c>
      <c r="T1979" s="3" t="s">
        <v>28</v>
      </c>
      <c r="U1979" s="10">
        <v>0</v>
      </c>
      <c r="V1979" s="3">
        <v>0</v>
      </c>
      <c r="W1979" s="3">
        <f t="shared" si="309"/>
        <v>0</v>
      </c>
      <c r="AA1979" s="3">
        <v>48</v>
      </c>
    </row>
    <row r="1980" spans="1:27" x14ac:dyDescent="0.3">
      <c r="A1980" s="3" t="str">
        <f t="shared" si="300"/>
        <v>North9310099902297</v>
      </c>
      <c r="B1980" s="3" t="str">
        <f t="shared" si="301"/>
        <v>Pan9310099902297</v>
      </c>
      <c r="C1980" s="10">
        <v>9310099902297</v>
      </c>
      <c r="D1980" s="10" t="str">
        <f t="shared" si="302"/>
        <v>9310099902</v>
      </c>
      <c r="E1980" s="3" t="s">
        <v>2</v>
      </c>
      <c r="F1980" s="3" t="s">
        <v>64</v>
      </c>
      <c r="H1980" s="3">
        <v>0</v>
      </c>
      <c r="I1980" s="10">
        <f t="shared" si="303"/>
        <v>0</v>
      </c>
      <c r="J1980" s="3">
        <v>1.821455352500001</v>
      </c>
      <c r="K1980" s="3">
        <v>0</v>
      </c>
      <c r="L1980" s="3">
        <f t="shared" si="304"/>
        <v>0</v>
      </c>
      <c r="N1980" s="11">
        <f t="shared" si="305"/>
        <v>-1.821455352500001</v>
      </c>
      <c r="O1980" s="3">
        <v>1.821455352500001</v>
      </c>
      <c r="P1980" s="11">
        <f t="shared" si="306"/>
        <v>-30</v>
      </c>
      <c r="Q1980" s="12">
        <f t="shared" si="307"/>
        <v>-30</v>
      </c>
      <c r="R1980" s="13">
        <f t="shared" si="308"/>
        <v>-30</v>
      </c>
      <c r="S1980" s="3">
        <v>0</v>
      </c>
      <c r="T1980" s="3" t="s">
        <v>32</v>
      </c>
      <c r="U1980" s="10">
        <v>0</v>
      </c>
      <c r="V1980" s="3">
        <v>0</v>
      </c>
      <c r="W1980" s="3">
        <f t="shared" si="309"/>
        <v>0</v>
      </c>
      <c r="AA1980" s="3">
        <v>48</v>
      </c>
    </row>
    <row r="1981" spans="1:27" x14ac:dyDescent="0.3">
      <c r="A1981" s="3" t="str">
        <f t="shared" si="300"/>
        <v>North9360029900840</v>
      </c>
      <c r="B1981" s="3" t="str">
        <f t="shared" si="301"/>
        <v>Pan9360029900840</v>
      </c>
      <c r="C1981" s="10">
        <v>9360029900840</v>
      </c>
      <c r="D1981" s="10" t="str">
        <f t="shared" si="302"/>
        <v>9360029900</v>
      </c>
      <c r="E1981" s="3" t="s">
        <v>2</v>
      </c>
      <c r="F1981" s="3" t="s">
        <v>64</v>
      </c>
      <c r="H1981" s="3">
        <v>1.8360000000000005</v>
      </c>
      <c r="I1981" s="10">
        <f t="shared" si="303"/>
        <v>30.920065515830526</v>
      </c>
      <c r="J1981" s="3">
        <v>1.7813675062169589</v>
      </c>
      <c r="K1981" s="3">
        <v>12</v>
      </c>
      <c r="L1981" s="3">
        <f t="shared" si="304"/>
        <v>0</v>
      </c>
      <c r="N1981" s="11">
        <f t="shared" si="305"/>
        <v>5.463249378304158E-2</v>
      </c>
      <c r="O1981" s="3">
        <v>1.7813675062169589</v>
      </c>
      <c r="P1981" s="11">
        <f t="shared" si="306"/>
        <v>0.92006551583052787</v>
      </c>
      <c r="Q1981" s="12">
        <f t="shared" si="307"/>
        <v>-1.508819135216368</v>
      </c>
      <c r="R1981" s="13">
        <f t="shared" si="308"/>
        <v>-5.4655961298356379</v>
      </c>
      <c r="S1981" s="3" t="s">
        <v>30</v>
      </c>
      <c r="T1981" s="3" t="s">
        <v>33</v>
      </c>
      <c r="U1981" s="10">
        <v>0</v>
      </c>
      <c r="V1981" s="3">
        <v>0</v>
      </c>
      <c r="W1981" s="3">
        <f t="shared" si="309"/>
        <v>0</v>
      </c>
      <c r="AA1981" s="3">
        <v>48</v>
      </c>
    </row>
    <row r="1982" spans="1:27" x14ac:dyDescent="0.3">
      <c r="A1982" s="3" t="str">
        <f t="shared" si="300"/>
        <v>North9437009900840</v>
      </c>
      <c r="B1982" s="3" t="str">
        <f t="shared" si="301"/>
        <v>Pan9437009900840</v>
      </c>
      <c r="C1982" s="10">
        <v>9437009900840</v>
      </c>
      <c r="D1982" s="10" t="str">
        <f t="shared" si="302"/>
        <v>9437009900</v>
      </c>
      <c r="E1982" s="3" t="s">
        <v>2</v>
      </c>
      <c r="F1982" s="3" t="s">
        <v>64</v>
      </c>
      <c r="H1982" s="3">
        <v>8.5360000000000014</v>
      </c>
      <c r="I1982" s="10">
        <f t="shared" si="303"/>
        <v>145.61264122158636</v>
      </c>
      <c r="J1982" s="3">
        <v>1.758638521021741</v>
      </c>
      <c r="K1982" s="3">
        <v>0</v>
      </c>
      <c r="L1982" s="3">
        <f t="shared" si="304"/>
        <v>0</v>
      </c>
      <c r="N1982" s="11">
        <f t="shared" si="305"/>
        <v>6.7773614789782606</v>
      </c>
      <c r="O1982" s="3">
        <v>1.758638521021741</v>
      </c>
      <c r="P1982" s="11">
        <f t="shared" si="306"/>
        <v>115.61264122158636</v>
      </c>
      <c r="Q1982" s="12">
        <f t="shared" si="307"/>
        <v>54.678371681989397</v>
      </c>
      <c r="R1982" s="13">
        <f t="shared" si="308"/>
        <v>20.229042425225856</v>
      </c>
      <c r="S1982" s="3" t="s">
        <v>30</v>
      </c>
      <c r="T1982" s="3" t="s">
        <v>35</v>
      </c>
      <c r="U1982" s="10">
        <v>0</v>
      </c>
      <c r="V1982" s="3">
        <v>0</v>
      </c>
      <c r="W1982" s="3">
        <f t="shared" si="309"/>
        <v>0</v>
      </c>
      <c r="AA1982" s="3">
        <v>48</v>
      </c>
    </row>
    <row r="1983" spans="1:27" x14ac:dyDescent="0.3">
      <c r="A1983" s="3" t="str">
        <f t="shared" si="300"/>
        <v>North9330239902219</v>
      </c>
      <c r="B1983" s="3" t="str">
        <f t="shared" si="301"/>
        <v>Pan9330239902219</v>
      </c>
      <c r="C1983" s="10">
        <v>9330239902219</v>
      </c>
      <c r="D1983" s="10" t="str">
        <f t="shared" si="302"/>
        <v>9330239902</v>
      </c>
      <c r="E1983" s="3" t="s">
        <v>2</v>
      </c>
      <c r="F1983" s="3" t="s">
        <v>64</v>
      </c>
      <c r="H1983" s="3">
        <v>38.531999999999996</v>
      </c>
      <c r="I1983" s="10">
        <f t="shared" si="303"/>
        <v>663.0558011035132</v>
      </c>
      <c r="J1983" s="3">
        <v>1.7433826807278574</v>
      </c>
      <c r="K1983" s="3">
        <v>0</v>
      </c>
      <c r="L1983" s="3">
        <f t="shared" si="304"/>
        <v>0</v>
      </c>
      <c r="N1983" s="11">
        <f t="shared" si="305"/>
        <v>36.788617319272142</v>
      </c>
      <c r="O1983" s="3">
        <v>1.7433826807278574</v>
      </c>
      <c r="P1983" s="11">
        <f t="shared" si="306"/>
        <v>633.05580110351332</v>
      </c>
      <c r="Q1983" s="12">
        <f t="shared" si="307"/>
        <v>633.05580110351332</v>
      </c>
      <c r="R1983" s="13">
        <f t="shared" si="308"/>
        <v>227.02142686726842</v>
      </c>
      <c r="S1983" s="3" t="s">
        <v>31</v>
      </c>
      <c r="T1983" s="3" t="s">
        <v>35</v>
      </c>
      <c r="U1983" s="10">
        <v>9330239900999</v>
      </c>
      <c r="V1983" s="3">
        <v>0.1</v>
      </c>
      <c r="W1983" s="3">
        <f t="shared" si="309"/>
        <v>0</v>
      </c>
      <c r="AA1983" s="3">
        <v>48</v>
      </c>
    </row>
    <row r="1984" spans="1:27" x14ac:dyDescent="0.3">
      <c r="A1984" s="3" t="str">
        <f t="shared" si="300"/>
        <v>North9320039900210</v>
      </c>
      <c r="B1984" s="3" t="str">
        <f t="shared" si="301"/>
        <v>Pan9320039900210</v>
      </c>
      <c r="C1984" s="10">
        <v>9320039900210</v>
      </c>
      <c r="D1984" s="10" t="str">
        <f t="shared" si="302"/>
        <v>9320039900</v>
      </c>
      <c r="E1984" s="3" t="s">
        <v>2</v>
      </c>
      <c r="F1984" s="3" t="s">
        <v>64</v>
      </c>
      <c r="H1984" s="3">
        <v>0.27300000000000002</v>
      </c>
      <c r="I1984" s="10">
        <f t="shared" si="303"/>
        <v>5.044313128364518</v>
      </c>
      <c r="J1984" s="3">
        <v>1.6236105474791145</v>
      </c>
      <c r="K1984" s="3">
        <v>0</v>
      </c>
      <c r="L1984" s="3">
        <f t="shared" si="304"/>
        <v>0</v>
      </c>
      <c r="N1984" s="11">
        <f t="shared" si="305"/>
        <v>-1.3506105474791146</v>
      </c>
      <c r="O1984" s="3">
        <v>1.6236105474791145</v>
      </c>
      <c r="P1984" s="11">
        <f t="shared" si="306"/>
        <v>-24.955686871635486</v>
      </c>
      <c r="Q1984" s="12">
        <f t="shared" si="307"/>
        <v>-20.529638230530193</v>
      </c>
      <c r="R1984" s="13">
        <f t="shared" si="308"/>
        <v>42.006413866655983</v>
      </c>
      <c r="S1984" s="3" t="s">
        <v>31</v>
      </c>
      <c r="T1984" s="3" t="s">
        <v>28</v>
      </c>
      <c r="U1984" s="10">
        <v>0</v>
      </c>
      <c r="V1984" s="3">
        <v>0</v>
      </c>
      <c r="W1984" s="3">
        <f t="shared" si="309"/>
        <v>0</v>
      </c>
      <c r="AA1984" s="3">
        <v>48</v>
      </c>
    </row>
    <row r="1985" spans="1:27" x14ac:dyDescent="0.3">
      <c r="A1985" s="3" t="str">
        <f t="shared" si="300"/>
        <v>North9310019902297</v>
      </c>
      <c r="B1985" s="3" t="str">
        <f t="shared" si="301"/>
        <v>Pan9310019902297</v>
      </c>
      <c r="C1985" s="10">
        <v>9310019902297</v>
      </c>
      <c r="D1985" s="10" t="str">
        <f t="shared" si="302"/>
        <v>9310019902</v>
      </c>
      <c r="E1985" s="3" t="s">
        <v>2</v>
      </c>
      <c r="F1985" s="3" t="s">
        <v>64</v>
      </c>
      <c r="H1985" s="3">
        <v>1.82325</v>
      </c>
      <c r="I1985" s="10">
        <f t="shared" si="303"/>
        <v>33.806732254478561</v>
      </c>
      <c r="J1985" s="3">
        <v>1.6179469695049846</v>
      </c>
      <c r="K1985" s="3">
        <v>0</v>
      </c>
      <c r="L1985" s="3">
        <f t="shared" si="304"/>
        <v>0</v>
      </c>
      <c r="N1985" s="11">
        <f t="shared" si="305"/>
        <v>0.20530303049501542</v>
      </c>
      <c r="O1985" s="3">
        <v>1.6179469695049846</v>
      </c>
      <c r="P1985" s="11">
        <f t="shared" si="306"/>
        <v>3.8067322544785589</v>
      </c>
      <c r="Q1985" s="12">
        <f t="shared" si="307"/>
        <v>10.234699304457079</v>
      </c>
      <c r="R1985" s="13">
        <f t="shared" si="308"/>
        <v>54.023302349984483</v>
      </c>
      <c r="S1985" s="3" t="s">
        <v>31</v>
      </c>
      <c r="T1985" s="3" t="s">
        <v>32</v>
      </c>
      <c r="U1985" s="10">
        <v>9310019900999</v>
      </c>
      <c r="V1985" s="3">
        <v>0.1</v>
      </c>
      <c r="W1985" s="3">
        <f t="shared" si="309"/>
        <v>0</v>
      </c>
      <c r="AA1985" s="3">
        <v>48</v>
      </c>
    </row>
    <row r="1986" spans="1:27" x14ac:dyDescent="0.3">
      <c r="A1986" s="3" t="str">
        <f t="shared" si="300"/>
        <v>North9310019902097</v>
      </c>
      <c r="B1986" s="3" t="str">
        <f t="shared" si="301"/>
        <v>Pan9310019902097</v>
      </c>
      <c r="C1986" s="10">
        <v>9310019902097</v>
      </c>
      <c r="D1986" s="10" t="str">
        <f t="shared" si="302"/>
        <v>9310019902</v>
      </c>
      <c r="E1986" s="3" t="s">
        <v>2</v>
      </c>
      <c r="F1986" s="3" t="s">
        <v>64</v>
      </c>
      <c r="H1986" s="3">
        <v>1.4868749999999999</v>
      </c>
      <c r="I1986" s="10">
        <f t="shared" si="303"/>
        <v>27.591981812155744</v>
      </c>
      <c r="J1986" s="3">
        <v>1.6166381343564296</v>
      </c>
      <c r="K1986" s="3">
        <v>0</v>
      </c>
      <c r="L1986" s="3">
        <f t="shared" si="304"/>
        <v>0</v>
      </c>
      <c r="N1986" s="11">
        <f t="shared" si="305"/>
        <v>-0.12976313435642961</v>
      </c>
      <c r="O1986" s="3">
        <v>1.6166381343564296</v>
      </c>
      <c r="P1986" s="11">
        <f t="shared" si="306"/>
        <v>-2.4080181878442559</v>
      </c>
      <c r="Q1986" s="12">
        <f t="shared" si="307"/>
        <v>0.3085702214909089</v>
      </c>
      <c r="R1986" s="13">
        <f t="shared" si="308"/>
        <v>-5.8812893016433128</v>
      </c>
      <c r="S1986" s="3" t="s">
        <v>31</v>
      </c>
      <c r="T1986" s="3" t="s">
        <v>32</v>
      </c>
      <c r="U1986" s="10">
        <v>0</v>
      </c>
      <c r="V1986" s="3">
        <v>0</v>
      </c>
      <c r="W1986" s="3">
        <f t="shared" si="309"/>
        <v>0</v>
      </c>
      <c r="AA1986" s="3">
        <v>48</v>
      </c>
    </row>
    <row r="1987" spans="1:27" x14ac:dyDescent="0.3">
      <c r="A1987" s="3" t="str">
        <f t="shared" si="300"/>
        <v>North9410029900840</v>
      </c>
      <c r="B1987" s="3" t="str">
        <f t="shared" si="301"/>
        <v>Pan9410029900840</v>
      </c>
      <c r="C1987" s="10">
        <v>9410029900840</v>
      </c>
      <c r="D1987" s="10" t="str">
        <f t="shared" si="302"/>
        <v>9410029900</v>
      </c>
      <c r="E1987" s="3" t="s">
        <v>2</v>
      </c>
      <c r="F1987" s="3" t="s">
        <v>64</v>
      </c>
      <c r="H1987" s="3">
        <v>0.98400000000000021</v>
      </c>
      <c r="I1987" s="10">
        <f t="shared" si="303"/>
        <v>19.136238303599661</v>
      </c>
      <c r="J1987" s="3">
        <v>1.5426229299437124</v>
      </c>
      <c r="K1987" s="3">
        <v>0</v>
      </c>
      <c r="L1987" s="3">
        <f t="shared" si="304"/>
        <v>0</v>
      </c>
      <c r="N1987" s="11">
        <f t="shared" si="305"/>
        <v>-0.55862292994371221</v>
      </c>
      <c r="O1987" s="3">
        <v>1.5426229299437124</v>
      </c>
      <c r="P1987" s="11">
        <f t="shared" si="306"/>
        <v>-10.863761696400339</v>
      </c>
      <c r="Q1987" s="12">
        <f t="shared" si="307"/>
        <v>-10.863761696400339</v>
      </c>
      <c r="R1987" s="13">
        <f t="shared" si="308"/>
        <v>5.1087063375705419</v>
      </c>
      <c r="S1987" s="3" t="s">
        <v>31</v>
      </c>
      <c r="T1987" s="3" t="s">
        <v>32</v>
      </c>
      <c r="U1987" s="10">
        <v>0</v>
      </c>
      <c r="V1987" s="3">
        <v>0</v>
      </c>
      <c r="W1987" s="3">
        <f t="shared" si="309"/>
        <v>0</v>
      </c>
      <c r="AA1987" s="3">
        <v>48</v>
      </c>
    </row>
    <row r="1988" spans="1:27" x14ac:dyDescent="0.3">
      <c r="A1988" s="3" t="str">
        <f t="shared" ref="A1988:A2051" si="310">_xlfn.CONCAT(F1988,C1988)</f>
        <v>North9410039913840</v>
      </c>
      <c r="B1988" s="3" t="str">
        <f t="shared" ref="B1988:B2051" si="311">_xlfn.CONCAT(E1988,C1988)</f>
        <v>Pan9410039913840</v>
      </c>
      <c r="C1988" s="10">
        <v>9410039913840</v>
      </c>
      <c r="D1988" s="10" t="str">
        <f t="shared" ref="D1988:D2051" si="312">LEFT(C1988,10)</f>
        <v>9410039913</v>
      </c>
      <c r="E1988" s="3" t="s">
        <v>2</v>
      </c>
      <c r="F1988" s="3" t="s">
        <v>64</v>
      </c>
      <c r="H1988" s="3">
        <v>2.6680000000000006</v>
      </c>
      <c r="I1988" s="10">
        <f t="shared" ref="I1988:I2051" si="313">IFERROR(H1988/J1988*30,0)</f>
        <v>53.183202488523222</v>
      </c>
      <c r="J1988" s="3">
        <v>1.5049864666813251</v>
      </c>
      <c r="K1988" s="3">
        <v>0</v>
      </c>
      <c r="L1988" s="3">
        <f t="shared" ref="L1988:L2051" si="314">M1988*G1988</f>
        <v>0</v>
      </c>
      <c r="N1988" s="11">
        <f t="shared" ref="N1988:N2051" si="315">H1988-J1988+L1988</f>
        <v>1.1630135333186755</v>
      </c>
      <c r="O1988" s="3">
        <v>1.5049864666813251</v>
      </c>
      <c r="P1988" s="11">
        <f t="shared" ref="P1988:P2051" si="316">IF(O1988=0,9999,N1988/O1988*30)</f>
        <v>23.183202488523222</v>
      </c>
      <c r="Q1988" s="12">
        <f t="shared" ref="Q1988:Q2051" si="317">IF(SUMIF($A:$A,$A1988,$O:$O)=0,9999,SUMIF($A:$A,$A1988,$N:$N)*30/SUMIF($A:$A,$A1988,$O:$O))</f>
        <v>23.183202488523222</v>
      </c>
      <c r="R1988" s="13">
        <f t="shared" ref="R1988:R2051" si="318">IF(SUMIF($C:$C,$C1988,$O:$O)=0,9999,SUMIF($C:$C,$C1988,$N:$N)*30/SUMIF($C:$C,$C1988,$O:$O))</f>
        <v>12.253991710375868</v>
      </c>
      <c r="S1988" s="3" t="s">
        <v>31</v>
      </c>
      <c r="T1988" s="3" t="s">
        <v>32</v>
      </c>
      <c r="U1988" s="10">
        <v>0</v>
      </c>
      <c r="V1988" s="3">
        <v>0</v>
      </c>
      <c r="W1988" s="3">
        <f t="shared" ref="W1988:W2051" si="319">IFERROR(K1988*V1988,0)</f>
        <v>0</v>
      </c>
      <c r="AA1988" s="3">
        <v>48</v>
      </c>
    </row>
    <row r="1989" spans="1:27" x14ac:dyDescent="0.3">
      <c r="A1989" s="3" t="str">
        <f t="shared" si="310"/>
        <v>North9330019900210</v>
      </c>
      <c r="B1989" s="3" t="str">
        <f t="shared" si="311"/>
        <v>Pan9330019900210</v>
      </c>
      <c r="C1989" s="10">
        <v>9330019900210</v>
      </c>
      <c r="D1989" s="10" t="str">
        <f t="shared" si="312"/>
        <v>9330019900</v>
      </c>
      <c r="E1989" s="3" t="s">
        <v>2</v>
      </c>
      <c r="F1989" s="3" t="s">
        <v>64</v>
      </c>
      <c r="H1989" s="3">
        <v>2.1390000000000002</v>
      </c>
      <c r="I1989" s="10">
        <f t="shared" si="313"/>
        <v>43.171417371640722</v>
      </c>
      <c r="J1989" s="3">
        <v>1.486400120885381</v>
      </c>
      <c r="K1989" s="3">
        <v>0</v>
      </c>
      <c r="L1989" s="3">
        <f t="shared" si="314"/>
        <v>0</v>
      </c>
      <c r="N1989" s="11">
        <f t="shared" si="315"/>
        <v>0.65259987911461925</v>
      </c>
      <c r="O1989" s="3">
        <v>1.486400120885381</v>
      </c>
      <c r="P1989" s="11">
        <f t="shared" si="316"/>
        <v>13.171417371640723</v>
      </c>
      <c r="Q1989" s="12">
        <f t="shared" si="317"/>
        <v>7.2958607722615927</v>
      </c>
      <c r="R1989" s="13">
        <f t="shared" si="318"/>
        <v>31.282836342770231</v>
      </c>
      <c r="S1989" s="3" t="s">
        <v>30</v>
      </c>
      <c r="T1989" s="3" t="s">
        <v>35</v>
      </c>
      <c r="U1989" s="10">
        <v>0</v>
      </c>
      <c r="V1989" s="3">
        <v>0</v>
      </c>
      <c r="W1989" s="3">
        <f t="shared" si="319"/>
        <v>0</v>
      </c>
      <c r="AA1989" s="3">
        <v>48</v>
      </c>
    </row>
    <row r="1990" spans="1:27" x14ac:dyDescent="0.3">
      <c r="A1990" s="3" t="str">
        <f t="shared" si="310"/>
        <v>North9420059902195</v>
      </c>
      <c r="B1990" s="3" t="str">
        <f t="shared" si="311"/>
        <v>Pan9420059902195</v>
      </c>
      <c r="C1990" s="10">
        <v>9420059902195</v>
      </c>
      <c r="D1990" s="10" t="str">
        <f t="shared" si="312"/>
        <v>9420059902</v>
      </c>
      <c r="E1990" s="3" t="s">
        <v>2</v>
      </c>
      <c r="F1990" s="3" t="s">
        <v>64</v>
      </c>
      <c r="H1990" s="3">
        <v>0.86830000000000007</v>
      </c>
      <c r="I1990" s="10">
        <f t="shared" si="313"/>
        <v>17.781869118287521</v>
      </c>
      <c r="J1990" s="3">
        <v>1.4649191165854585</v>
      </c>
      <c r="K1990" s="3">
        <v>5.76</v>
      </c>
      <c r="L1990" s="3">
        <f t="shared" si="314"/>
        <v>0</v>
      </c>
      <c r="N1990" s="11">
        <f t="shared" si="315"/>
        <v>-0.59661911658545841</v>
      </c>
      <c r="O1990" s="3">
        <v>1.4649191165854585</v>
      </c>
      <c r="P1990" s="11">
        <f t="shared" si="316"/>
        <v>-12.218130881712478</v>
      </c>
      <c r="Q1990" s="12">
        <f t="shared" si="317"/>
        <v>-10.696620712376687</v>
      </c>
      <c r="R1990" s="13">
        <f t="shared" si="318"/>
        <v>24.314735260595061</v>
      </c>
      <c r="S1990" s="3" t="s">
        <v>31</v>
      </c>
      <c r="T1990" s="3" t="s">
        <v>28</v>
      </c>
      <c r="U1990" s="10">
        <v>0</v>
      </c>
      <c r="V1990" s="3">
        <v>0</v>
      </c>
      <c r="W1990" s="3">
        <f t="shared" si="319"/>
        <v>0</v>
      </c>
      <c r="AA1990" s="3">
        <v>48</v>
      </c>
    </row>
    <row r="1991" spans="1:27" x14ac:dyDescent="0.3">
      <c r="A1991" s="3" t="str">
        <f t="shared" si="310"/>
        <v>North9310099901210</v>
      </c>
      <c r="B1991" s="3" t="str">
        <f t="shared" si="311"/>
        <v>Pan9310099901210</v>
      </c>
      <c r="C1991" s="10">
        <v>9310099901210</v>
      </c>
      <c r="D1991" s="10" t="str">
        <f t="shared" si="312"/>
        <v>9310099901</v>
      </c>
      <c r="E1991" s="3" t="s">
        <v>2</v>
      </c>
      <c r="F1991" s="3" t="s">
        <v>64</v>
      </c>
      <c r="H1991" s="3">
        <v>0</v>
      </c>
      <c r="I1991" s="10">
        <f t="shared" si="313"/>
        <v>0</v>
      </c>
      <c r="J1991" s="3">
        <v>1.4552767635000006</v>
      </c>
      <c r="K1991" s="3">
        <v>0</v>
      </c>
      <c r="L1991" s="3">
        <f t="shared" si="314"/>
        <v>0</v>
      </c>
      <c r="N1991" s="11">
        <f t="shared" si="315"/>
        <v>-1.4552767635000006</v>
      </c>
      <c r="O1991" s="3">
        <v>1.4552767635000006</v>
      </c>
      <c r="P1991" s="11">
        <f t="shared" si="316"/>
        <v>-30</v>
      </c>
      <c r="Q1991" s="12">
        <f t="shared" si="317"/>
        <v>-30</v>
      </c>
      <c r="R1991" s="13">
        <f t="shared" si="318"/>
        <v>-30</v>
      </c>
      <c r="S1991" s="3">
        <v>0</v>
      </c>
      <c r="T1991" s="3" t="s">
        <v>32</v>
      </c>
      <c r="U1991" s="10">
        <v>0</v>
      </c>
      <c r="V1991" s="3">
        <v>0</v>
      </c>
      <c r="W1991" s="3">
        <f t="shared" si="319"/>
        <v>0</v>
      </c>
      <c r="AA1991" s="3">
        <v>48</v>
      </c>
    </row>
    <row r="1992" spans="1:27" x14ac:dyDescent="0.3">
      <c r="A1992" s="3" t="str">
        <f t="shared" si="310"/>
        <v>North9320089902219</v>
      </c>
      <c r="B1992" s="3" t="str">
        <f t="shared" si="311"/>
        <v>Pan9320089902219</v>
      </c>
      <c r="C1992" s="10">
        <v>9320089902219</v>
      </c>
      <c r="D1992" s="10" t="str">
        <f t="shared" si="312"/>
        <v>9320089902</v>
      </c>
      <c r="E1992" s="3" t="s">
        <v>2</v>
      </c>
      <c r="F1992" s="3" t="s">
        <v>64</v>
      </c>
      <c r="H1992" s="3">
        <v>2.5545</v>
      </c>
      <c r="I1992" s="10">
        <f t="shared" si="313"/>
        <v>52.806911533604755</v>
      </c>
      <c r="J1992" s="3">
        <v>1.4512304881006297</v>
      </c>
      <c r="K1992" s="3">
        <v>0</v>
      </c>
      <c r="L1992" s="3">
        <f t="shared" si="314"/>
        <v>0</v>
      </c>
      <c r="N1992" s="11">
        <f t="shared" si="315"/>
        <v>1.1032695118993703</v>
      </c>
      <c r="O1992" s="3">
        <v>1.4512304881006297</v>
      </c>
      <c r="P1992" s="11">
        <f t="shared" si="316"/>
        <v>22.806911533604755</v>
      </c>
      <c r="Q1992" s="12">
        <f t="shared" si="317"/>
        <v>15.303721121938011</v>
      </c>
      <c r="R1992" s="13">
        <f t="shared" si="318"/>
        <v>61.197046460796265</v>
      </c>
      <c r="S1992" s="3" t="s">
        <v>31</v>
      </c>
      <c r="T1992" s="3" t="s">
        <v>28</v>
      </c>
      <c r="U1992" s="10">
        <v>9320089900999</v>
      </c>
      <c r="V1992" s="3">
        <v>0.1</v>
      </c>
      <c r="W1992" s="3">
        <f t="shared" si="319"/>
        <v>0</v>
      </c>
      <c r="AA1992" s="3">
        <v>48</v>
      </c>
    </row>
    <row r="1993" spans="1:27" x14ac:dyDescent="0.3">
      <c r="A1993" s="3" t="str">
        <f t="shared" si="310"/>
        <v>North9310099902839</v>
      </c>
      <c r="B1993" s="3" t="str">
        <f t="shared" si="311"/>
        <v>Pan9310099902839</v>
      </c>
      <c r="C1993" s="10">
        <v>9310099902839</v>
      </c>
      <c r="D1993" s="10" t="str">
        <f t="shared" si="312"/>
        <v>9310099902</v>
      </c>
      <c r="E1993" s="3" t="s">
        <v>2</v>
      </c>
      <c r="F1993" s="3" t="s">
        <v>64</v>
      </c>
      <c r="H1993" s="3">
        <v>0</v>
      </c>
      <c r="I1993" s="10">
        <f t="shared" si="313"/>
        <v>0</v>
      </c>
      <c r="J1993" s="3">
        <v>1.4280964970999999</v>
      </c>
      <c r="K1993" s="3">
        <v>0</v>
      </c>
      <c r="L1993" s="3">
        <f t="shared" si="314"/>
        <v>0</v>
      </c>
      <c r="N1993" s="11">
        <f t="shared" si="315"/>
        <v>-1.4280964970999999</v>
      </c>
      <c r="O1993" s="3">
        <v>1.4280964970999999</v>
      </c>
      <c r="P1993" s="11">
        <f t="shared" si="316"/>
        <v>-30</v>
      </c>
      <c r="Q1993" s="12">
        <f t="shared" si="317"/>
        <v>-30</v>
      </c>
      <c r="R1993" s="13">
        <f t="shared" si="318"/>
        <v>-30.000000000000004</v>
      </c>
      <c r="S1993" s="3">
        <v>0</v>
      </c>
      <c r="T1993" s="3" t="s">
        <v>32</v>
      </c>
      <c r="U1993" s="10">
        <v>0</v>
      </c>
      <c r="V1993" s="3">
        <v>0</v>
      </c>
      <c r="W1993" s="3">
        <f t="shared" si="319"/>
        <v>0</v>
      </c>
      <c r="AA1993" s="3">
        <v>48</v>
      </c>
    </row>
    <row r="1994" spans="1:27" x14ac:dyDescent="0.3">
      <c r="A1994" s="3" t="str">
        <f t="shared" si="310"/>
        <v>North9420039900840</v>
      </c>
      <c r="B1994" s="3" t="str">
        <f t="shared" si="311"/>
        <v>Pan9420039900840</v>
      </c>
      <c r="C1994" s="10">
        <v>9420039900840</v>
      </c>
      <c r="D1994" s="10" t="str">
        <f t="shared" si="312"/>
        <v>9420039900</v>
      </c>
      <c r="E1994" s="3" t="s">
        <v>2</v>
      </c>
      <c r="F1994" s="3" t="s">
        <v>64</v>
      </c>
      <c r="H1994" s="3">
        <v>1.3880000000000003</v>
      </c>
      <c r="I1994" s="10">
        <f t="shared" si="313"/>
        <v>31.032408946774403</v>
      </c>
      <c r="J1994" s="3">
        <v>1.3418229977382465</v>
      </c>
      <c r="K1994" s="3">
        <v>0</v>
      </c>
      <c r="L1994" s="3">
        <f t="shared" si="314"/>
        <v>0</v>
      </c>
      <c r="N1994" s="11">
        <f t="shared" si="315"/>
        <v>4.6177002261753808E-2</v>
      </c>
      <c r="O1994" s="3">
        <v>1.3418229977382465</v>
      </c>
      <c r="P1994" s="11">
        <f t="shared" si="316"/>
        <v>1.0324089467744022</v>
      </c>
      <c r="Q1994" s="12">
        <f t="shared" si="317"/>
        <v>7.7854633753402229</v>
      </c>
      <c r="R1994" s="13">
        <f t="shared" si="318"/>
        <v>-9.128082310210873</v>
      </c>
      <c r="S1994" s="3" t="s">
        <v>31</v>
      </c>
      <c r="T1994" s="3" t="s">
        <v>28</v>
      </c>
      <c r="U1994" s="10">
        <v>0</v>
      </c>
      <c r="V1994" s="3">
        <v>0</v>
      </c>
      <c r="W1994" s="3">
        <f t="shared" si="319"/>
        <v>0</v>
      </c>
      <c r="AA1994" s="3">
        <v>48</v>
      </c>
    </row>
    <row r="1995" spans="1:27" x14ac:dyDescent="0.3">
      <c r="A1995" s="3" t="str">
        <f t="shared" si="310"/>
        <v>North9420059902838</v>
      </c>
      <c r="B1995" s="3" t="str">
        <f t="shared" si="311"/>
        <v>Pan9420059902838</v>
      </c>
      <c r="C1995" s="10">
        <v>9420059902838</v>
      </c>
      <c r="D1995" s="10" t="str">
        <f t="shared" si="312"/>
        <v>9420059902</v>
      </c>
      <c r="E1995" s="3" t="s">
        <v>2</v>
      </c>
      <c r="F1995" s="3" t="s">
        <v>64</v>
      </c>
      <c r="H1995" s="3">
        <v>0.73719999999999974</v>
      </c>
      <c r="I1995" s="10">
        <f t="shared" si="313"/>
        <v>16.542109101235248</v>
      </c>
      <c r="J1995" s="3">
        <v>1.336951646531489</v>
      </c>
      <c r="K1995" s="3">
        <v>12</v>
      </c>
      <c r="L1995" s="3">
        <f t="shared" si="314"/>
        <v>0</v>
      </c>
      <c r="N1995" s="11">
        <f t="shared" si="315"/>
        <v>-0.59975164653148927</v>
      </c>
      <c r="O1995" s="3">
        <v>1.336951646531489</v>
      </c>
      <c r="P1995" s="11">
        <f t="shared" si="316"/>
        <v>-13.457890898764754</v>
      </c>
      <c r="Q1995" s="12">
        <f t="shared" si="317"/>
        <v>-10.011077364041601</v>
      </c>
      <c r="R1995" s="13">
        <f t="shared" si="318"/>
        <v>-19.691088593934413</v>
      </c>
      <c r="S1995" s="3" t="s">
        <v>31</v>
      </c>
      <c r="T1995" s="3" t="s">
        <v>28</v>
      </c>
      <c r="U1995" s="10">
        <v>0</v>
      </c>
      <c r="V1995" s="3">
        <v>0</v>
      </c>
      <c r="W1995" s="3">
        <f t="shared" si="319"/>
        <v>0</v>
      </c>
      <c r="AA1995" s="3">
        <v>48</v>
      </c>
    </row>
    <row r="1996" spans="1:27" x14ac:dyDescent="0.3">
      <c r="A1996" s="3" t="str">
        <f t="shared" si="310"/>
        <v>North9420139901210</v>
      </c>
      <c r="B1996" s="3" t="str">
        <f t="shared" si="311"/>
        <v>Pan9420139901210</v>
      </c>
      <c r="C1996" s="10">
        <v>9420139901210</v>
      </c>
      <c r="D1996" s="10" t="str">
        <f t="shared" si="312"/>
        <v>9420139901</v>
      </c>
      <c r="E1996" s="3" t="s">
        <v>2</v>
      </c>
      <c r="F1996" s="3" t="s">
        <v>64</v>
      </c>
      <c r="H1996" s="3">
        <v>3.5339999999999998</v>
      </c>
      <c r="I1996" s="10">
        <f t="shared" si="313"/>
        <v>81.181335606047185</v>
      </c>
      <c r="J1996" s="3">
        <v>1.3059652099651164</v>
      </c>
      <c r="K1996" s="3">
        <v>0</v>
      </c>
      <c r="L1996" s="3">
        <f t="shared" si="314"/>
        <v>0</v>
      </c>
      <c r="N1996" s="11">
        <f t="shared" si="315"/>
        <v>2.2280347900348834</v>
      </c>
      <c r="O1996" s="3">
        <v>1.3059652099651164</v>
      </c>
      <c r="P1996" s="11">
        <f t="shared" si="316"/>
        <v>51.181335606047185</v>
      </c>
      <c r="Q1996" s="12">
        <f t="shared" si="317"/>
        <v>47.370178953731596</v>
      </c>
      <c r="R1996" s="13">
        <f t="shared" si="318"/>
        <v>62.555831983232935</v>
      </c>
      <c r="S1996" s="3" t="s">
        <v>31</v>
      </c>
      <c r="T1996" s="3" t="s">
        <v>28</v>
      </c>
      <c r="U1996" s="10">
        <v>0</v>
      </c>
      <c r="V1996" s="3">
        <v>0</v>
      </c>
      <c r="W1996" s="3">
        <f t="shared" si="319"/>
        <v>0</v>
      </c>
      <c r="AA1996" s="3">
        <v>48</v>
      </c>
    </row>
    <row r="1997" spans="1:27" x14ac:dyDescent="0.3">
      <c r="A1997" s="3" t="str">
        <f t="shared" si="310"/>
        <v>North9320089901210</v>
      </c>
      <c r="B1997" s="3" t="str">
        <f t="shared" si="311"/>
        <v>Pan9320089901210</v>
      </c>
      <c r="C1997" s="10">
        <v>9320089901210</v>
      </c>
      <c r="D1997" s="10" t="str">
        <f t="shared" si="312"/>
        <v>9320089901</v>
      </c>
      <c r="E1997" s="3" t="s">
        <v>2</v>
      </c>
      <c r="F1997" s="3" t="s">
        <v>64</v>
      </c>
      <c r="H1997" s="3">
        <v>1.7640000000000005</v>
      </c>
      <c r="I1997" s="10">
        <f t="shared" si="313"/>
        <v>42.101719406908757</v>
      </c>
      <c r="J1997" s="3">
        <v>1.2569557905351487</v>
      </c>
      <c r="K1997" s="3">
        <v>12</v>
      </c>
      <c r="L1997" s="3">
        <f t="shared" si="314"/>
        <v>0</v>
      </c>
      <c r="N1997" s="11">
        <f t="shared" si="315"/>
        <v>0.50704420946485174</v>
      </c>
      <c r="O1997" s="3">
        <v>1.2569557905351487</v>
      </c>
      <c r="P1997" s="11">
        <f t="shared" si="316"/>
        <v>12.10171940690876</v>
      </c>
      <c r="Q1997" s="12">
        <f t="shared" si="317"/>
        <v>11.50782572806753</v>
      </c>
      <c r="R1997" s="13">
        <f t="shared" si="318"/>
        <v>56.5397382176292</v>
      </c>
      <c r="S1997" s="3" t="s">
        <v>31</v>
      </c>
      <c r="T1997" s="3" t="s">
        <v>28</v>
      </c>
      <c r="U1997" s="10">
        <v>0</v>
      </c>
      <c r="V1997" s="3">
        <v>0</v>
      </c>
      <c r="W1997" s="3">
        <f t="shared" si="319"/>
        <v>0</v>
      </c>
      <c r="AA1997" s="3">
        <v>48</v>
      </c>
    </row>
    <row r="1998" spans="1:27" x14ac:dyDescent="0.3">
      <c r="A1998" s="3" t="str">
        <f t="shared" si="310"/>
        <v>North9320079999219</v>
      </c>
      <c r="B1998" s="3" t="str">
        <f t="shared" si="311"/>
        <v>Pan9320079999219</v>
      </c>
      <c r="C1998" s="10">
        <v>9320079999219</v>
      </c>
      <c r="D1998" s="10" t="str">
        <f t="shared" si="312"/>
        <v>9320079999</v>
      </c>
      <c r="E1998" s="3" t="s">
        <v>2</v>
      </c>
      <c r="F1998" s="3" t="s">
        <v>64</v>
      </c>
      <c r="H1998" s="3">
        <v>0</v>
      </c>
      <c r="I1998" s="10">
        <f t="shared" si="313"/>
        <v>0</v>
      </c>
      <c r="J1998" s="3">
        <v>1.2516225781665931</v>
      </c>
      <c r="K1998" s="3">
        <v>12</v>
      </c>
      <c r="L1998" s="3">
        <f t="shared" si="314"/>
        <v>0</v>
      </c>
      <c r="N1998" s="11">
        <f t="shared" si="315"/>
        <v>-1.2516225781665931</v>
      </c>
      <c r="O1998" s="3">
        <v>1.2516225781665931</v>
      </c>
      <c r="P1998" s="11">
        <f t="shared" si="316"/>
        <v>-30</v>
      </c>
      <c r="Q1998" s="12">
        <f t="shared" si="317"/>
        <v>-30</v>
      </c>
      <c r="R1998" s="13">
        <f t="shared" si="318"/>
        <v>-30</v>
      </c>
      <c r="S1998" s="3">
        <v>0</v>
      </c>
      <c r="T1998" s="3" t="s">
        <v>28</v>
      </c>
      <c r="U1998" s="10">
        <v>0</v>
      </c>
      <c r="V1998" s="3">
        <v>0</v>
      </c>
      <c r="W1998" s="3">
        <f t="shared" si="319"/>
        <v>0</v>
      </c>
      <c r="AA1998" s="3">
        <v>48</v>
      </c>
    </row>
    <row r="1999" spans="1:27" x14ac:dyDescent="0.3">
      <c r="A1999" s="3" t="str">
        <f t="shared" si="310"/>
        <v>North9360119922240</v>
      </c>
      <c r="B1999" s="3" t="str">
        <f t="shared" si="311"/>
        <v>Pan9360119922240</v>
      </c>
      <c r="C1999" s="10">
        <v>9360119922240</v>
      </c>
      <c r="D1999" s="10" t="str">
        <f t="shared" si="312"/>
        <v>9360119922</v>
      </c>
      <c r="E1999" s="3" t="s">
        <v>2</v>
      </c>
      <c r="F1999" s="3" t="s">
        <v>64</v>
      </c>
      <c r="H1999" s="3">
        <v>3.604000000000001</v>
      </c>
      <c r="I1999" s="10">
        <f t="shared" si="313"/>
        <v>94.25451669154026</v>
      </c>
      <c r="J1999" s="3">
        <v>1.1471068315361088</v>
      </c>
      <c r="K1999" s="3">
        <v>0</v>
      </c>
      <c r="L1999" s="3">
        <f t="shared" si="314"/>
        <v>0</v>
      </c>
      <c r="N1999" s="11">
        <f t="shared" si="315"/>
        <v>2.4568931684638922</v>
      </c>
      <c r="O1999" s="3">
        <v>1.1471068315361088</v>
      </c>
      <c r="P1999" s="11">
        <f t="shared" si="316"/>
        <v>64.25451669154026</v>
      </c>
      <c r="Q1999" s="12">
        <f t="shared" si="317"/>
        <v>67.604198663964709</v>
      </c>
      <c r="R1999" s="13">
        <f t="shared" si="318"/>
        <v>79.889481963770294</v>
      </c>
      <c r="S1999" s="3" t="s">
        <v>31</v>
      </c>
      <c r="T1999" s="3" t="s">
        <v>33</v>
      </c>
      <c r="U1999" s="10">
        <v>0</v>
      </c>
      <c r="V1999" s="3">
        <v>0</v>
      </c>
      <c r="W1999" s="3">
        <f t="shared" si="319"/>
        <v>0</v>
      </c>
      <c r="AA1999" s="3">
        <v>48</v>
      </c>
    </row>
    <row r="2000" spans="1:27" x14ac:dyDescent="0.3">
      <c r="A2000" s="3" t="str">
        <f t="shared" si="310"/>
        <v>North9420039902195</v>
      </c>
      <c r="B2000" s="3" t="str">
        <f t="shared" si="311"/>
        <v>Pan9420039902195</v>
      </c>
      <c r="C2000" s="10">
        <v>9420039902195</v>
      </c>
      <c r="D2000" s="10" t="str">
        <f t="shared" si="312"/>
        <v>9420039902</v>
      </c>
      <c r="E2000" s="3" t="s">
        <v>2</v>
      </c>
      <c r="F2000" s="3" t="s">
        <v>64</v>
      </c>
      <c r="H2000" s="3">
        <v>1.1048499999999999</v>
      </c>
      <c r="I2000" s="10">
        <f t="shared" si="313"/>
        <v>28.93505963232159</v>
      </c>
      <c r="J2000" s="3">
        <v>1.1455134505053925</v>
      </c>
      <c r="K2000" s="3">
        <v>0</v>
      </c>
      <c r="L2000" s="3">
        <f t="shared" si="314"/>
        <v>0</v>
      </c>
      <c r="N2000" s="11">
        <f t="shared" si="315"/>
        <v>-4.0663450505392662E-2</v>
      </c>
      <c r="O2000" s="3">
        <v>1.1455134505053925</v>
      </c>
      <c r="P2000" s="11">
        <f t="shared" si="316"/>
        <v>-1.0649403676784126</v>
      </c>
      <c r="Q2000" s="12">
        <f t="shared" si="317"/>
        <v>7.0230807247001401</v>
      </c>
      <c r="R2000" s="13">
        <f t="shared" si="318"/>
        <v>11.369139800998852</v>
      </c>
      <c r="S2000" s="3" t="s">
        <v>31</v>
      </c>
      <c r="T2000" s="3" t="s">
        <v>28</v>
      </c>
      <c r="U2000" s="10">
        <v>0</v>
      </c>
      <c r="V2000" s="3">
        <v>0</v>
      </c>
      <c r="W2000" s="3">
        <f t="shared" si="319"/>
        <v>0</v>
      </c>
      <c r="AA2000" s="3">
        <v>48</v>
      </c>
    </row>
    <row r="2001" spans="1:27" x14ac:dyDescent="0.3">
      <c r="A2001" s="3" t="str">
        <f t="shared" si="310"/>
        <v>North9432029900840</v>
      </c>
      <c r="B2001" s="3" t="str">
        <f t="shared" si="311"/>
        <v>Pan9432029900840</v>
      </c>
      <c r="C2001" s="10">
        <v>9432029900840</v>
      </c>
      <c r="D2001" s="10" t="str">
        <f t="shared" si="312"/>
        <v>9432029900</v>
      </c>
      <c r="E2001" s="3" t="s">
        <v>2</v>
      </c>
      <c r="F2001" s="3" t="s">
        <v>64</v>
      </c>
      <c r="H2001" s="3">
        <v>1.6040000000000001</v>
      </c>
      <c r="I2001" s="10">
        <f t="shared" si="313"/>
        <v>42.455058199484746</v>
      </c>
      <c r="J2001" s="3">
        <v>1.1334338484214823</v>
      </c>
      <c r="K2001" s="3">
        <v>0</v>
      </c>
      <c r="L2001" s="3">
        <f t="shared" si="314"/>
        <v>0</v>
      </c>
      <c r="N2001" s="11">
        <f t="shared" si="315"/>
        <v>0.47056615157851778</v>
      </c>
      <c r="O2001" s="3">
        <v>1.1334338484214823</v>
      </c>
      <c r="P2001" s="11">
        <f t="shared" si="316"/>
        <v>12.455058199484746</v>
      </c>
      <c r="Q2001" s="12">
        <f t="shared" si="317"/>
        <v>3.4106048076502047</v>
      </c>
      <c r="R2001" s="13">
        <f t="shared" si="318"/>
        <v>43.321758221941678</v>
      </c>
      <c r="S2001" s="3" t="s">
        <v>31</v>
      </c>
      <c r="T2001" s="3" t="s">
        <v>35</v>
      </c>
      <c r="U2001" s="10">
        <v>0</v>
      </c>
      <c r="V2001" s="3">
        <v>0</v>
      </c>
      <c r="W2001" s="3">
        <f t="shared" si="319"/>
        <v>0</v>
      </c>
      <c r="AA2001" s="3">
        <v>48</v>
      </c>
    </row>
    <row r="2002" spans="1:27" x14ac:dyDescent="0.3">
      <c r="A2002" s="3" t="str">
        <f t="shared" si="310"/>
        <v>North9432009900210</v>
      </c>
      <c r="B2002" s="3" t="str">
        <f t="shared" si="311"/>
        <v>Pan9432009900210</v>
      </c>
      <c r="C2002" s="10">
        <v>9432009900210</v>
      </c>
      <c r="D2002" s="10" t="str">
        <f t="shared" si="312"/>
        <v>9432009900</v>
      </c>
      <c r="E2002" s="3" t="s">
        <v>2</v>
      </c>
      <c r="F2002" s="3" t="s">
        <v>64</v>
      </c>
      <c r="H2002" s="3">
        <v>2.2729999999999997</v>
      </c>
      <c r="I2002" s="10">
        <f t="shared" si="313"/>
        <v>61.124226694105431</v>
      </c>
      <c r="J2002" s="3">
        <v>1.1155969357494702</v>
      </c>
      <c r="K2002" s="3">
        <v>0</v>
      </c>
      <c r="L2002" s="3">
        <f t="shared" si="314"/>
        <v>0</v>
      </c>
      <c r="N2002" s="11">
        <f t="shared" si="315"/>
        <v>1.1574030642505295</v>
      </c>
      <c r="O2002" s="3">
        <v>1.1155969357494702</v>
      </c>
      <c r="P2002" s="11">
        <f t="shared" si="316"/>
        <v>31.124226694105438</v>
      </c>
      <c r="Q2002" s="12">
        <f t="shared" si="317"/>
        <v>46.738665824187414</v>
      </c>
      <c r="R2002" s="13">
        <f t="shared" si="318"/>
        <v>7.3143711344841078</v>
      </c>
      <c r="S2002" s="3" t="s">
        <v>31</v>
      </c>
      <c r="T2002" s="3" t="s">
        <v>35</v>
      </c>
      <c r="U2002" s="10">
        <v>0</v>
      </c>
      <c r="V2002" s="3">
        <v>0</v>
      </c>
      <c r="W2002" s="3">
        <f t="shared" si="319"/>
        <v>0</v>
      </c>
      <c r="AA2002" s="3">
        <v>48</v>
      </c>
    </row>
    <row r="2003" spans="1:27" x14ac:dyDescent="0.3">
      <c r="A2003" s="3" t="str">
        <f t="shared" si="310"/>
        <v>North9360019900840</v>
      </c>
      <c r="B2003" s="3" t="str">
        <f t="shared" si="311"/>
        <v>Pan9360019900840</v>
      </c>
      <c r="C2003" s="10">
        <v>9360019900840</v>
      </c>
      <c r="D2003" s="10" t="str">
        <f t="shared" si="312"/>
        <v>9360019900</v>
      </c>
      <c r="E2003" s="3" t="s">
        <v>2</v>
      </c>
      <c r="F2003" s="3" t="s">
        <v>64</v>
      </c>
      <c r="H2003" s="3">
        <v>2.9680000000000009</v>
      </c>
      <c r="I2003" s="10">
        <f t="shared" si="313"/>
        <v>81.182256362335153</v>
      </c>
      <c r="J2003" s="3">
        <v>1.0967913924761334</v>
      </c>
      <c r="K2003" s="3">
        <v>0</v>
      </c>
      <c r="L2003" s="3">
        <f t="shared" si="314"/>
        <v>0</v>
      </c>
      <c r="N2003" s="11">
        <f t="shared" si="315"/>
        <v>1.8712086075238674</v>
      </c>
      <c r="O2003" s="3">
        <v>1.0967913924761334</v>
      </c>
      <c r="P2003" s="11">
        <f t="shared" si="316"/>
        <v>51.18225636233516</v>
      </c>
      <c r="Q2003" s="12">
        <f t="shared" si="317"/>
        <v>39.36069373485207</v>
      </c>
      <c r="R2003" s="13">
        <f t="shared" si="318"/>
        <v>38.068005268363464</v>
      </c>
      <c r="S2003" s="3" t="s">
        <v>31</v>
      </c>
      <c r="T2003" s="3" t="s">
        <v>33</v>
      </c>
      <c r="U2003" s="10">
        <v>0</v>
      </c>
      <c r="V2003" s="3">
        <v>0</v>
      </c>
      <c r="W2003" s="3">
        <f t="shared" si="319"/>
        <v>0</v>
      </c>
      <c r="AA2003" s="3">
        <v>48</v>
      </c>
    </row>
    <row r="2004" spans="1:27" x14ac:dyDescent="0.3">
      <c r="A2004" s="3" t="str">
        <f t="shared" si="310"/>
        <v>North9320089901310</v>
      </c>
      <c r="B2004" s="3" t="str">
        <f t="shared" si="311"/>
        <v>Pan9320089901310</v>
      </c>
      <c r="C2004" s="10">
        <v>9320089901310</v>
      </c>
      <c r="D2004" s="10" t="str">
        <f t="shared" si="312"/>
        <v>9320089901</v>
      </c>
      <c r="E2004" s="3" t="s">
        <v>2</v>
      </c>
      <c r="F2004" s="3" t="s">
        <v>64</v>
      </c>
      <c r="H2004" s="3">
        <v>3.0199999999999996</v>
      </c>
      <c r="I2004" s="10">
        <f t="shared" si="313"/>
        <v>87.451756360225318</v>
      </c>
      <c r="J2004" s="3">
        <v>1.0359997759999999</v>
      </c>
      <c r="K2004" s="3">
        <v>0</v>
      </c>
      <c r="L2004" s="3">
        <f t="shared" si="314"/>
        <v>0</v>
      </c>
      <c r="N2004" s="11">
        <f t="shared" si="315"/>
        <v>1.9840002239999996</v>
      </c>
      <c r="O2004" s="3">
        <v>1.0359997759999999</v>
      </c>
      <c r="P2004" s="11">
        <f t="shared" si="316"/>
        <v>57.451756360225303</v>
      </c>
      <c r="Q2004" s="12">
        <f t="shared" si="317"/>
        <v>79.547769153986053</v>
      </c>
      <c r="R2004" s="13">
        <f t="shared" si="318"/>
        <v>65.473015604420794</v>
      </c>
      <c r="S2004" s="3" t="s">
        <v>31</v>
      </c>
      <c r="T2004" s="3" t="s">
        <v>28</v>
      </c>
      <c r="U2004" s="10">
        <v>9320089900999</v>
      </c>
      <c r="V2004" s="3">
        <v>0.1</v>
      </c>
      <c r="W2004" s="3">
        <f t="shared" si="319"/>
        <v>0</v>
      </c>
      <c r="AA2004" s="3">
        <v>48</v>
      </c>
    </row>
    <row r="2005" spans="1:27" x14ac:dyDescent="0.3">
      <c r="A2005" s="3" t="str">
        <f t="shared" si="310"/>
        <v>North9420139900210</v>
      </c>
      <c r="B2005" s="3" t="str">
        <f t="shared" si="311"/>
        <v>Pan9420139900210</v>
      </c>
      <c r="C2005" s="10">
        <v>9420139900210</v>
      </c>
      <c r="D2005" s="10" t="str">
        <f t="shared" si="312"/>
        <v>9420139900</v>
      </c>
      <c r="E2005" s="3" t="s">
        <v>2</v>
      </c>
      <c r="F2005" s="3" t="s">
        <v>64</v>
      </c>
      <c r="H2005" s="3">
        <v>1.5900000000000003</v>
      </c>
      <c r="I2005" s="10">
        <f t="shared" si="313"/>
        <v>46.802063943699899</v>
      </c>
      <c r="J2005" s="3">
        <v>1.0191858217488075</v>
      </c>
      <c r="K2005" s="3">
        <v>0</v>
      </c>
      <c r="L2005" s="3">
        <f t="shared" si="314"/>
        <v>0</v>
      </c>
      <c r="N2005" s="11">
        <f t="shared" si="315"/>
        <v>0.57081417825119285</v>
      </c>
      <c r="O2005" s="3">
        <v>1.0191858217488075</v>
      </c>
      <c r="P2005" s="11">
        <f t="shared" si="316"/>
        <v>16.802063943699892</v>
      </c>
      <c r="Q2005" s="12">
        <f t="shared" si="317"/>
        <v>12.467419703372471</v>
      </c>
      <c r="R2005" s="13">
        <f t="shared" si="318"/>
        <v>110.31179778736497</v>
      </c>
      <c r="S2005" s="3" t="s">
        <v>31</v>
      </c>
      <c r="T2005" s="3" t="s">
        <v>28</v>
      </c>
      <c r="U2005" s="10">
        <v>0</v>
      </c>
      <c r="V2005" s="3">
        <v>0</v>
      </c>
      <c r="W2005" s="3">
        <f t="shared" si="319"/>
        <v>0</v>
      </c>
      <c r="AA2005" s="3">
        <v>48</v>
      </c>
    </row>
    <row r="2006" spans="1:27" x14ac:dyDescent="0.3">
      <c r="A2006" s="3" t="str">
        <f t="shared" si="310"/>
        <v>North9360019900310</v>
      </c>
      <c r="B2006" s="3" t="str">
        <f t="shared" si="311"/>
        <v>Pan9360019900310</v>
      </c>
      <c r="C2006" s="10">
        <v>9360019900310</v>
      </c>
      <c r="D2006" s="10" t="str">
        <f t="shared" si="312"/>
        <v>9360019900</v>
      </c>
      <c r="E2006" s="3" t="s">
        <v>2</v>
      </c>
      <c r="F2006" s="3" t="s">
        <v>64</v>
      </c>
      <c r="H2006" s="3">
        <v>2.3500000000000005</v>
      </c>
      <c r="I2006" s="10">
        <f t="shared" si="313"/>
        <v>70.043764560176172</v>
      </c>
      <c r="J2006" s="3">
        <v>1.0065135768000002</v>
      </c>
      <c r="K2006" s="3">
        <v>0</v>
      </c>
      <c r="L2006" s="3">
        <f t="shared" si="314"/>
        <v>0</v>
      </c>
      <c r="N2006" s="11">
        <f t="shared" si="315"/>
        <v>1.3434864232000003</v>
      </c>
      <c r="O2006" s="3">
        <v>1.0065135768000002</v>
      </c>
      <c r="P2006" s="11">
        <f t="shared" si="316"/>
        <v>40.043764560176179</v>
      </c>
      <c r="Q2006" s="12">
        <f t="shared" si="317"/>
        <v>30.484118898432182</v>
      </c>
      <c r="R2006" s="13">
        <f t="shared" si="318"/>
        <v>13.739643012449649</v>
      </c>
      <c r="S2006" s="3" t="s">
        <v>31</v>
      </c>
      <c r="T2006" s="3" t="s">
        <v>33</v>
      </c>
      <c r="U2006" s="10">
        <v>9360019900999</v>
      </c>
      <c r="V2006" s="3">
        <v>0.1</v>
      </c>
      <c r="W2006" s="3">
        <f t="shared" si="319"/>
        <v>0</v>
      </c>
      <c r="AA2006" s="3">
        <v>48</v>
      </c>
    </row>
    <row r="2007" spans="1:27" x14ac:dyDescent="0.3">
      <c r="A2007" s="3" t="str">
        <f t="shared" si="310"/>
        <v>North9420039902838</v>
      </c>
      <c r="B2007" s="3" t="str">
        <f t="shared" si="311"/>
        <v>Pan9420039902838</v>
      </c>
      <c r="C2007" s="10">
        <v>9420039902838</v>
      </c>
      <c r="D2007" s="10" t="str">
        <f t="shared" si="312"/>
        <v>9420039902</v>
      </c>
      <c r="E2007" s="3" t="s">
        <v>2</v>
      </c>
      <c r="F2007" s="3" t="s">
        <v>64</v>
      </c>
      <c r="H2007" s="3">
        <v>1.7138000000000004</v>
      </c>
      <c r="I2007" s="10">
        <f t="shared" si="313"/>
        <v>51.396358740892289</v>
      </c>
      <c r="J2007" s="3">
        <v>1.0003432394733771</v>
      </c>
      <c r="K2007" s="3">
        <v>0</v>
      </c>
      <c r="L2007" s="3">
        <f t="shared" si="314"/>
        <v>0</v>
      </c>
      <c r="N2007" s="11">
        <f t="shared" si="315"/>
        <v>0.71345676052662332</v>
      </c>
      <c r="O2007" s="3">
        <v>1.0003432394733771</v>
      </c>
      <c r="P2007" s="11">
        <f t="shared" si="316"/>
        <v>21.396358740892289</v>
      </c>
      <c r="Q2007" s="12">
        <f t="shared" si="317"/>
        <v>29.776108205520728</v>
      </c>
      <c r="R2007" s="13">
        <f t="shared" si="318"/>
        <v>35.173429095369414</v>
      </c>
      <c r="S2007" s="3" t="s">
        <v>31</v>
      </c>
      <c r="T2007" s="3" t="s">
        <v>28</v>
      </c>
      <c r="U2007" s="10">
        <v>0</v>
      </c>
      <c r="V2007" s="3">
        <v>0</v>
      </c>
      <c r="W2007" s="3">
        <f t="shared" si="319"/>
        <v>0</v>
      </c>
      <c r="AA2007" s="3">
        <v>48</v>
      </c>
    </row>
    <row r="2008" spans="1:27" x14ac:dyDescent="0.3">
      <c r="A2008" s="3" t="str">
        <f t="shared" si="310"/>
        <v>North9330239900840</v>
      </c>
      <c r="B2008" s="3" t="str">
        <f t="shared" si="311"/>
        <v>Pan9330239900840</v>
      </c>
      <c r="C2008" s="10">
        <v>9330239900840</v>
      </c>
      <c r="D2008" s="10" t="str">
        <f t="shared" si="312"/>
        <v>9330239900</v>
      </c>
      <c r="E2008" s="3" t="s">
        <v>2</v>
      </c>
      <c r="F2008" s="3" t="s">
        <v>64</v>
      </c>
      <c r="H2008" s="3">
        <v>1.804</v>
      </c>
      <c r="I2008" s="10">
        <f t="shared" si="313"/>
        <v>56.727216793020474</v>
      </c>
      <c r="J2008" s="3">
        <v>0.9540394022408436</v>
      </c>
      <c r="K2008" s="3">
        <v>0</v>
      </c>
      <c r="L2008" s="3">
        <f t="shared" si="314"/>
        <v>0</v>
      </c>
      <c r="N2008" s="11">
        <f t="shared" si="315"/>
        <v>0.84996059775915644</v>
      </c>
      <c r="O2008" s="3">
        <v>0.9540394022408436</v>
      </c>
      <c r="P2008" s="11">
        <f t="shared" si="316"/>
        <v>26.727216793020474</v>
      </c>
      <c r="Q2008" s="12">
        <f t="shared" si="317"/>
        <v>14.867502904019679</v>
      </c>
      <c r="R2008" s="13">
        <f t="shared" si="318"/>
        <v>10.604359305730044</v>
      </c>
      <c r="S2008" s="3" t="s">
        <v>31</v>
      </c>
      <c r="T2008" s="3" t="s">
        <v>35</v>
      </c>
      <c r="U2008" s="10">
        <v>0</v>
      </c>
      <c r="V2008" s="3">
        <v>0</v>
      </c>
      <c r="W2008" s="3">
        <f t="shared" si="319"/>
        <v>0</v>
      </c>
      <c r="AA2008" s="3">
        <v>48</v>
      </c>
    </row>
    <row r="2009" spans="1:27" x14ac:dyDescent="0.3">
      <c r="A2009" s="3" t="str">
        <f t="shared" si="310"/>
        <v>North9330239902839</v>
      </c>
      <c r="B2009" s="3" t="str">
        <f t="shared" si="311"/>
        <v>Pan9330239902839</v>
      </c>
      <c r="C2009" s="10">
        <v>9330239902839</v>
      </c>
      <c r="D2009" s="10" t="str">
        <f t="shared" si="312"/>
        <v>9330239902</v>
      </c>
      <c r="E2009" s="3" t="s">
        <v>2</v>
      </c>
      <c r="F2009" s="3" t="s">
        <v>64</v>
      </c>
      <c r="H2009" s="3">
        <v>1.2479999999999996</v>
      </c>
      <c r="I2009" s="10">
        <f t="shared" si="313"/>
        <v>40.907365755311417</v>
      </c>
      <c r="J2009" s="3">
        <v>0.91523859600122937</v>
      </c>
      <c r="K2009" s="3">
        <v>0</v>
      </c>
      <c r="L2009" s="3">
        <f t="shared" si="314"/>
        <v>0</v>
      </c>
      <c r="N2009" s="11">
        <f t="shared" si="315"/>
        <v>0.33276140399877019</v>
      </c>
      <c r="O2009" s="3">
        <v>0.91523859600122937</v>
      </c>
      <c r="P2009" s="11">
        <f t="shared" si="316"/>
        <v>10.907365755311412</v>
      </c>
      <c r="Q2009" s="12">
        <f t="shared" si="317"/>
        <v>10.907365755311412</v>
      </c>
      <c r="R2009" s="13">
        <f t="shared" si="318"/>
        <v>24.908924137972615</v>
      </c>
      <c r="S2009" s="3" t="s">
        <v>31</v>
      </c>
      <c r="T2009" s="3" t="s">
        <v>35</v>
      </c>
      <c r="U2009" s="10">
        <v>0</v>
      </c>
      <c r="V2009" s="3">
        <v>0</v>
      </c>
      <c r="W2009" s="3">
        <f t="shared" si="319"/>
        <v>0</v>
      </c>
      <c r="AA2009" s="3">
        <v>48</v>
      </c>
    </row>
    <row r="2010" spans="1:27" x14ac:dyDescent="0.3">
      <c r="A2010" s="3" t="str">
        <f t="shared" si="310"/>
        <v>North9330239999839</v>
      </c>
      <c r="B2010" s="3" t="str">
        <f t="shared" si="311"/>
        <v>Pan9330239999839</v>
      </c>
      <c r="C2010" s="10">
        <v>9330239999839</v>
      </c>
      <c r="D2010" s="10" t="str">
        <f t="shared" si="312"/>
        <v>9330239999</v>
      </c>
      <c r="E2010" s="3" t="s">
        <v>2</v>
      </c>
      <c r="F2010" s="3" t="s">
        <v>64</v>
      </c>
      <c r="H2010" s="3">
        <v>1.3259999999999998</v>
      </c>
      <c r="I2010" s="10">
        <f t="shared" si="313"/>
        <v>44.337281895419331</v>
      </c>
      <c r="J2010" s="3">
        <v>0.89721332249981323</v>
      </c>
      <c r="K2010" s="3">
        <v>0</v>
      </c>
      <c r="L2010" s="3">
        <f t="shared" si="314"/>
        <v>0</v>
      </c>
      <c r="N2010" s="11">
        <f t="shared" si="315"/>
        <v>0.42878667750018662</v>
      </c>
      <c r="O2010" s="3">
        <v>0.89721332249981323</v>
      </c>
      <c r="P2010" s="11">
        <f t="shared" si="316"/>
        <v>14.337281895419332</v>
      </c>
      <c r="Q2010" s="12">
        <f t="shared" si="317"/>
        <v>14.337281895419332</v>
      </c>
      <c r="R2010" s="13">
        <f t="shared" si="318"/>
        <v>52.88637890990077</v>
      </c>
      <c r="S2010" s="3" t="s">
        <v>31</v>
      </c>
      <c r="T2010" s="3" t="s">
        <v>35</v>
      </c>
      <c r="U2010" s="10">
        <v>0</v>
      </c>
      <c r="V2010" s="3">
        <v>0</v>
      </c>
      <c r="W2010" s="3">
        <f t="shared" si="319"/>
        <v>0</v>
      </c>
      <c r="AA2010" s="3">
        <v>48</v>
      </c>
    </row>
    <row r="2011" spans="1:27" x14ac:dyDescent="0.3">
      <c r="A2011" s="3" t="str">
        <f t="shared" si="310"/>
        <v>North9410029900210</v>
      </c>
      <c r="B2011" s="3" t="str">
        <f t="shared" si="311"/>
        <v>Pan9410029900210</v>
      </c>
      <c r="C2011" s="10">
        <v>9410029900210</v>
      </c>
      <c r="D2011" s="10" t="str">
        <f t="shared" si="312"/>
        <v>9410029900</v>
      </c>
      <c r="E2011" s="3" t="s">
        <v>2</v>
      </c>
      <c r="F2011" s="3" t="s">
        <v>64</v>
      </c>
      <c r="H2011" s="3">
        <v>3.0329999999999995</v>
      </c>
      <c r="I2011" s="10">
        <f t="shared" si="313"/>
        <v>103.61439893920745</v>
      </c>
      <c r="J2011" s="3">
        <v>0.87815980145178041</v>
      </c>
      <c r="K2011" s="3">
        <v>0</v>
      </c>
      <c r="L2011" s="3">
        <f t="shared" si="314"/>
        <v>0</v>
      </c>
      <c r="N2011" s="11">
        <f t="shared" si="315"/>
        <v>2.1548401985482188</v>
      </c>
      <c r="O2011" s="3">
        <v>0.87815980145178041</v>
      </c>
      <c r="P2011" s="11">
        <f t="shared" si="316"/>
        <v>73.614398939207447</v>
      </c>
      <c r="Q2011" s="12">
        <f t="shared" si="317"/>
        <v>73.614398939207433</v>
      </c>
      <c r="R2011" s="13">
        <f t="shared" si="318"/>
        <v>80.018962520459795</v>
      </c>
      <c r="S2011" s="3" t="s">
        <v>31</v>
      </c>
      <c r="T2011" s="3" t="s">
        <v>32</v>
      </c>
      <c r="U2011" s="10">
        <v>0</v>
      </c>
      <c r="V2011" s="3">
        <v>0</v>
      </c>
      <c r="W2011" s="3">
        <f t="shared" si="319"/>
        <v>0</v>
      </c>
      <c r="AA2011" s="3">
        <v>48</v>
      </c>
    </row>
    <row r="2012" spans="1:27" x14ac:dyDescent="0.3">
      <c r="A2012" s="3" t="str">
        <f t="shared" si="310"/>
        <v>North9320029900210</v>
      </c>
      <c r="B2012" s="3" t="str">
        <f t="shared" si="311"/>
        <v>Pan9320029900210</v>
      </c>
      <c r="C2012" s="10">
        <v>9320029900210</v>
      </c>
      <c r="D2012" s="10" t="str">
        <f t="shared" si="312"/>
        <v>9320029900</v>
      </c>
      <c r="E2012" s="3" t="s">
        <v>2</v>
      </c>
      <c r="F2012" s="3" t="s">
        <v>64</v>
      </c>
      <c r="H2012" s="3">
        <v>2.6529999999999996</v>
      </c>
      <c r="I2012" s="10">
        <f t="shared" si="313"/>
        <v>93.394870852690929</v>
      </c>
      <c r="J2012" s="3">
        <v>0.85218812632157315</v>
      </c>
      <c r="K2012" s="3">
        <v>0</v>
      </c>
      <c r="L2012" s="3">
        <f t="shared" si="314"/>
        <v>0</v>
      </c>
      <c r="N2012" s="11">
        <f t="shared" si="315"/>
        <v>1.8008118736784264</v>
      </c>
      <c r="O2012" s="3">
        <v>0.85218812632157315</v>
      </c>
      <c r="P2012" s="11">
        <f t="shared" si="316"/>
        <v>63.394870852690929</v>
      </c>
      <c r="Q2012" s="12">
        <f t="shared" si="317"/>
        <v>15.365702850760711</v>
      </c>
      <c r="R2012" s="13">
        <f t="shared" si="318"/>
        <v>20.758348619970487</v>
      </c>
      <c r="S2012" s="3" t="s">
        <v>31</v>
      </c>
      <c r="T2012" s="3" t="s">
        <v>28</v>
      </c>
      <c r="U2012" s="10">
        <v>0</v>
      </c>
      <c r="V2012" s="3">
        <v>0</v>
      </c>
      <c r="W2012" s="3">
        <f t="shared" si="319"/>
        <v>0</v>
      </c>
      <c r="AA2012" s="3">
        <v>48</v>
      </c>
    </row>
    <row r="2013" spans="1:27" x14ac:dyDescent="0.3">
      <c r="A2013" s="3" t="str">
        <f t="shared" si="310"/>
        <v>North9330239901210</v>
      </c>
      <c r="B2013" s="3" t="str">
        <f t="shared" si="311"/>
        <v>Pan9330239901210</v>
      </c>
      <c r="C2013" s="10">
        <v>9330239901210</v>
      </c>
      <c r="D2013" s="10" t="str">
        <f t="shared" si="312"/>
        <v>9330239901</v>
      </c>
      <c r="E2013" s="3" t="s">
        <v>2</v>
      </c>
      <c r="F2013" s="3" t="s">
        <v>64</v>
      </c>
      <c r="H2013" s="3">
        <v>1.2300000000000002</v>
      </c>
      <c r="I2013" s="10">
        <f t="shared" si="313"/>
        <v>48.032005242644708</v>
      </c>
      <c r="J2013" s="3">
        <v>0.76823775758665869</v>
      </c>
      <c r="K2013" s="3">
        <v>0</v>
      </c>
      <c r="L2013" s="3">
        <f t="shared" si="314"/>
        <v>0</v>
      </c>
      <c r="N2013" s="11">
        <f t="shared" si="315"/>
        <v>0.46176224241334152</v>
      </c>
      <c r="O2013" s="3">
        <v>0.76823775758665869</v>
      </c>
      <c r="P2013" s="11">
        <f t="shared" si="316"/>
        <v>18.032005242644711</v>
      </c>
      <c r="Q2013" s="12">
        <f t="shared" si="317"/>
        <v>18.032005242644711</v>
      </c>
      <c r="R2013" s="13">
        <f t="shared" si="318"/>
        <v>20.210009489630661</v>
      </c>
      <c r="S2013" s="3" t="s">
        <v>31</v>
      </c>
      <c r="T2013" s="3" t="s">
        <v>35</v>
      </c>
      <c r="U2013" s="10">
        <v>0</v>
      </c>
      <c r="V2013" s="3">
        <v>0</v>
      </c>
      <c r="W2013" s="3">
        <f t="shared" si="319"/>
        <v>0</v>
      </c>
      <c r="AA2013" s="3">
        <v>48</v>
      </c>
    </row>
    <row r="2014" spans="1:27" x14ac:dyDescent="0.3">
      <c r="A2014" s="3" t="str">
        <f t="shared" si="310"/>
        <v>North9420059902295</v>
      </c>
      <c r="B2014" s="3" t="str">
        <f t="shared" si="311"/>
        <v>Pan9420059902295</v>
      </c>
      <c r="C2014" s="10">
        <v>9420059902295</v>
      </c>
      <c r="D2014" s="10" t="str">
        <f t="shared" si="312"/>
        <v>9420059902</v>
      </c>
      <c r="E2014" s="3" t="s">
        <v>2</v>
      </c>
      <c r="F2014" s="3" t="s">
        <v>64</v>
      </c>
      <c r="H2014" s="3">
        <v>1.3775000000000002</v>
      </c>
      <c r="I2014" s="10">
        <f t="shared" si="313"/>
        <v>65.5020910147243</v>
      </c>
      <c r="J2014" s="3">
        <v>0.6308958898840421</v>
      </c>
      <c r="K2014" s="3">
        <v>0</v>
      </c>
      <c r="L2014" s="3">
        <f t="shared" si="314"/>
        <v>0</v>
      </c>
      <c r="N2014" s="11">
        <f t="shared" si="315"/>
        <v>0.74660411011595806</v>
      </c>
      <c r="O2014" s="3">
        <v>0.6308958898840421</v>
      </c>
      <c r="P2014" s="11">
        <f t="shared" si="316"/>
        <v>35.5020910147243</v>
      </c>
      <c r="Q2014" s="12">
        <f t="shared" si="317"/>
        <v>65.085646761891425</v>
      </c>
      <c r="R2014" s="13">
        <f t="shared" si="318"/>
        <v>18.893711823657888</v>
      </c>
      <c r="S2014" s="3" t="s">
        <v>31</v>
      </c>
      <c r="T2014" s="3" t="s">
        <v>28</v>
      </c>
      <c r="U2014" s="10">
        <v>9420059900999</v>
      </c>
      <c r="V2014" s="3">
        <v>0.1</v>
      </c>
      <c r="W2014" s="3">
        <f t="shared" si="319"/>
        <v>0</v>
      </c>
      <c r="AA2014" s="3">
        <v>48</v>
      </c>
    </row>
    <row r="2015" spans="1:27" x14ac:dyDescent="0.3">
      <c r="A2015" s="3" t="str">
        <f t="shared" si="310"/>
        <v>North9432029900210</v>
      </c>
      <c r="B2015" s="3" t="str">
        <f t="shared" si="311"/>
        <v>Pan9432029900210</v>
      </c>
      <c r="C2015" s="10">
        <v>9432029900210</v>
      </c>
      <c r="D2015" s="10" t="str">
        <f t="shared" si="312"/>
        <v>9432029900</v>
      </c>
      <c r="E2015" s="3" t="s">
        <v>2</v>
      </c>
      <c r="F2015" s="3" t="s">
        <v>64</v>
      </c>
      <c r="H2015" s="3">
        <v>3.1489999999999991</v>
      </c>
      <c r="I2015" s="10">
        <f t="shared" si="313"/>
        <v>150.28056442892969</v>
      </c>
      <c r="J2015" s="3">
        <v>0.62862420273033037</v>
      </c>
      <c r="K2015" s="3">
        <v>0</v>
      </c>
      <c r="L2015" s="3">
        <f t="shared" si="314"/>
        <v>0</v>
      </c>
      <c r="N2015" s="11">
        <f t="shared" si="315"/>
        <v>2.5203757972696685</v>
      </c>
      <c r="O2015" s="3">
        <v>0.62862420273033037</v>
      </c>
      <c r="P2015" s="11">
        <f t="shared" si="316"/>
        <v>120.28056442892967</v>
      </c>
      <c r="Q2015" s="12">
        <f t="shared" si="317"/>
        <v>130.75947752013829</v>
      </c>
      <c r="R2015" s="13">
        <f t="shared" si="318"/>
        <v>343.47422136245308</v>
      </c>
      <c r="S2015" s="3" t="s">
        <v>31</v>
      </c>
      <c r="T2015" s="3" t="s">
        <v>35</v>
      </c>
      <c r="U2015" s="10">
        <v>0</v>
      </c>
      <c r="V2015" s="3">
        <v>0</v>
      </c>
      <c r="W2015" s="3">
        <f t="shared" si="319"/>
        <v>0</v>
      </c>
      <c r="AA2015" s="3">
        <v>48</v>
      </c>
    </row>
    <row r="2016" spans="1:27" x14ac:dyDescent="0.3">
      <c r="A2016" s="3" t="str">
        <f t="shared" si="310"/>
        <v>North9420039902295</v>
      </c>
      <c r="B2016" s="3" t="str">
        <f t="shared" si="311"/>
        <v>Pan9420039902295</v>
      </c>
      <c r="C2016" s="10">
        <v>9420039902295</v>
      </c>
      <c r="D2016" s="10" t="str">
        <f t="shared" si="312"/>
        <v>9420039902</v>
      </c>
      <c r="E2016" s="3" t="s">
        <v>2</v>
      </c>
      <c r="F2016" s="3" t="s">
        <v>64</v>
      </c>
      <c r="H2016" s="3">
        <v>1.0126999999999999</v>
      </c>
      <c r="I2016" s="10">
        <f t="shared" si="313"/>
        <v>49.652945500486915</v>
      </c>
      <c r="J2016" s="3">
        <v>0.61186702407618632</v>
      </c>
      <c r="K2016" s="3">
        <v>0</v>
      </c>
      <c r="L2016" s="3">
        <f t="shared" si="314"/>
        <v>0</v>
      </c>
      <c r="N2016" s="11">
        <f t="shared" si="315"/>
        <v>0.40083297592381362</v>
      </c>
      <c r="O2016" s="3">
        <v>0.61186702407618632</v>
      </c>
      <c r="P2016" s="11">
        <f t="shared" si="316"/>
        <v>19.652945500486922</v>
      </c>
      <c r="Q2016" s="12">
        <f t="shared" si="317"/>
        <v>36.415016390495076</v>
      </c>
      <c r="R2016" s="13">
        <f t="shared" si="318"/>
        <v>60.650053320416951</v>
      </c>
      <c r="S2016" s="3" t="s">
        <v>31</v>
      </c>
      <c r="T2016" s="3" t="s">
        <v>28</v>
      </c>
      <c r="U2016" s="10">
        <v>9420039900999</v>
      </c>
      <c r="V2016" s="3">
        <v>0.1</v>
      </c>
      <c r="W2016" s="3">
        <f t="shared" si="319"/>
        <v>0</v>
      </c>
      <c r="AA2016" s="3">
        <v>48</v>
      </c>
    </row>
    <row r="2017" spans="1:27" x14ac:dyDescent="0.3">
      <c r="A2017" s="3" t="str">
        <f t="shared" si="310"/>
        <v>North9420059902319</v>
      </c>
      <c r="B2017" s="3" t="str">
        <f t="shared" si="311"/>
        <v>Pan9420059902319</v>
      </c>
      <c r="C2017" s="10">
        <v>9420059902319</v>
      </c>
      <c r="D2017" s="10" t="str">
        <f t="shared" si="312"/>
        <v>9420059902</v>
      </c>
      <c r="E2017" s="3" t="s">
        <v>2</v>
      </c>
      <c r="F2017" s="3" t="s">
        <v>64</v>
      </c>
      <c r="H2017" s="3">
        <v>2.4129999999999989</v>
      </c>
      <c r="I2017" s="10">
        <f t="shared" si="313"/>
        <v>120.59204401939881</v>
      </c>
      <c r="J2017" s="3">
        <v>0.6002883572348694</v>
      </c>
      <c r="K2017" s="3">
        <v>0</v>
      </c>
      <c r="L2017" s="3">
        <f t="shared" si="314"/>
        <v>0</v>
      </c>
      <c r="N2017" s="11">
        <f t="shared" si="315"/>
        <v>1.8127116427651295</v>
      </c>
      <c r="O2017" s="3">
        <v>0.6002883572348694</v>
      </c>
      <c r="P2017" s="11">
        <f t="shared" si="316"/>
        <v>90.592044019398813</v>
      </c>
      <c r="Q2017" s="12">
        <f t="shared" si="317"/>
        <v>1593.5316761422262</v>
      </c>
      <c r="R2017" s="13">
        <f t="shared" si="318"/>
        <v>170.75579655594075</v>
      </c>
      <c r="S2017" s="3" t="s">
        <v>31</v>
      </c>
      <c r="T2017" s="3" t="s">
        <v>28</v>
      </c>
      <c r="U2017" s="10">
        <v>9420059900999</v>
      </c>
      <c r="V2017" s="3">
        <v>0.1</v>
      </c>
      <c r="W2017" s="3">
        <f t="shared" si="319"/>
        <v>0</v>
      </c>
      <c r="AA2017" s="3">
        <v>48</v>
      </c>
    </row>
    <row r="2018" spans="1:27" x14ac:dyDescent="0.3">
      <c r="A2018" s="3" t="str">
        <f t="shared" si="310"/>
        <v>North9360019900210</v>
      </c>
      <c r="B2018" s="3" t="str">
        <f t="shared" si="311"/>
        <v>Pan9360019900210</v>
      </c>
      <c r="C2018" s="10">
        <v>9360019900210</v>
      </c>
      <c r="D2018" s="10" t="str">
        <f t="shared" si="312"/>
        <v>9360019900</v>
      </c>
      <c r="E2018" s="3" t="s">
        <v>2</v>
      </c>
      <c r="F2018" s="3" t="s">
        <v>64</v>
      </c>
      <c r="H2018" s="3">
        <v>2.0500000000000003</v>
      </c>
      <c r="I2018" s="10">
        <f t="shared" si="313"/>
        <v>106.81515970619699</v>
      </c>
      <c r="J2018" s="3">
        <v>0.57576097034503637</v>
      </c>
      <c r="K2018" s="3">
        <v>0</v>
      </c>
      <c r="L2018" s="3">
        <f t="shared" si="314"/>
        <v>0</v>
      </c>
      <c r="N2018" s="11">
        <f t="shared" si="315"/>
        <v>1.4742390296549639</v>
      </c>
      <c r="O2018" s="3">
        <v>0.57576097034503637</v>
      </c>
      <c r="P2018" s="11">
        <f t="shared" si="316"/>
        <v>76.815159706196994</v>
      </c>
      <c r="Q2018" s="12">
        <f t="shared" si="317"/>
        <v>50.103548854427906</v>
      </c>
      <c r="R2018" s="13">
        <f t="shared" si="318"/>
        <v>101.59272695247127</v>
      </c>
      <c r="S2018" s="3" t="s">
        <v>31</v>
      </c>
      <c r="T2018" s="3" t="s">
        <v>33</v>
      </c>
      <c r="U2018" s="10">
        <v>0</v>
      </c>
      <c r="V2018" s="3">
        <v>0</v>
      </c>
      <c r="W2018" s="3">
        <f t="shared" si="319"/>
        <v>0</v>
      </c>
      <c r="AA2018" s="3">
        <v>48</v>
      </c>
    </row>
    <row r="2019" spans="1:27" x14ac:dyDescent="0.3">
      <c r="A2019" s="3" t="str">
        <f t="shared" si="310"/>
        <v>North9100309902319</v>
      </c>
      <c r="B2019" s="3" t="str">
        <f t="shared" si="311"/>
        <v>Pan9100309902319</v>
      </c>
      <c r="C2019" s="10">
        <v>9100309902319</v>
      </c>
      <c r="D2019" s="10" t="str">
        <f t="shared" si="312"/>
        <v>9100309902</v>
      </c>
      <c r="E2019" s="3" t="s">
        <v>2</v>
      </c>
      <c r="F2019" s="3" t="s">
        <v>64</v>
      </c>
      <c r="H2019" s="3">
        <v>17.689</v>
      </c>
      <c r="I2019" s="10">
        <f t="shared" si="313"/>
        <v>936.67845883094367</v>
      </c>
      <c r="J2019" s="3">
        <v>0.56654446891233345</v>
      </c>
      <c r="K2019" s="3">
        <v>0</v>
      </c>
      <c r="L2019" s="3">
        <f t="shared" si="314"/>
        <v>0</v>
      </c>
      <c r="N2019" s="11">
        <f t="shared" si="315"/>
        <v>17.122455531087667</v>
      </c>
      <c r="O2019" s="3">
        <v>0.56654446891233345</v>
      </c>
      <c r="P2019" s="11">
        <f t="shared" si="316"/>
        <v>906.67845883094367</v>
      </c>
      <c r="Q2019" s="12">
        <f t="shared" si="317"/>
        <v>1105.3341331178669</v>
      </c>
      <c r="R2019" s="13">
        <f t="shared" si="318"/>
        <v>340.2992622587538</v>
      </c>
      <c r="S2019" s="3" t="s">
        <v>31</v>
      </c>
      <c r="T2019" s="3" t="s">
        <v>34</v>
      </c>
      <c r="U2019" s="10">
        <v>0</v>
      </c>
      <c r="V2019" s="3">
        <v>0</v>
      </c>
      <c r="W2019" s="3">
        <f t="shared" si="319"/>
        <v>0</v>
      </c>
      <c r="AA2019" s="3">
        <v>48</v>
      </c>
    </row>
    <row r="2020" spans="1:27" x14ac:dyDescent="0.3">
      <c r="A2020" s="3" t="str">
        <f t="shared" si="310"/>
        <v>North9437009900210</v>
      </c>
      <c r="B2020" s="3" t="str">
        <f t="shared" si="311"/>
        <v>Pan9437009900210</v>
      </c>
      <c r="C2020" s="10">
        <v>9437009900210</v>
      </c>
      <c r="D2020" s="10" t="str">
        <f t="shared" si="312"/>
        <v>9437009900</v>
      </c>
      <c r="E2020" s="3" t="s">
        <v>2</v>
      </c>
      <c r="F2020" s="3" t="s">
        <v>64</v>
      </c>
      <c r="H2020" s="3">
        <v>2.8129999999999997</v>
      </c>
      <c r="I2020" s="10">
        <f t="shared" si="313"/>
        <v>149.78162446585225</v>
      </c>
      <c r="J2020" s="3">
        <v>0.56342024798402113</v>
      </c>
      <c r="K2020" s="3">
        <v>0</v>
      </c>
      <c r="L2020" s="3">
        <f t="shared" si="314"/>
        <v>0</v>
      </c>
      <c r="N2020" s="11">
        <f t="shared" si="315"/>
        <v>2.2495797520159786</v>
      </c>
      <c r="O2020" s="3">
        <v>0.56342024798402113</v>
      </c>
      <c r="P2020" s="11">
        <f t="shared" si="316"/>
        <v>119.78162446585223</v>
      </c>
      <c r="Q2020" s="12">
        <f t="shared" si="317"/>
        <v>144.74022539358398</v>
      </c>
      <c r="R2020" s="13">
        <f t="shared" si="318"/>
        <v>46.768930863463687</v>
      </c>
      <c r="S2020" s="3" t="s">
        <v>31</v>
      </c>
      <c r="T2020" s="3" t="s">
        <v>35</v>
      </c>
      <c r="U2020" s="10">
        <v>0</v>
      </c>
      <c r="V2020" s="3">
        <v>0</v>
      </c>
      <c r="W2020" s="3">
        <f t="shared" si="319"/>
        <v>0</v>
      </c>
      <c r="AA2020" s="3">
        <v>48</v>
      </c>
    </row>
    <row r="2021" spans="1:27" x14ac:dyDescent="0.3">
      <c r="A2021" s="3" t="str">
        <f t="shared" si="310"/>
        <v>North9320089900210</v>
      </c>
      <c r="B2021" s="3" t="str">
        <f t="shared" si="311"/>
        <v>Pan9320089900210</v>
      </c>
      <c r="C2021" s="10">
        <v>9320089900210</v>
      </c>
      <c r="D2021" s="10" t="str">
        <f t="shared" si="312"/>
        <v>9320089900</v>
      </c>
      <c r="E2021" s="3" t="s">
        <v>2</v>
      </c>
      <c r="F2021" s="3" t="s">
        <v>64</v>
      </c>
      <c r="H2021" s="3">
        <v>0.87000000000000011</v>
      </c>
      <c r="I2021" s="10">
        <f t="shared" si="313"/>
        <v>48.991766417630004</v>
      </c>
      <c r="J2021" s="3">
        <v>0.5327425791817898</v>
      </c>
      <c r="K2021" s="3">
        <v>0</v>
      </c>
      <c r="L2021" s="3">
        <f t="shared" si="314"/>
        <v>0</v>
      </c>
      <c r="N2021" s="11">
        <f t="shared" si="315"/>
        <v>0.33725742081821031</v>
      </c>
      <c r="O2021" s="3">
        <v>0.5327425791817898</v>
      </c>
      <c r="P2021" s="11">
        <f t="shared" si="316"/>
        <v>18.991766417630004</v>
      </c>
      <c r="Q2021" s="12">
        <f t="shared" si="317"/>
        <v>5.7968909208661623</v>
      </c>
      <c r="R2021" s="13">
        <f t="shared" si="318"/>
        <v>36.265259284265305</v>
      </c>
      <c r="S2021" s="3" t="s">
        <v>31</v>
      </c>
      <c r="T2021" s="3" t="s">
        <v>28</v>
      </c>
      <c r="U2021" s="10">
        <v>0</v>
      </c>
      <c r="V2021" s="3">
        <v>0</v>
      </c>
      <c r="W2021" s="3">
        <f t="shared" si="319"/>
        <v>0</v>
      </c>
      <c r="AA2021" s="3">
        <v>48</v>
      </c>
    </row>
    <row r="2022" spans="1:27" x14ac:dyDescent="0.3">
      <c r="A2022" s="3" t="str">
        <f t="shared" si="310"/>
        <v>North9410039913210</v>
      </c>
      <c r="B2022" s="3" t="str">
        <f t="shared" si="311"/>
        <v>Pan9410039913210</v>
      </c>
      <c r="C2022" s="10">
        <v>9410039913210</v>
      </c>
      <c r="D2022" s="10" t="str">
        <f t="shared" si="312"/>
        <v>9410039913</v>
      </c>
      <c r="E2022" s="3" t="s">
        <v>2</v>
      </c>
      <c r="F2022" s="3" t="s">
        <v>64</v>
      </c>
      <c r="H2022" s="3">
        <v>0.192</v>
      </c>
      <c r="I2022" s="10">
        <f t="shared" si="313"/>
        <v>12.751232029892542</v>
      </c>
      <c r="J2022" s="3">
        <v>0.45172105616907521</v>
      </c>
      <c r="K2022" s="3">
        <v>0</v>
      </c>
      <c r="L2022" s="3">
        <f t="shared" si="314"/>
        <v>0</v>
      </c>
      <c r="N2022" s="11">
        <f t="shared" si="315"/>
        <v>-0.2597210561690752</v>
      </c>
      <c r="O2022" s="3">
        <v>0.45172105616907521</v>
      </c>
      <c r="P2022" s="11">
        <f t="shared" si="316"/>
        <v>-17.248767970107455</v>
      </c>
      <c r="Q2022" s="12">
        <f t="shared" si="317"/>
        <v>-17.248767970107458</v>
      </c>
      <c r="R2022" s="13">
        <f t="shared" si="318"/>
        <v>78.02259951781717</v>
      </c>
      <c r="S2022" s="3" t="s">
        <v>31</v>
      </c>
      <c r="T2022" s="3" t="s">
        <v>32</v>
      </c>
      <c r="U2022" s="10">
        <v>0</v>
      </c>
      <c r="V2022" s="3">
        <v>0</v>
      </c>
      <c r="W2022" s="3">
        <f t="shared" si="319"/>
        <v>0</v>
      </c>
      <c r="AA2022" s="3">
        <v>48</v>
      </c>
    </row>
    <row r="2023" spans="1:27" x14ac:dyDescent="0.3">
      <c r="A2023" s="3" t="str">
        <f t="shared" si="310"/>
        <v>North9320089902839</v>
      </c>
      <c r="B2023" s="3" t="str">
        <f t="shared" si="311"/>
        <v>Pan9320089902839</v>
      </c>
      <c r="C2023" s="10">
        <v>9320089902839</v>
      </c>
      <c r="D2023" s="10" t="str">
        <f t="shared" si="312"/>
        <v>9320089902</v>
      </c>
      <c r="E2023" s="3" t="s">
        <v>2</v>
      </c>
      <c r="F2023" s="3" t="s">
        <v>64</v>
      </c>
      <c r="H2023" s="3">
        <v>0.7799999999999998</v>
      </c>
      <c r="I2023" s="10">
        <f t="shared" si="313"/>
        <v>51.834994347063436</v>
      </c>
      <c r="J2023" s="3">
        <v>0.45143247905699163</v>
      </c>
      <c r="K2023" s="3">
        <v>0</v>
      </c>
      <c r="L2023" s="3">
        <f t="shared" si="314"/>
        <v>0</v>
      </c>
      <c r="N2023" s="11">
        <f t="shared" si="315"/>
        <v>0.32856752094300817</v>
      </c>
      <c r="O2023" s="3">
        <v>0.45143247905699163</v>
      </c>
      <c r="P2023" s="11">
        <f t="shared" si="316"/>
        <v>21.834994347063436</v>
      </c>
      <c r="Q2023" s="12">
        <f t="shared" si="317"/>
        <v>8.3646488639094532</v>
      </c>
      <c r="R2023" s="13">
        <f t="shared" si="318"/>
        <v>23.218371468264344</v>
      </c>
      <c r="S2023" s="3" t="s">
        <v>31</v>
      </c>
      <c r="T2023" s="3" t="s">
        <v>28</v>
      </c>
      <c r="U2023" s="10">
        <v>0</v>
      </c>
      <c r="V2023" s="3">
        <v>0</v>
      </c>
      <c r="W2023" s="3">
        <f t="shared" si="319"/>
        <v>0</v>
      </c>
      <c r="AA2023" s="3">
        <v>48</v>
      </c>
    </row>
    <row r="2024" spans="1:27" x14ac:dyDescent="0.3">
      <c r="A2024" s="3" t="str">
        <f t="shared" si="310"/>
        <v>North9420039900210</v>
      </c>
      <c r="B2024" s="3" t="str">
        <f t="shared" si="311"/>
        <v>Pan9420039900210</v>
      </c>
      <c r="C2024" s="10">
        <v>9420039900210</v>
      </c>
      <c r="D2024" s="10" t="str">
        <f t="shared" si="312"/>
        <v>9420039900</v>
      </c>
      <c r="E2024" s="3" t="s">
        <v>2</v>
      </c>
      <c r="F2024" s="3" t="s">
        <v>64</v>
      </c>
      <c r="H2024" s="3">
        <v>0.79700000000000015</v>
      </c>
      <c r="I2024" s="10">
        <f t="shared" si="313"/>
        <v>53.569634853713048</v>
      </c>
      <c r="J2024" s="3">
        <v>0.44633494451274464</v>
      </c>
      <c r="K2024" s="3">
        <v>0</v>
      </c>
      <c r="L2024" s="3">
        <f t="shared" si="314"/>
        <v>0</v>
      </c>
      <c r="N2024" s="11">
        <f t="shared" si="315"/>
        <v>0.35066505548725552</v>
      </c>
      <c r="O2024" s="3">
        <v>0.44633494451274464</v>
      </c>
      <c r="P2024" s="11">
        <f t="shared" si="316"/>
        <v>23.569634853713048</v>
      </c>
      <c r="Q2024" s="12">
        <f t="shared" si="317"/>
        <v>28.679033048528101</v>
      </c>
      <c r="R2024" s="13">
        <f t="shared" si="318"/>
        <v>66.549270263730406</v>
      </c>
      <c r="S2024" s="3" t="s">
        <v>31</v>
      </c>
      <c r="T2024" s="3" t="s">
        <v>28</v>
      </c>
      <c r="U2024" s="10">
        <v>0</v>
      </c>
      <c r="V2024" s="3">
        <v>0</v>
      </c>
      <c r="W2024" s="3">
        <f t="shared" si="319"/>
        <v>0</v>
      </c>
      <c r="AA2024" s="3">
        <v>48</v>
      </c>
    </row>
    <row r="2025" spans="1:27" x14ac:dyDescent="0.3">
      <c r="A2025" s="3" t="str">
        <f t="shared" si="310"/>
        <v>North9360029900210</v>
      </c>
      <c r="B2025" s="3" t="str">
        <f t="shared" si="311"/>
        <v>Pan9360029900210</v>
      </c>
      <c r="C2025" s="10">
        <v>9360029900210</v>
      </c>
      <c r="D2025" s="10" t="str">
        <f t="shared" si="312"/>
        <v>9360029900</v>
      </c>
      <c r="E2025" s="3" t="s">
        <v>2</v>
      </c>
      <c r="F2025" s="3" t="s">
        <v>64</v>
      </c>
      <c r="H2025" s="3">
        <v>0.98599999999999999</v>
      </c>
      <c r="I2025" s="10">
        <f t="shared" si="313"/>
        <v>82.041647819936273</v>
      </c>
      <c r="J2025" s="3">
        <v>0.3605485846032947</v>
      </c>
      <c r="K2025" s="3">
        <v>0</v>
      </c>
      <c r="L2025" s="3">
        <f t="shared" si="314"/>
        <v>0</v>
      </c>
      <c r="N2025" s="11">
        <f t="shared" si="315"/>
        <v>0.62545141539670523</v>
      </c>
      <c r="O2025" s="3">
        <v>0.3605485846032947</v>
      </c>
      <c r="P2025" s="11">
        <f t="shared" si="316"/>
        <v>52.041647819936266</v>
      </c>
      <c r="Q2025" s="12">
        <f t="shared" si="317"/>
        <v>18.4097340323769</v>
      </c>
      <c r="R2025" s="13">
        <f t="shared" si="318"/>
        <v>28.25136322109687</v>
      </c>
      <c r="S2025" s="3" t="s">
        <v>31</v>
      </c>
      <c r="T2025" s="3" t="s">
        <v>33</v>
      </c>
      <c r="U2025" s="10">
        <v>0</v>
      </c>
      <c r="V2025" s="3">
        <v>0</v>
      </c>
      <c r="W2025" s="3">
        <f t="shared" si="319"/>
        <v>0</v>
      </c>
      <c r="AA2025" s="3">
        <v>48</v>
      </c>
    </row>
    <row r="2026" spans="1:27" x14ac:dyDescent="0.3">
      <c r="A2026" s="3" t="str">
        <f t="shared" si="310"/>
        <v>North9360119922210</v>
      </c>
      <c r="B2026" s="3" t="str">
        <f t="shared" si="311"/>
        <v>Pan9360119922210</v>
      </c>
      <c r="C2026" s="10">
        <v>9360119922210</v>
      </c>
      <c r="D2026" s="10" t="str">
        <f t="shared" si="312"/>
        <v>9360119922</v>
      </c>
      <c r="E2026" s="3" t="s">
        <v>2</v>
      </c>
      <c r="F2026" s="3" t="s">
        <v>64</v>
      </c>
      <c r="H2026" s="3">
        <v>0.9840000000000001</v>
      </c>
      <c r="I2026" s="10">
        <f t="shared" si="313"/>
        <v>85.797012610275814</v>
      </c>
      <c r="J2026" s="3">
        <v>0.34406792383426676</v>
      </c>
      <c r="K2026" s="3">
        <v>0</v>
      </c>
      <c r="L2026" s="3">
        <f t="shared" si="314"/>
        <v>0</v>
      </c>
      <c r="N2026" s="11">
        <f t="shared" si="315"/>
        <v>0.63993207616573333</v>
      </c>
      <c r="O2026" s="3">
        <v>0.34406792383426676</v>
      </c>
      <c r="P2026" s="11">
        <f t="shared" si="316"/>
        <v>55.797012610275814</v>
      </c>
      <c r="Q2026" s="12">
        <f t="shared" si="317"/>
        <v>51.097213680529677</v>
      </c>
      <c r="R2026" s="13">
        <f t="shared" si="318"/>
        <v>83.449892995261749</v>
      </c>
      <c r="S2026" s="3" t="s">
        <v>31</v>
      </c>
      <c r="T2026" s="3" t="s">
        <v>33</v>
      </c>
      <c r="U2026" s="10">
        <v>0</v>
      </c>
      <c r="V2026" s="3">
        <v>0</v>
      </c>
      <c r="W2026" s="3">
        <f t="shared" si="319"/>
        <v>0</v>
      </c>
      <c r="AA2026" s="3">
        <v>48</v>
      </c>
    </row>
    <row r="2027" spans="1:27" x14ac:dyDescent="0.3">
      <c r="A2027" s="3" t="str">
        <f t="shared" si="310"/>
        <v>North9420039902319</v>
      </c>
      <c r="B2027" s="3" t="str">
        <f t="shared" si="311"/>
        <v>Pan9420039902319</v>
      </c>
      <c r="C2027" s="10">
        <v>9420039902319</v>
      </c>
      <c r="D2027" s="10" t="str">
        <f t="shared" si="312"/>
        <v>9420039902</v>
      </c>
      <c r="E2027" s="3" t="s">
        <v>2</v>
      </c>
      <c r="F2027" s="3" t="s">
        <v>64</v>
      </c>
      <c r="H2027" s="3">
        <v>3.8189999999999991</v>
      </c>
      <c r="I2027" s="10">
        <f t="shared" si="313"/>
        <v>360.65371231421057</v>
      </c>
      <c r="J2027" s="3">
        <v>0.31767314764303251</v>
      </c>
      <c r="K2027" s="3">
        <v>0</v>
      </c>
      <c r="L2027" s="3">
        <f t="shared" si="314"/>
        <v>0</v>
      </c>
      <c r="N2027" s="11">
        <f t="shared" si="315"/>
        <v>3.5013268523569665</v>
      </c>
      <c r="O2027" s="3">
        <v>0.31767314764303251</v>
      </c>
      <c r="P2027" s="11">
        <f t="shared" si="316"/>
        <v>330.65371231421057</v>
      </c>
      <c r="Q2027" s="12">
        <f t="shared" si="317"/>
        <v>333.475802601498</v>
      </c>
      <c r="R2027" s="13">
        <f t="shared" si="318"/>
        <v>30.585208828369929</v>
      </c>
      <c r="S2027" s="3" t="s">
        <v>31</v>
      </c>
      <c r="T2027" s="3" t="s">
        <v>28</v>
      </c>
      <c r="U2027" s="10">
        <v>9420039900999</v>
      </c>
      <c r="V2027" s="3">
        <v>0.1</v>
      </c>
      <c r="W2027" s="3">
        <f t="shared" si="319"/>
        <v>0</v>
      </c>
      <c r="AA2027" s="3">
        <v>48</v>
      </c>
    </row>
    <row r="2028" spans="1:27" x14ac:dyDescent="0.3">
      <c r="A2028" s="3" t="str">
        <f t="shared" si="310"/>
        <v>North9330239900210</v>
      </c>
      <c r="B2028" s="3" t="str">
        <f t="shared" si="311"/>
        <v>Pan9330239900210</v>
      </c>
      <c r="C2028" s="10">
        <v>9330239900210</v>
      </c>
      <c r="D2028" s="10" t="str">
        <f t="shared" si="312"/>
        <v>9330239900</v>
      </c>
      <c r="E2028" s="3" t="s">
        <v>2</v>
      </c>
      <c r="F2028" s="3" t="s">
        <v>64</v>
      </c>
      <c r="H2028" s="3">
        <v>0.35400000000000004</v>
      </c>
      <c r="I2028" s="10">
        <f t="shared" si="313"/>
        <v>57.345308006832191</v>
      </c>
      <c r="J2028" s="3">
        <v>0.18519387843787885</v>
      </c>
      <c r="K2028" s="3">
        <v>0</v>
      </c>
      <c r="L2028" s="3">
        <f t="shared" si="314"/>
        <v>0</v>
      </c>
      <c r="N2028" s="11">
        <f t="shared" si="315"/>
        <v>0.16880612156212119</v>
      </c>
      <c r="O2028" s="3">
        <v>0.18519387843787885</v>
      </c>
      <c r="P2028" s="11">
        <f t="shared" si="316"/>
        <v>27.345308006832187</v>
      </c>
      <c r="Q2028" s="12">
        <f t="shared" si="317"/>
        <v>22.942502398338291</v>
      </c>
      <c r="R2028" s="13">
        <f t="shared" si="318"/>
        <v>66.324218176236982</v>
      </c>
      <c r="S2028" s="3" t="s">
        <v>31</v>
      </c>
      <c r="T2028" s="3" t="s">
        <v>35</v>
      </c>
      <c r="U2028" s="10">
        <v>0</v>
      </c>
      <c r="V2028" s="3">
        <v>0</v>
      </c>
      <c r="W2028" s="3">
        <f t="shared" si="319"/>
        <v>0</v>
      </c>
      <c r="AA2028" s="3">
        <v>48</v>
      </c>
    </row>
    <row r="2029" spans="1:27" x14ac:dyDescent="0.3">
      <c r="A2029" s="3" t="str">
        <f t="shared" si="310"/>
        <v>North9410039902319</v>
      </c>
      <c r="B2029" s="3" t="str">
        <f t="shared" si="311"/>
        <v>Pan9410039902319</v>
      </c>
      <c r="C2029" s="10">
        <v>9410039902319</v>
      </c>
      <c r="D2029" s="10" t="str">
        <f t="shared" si="312"/>
        <v>9410039902</v>
      </c>
      <c r="E2029" s="3" t="s">
        <v>2</v>
      </c>
      <c r="F2029" s="3" t="s">
        <v>64</v>
      </c>
      <c r="H2029" s="3">
        <v>4.6360000000000001</v>
      </c>
      <c r="I2029" s="10">
        <f t="shared" si="313"/>
        <v>975.10807103344166</v>
      </c>
      <c r="J2029" s="3">
        <v>0.14263034440131322</v>
      </c>
      <c r="K2029" s="3">
        <v>0</v>
      </c>
      <c r="L2029" s="3">
        <f t="shared" si="314"/>
        <v>0</v>
      </c>
      <c r="N2029" s="11">
        <f t="shared" si="315"/>
        <v>4.4933696555986868</v>
      </c>
      <c r="O2029" s="3">
        <v>0.14263034440131322</v>
      </c>
      <c r="P2029" s="11">
        <f t="shared" si="316"/>
        <v>945.10807103344177</v>
      </c>
      <c r="Q2029" s="12">
        <f t="shared" si="317"/>
        <v>945.10807103344177</v>
      </c>
      <c r="R2029" s="13">
        <f t="shared" si="318"/>
        <v>1588.2169228535811</v>
      </c>
      <c r="S2029" s="3" t="s">
        <v>31</v>
      </c>
      <c r="T2029" s="3" t="s">
        <v>32</v>
      </c>
      <c r="U2029" s="10">
        <v>9410039913999</v>
      </c>
      <c r="V2029" s="3">
        <v>0.1</v>
      </c>
      <c r="W2029" s="3">
        <f t="shared" si="319"/>
        <v>0</v>
      </c>
      <c r="AA2029" s="3">
        <v>48</v>
      </c>
    </row>
    <row r="2030" spans="1:27" x14ac:dyDescent="0.3">
      <c r="A2030" s="3" t="str">
        <f t="shared" si="310"/>
        <v>North9310029902219</v>
      </c>
      <c r="B2030" s="3" t="str">
        <f t="shared" si="311"/>
        <v>Pan9310029902219</v>
      </c>
      <c r="C2030" s="10">
        <v>9310029902219</v>
      </c>
      <c r="D2030" s="10" t="str">
        <f t="shared" si="312"/>
        <v>9310029902</v>
      </c>
      <c r="E2030" s="3" t="s">
        <v>2</v>
      </c>
      <c r="F2030" s="3" t="s">
        <v>64</v>
      </c>
      <c r="H2030" s="3">
        <v>1.014</v>
      </c>
      <c r="I2030" s="10">
        <f t="shared" si="313"/>
        <v>263.21385098489606</v>
      </c>
      <c r="J2030" s="3">
        <v>0.11557142561523323</v>
      </c>
      <c r="K2030" s="3">
        <v>0</v>
      </c>
      <c r="L2030" s="3">
        <f t="shared" si="314"/>
        <v>0</v>
      </c>
      <c r="N2030" s="11">
        <f t="shared" si="315"/>
        <v>0.89842857438476675</v>
      </c>
      <c r="O2030" s="3">
        <v>0.11557142561523323</v>
      </c>
      <c r="P2030" s="11">
        <f t="shared" si="316"/>
        <v>233.21385098489606</v>
      </c>
      <c r="Q2030" s="12">
        <f t="shared" si="317"/>
        <v>219.60846541796113</v>
      </c>
      <c r="R2030" s="13">
        <f t="shared" si="318"/>
        <v>448.67095814884334</v>
      </c>
      <c r="S2030" s="3" t="s">
        <v>31</v>
      </c>
      <c r="T2030" s="3" t="s">
        <v>32</v>
      </c>
      <c r="U2030" s="10">
        <v>9310029900999</v>
      </c>
      <c r="V2030" s="3">
        <v>0.1</v>
      </c>
      <c r="W2030" s="3">
        <f t="shared" si="319"/>
        <v>0</v>
      </c>
      <c r="AA2030" s="3">
        <v>48</v>
      </c>
    </row>
    <row r="2031" spans="1:27" x14ac:dyDescent="0.3">
      <c r="A2031" s="3" t="str">
        <f t="shared" si="310"/>
        <v>North9310029902297</v>
      </c>
      <c r="B2031" s="3" t="str">
        <f t="shared" si="311"/>
        <v>Pan9310029902297</v>
      </c>
      <c r="C2031" s="10">
        <v>9310029902297</v>
      </c>
      <c r="D2031" s="10" t="str">
        <f t="shared" si="312"/>
        <v>9310029902</v>
      </c>
      <c r="E2031" s="3" t="s">
        <v>2</v>
      </c>
      <c r="F2031" s="3" t="s">
        <v>64</v>
      </c>
      <c r="H2031" s="3">
        <v>1.2090000000000001</v>
      </c>
      <c r="I2031" s="10">
        <f t="shared" si="313"/>
        <v>457.35235688989997</v>
      </c>
      <c r="J2031" s="3">
        <v>7.9304281378681965E-2</v>
      </c>
      <c r="K2031" s="3">
        <v>0</v>
      </c>
      <c r="L2031" s="3">
        <f t="shared" si="314"/>
        <v>0</v>
      </c>
      <c r="N2031" s="11">
        <f t="shared" si="315"/>
        <v>1.1296957186213181</v>
      </c>
      <c r="O2031" s="3">
        <v>7.9304281378681965E-2</v>
      </c>
      <c r="P2031" s="11">
        <f t="shared" si="316"/>
        <v>427.35235688989997</v>
      </c>
      <c r="Q2031" s="12">
        <f t="shared" si="317"/>
        <v>461.40638625298413</v>
      </c>
      <c r="R2031" s="13">
        <f t="shared" si="318"/>
        <v>963.61422022948886</v>
      </c>
      <c r="S2031" s="3" t="s">
        <v>31</v>
      </c>
      <c r="T2031" s="3" t="s">
        <v>32</v>
      </c>
      <c r="U2031" s="10">
        <v>9310029900999</v>
      </c>
      <c r="V2031" s="3">
        <v>0.1</v>
      </c>
      <c r="W2031" s="3">
        <f t="shared" si="319"/>
        <v>0</v>
      </c>
      <c r="AA2031" s="3">
        <v>48</v>
      </c>
    </row>
    <row r="2032" spans="1:27" x14ac:dyDescent="0.3">
      <c r="A2032" s="3" t="str">
        <f t="shared" si="310"/>
        <v>North9310029902839</v>
      </c>
      <c r="B2032" s="3" t="str">
        <f t="shared" si="311"/>
        <v>Pan9310029902839</v>
      </c>
      <c r="C2032" s="10">
        <v>9310029902839</v>
      </c>
      <c r="D2032" s="10" t="str">
        <f t="shared" si="312"/>
        <v>9310029902</v>
      </c>
      <c r="E2032" s="3" t="s">
        <v>2</v>
      </c>
      <c r="F2032" s="3" t="s">
        <v>64</v>
      </c>
      <c r="H2032" s="3">
        <v>1.2167999999999999</v>
      </c>
      <c r="I2032" s="10">
        <f t="shared" si="313"/>
        <v>618.84395243534607</v>
      </c>
      <c r="J2032" s="3">
        <v>5.8987406851671163E-2</v>
      </c>
      <c r="K2032" s="3">
        <v>0</v>
      </c>
      <c r="L2032" s="3">
        <f t="shared" si="314"/>
        <v>0</v>
      </c>
      <c r="N2032" s="11">
        <f t="shared" si="315"/>
        <v>1.1578125931483287</v>
      </c>
      <c r="O2032" s="3">
        <v>5.8987406851671163E-2</v>
      </c>
      <c r="P2032" s="11">
        <f t="shared" si="316"/>
        <v>588.84395243534607</v>
      </c>
      <c r="Q2032" s="12">
        <f t="shared" si="317"/>
        <v>810.99306356598311</v>
      </c>
      <c r="R2032" s="13">
        <f t="shared" si="318"/>
        <v>778.76793913046367</v>
      </c>
      <c r="S2032" s="3" t="s">
        <v>31</v>
      </c>
      <c r="T2032" s="3" t="s">
        <v>32</v>
      </c>
      <c r="U2032" s="10">
        <v>0</v>
      </c>
      <c r="V2032" s="3">
        <v>0</v>
      </c>
      <c r="W2032" s="3">
        <f t="shared" si="319"/>
        <v>0</v>
      </c>
      <c r="AA2032" s="3">
        <v>48</v>
      </c>
    </row>
    <row r="2033" spans="1:27" x14ac:dyDescent="0.3">
      <c r="A2033" s="3" t="str">
        <f t="shared" si="310"/>
        <v>North9410039902195</v>
      </c>
      <c r="B2033" s="3" t="str">
        <f t="shared" si="311"/>
        <v>Pan9410039902195</v>
      </c>
      <c r="C2033" s="10">
        <v>9410039902195</v>
      </c>
      <c r="D2033" s="10" t="str">
        <f t="shared" si="312"/>
        <v>9410039902</v>
      </c>
      <c r="E2033" s="3" t="s">
        <v>2</v>
      </c>
      <c r="F2033" s="3" t="s">
        <v>64</v>
      </c>
      <c r="H2033" s="3">
        <v>3.6612999999999998</v>
      </c>
      <c r="I2033" s="10">
        <f t="shared" si="313"/>
        <v>2692.4110054928033</v>
      </c>
      <c r="J2033" s="3">
        <v>4.0795777381654144E-2</v>
      </c>
      <c r="K2033" s="3">
        <v>0</v>
      </c>
      <c r="L2033" s="3">
        <f t="shared" si="314"/>
        <v>0</v>
      </c>
      <c r="N2033" s="11">
        <f t="shared" si="315"/>
        <v>3.6205042226183455</v>
      </c>
      <c r="O2033" s="3">
        <v>4.0795777381654144E-2</v>
      </c>
      <c r="P2033" s="11">
        <f t="shared" si="316"/>
        <v>2662.4110054928033</v>
      </c>
      <c r="Q2033" s="12">
        <f t="shared" si="317"/>
        <v>2662.4110054928033</v>
      </c>
      <c r="R2033" s="13">
        <f t="shared" si="318"/>
        <v>1426.4457706037354</v>
      </c>
      <c r="S2033" s="3" t="s">
        <v>31</v>
      </c>
      <c r="T2033" s="3" t="s">
        <v>32</v>
      </c>
      <c r="U2033" s="10">
        <v>0</v>
      </c>
      <c r="V2033" s="3">
        <v>0</v>
      </c>
      <c r="W2033" s="3">
        <f t="shared" si="319"/>
        <v>0</v>
      </c>
      <c r="AA2033" s="3">
        <v>48</v>
      </c>
    </row>
    <row r="2034" spans="1:27" x14ac:dyDescent="0.3">
      <c r="A2034" s="3" t="str">
        <f t="shared" si="310"/>
        <v>North9410039902295</v>
      </c>
      <c r="B2034" s="3" t="str">
        <f t="shared" si="311"/>
        <v>Pan9410039902295</v>
      </c>
      <c r="C2034" s="10">
        <v>9410039902295</v>
      </c>
      <c r="D2034" s="10" t="str">
        <f t="shared" si="312"/>
        <v>9410039902</v>
      </c>
      <c r="E2034" s="3" t="s">
        <v>2</v>
      </c>
      <c r="F2034" s="3" t="s">
        <v>64</v>
      </c>
      <c r="H2034" s="3">
        <v>13.993500000000001</v>
      </c>
      <c r="I2034" s="10">
        <f t="shared" si="313"/>
        <v>19867.047502831836</v>
      </c>
      <c r="J2034" s="3">
        <v>2.1130719093522141E-2</v>
      </c>
      <c r="K2034" s="3">
        <v>0</v>
      </c>
      <c r="L2034" s="3">
        <f t="shared" si="314"/>
        <v>0</v>
      </c>
      <c r="N2034" s="11">
        <f t="shared" si="315"/>
        <v>13.972369280906479</v>
      </c>
      <c r="O2034" s="3">
        <v>2.1130719093522141E-2</v>
      </c>
      <c r="P2034" s="11">
        <f t="shared" si="316"/>
        <v>19837.047502831836</v>
      </c>
      <c r="Q2034" s="12">
        <f t="shared" si="317"/>
        <v>19837.047502831836</v>
      </c>
      <c r="R2034" s="13">
        <f t="shared" si="318"/>
        <v>14507.811824597666</v>
      </c>
      <c r="S2034" s="3" t="s">
        <v>31</v>
      </c>
      <c r="T2034" s="3" t="s">
        <v>32</v>
      </c>
      <c r="U2034" s="10">
        <v>9410039913999</v>
      </c>
      <c r="V2034" s="3">
        <v>0.1</v>
      </c>
      <c r="W2034" s="3">
        <f t="shared" si="319"/>
        <v>0</v>
      </c>
      <c r="AA2034" s="3">
        <v>48</v>
      </c>
    </row>
    <row r="2035" spans="1:27" x14ac:dyDescent="0.3">
      <c r="A2035" s="3" t="str">
        <f t="shared" si="310"/>
        <v>North9410039902838</v>
      </c>
      <c r="B2035" s="3" t="str">
        <f t="shared" si="311"/>
        <v>Pan9410039902838</v>
      </c>
      <c r="C2035" s="10">
        <v>9410039902838</v>
      </c>
      <c r="D2035" s="10" t="str">
        <f t="shared" si="312"/>
        <v>9410039902</v>
      </c>
      <c r="E2035" s="3" t="s">
        <v>2</v>
      </c>
      <c r="F2035" s="3" t="s">
        <v>64</v>
      </c>
      <c r="H2035" s="3">
        <v>5.3732000000000006</v>
      </c>
      <c r="I2035" s="10">
        <f t="shared" si="313"/>
        <v>21024.977556271482</v>
      </c>
      <c r="J2035" s="3">
        <v>7.6668809547393458E-3</v>
      </c>
      <c r="K2035" s="3">
        <v>0</v>
      </c>
      <c r="L2035" s="3">
        <f t="shared" si="314"/>
        <v>0</v>
      </c>
      <c r="N2035" s="11">
        <f t="shared" si="315"/>
        <v>5.3655331190452609</v>
      </c>
      <c r="O2035" s="3">
        <v>7.6668809547393458E-3</v>
      </c>
      <c r="P2035" s="11">
        <f t="shared" si="316"/>
        <v>20994.977556271482</v>
      </c>
      <c r="Q2035" s="12">
        <f t="shared" si="317"/>
        <v>20994.977556271479</v>
      </c>
      <c r="R2035" s="13">
        <f t="shared" si="318"/>
        <v>19340.266627370947</v>
      </c>
      <c r="S2035" s="3" t="s">
        <v>31</v>
      </c>
      <c r="T2035" s="3" t="s">
        <v>32</v>
      </c>
      <c r="U2035" s="10">
        <v>0</v>
      </c>
      <c r="V2035" s="3">
        <v>0</v>
      </c>
      <c r="W2035" s="3">
        <f t="shared" si="319"/>
        <v>0</v>
      </c>
      <c r="AA2035" s="3">
        <v>48</v>
      </c>
    </row>
    <row r="2036" spans="1:27" x14ac:dyDescent="0.3">
      <c r="A2036" s="3" t="str">
        <f t="shared" si="310"/>
        <v>North9320089900310</v>
      </c>
      <c r="B2036" s="3" t="str">
        <f t="shared" si="311"/>
        <v>Pan9320089900310</v>
      </c>
      <c r="C2036" s="10">
        <v>9320089900310</v>
      </c>
      <c r="D2036" s="10" t="str">
        <f t="shared" si="312"/>
        <v>9320089900</v>
      </c>
      <c r="E2036" s="3" t="s">
        <v>2</v>
      </c>
      <c r="F2036" s="3" t="s">
        <v>64</v>
      </c>
      <c r="H2036" s="3">
        <v>0</v>
      </c>
      <c r="I2036" s="10">
        <f t="shared" si="313"/>
        <v>0</v>
      </c>
      <c r="J2036" s="3">
        <v>0</v>
      </c>
      <c r="K2036" s="3">
        <v>0</v>
      </c>
      <c r="L2036" s="3">
        <f t="shared" si="314"/>
        <v>0</v>
      </c>
      <c r="N2036" s="11">
        <f t="shared" si="315"/>
        <v>0</v>
      </c>
      <c r="O2036" s="3">
        <v>0</v>
      </c>
      <c r="P2036" s="11">
        <f t="shared" si="316"/>
        <v>9999</v>
      </c>
      <c r="Q2036" s="12">
        <f t="shared" si="317"/>
        <v>-30</v>
      </c>
      <c r="R2036" s="13">
        <f t="shared" si="318"/>
        <v>-29.999999999999996</v>
      </c>
      <c r="S2036" s="3" t="s">
        <v>31</v>
      </c>
      <c r="T2036" s="3" t="s">
        <v>28</v>
      </c>
      <c r="U2036" s="10">
        <v>9320089900999</v>
      </c>
      <c r="V2036" s="3">
        <v>0.1</v>
      </c>
      <c r="W2036" s="3">
        <f t="shared" si="319"/>
        <v>0</v>
      </c>
      <c r="AA2036" s="3">
        <v>48</v>
      </c>
    </row>
    <row r="2037" spans="1:27" x14ac:dyDescent="0.3">
      <c r="A2037" s="3" t="str">
        <f t="shared" si="310"/>
        <v>North9160709902097</v>
      </c>
      <c r="B2037" s="3" t="str">
        <f t="shared" si="311"/>
        <v>Pan9160709902097</v>
      </c>
      <c r="C2037" s="10">
        <v>9160709902097</v>
      </c>
      <c r="D2037" s="10" t="str">
        <f t="shared" si="312"/>
        <v>9160709902</v>
      </c>
      <c r="E2037" s="3" t="s">
        <v>2</v>
      </c>
      <c r="F2037" s="3" t="s">
        <v>64</v>
      </c>
      <c r="H2037" s="3">
        <v>0</v>
      </c>
      <c r="I2037" s="10">
        <f t="shared" si="313"/>
        <v>0</v>
      </c>
      <c r="J2037" s="3">
        <v>0</v>
      </c>
      <c r="K2037" s="3">
        <v>0</v>
      </c>
      <c r="L2037" s="3">
        <f t="shared" si="314"/>
        <v>0</v>
      </c>
      <c r="N2037" s="11">
        <f t="shared" si="315"/>
        <v>0</v>
      </c>
      <c r="O2037" s="3">
        <v>0</v>
      </c>
      <c r="P2037" s="11">
        <f t="shared" si="316"/>
        <v>9999</v>
      </c>
      <c r="Q2037" s="12">
        <f t="shared" si="317"/>
        <v>9999</v>
      </c>
      <c r="R2037" s="13">
        <f t="shared" si="318"/>
        <v>9999</v>
      </c>
      <c r="S2037" s="3" t="s">
        <v>31</v>
      </c>
      <c r="T2037" s="3" t="s">
        <v>34</v>
      </c>
      <c r="U2037" s="10" t="s">
        <v>72</v>
      </c>
      <c r="V2037" s="3" t="s">
        <v>72</v>
      </c>
      <c r="W2037" s="3">
        <f t="shared" si="319"/>
        <v>0</v>
      </c>
      <c r="AA2037" s="3">
        <v>48</v>
      </c>
    </row>
    <row r="2038" spans="1:27" x14ac:dyDescent="0.3">
      <c r="A2038" s="3" t="str">
        <f t="shared" si="310"/>
        <v>North9100509900210</v>
      </c>
      <c r="B2038" s="3" t="str">
        <f t="shared" si="311"/>
        <v>Pan9100509900210</v>
      </c>
      <c r="C2038" s="10">
        <v>9100509900210</v>
      </c>
      <c r="D2038" s="10" t="str">
        <f t="shared" si="312"/>
        <v>9100509900</v>
      </c>
      <c r="E2038" s="3" t="s">
        <v>2</v>
      </c>
      <c r="F2038" s="3" t="s">
        <v>64</v>
      </c>
      <c r="H2038" s="3">
        <v>0</v>
      </c>
      <c r="I2038" s="10">
        <f t="shared" si="313"/>
        <v>0</v>
      </c>
      <c r="J2038" s="3">
        <v>0</v>
      </c>
      <c r="K2038" s="3">
        <v>0</v>
      </c>
      <c r="L2038" s="3">
        <f t="shared" si="314"/>
        <v>0</v>
      </c>
      <c r="N2038" s="11">
        <f t="shared" si="315"/>
        <v>0</v>
      </c>
      <c r="O2038" s="3">
        <v>0</v>
      </c>
      <c r="P2038" s="11">
        <f t="shared" si="316"/>
        <v>9999</v>
      </c>
      <c r="Q2038" s="12">
        <f t="shared" si="317"/>
        <v>9999</v>
      </c>
      <c r="R2038" s="13">
        <f t="shared" si="318"/>
        <v>9999</v>
      </c>
      <c r="S2038" s="3" t="s">
        <v>31</v>
      </c>
      <c r="T2038" s="3" t="s">
        <v>34</v>
      </c>
      <c r="U2038" s="10" t="s">
        <v>72</v>
      </c>
      <c r="V2038" s="3" t="s">
        <v>72</v>
      </c>
      <c r="W2038" s="3">
        <f t="shared" si="319"/>
        <v>0</v>
      </c>
      <c r="AA2038" s="3">
        <v>48</v>
      </c>
    </row>
    <row r="2039" spans="1:27" x14ac:dyDescent="0.3">
      <c r="A2039" s="3" t="str">
        <f t="shared" si="310"/>
        <v>North9161089900210</v>
      </c>
      <c r="B2039" s="3" t="str">
        <f t="shared" si="311"/>
        <v>Pan9161089900210</v>
      </c>
      <c r="C2039" s="10">
        <v>9161089900210</v>
      </c>
      <c r="D2039" s="10" t="str">
        <f t="shared" si="312"/>
        <v>9161089900</v>
      </c>
      <c r="E2039" s="3" t="s">
        <v>2</v>
      </c>
      <c r="F2039" s="3" t="s">
        <v>64</v>
      </c>
      <c r="H2039" s="3">
        <v>0</v>
      </c>
      <c r="I2039" s="10">
        <f t="shared" si="313"/>
        <v>0</v>
      </c>
      <c r="J2039" s="3">
        <v>0</v>
      </c>
      <c r="K2039" s="3">
        <v>0</v>
      </c>
      <c r="L2039" s="3">
        <f t="shared" si="314"/>
        <v>0</v>
      </c>
      <c r="N2039" s="11">
        <f t="shared" si="315"/>
        <v>0</v>
      </c>
      <c r="O2039" s="3">
        <v>0</v>
      </c>
      <c r="P2039" s="11">
        <f t="shared" si="316"/>
        <v>9999</v>
      </c>
      <c r="Q2039" s="12">
        <f t="shared" si="317"/>
        <v>9999</v>
      </c>
      <c r="R2039" s="13">
        <f t="shared" si="318"/>
        <v>9999</v>
      </c>
      <c r="S2039" s="3" t="s">
        <v>31</v>
      </c>
      <c r="T2039" s="3" t="s">
        <v>34</v>
      </c>
      <c r="U2039" s="10" t="s">
        <v>72</v>
      </c>
      <c r="V2039" s="3" t="s">
        <v>72</v>
      </c>
      <c r="W2039" s="3">
        <f t="shared" si="319"/>
        <v>0</v>
      </c>
      <c r="AA2039" s="3">
        <v>48</v>
      </c>
    </row>
    <row r="2040" spans="1:27" x14ac:dyDescent="0.3">
      <c r="A2040" s="3" t="str">
        <f t="shared" si="310"/>
        <v>North9100309902195</v>
      </c>
      <c r="B2040" s="3" t="str">
        <f t="shared" si="311"/>
        <v>Pan9100309902195</v>
      </c>
      <c r="C2040" s="10">
        <v>9100309902195</v>
      </c>
      <c r="D2040" s="10" t="str">
        <f t="shared" si="312"/>
        <v>9100309902</v>
      </c>
      <c r="E2040" s="3" t="s">
        <v>2</v>
      </c>
      <c r="F2040" s="3" t="s">
        <v>64</v>
      </c>
      <c r="H2040" s="3">
        <v>0</v>
      </c>
      <c r="I2040" s="10">
        <f t="shared" si="313"/>
        <v>0</v>
      </c>
      <c r="J2040" s="3">
        <v>0</v>
      </c>
      <c r="K2040" s="3">
        <v>0</v>
      </c>
      <c r="L2040" s="3">
        <f t="shared" si="314"/>
        <v>0</v>
      </c>
      <c r="N2040" s="11">
        <f t="shared" si="315"/>
        <v>0</v>
      </c>
      <c r="O2040" s="3">
        <v>0</v>
      </c>
      <c r="P2040" s="11">
        <f t="shared" si="316"/>
        <v>9999</v>
      </c>
      <c r="Q2040" s="12">
        <f t="shared" si="317"/>
        <v>9999</v>
      </c>
      <c r="R2040" s="13">
        <f t="shared" si="318"/>
        <v>9999</v>
      </c>
      <c r="S2040" s="3" t="s">
        <v>31</v>
      </c>
      <c r="T2040" s="3" t="s">
        <v>34</v>
      </c>
      <c r="U2040" s="10" t="s">
        <v>72</v>
      </c>
      <c r="V2040" s="3" t="s">
        <v>72</v>
      </c>
      <c r="W2040" s="3">
        <f t="shared" si="319"/>
        <v>0</v>
      </c>
      <c r="AA2040" s="3">
        <v>48</v>
      </c>
    </row>
    <row r="2041" spans="1:27" x14ac:dyDescent="0.3">
      <c r="A2041" s="3" t="str">
        <f t="shared" si="310"/>
        <v>North9420139900840</v>
      </c>
      <c r="B2041" s="3" t="str">
        <f t="shared" si="311"/>
        <v>Pan9420139900840</v>
      </c>
      <c r="C2041" s="10">
        <v>9420139900840</v>
      </c>
      <c r="D2041" s="10" t="str">
        <f t="shared" si="312"/>
        <v>9420139900</v>
      </c>
      <c r="E2041" s="3" t="s">
        <v>2</v>
      </c>
      <c r="F2041" s="3" t="s">
        <v>64</v>
      </c>
      <c r="H2041" s="3">
        <v>0</v>
      </c>
      <c r="I2041" s="10">
        <f t="shared" si="313"/>
        <v>0</v>
      </c>
      <c r="J2041" s="3">
        <v>0</v>
      </c>
      <c r="K2041" s="3">
        <v>0</v>
      </c>
      <c r="L2041" s="3">
        <f t="shared" si="314"/>
        <v>0</v>
      </c>
      <c r="N2041" s="11">
        <f t="shared" si="315"/>
        <v>0</v>
      </c>
      <c r="O2041" s="3">
        <v>0</v>
      </c>
      <c r="P2041" s="11">
        <f t="shared" si="316"/>
        <v>9999</v>
      </c>
      <c r="Q2041" s="12">
        <f t="shared" si="317"/>
        <v>-30</v>
      </c>
      <c r="R2041" s="13">
        <f t="shared" si="318"/>
        <v>-30.000000000000004</v>
      </c>
      <c r="S2041" s="3" t="s">
        <v>31</v>
      </c>
      <c r="T2041" s="3" t="s">
        <v>28</v>
      </c>
      <c r="U2041" s="10">
        <v>0</v>
      </c>
      <c r="V2041" s="3">
        <v>0</v>
      </c>
      <c r="W2041" s="3">
        <f t="shared" si="319"/>
        <v>0</v>
      </c>
      <c r="AA2041" s="3">
        <v>48</v>
      </c>
    </row>
    <row r="2042" spans="1:27" x14ac:dyDescent="0.3">
      <c r="A2042" s="3" t="str">
        <f t="shared" si="310"/>
        <v>North9320099900840</v>
      </c>
      <c r="B2042" s="3" t="str">
        <f t="shared" si="311"/>
        <v>Pan9320099900840</v>
      </c>
      <c r="C2042" s="10">
        <v>9320099900840</v>
      </c>
      <c r="D2042" s="10" t="str">
        <f t="shared" si="312"/>
        <v>9320099900</v>
      </c>
      <c r="E2042" s="3" t="s">
        <v>2</v>
      </c>
      <c r="F2042" s="3" t="s">
        <v>64</v>
      </c>
      <c r="H2042" s="3">
        <v>0</v>
      </c>
      <c r="I2042" s="10">
        <f t="shared" si="313"/>
        <v>0</v>
      </c>
      <c r="J2042" s="3">
        <v>0</v>
      </c>
      <c r="K2042" s="3">
        <v>0</v>
      </c>
      <c r="L2042" s="3">
        <f t="shared" si="314"/>
        <v>0</v>
      </c>
      <c r="N2042" s="11">
        <f t="shared" si="315"/>
        <v>0</v>
      </c>
      <c r="O2042" s="3">
        <v>0</v>
      </c>
      <c r="P2042" s="11">
        <f t="shared" si="316"/>
        <v>9999</v>
      </c>
      <c r="Q2042" s="12">
        <f t="shared" si="317"/>
        <v>-30</v>
      </c>
      <c r="R2042" s="13">
        <f t="shared" si="318"/>
        <v>-29.999999999999996</v>
      </c>
      <c r="S2042" s="3" t="s">
        <v>31</v>
      </c>
      <c r="T2042" s="3" t="s">
        <v>28</v>
      </c>
      <c r="U2042" s="10">
        <v>0</v>
      </c>
      <c r="V2042" s="3">
        <v>0</v>
      </c>
      <c r="W2042" s="3">
        <f t="shared" si="319"/>
        <v>0</v>
      </c>
      <c r="AA2042" s="3">
        <v>48</v>
      </c>
    </row>
    <row r="2043" spans="1:27" x14ac:dyDescent="0.3">
      <c r="A2043" s="3" t="str">
        <f t="shared" si="310"/>
        <v>North9160509902097</v>
      </c>
      <c r="B2043" s="3" t="str">
        <f t="shared" si="311"/>
        <v>Pan9160509902097</v>
      </c>
      <c r="C2043" s="10">
        <v>9160509902097</v>
      </c>
      <c r="D2043" s="10" t="str">
        <f t="shared" si="312"/>
        <v>9160509902</v>
      </c>
      <c r="E2043" s="3" t="s">
        <v>2</v>
      </c>
      <c r="F2043" s="3" t="s">
        <v>64</v>
      </c>
      <c r="H2043" s="3">
        <v>0</v>
      </c>
      <c r="I2043" s="10">
        <f t="shared" si="313"/>
        <v>0</v>
      </c>
      <c r="J2043" s="3">
        <v>0</v>
      </c>
      <c r="K2043" s="3">
        <v>0</v>
      </c>
      <c r="L2043" s="3">
        <f t="shared" si="314"/>
        <v>0</v>
      </c>
      <c r="N2043" s="11">
        <f t="shared" si="315"/>
        <v>0</v>
      </c>
      <c r="O2043" s="3">
        <v>0</v>
      </c>
      <c r="P2043" s="11">
        <f t="shared" si="316"/>
        <v>9999</v>
      </c>
      <c r="Q2043" s="12">
        <f t="shared" si="317"/>
        <v>9999</v>
      </c>
      <c r="R2043" s="13">
        <f t="shared" si="318"/>
        <v>9999</v>
      </c>
      <c r="S2043" s="3" t="s">
        <v>31</v>
      </c>
      <c r="T2043" s="3" t="s">
        <v>34</v>
      </c>
      <c r="U2043" s="10" t="s">
        <v>72</v>
      </c>
      <c r="V2043" s="3" t="s">
        <v>72</v>
      </c>
      <c r="W2043" s="3">
        <f t="shared" si="319"/>
        <v>0</v>
      </c>
      <c r="AA2043" s="3">
        <v>48</v>
      </c>
    </row>
    <row r="2044" spans="1:27" x14ac:dyDescent="0.3">
      <c r="A2044" s="3" t="str">
        <f t="shared" si="310"/>
        <v>North9320089900840</v>
      </c>
      <c r="B2044" s="3" t="str">
        <f t="shared" si="311"/>
        <v>Pan9320089900840</v>
      </c>
      <c r="C2044" s="10">
        <v>9320089900840</v>
      </c>
      <c r="D2044" s="10" t="str">
        <f t="shared" si="312"/>
        <v>9320089900</v>
      </c>
      <c r="E2044" s="3" t="s">
        <v>2</v>
      </c>
      <c r="F2044" s="3" t="s">
        <v>64</v>
      </c>
      <c r="H2044" s="3">
        <v>0</v>
      </c>
      <c r="I2044" s="10">
        <f t="shared" si="313"/>
        <v>0</v>
      </c>
      <c r="J2044" s="3">
        <v>0</v>
      </c>
      <c r="K2044" s="3">
        <v>0</v>
      </c>
      <c r="L2044" s="3">
        <f t="shared" si="314"/>
        <v>0</v>
      </c>
      <c r="N2044" s="11">
        <f t="shared" si="315"/>
        <v>0</v>
      </c>
      <c r="O2044" s="3">
        <v>0</v>
      </c>
      <c r="P2044" s="11">
        <f t="shared" si="316"/>
        <v>9999</v>
      </c>
      <c r="Q2044" s="12">
        <f t="shared" si="317"/>
        <v>-30</v>
      </c>
      <c r="R2044" s="13">
        <f t="shared" si="318"/>
        <v>-29.999999999999996</v>
      </c>
      <c r="S2044" s="3" t="s">
        <v>31</v>
      </c>
      <c r="T2044" s="3" t="s">
        <v>28</v>
      </c>
      <c r="U2044" s="10">
        <v>0</v>
      </c>
      <c r="V2044" s="3">
        <v>0</v>
      </c>
      <c r="W2044" s="3">
        <f t="shared" si="319"/>
        <v>0</v>
      </c>
      <c r="AA2044" s="3">
        <v>48</v>
      </c>
    </row>
    <row r="2045" spans="1:27" x14ac:dyDescent="0.3">
      <c r="A2045" s="3" t="str">
        <f t="shared" si="310"/>
        <v>North9420139900310</v>
      </c>
      <c r="B2045" s="3" t="str">
        <f t="shared" si="311"/>
        <v>Pan9420139900310</v>
      </c>
      <c r="C2045" s="10">
        <v>9420139900310</v>
      </c>
      <c r="D2045" s="10" t="str">
        <f t="shared" si="312"/>
        <v>9420139900</v>
      </c>
      <c r="E2045" s="3" t="s">
        <v>2</v>
      </c>
      <c r="F2045" s="3" t="s">
        <v>64</v>
      </c>
      <c r="H2045" s="3">
        <v>0</v>
      </c>
      <c r="I2045" s="10">
        <f t="shared" si="313"/>
        <v>0</v>
      </c>
      <c r="J2045" s="3">
        <v>0</v>
      </c>
      <c r="K2045" s="3">
        <v>0</v>
      </c>
      <c r="L2045" s="3">
        <f t="shared" si="314"/>
        <v>0</v>
      </c>
      <c r="N2045" s="11">
        <f t="shared" si="315"/>
        <v>0</v>
      </c>
      <c r="O2045" s="3">
        <v>0</v>
      </c>
      <c r="P2045" s="11">
        <f t="shared" si="316"/>
        <v>9999</v>
      </c>
      <c r="Q2045" s="12">
        <f t="shared" si="317"/>
        <v>-30</v>
      </c>
      <c r="R2045" s="13">
        <f t="shared" si="318"/>
        <v>-29.999999999999996</v>
      </c>
      <c r="S2045" s="3" t="s">
        <v>31</v>
      </c>
      <c r="T2045" s="3" t="s">
        <v>28</v>
      </c>
      <c r="U2045" s="10">
        <v>9420139900999</v>
      </c>
      <c r="V2045" s="3">
        <v>0.1</v>
      </c>
      <c r="W2045" s="3">
        <f t="shared" si="319"/>
        <v>0</v>
      </c>
      <c r="AA2045" s="3">
        <v>48</v>
      </c>
    </row>
    <row r="2046" spans="1:27" x14ac:dyDescent="0.3">
      <c r="A2046" s="3" t="str">
        <f t="shared" si="310"/>
        <v>North9160509901210</v>
      </c>
      <c r="B2046" s="3" t="str">
        <f t="shared" si="311"/>
        <v>Pan9160509901210</v>
      </c>
      <c r="C2046" s="10">
        <v>9160509901210</v>
      </c>
      <c r="D2046" s="10" t="str">
        <f t="shared" si="312"/>
        <v>9160509901</v>
      </c>
      <c r="E2046" s="3" t="s">
        <v>2</v>
      </c>
      <c r="F2046" s="3" t="s">
        <v>64</v>
      </c>
      <c r="H2046" s="3">
        <v>1.3000000000000001E-2</v>
      </c>
      <c r="I2046" s="10">
        <f t="shared" si="313"/>
        <v>0</v>
      </c>
      <c r="J2046" s="3">
        <v>0</v>
      </c>
      <c r="K2046" s="3">
        <v>0</v>
      </c>
      <c r="L2046" s="3">
        <f t="shared" si="314"/>
        <v>0</v>
      </c>
      <c r="N2046" s="11">
        <f t="shared" si="315"/>
        <v>1.3000000000000001E-2</v>
      </c>
      <c r="O2046" s="3">
        <v>0</v>
      </c>
      <c r="P2046" s="11">
        <f t="shared" si="316"/>
        <v>9999</v>
      </c>
      <c r="Q2046" s="12">
        <f t="shared" si="317"/>
        <v>9999</v>
      </c>
      <c r="R2046" s="13">
        <f t="shared" si="318"/>
        <v>9999</v>
      </c>
      <c r="S2046" s="3" t="s">
        <v>31</v>
      </c>
      <c r="T2046" s="3" t="s">
        <v>34</v>
      </c>
      <c r="U2046" s="10" t="s">
        <v>72</v>
      </c>
      <c r="V2046" s="3" t="s">
        <v>72</v>
      </c>
      <c r="W2046" s="3">
        <f t="shared" si="319"/>
        <v>0</v>
      </c>
      <c r="AA2046" s="3">
        <v>48</v>
      </c>
    </row>
    <row r="2047" spans="1:27" x14ac:dyDescent="0.3">
      <c r="A2047" s="3" t="str">
        <f t="shared" si="310"/>
        <v>North9320099901840</v>
      </c>
      <c r="B2047" s="3" t="str">
        <f t="shared" si="311"/>
        <v>Pan9320099901840</v>
      </c>
      <c r="C2047" s="10">
        <v>9320099901840</v>
      </c>
      <c r="D2047" s="10" t="str">
        <f t="shared" si="312"/>
        <v>9320099901</v>
      </c>
      <c r="E2047" s="3" t="s">
        <v>2</v>
      </c>
      <c r="F2047" s="3" t="s">
        <v>64</v>
      </c>
      <c r="H2047" s="3">
        <v>0</v>
      </c>
      <c r="I2047" s="10">
        <f t="shared" si="313"/>
        <v>0</v>
      </c>
      <c r="J2047" s="3">
        <v>0</v>
      </c>
      <c r="K2047" s="3">
        <v>0</v>
      </c>
      <c r="L2047" s="3">
        <f t="shared" si="314"/>
        <v>0</v>
      </c>
      <c r="N2047" s="11">
        <f t="shared" si="315"/>
        <v>0</v>
      </c>
      <c r="O2047" s="3">
        <v>0</v>
      </c>
      <c r="P2047" s="11">
        <f t="shared" si="316"/>
        <v>9999</v>
      </c>
      <c r="Q2047" s="12">
        <f t="shared" si="317"/>
        <v>-30</v>
      </c>
      <c r="R2047" s="13">
        <f t="shared" si="318"/>
        <v>-29.999999999999996</v>
      </c>
      <c r="S2047" s="3" t="s">
        <v>31</v>
      </c>
      <c r="T2047" s="3" t="s">
        <v>28</v>
      </c>
      <c r="U2047" s="10">
        <v>0</v>
      </c>
      <c r="V2047" s="3">
        <v>0</v>
      </c>
      <c r="W2047" s="3">
        <f t="shared" si="319"/>
        <v>0</v>
      </c>
      <c r="AA2047" s="3">
        <v>48</v>
      </c>
    </row>
    <row r="2048" spans="1:27" x14ac:dyDescent="0.3">
      <c r="A2048" s="3" t="str">
        <f t="shared" si="310"/>
        <v>North9320089901840</v>
      </c>
      <c r="B2048" s="3" t="str">
        <f t="shared" si="311"/>
        <v>Pan9320089901840</v>
      </c>
      <c r="C2048" s="10">
        <v>9320089901840</v>
      </c>
      <c r="D2048" s="10" t="str">
        <f t="shared" si="312"/>
        <v>9320089901</v>
      </c>
      <c r="E2048" s="3" t="s">
        <v>2</v>
      </c>
      <c r="F2048" s="3" t="s">
        <v>64</v>
      </c>
      <c r="H2048" s="3">
        <v>0</v>
      </c>
      <c r="I2048" s="10">
        <f t="shared" si="313"/>
        <v>0</v>
      </c>
      <c r="J2048" s="3">
        <v>0</v>
      </c>
      <c r="K2048" s="3">
        <v>0</v>
      </c>
      <c r="L2048" s="3">
        <f t="shared" si="314"/>
        <v>0</v>
      </c>
      <c r="N2048" s="11">
        <f t="shared" si="315"/>
        <v>0</v>
      </c>
      <c r="O2048" s="3">
        <v>0</v>
      </c>
      <c r="P2048" s="11">
        <f t="shared" si="316"/>
        <v>9999</v>
      </c>
      <c r="Q2048" s="12">
        <f t="shared" si="317"/>
        <v>-30</v>
      </c>
      <c r="R2048" s="13">
        <f t="shared" si="318"/>
        <v>-30</v>
      </c>
      <c r="S2048" s="3" t="s">
        <v>31</v>
      </c>
      <c r="T2048" s="3" t="s">
        <v>28</v>
      </c>
      <c r="U2048" s="10">
        <v>0</v>
      </c>
      <c r="V2048" s="3">
        <v>0</v>
      </c>
      <c r="W2048" s="3">
        <f t="shared" si="319"/>
        <v>0</v>
      </c>
      <c r="AA2048" s="3">
        <v>48</v>
      </c>
    </row>
    <row r="2049" spans="1:27" x14ac:dyDescent="0.3">
      <c r="A2049" s="3" t="str">
        <f t="shared" si="310"/>
        <v>North9310029902097</v>
      </c>
      <c r="B2049" s="3" t="str">
        <f t="shared" si="311"/>
        <v>Pan9310029902097</v>
      </c>
      <c r="C2049" s="10">
        <v>9310029902097</v>
      </c>
      <c r="D2049" s="10" t="str">
        <f t="shared" si="312"/>
        <v>9310029902</v>
      </c>
      <c r="E2049" s="3" t="s">
        <v>2</v>
      </c>
      <c r="F2049" s="3" t="s">
        <v>64</v>
      </c>
      <c r="H2049" s="3">
        <v>0</v>
      </c>
      <c r="I2049" s="10">
        <f t="shared" si="313"/>
        <v>0</v>
      </c>
      <c r="J2049" s="3">
        <v>0</v>
      </c>
      <c r="K2049" s="3">
        <v>0</v>
      </c>
      <c r="L2049" s="3">
        <f t="shared" si="314"/>
        <v>0</v>
      </c>
      <c r="N2049" s="11">
        <f t="shared" si="315"/>
        <v>0</v>
      </c>
      <c r="O2049" s="3">
        <v>0</v>
      </c>
      <c r="P2049" s="11">
        <f t="shared" si="316"/>
        <v>9999</v>
      </c>
      <c r="Q2049" s="12">
        <f t="shared" si="317"/>
        <v>9999</v>
      </c>
      <c r="R2049" s="13">
        <f t="shared" si="318"/>
        <v>9999</v>
      </c>
      <c r="S2049" s="3" t="s">
        <v>31</v>
      </c>
      <c r="T2049" s="3" t="s">
        <v>32</v>
      </c>
      <c r="U2049" s="10">
        <v>0</v>
      </c>
      <c r="V2049" s="3">
        <v>0</v>
      </c>
      <c r="W2049" s="3">
        <f t="shared" si="319"/>
        <v>0</v>
      </c>
      <c r="AA2049" s="3">
        <v>48</v>
      </c>
    </row>
    <row r="2050" spans="1:27" x14ac:dyDescent="0.3">
      <c r="A2050" s="3" t="str">
        <f t="shared" si="310"/>
        <v>North9431009913820</v>
      </c>
      <c r="B2050" s="3" t="str">
        <f t="shared" si="311"/>
        <v>Lud9431009913820</v>
      </c>
      <c r="C2050" s="10">
        <v>9431009913820</v>
      </c>
      <c r="D2050" s="10" t="str">
        <f t="shared" si="312"/>
        <v>9431009913</v>
      </c>
      <c r="E2050" s="3" t="s">
        <v>3</v>
      </c>
      <c r="F2050" s="3" t="s">
        <v>64</v>
      </c>
      <c r="H2050" s="3">
        <v>372.3</v>
      </c>
      <c r="I2050" s="10">
        <f t="shared" si="313"/>
        <v>34.086525152584947</v>
      </c>
      <c r="J2050" s="3">
        <v>327.66613639856456</v>
      </c>
      <c r="K2050" s="3">
        <v>216</v>
      </c>
      <c r="L2050" s="3">
        <f t="shared" si="314"/>
        <v>0</v>
      </c>
      <c r="N2050" s="11">
        <f t="shared" si="315"/>
        <v>44.633863601435451</v>
      </c>
      <c r="O2050" s="3">
        <v>327.66613639856456</v>
      </c>
      <c r="P2050" s="11">
        <f t="shared" si="316"/>
        <v>4.0865251525849455</v>
      </c>
      <c r="Q2050" s="12">
        <f t="shared" si="317"/>
        <v>0.58461345242409402</v>
      </c>
      <c r="R2050" s="13">
        <f t="shared" si="318"/>
        <v>-2.5561230746082235</v>
      </c>
      <c r="S2050" s="3" t="s">
        <v>29</v>
      </c>
      <c r="T2050" s="3" t="s">
        <v>35</v>
      </c>
      <c r="U2050" s="10">
        <v>0</v>
      </c>
      <c r="V2050" s="3">
        <v>0</v>
      </c>
      <c r="W2050" s="3">
        <f t="shared" si="319"/>
        <v>0</v>
      </c>
      <c r="AA2050" s="3">
        <v>48</v>
      </c>
    </row>
    <row r="2051" spans="1:27" x14ac:dyDescent="0.3">
      <c r="A2051" s="3" t="str">
        <f t="shared" si="310"/>
        <v>North9360039900320</v>
      </c>
      <c r="B2051" s="3" t="str">
        <f t="shared" si="311"/>
        <v>Lud9360039900320</v>
      </c>
      <c r="C2051" s="10">
        <v>9360039900320</v>
      </c>
      <c r="D2051" s="10" t="str">
        <f t="shared" si="312"/>
        <v>9360039900</v>
      </c>
      <c r="E2051" s="3" t="s">
        <v>3</v>
      </c>
      <c r="F2051" s="3" t="s">
        <v>64</v>
      </c>
      <c r="H2051" s="3">
        <v>116.77999999999999</v>
      </c>
      <c r="I2051" s="10">
        <f t="shared" si="313"/>
        <v>14.030416487837675</v>
      </c>
      <c r="J2051" s="3">
        <v>249.70035658149826</v>
      </c>
      <c r="K2051" s="3">
        <v>336</v>
      </c>
      <c r="L2051" s="3">
        <f t="shared" si="314"/>
        <v>0</v>
      </c>
      <c r="N2051" s="11">
        <f t="shared" si="315"/>
        <v>-132.92035658149825</v>
      </c>
      <c r="O2051" s="3">
        <v>249.70035658149826</v>
      </c>
      <c r="P2051" s="11">
        <f t="shared" si="316"/>
        <v>-15.969583512162325</v>
      </c>
      <c r="Q2051" s="12">
        <f t="shared" si="317"/>
        <v>-21.906561598420257</v>
      </c>
      <c r="R2051" s="13">
        <f t="shared" si="318"/>
        <v>-20.402843801646455</v>
      </c>
      <c r="S2051" s="3" t="s">
        <v>29</v>
      </c>
      <c r="T2051" s="3" t="s">
        <v>33</v>
      </c>
      <c r="U2051" s="10">
        <v>9360039900999</v>
      </c>
      <c r="V2051" s="3">
        <v>0.1</v>
      </c>
      <c r="W2051" s="3">
        <f t="shared" si="319"/>
        <v>33.6</v>
      </c>
      <c r="AA2051" s="3">
        <v>48</v>
      </c>
    </row>
    <row r="2052" spans="1:27" x14ac:dyDescent="0.3">
      <c r="A2052" s="3" t="str">
        <f t="shared" ref="A2052:A2115" si="320">_xlfn.CONCAT(F2052,C2052)</f>
        <v>North9437019900320</v>
      </c>
      <c r="B2052" s="3" t="str">
        <f t="shared" ref="B2052:B2115" si="321">_xlfn.CONCAT(E2052,C2052)</f>
        <v>Lud9437019900320</v>
      </c>
      <c r="C2052" s="10">
        <v>9437019900320</v>
      </c>
      <c r="D2052" s="10" t="str">
        <f t="shared" ref="D2052:D2115" si="322">LEFT(C2052,10)</f>
        <v>9437019900</v>
      </c>
      <c r="E2052" s="3" t="s">
        <v>3</v>
      </c>
      <c r="F2052" s="3" t="s">
        <v>64</v>
      </c>
      <c r="H2052" s="3">
        <v>155.36000000000001</v>
      </c>
      <c r="I2052" s="10">
        <f t="shared" ref="I2052:I2115" si="323">IFERROR(H2052/J2052*30,0)</f>
        <v>23.472641310449923</v>
      </c>
      <c r="J2052" s="3">
        <v>198.56308194532122</v>
      </c>
      <c r="K2052" s="3">
        <v>192</v>
      </c>
      <c r="L2052" s="3">
        <f t="shared" ref="L2052:L2115" si="324">M2052*G2052</f>
        <v>0</v>
      </c>
      <c r="N2052" s="11">
        <f t="shared" ref="N2052:N2115" si="325">H2052-J2052+L2052</f>
        <v>-43.203081945321202</v>
      </c>
      <c r="O2052" s="3">
        <v>198.56308194532122</v>
      </c>
      <c r="P2052" s="11">
        <f t="shared" ref="P2052:P2115" si="326">IF(O2052=0,9999,N2052/O2052*30)</f>
        <v>-6.5273586895500753</v>
      </c>
      <c r="Q2052" s="12">
        <f t="shared" ref="Q2052:Q2115" si="327">IF(SUMIF($A:$A,$A2052,$O:$O)=0,9999,SUMIF($A:$A,$A2052,$N:$N)*30/SUMIF($A:$A,$A2052,$O:$O))</f>
        <v>-11.14928281707407</v>
      </c>
      <c r="R2052" s="13">
        <f t="shared" ref="R2052:R2115" si="328">IF(SUMIF($C:$C,$C2052,$O:$O)=0,9999,SUMIF($C:$C,$C2052,$N:$N)*30/SUMIF($C:$C,$C2052,$O:$O))</f>
        <v>-12.572634329089414</v>
      </c>
      <c r="S2052" s="3" t="s">
        <v>29</v>
      </c>
      <c r="T2052" s="3" t="s">
        <v>35</v>
      </c>
      <c r="U2052" s="10">
        <v>0</v>
      </c>
      <c r="V2052" s="3">
        <v>0</v>
      </c>
      <c r="W2052" s="3">
        <f t="shared" ref="W2052:W2115" si="329">IFERROR(K2052*V2052,0)</f>
        <v>0</v>
      </c>
      <c r="AA2052" s="3">
        <v>48</v>
      </c>
    </row>
    <row r="2053" spans="1:27" x14ac:dyDescent="0.3">
      <c r="A2053" s="3" t="str">
        <f t="shared" si="320"/>
        <v>North9330019900820</v>
      </c>
      <c r="B2053" s="3" t="str">
        <f t="shared" si="321"/>
        <v>Lud9330019900820</v>
      </c>
      <c r="C2053" s="10">
        <v>9330019900820</v>
      </c>
      <c r="D2053" s="10" t="str">
        <f t="shared" si="322"/>
        <v>9330019900</v>
      </c>
      <c r="E2053" s="3" t="s">
        <v>3</v>
      </c>
      <c r="F2053" s="3" t="s">
        <v>64</v>
      </c>
      <c r="H2053" s="3">
        <v>183.02</v>
      </c>
      <c r="I2053" s="10">
        <f t="shared" si="323"/>
        <v>29.970396395500867</v>
      </c>
      <c r="J2053" s="3">
        <v>183.20078011461487</v>
      </c>
      <c r="K2053" s="3">
        <v>144</v>
      </c>
      <c r="L2053" s="3">
        <f t="shared" si="324"/>
        <v>0</v>
      </c>
      <c r="N2053" s="11">
        <f t="shared" si="325"/>
        <v>-0.18078011461486199</v>
      </c>
      <c r="O2053" s="3">
        <v>183.20078011461487</v>
      </c>
      <c r="P2053" s="11">
        <f t="shared" si="326"/>
        <v>-2.9603604499133938E-2</v>
      </c>
      <c r="Q2053" s="12">
        <f t="shared" si="327"/>
        <v>-8.5416877079128071</v>
      </c>
      <c r="R2053" s="13">
        <f t="shared" si="328"/>
        <v>-9.2235664855163968</v>
      </c>
      <c r="S2053" s="3" t="s">
        <v>29</v>
      </c>
      <c r="T2053" s="3" t="s">
        <v>35</v>
      </c>
      <c r="U2053" s="10">
        <v>0</v>
      </c>
      <c r="V2053" s="3">
        <v>0</v>
      </c>
      <c r="W2053" s="3">
        <f t="shared" si="329"/>
        <v>0</v>
      </c>
      <c r="AA2053" s="3">
        <v>48</v>
      </c>
    </row>
    <row r="2054" spans="1:27" x14ac:dyDescent="0.3">
      <c r="A2054" s="3" t="str">
        <f t="shared" si="320"/>
        <v>North9320039901320</v>
      </c>
      <c r="B2054" s="3" t="str">
        <f t="shared" si="321"/>
        <v>Lud9320039901320</v>
      </c>
      <c r="C2054" s="10">
        <v>9320039901320</v>
      </c>
      <c r="D2054" s="10" t="str">
        <f t="shared" si="322"/>
        <v>9320039901</v>
      </c>
      <c r="E2054" s="3" t="s">
        <v>3</v>
      </c>
      <c r="F2054" s="3" t="s">
        <v>64</v>
      </c>
      <c r="H2054" s="3">
        <v>82.42</v>
      </c>
      <c r="I2054" s="10">
        <f t="shared" si="323"/>
        <v>21.11279074452915</v>
      </c>
      <c r="J2054" s="3">
        <v>117.11384013222944</v>
      </c>
      <c r="K2054" s="3">
        <v>156</v>
      </c>
      <c r="L2054" s="3">
        <f t="shared" si="324"/>
        <v>0</v>
      </c>
      <c r="N2054" s="11">
        <f t="shared" si="325"/>
        <v>-34.69384013222944</v>
      </c>
      <c r="O2054" s="3">
        <v>117.11384013222944</v>
      </c>
      <c r="P2054" s="11">
        <f t="shared" si="326"/>
        <v>-8.8872092554708519</v>
      </c>
      <c r="Q2054" s="12">
        <f t="shared" si="327"/>
        <v>-12.904521836889991</v>
      </c>
      <c r="R2054" s="13">
        <f t="shared" si="328"/>
        <v>-7.7301793479032082</v>
      </c>
      <c r="S2054" s="3" t="s">
        <v>29</v>
      </c>
      <c r="T2054" s="3" t="s">
        <v>28</v>
      </c>
      <c r="U2054" s="10">
        <v>9320039900999</v>
      </c>
      <c r="V2054" s="3">
        <v>0.1</v>
      </c>
      <c r="W2054" s="3">
        <f t="shared" si="329"/>
        <v>15.600000000000001</v>
      </c>
      <c r="AA2054" s="3">
        <v>48</v>
      </c>
    </row>
    <row r="2055" spans="1:27" x14ac:dyDescent="0.3">
      <c r="A2055" s="3" t="str">
        <f t="shared" si="320"/>
        <v>North9320039900320</v>
      </c>
      <c r="B2055" s="3" t="str">
        <f t="shared" si="321"/>
        <v>Lud9320039900320</v>
      </c>
      <c r="C2055" s="10">
        <v>9320039900320</v>
      </c>
      <c r="D2055" s="10" t="str">
        <f t="shared" si="322"/>
        <v>9320039900</v>
      </c>
      <c r="E2055" s="3" t="s">
        <v>3</v>
      </c>
      <c r="F2055" s="3" t="s">
        <v>64</v>
      </c>
      <c r="H2055" s="3">
        <v>63.668000000000006</v>
      </c>
      <c r="I2055" s="10">
        <f t="shared" si="323"/>
        <v>17.347386781492457</v>
      </c>
      <c r="J2055" s="3">
        <v>110.10534462964645</v>
      </c>
      <c r="K2055" s="3">
        <v>156</v>
      </c>
      <c r="L2055" s="3">
        <f t="shared" si="324"/>
        <v>0</v>
      </c>
      <c r="N2055" s="11">
        <f t="shared" si="325"/>
        <v>-46.437344629646446</v>
      </c>
      <c r="O2055" s="3">
        <v>110.10534462964645</v>
      </c>
      <c r="P2055" s="11">
        <f t="shared" si="326"/>
        <v>-12.652613218507545</v>
      </c>
      <c r="Q2055" s="12">
        <f t="shared" si="327"/>
        <v>-15.239849435997494</v>
      </c>
      <c r="R2055" s="13">
        <f t="shared" si="328"/>
        <v>-10.513995057186442</v>
      </c>
      <c r="S2055" s="3" t="s">
        <v>29</v>
      </c>
      <c r="T2055" s="3" t="s">
        <v>28</v>
      </c>
      <c r="U2055" s="10">
        <v>9320039900999</v>
      </c>
      <c r="V2055" s="3">
        <v>0.1</v>
      </c>
      <c r="W2055" s="3">
        <f t="shared" si="329"/>
        <v>15.600000000000001</v>
      </c>
      <c r="AA2055" s="3">
        <v>48</v>
      </c>
    </row>
    <row r="2056" spans="1:27" x14ac:dyDescent="0.3">
      <c r="A2056" s="3" t="str">
        <f t="shared" si="320"/>
        <v>North9432009901320</v>
      </c>
      <c r="B2056" s="3" t="str">
        <f t="shared" si="321"/>
        <v>Lud9432009901320</v>
      </c>
      <c r="C2056" s="10">
        <v>9432009901320</v>
      </c>
      <c r="D2056" s="10" t="str">
        <f t="shared" si="322"/>
        <v>9432009901</v>
      </c>
      <c r="E2056" s="3" t="s">
        <v>3</v>
      </c>
      <c r="F2056" s="3" t="s">
        <v>64</v>
      </c>
      <c r="H2056" s="3">
        <v>92.999999999999972</v>
      </c>
      <c r="I2056" s="10">
        <f t="shared" si="323"/>
        <v>36.540177913533029</v>
      </c>
      <c r="J2056" s="3">
        <v>76.354308033259301</v>
      </c>
      <c r="K2056" s="3">
        <v>72</v>
      </c>
      <c r="L2056" s="3">
        <f t="shared" si="324"/>
        <v>0</v>
      </c>
      <c r="N2056" s="11">
        <f t="shared" si="325"/>
        <v>16.645691966740671</v>
      </c>
      <c r="O2056" s="3">
        <v>76.354308033259301</v>
      </c>
      <c r="P2056" s="11">
        <f t="shared" si="326"/>
        <v>6.5401779135330305</v>
      </c>
      <c r="Q2056" s="12">
        <f t="shared" si="327"/>
        <v>2.2319996604304548</v>
      </c>
      <c r="R2056" s="13">
        <f t="shared" si="328"/>
        <v>-3.1849715455509404</v>
      </c>
      <c r="S2056" s="3" t="s">
        <v>29</v>
      </c>
      <c r="T2056" s="3" t="s">
        <v>35</v>
      </c>
      <c r="U2056" s="10">
        <v>9432009900999</v>
      </c>
      <c r="V2056" s="3">
        <v>0.1</v>
      </c>
      <c r="W2056" s="3">
        <f t="shared" si="329"/>
        <v>7.2</v>
      </c>
      <c r="AA2056" s="3">
        <v>48</v>
      </c>
    </row>
    <row r="2057" spans="1:27" x14ac:dyDescent="0.3">
      <c r="A2057" s="3" t="str">
        <f t="shared" si="320"/>
        <v>North9320029901320</v>
      </c>
      <c r="B2057" s="3" t="str">
        <f t="shared" si="321"/>
        <v>Lud9320029901320</v>
      </c>
      <c r="C2057" s="10">
        <v>9320029901320</v>
      </c>
      <c r="D2057" s="10" t="str">
        <f t="shared" si="322"/>
        <v>9320029901</v>
      </c>
      <c r="E2057" s="3" t="s">
        <v>3</v>
      </c>
      <c r="F2057" s="3" t="s">
        <v>64</v>
      </c>
      <c r="H2057" s="3">
        <v>57.860000000000007</v>
      </c>
      <c r="I2057" s="10">
        <f t="shared" si="323"/>
        <v>27.6509098180446</v>
      </c>
      <c r="J2057" s="3">
        <v>62.775511237147114</v>
      </c>
      <c r="K2057" s="3">
        <v>72</v>
      </c>
      <c r="L2057" s="3">
        <f t="shared" si="324"/>
        <v>0</v>
      </c>
      <c r="N2057" s="11">
        <f t="shared" si="325"/>
        <v>-4.9155112371471077</v>
      </c>
      <c r="O2057" s="3">
        <v>62.775511237147114</v>
      </c>
      <c r="P2057" s="11">
        <f t="shared" si="326"/>
        <v>-2.3490901819554013</v>
      </c>
      <c r="Q2057" s="12">
        <f t="shared" si="327"/>
        <v>0.95887000754321727</v>
      </c>
      <c r="R2057" s="13">
        <f t="shared" si="328"/>
        <v>9.4573161093933802</v>
      </c>
      <c r="S2057" s="3" t="s">
        <v>29</v>
      </c>
      <c r="T2057" s="3" t="s">
        <v>28</v>
      </c>
      <c r="U2057" s="10">
        <v>9320029900999</v>
      </c>
      <c r="V2057" s="3">
        <v>0.1</v>
      </c>
      <c r="W2057" s="3">
        <f t="shared" si="329"/>
        <v>7.2</v>
      </c>
      <c r="AA2057" s="3">
        <v>48</v>
      </c>
    </row>
    <row r="2058" spans="1:27" x14ac:dyDescent="0.3">
      <c r="A2058" s="3" t="str">
        <f t="shared" si="320"/>
        <v>North9431009913810</v>
      </c>
      <c r="B2058" s="3" t="str">
        <f t="shared" si="321"/>
        <v>Lud9431009913810</v>
      </c>
      <c r="C2058" s="10">
        <v>9431009913810</v>
      </c>
      <c r="D2058" s="10" t="str">
        <f t="shared" si="322"/>
        <v>9431009913</v>
      </c>
      <c r="E2058" s="3" t="s">
        <v>3</v>
      </c>
      <c r="F2058" s="3" t="s">
        <v>64</v>
      </c>
      <c r="H2058" s="3">
        <v>64</v>
      </c>
      <c r="I2058" s="10">
        <f t="shared" si="323"/>
        <v>33.807368827128343</v>
      </c>
      <c r="J2058" s="3">
        <v>56.792352277333023</v>
      </c>
      <c r="K2058" s="3">
        <v>48</v>
      </c>
      <c r="L2058" s="3">
        <f t="shared" si="324"/>
        <v>0</v>
      </c>
      <c r="N2058" s="11">
        <f t="shared" si="325"/>
        <v>7.2076477226669766</v>
      </c>
      <c r="O2058" s="3">
        <v>56.792352277333023</v>
      </c>
      <c r="P2058" s="11">
        <f t="shared" si="326"/>
        <v>3.8073688271283466</v>
      </c>
      <c r="Q2058" s="12">
        <f t="shared" si="327"/>
        <v>3.3343695106960061</v>
      </c>
      <c r="R2058" s="13">
        <f t="shared" si="328"/>
        <v>-1.8048507430937932</v>
      </c>
      <c r="S2058" s="3" t="s">
        <v>29</v>
      </c>
      <c r="T2058" s="3" t="s">
        <v>35</v>
      </c>
      <c r="U2058" s="10">
        <v>0</v>
      </c>
      <c r="V2058" s="3">
        <v>0</v>
      </c>
      <c r="W2058" s="3">
        <f t="shared" si="329"/>
        <v>0</v>
      </c>
      <c r="AA2058" s="3">
        <v>48</v>
      </c>
    </row>
    <row r="2059" spans="1:27" x14ac:dyDescent="0.3">
      <c r="A2059" s="3" t="str">
        <f t="shared" si="320"/>
        <v>North9437009900820</v>
      </c>
      <c r="B2059" s="3" t="str">
        <f t="shared" si="321"/>
        <v>Lud9437009900820</v>
      </c>
      <c r="C2059" s="10">
        <v>9437009900820</v>
      </c>
      <c r="D2059" s="10" t="str">
        <f t="shared" si="322"/>
        <v>9437009900</v>
      </c>
      <c r="E2059" s="3" t="s">
        <v>3</v>
      </c>
      <c r="F2059" s="3" t="s">
        <v>64</v>
      </c>
      <c r="H2059" s="3">
        <v>41.76</v>
      </c>
      <c r="I2059" s="10">
        <f t="shared" si="323"/>
        <v>23.275233362338092</v>
      </c>
      <c r="J2059" s="3">
        <v>53.825453884693133</v>
      </c>
      <c r="K2059" s="3">
        <v>48</v>
      </c>
      <c r="L2059" s="3">
        <f t="shared" si="324"/>
        <v>0</v>
      </c>
      <c r="N2059" s="11">
        <f t="shared" si="325"/>
        <v>-12.065453884693135</v>
      </c>
      <c r="O2059" s="3">
        <v>53.825453884693133</v>
      </c>
      <c r="P2059" s="11">
        <f t="shared" si="326"/>
        <v>-6.7247666376619106</v>
      </c>
      <c r="Q2059" s="12">
        <f t="shared" si="327"/>
        <v>-2.2471083328804684</v>
      </c>
      <c r="R2059" s="13">
        <f t="shared" si="328"/>
        <v>5.1370180655364761</v>
      </c>
      <c r="S2059" s="3" t="s">
        <v>29</v>
      </c>
      <c r="T2059" s="3" t="s">
        <v>35</v>
      </c>
      <c r="U2059" s="10">
        <v>0</v>
      </c>
      <c r="V2059" s="3">
        <v>0</v>
      </c>
      <c r="W2059" s="3">
        <f t="shared" si="329"/>
        <v>0</v>
      </c>
      <c r="AA2059" s="3">
        <v>48</v>
      </c>
    </row>
    <row r="2060" spans="1:27" x14ac:dyDescent="0.3">
      <c r="A2060" s="3" t="str">
        <f t="shared" si="320"/>
        <v>North9432009900320</v>
      </c>
      <c r="B2060" s="3" t="str">
        <f t="shared" si="321"/>
        <v>Lud9432009900320</v>
      </c>
      <c r="C2060" s="10">
        <v>9432009900320</v>
      </c>
      <c r="D2060" s="10" t="str">
        <f t="shared" si="322"/>
        <v>9432009900</v>
      </c>
      <c r="E2060" s="3" t="s">
        <v>3</v>
      </c>
      <c r="F2060" s="3" t="s">
        <v>64</v>
      </c>
      <c r="H2060" s="3">
        <v>26.92</v>
      </c>
      <c r="I2060" s="10">
        <f t="shared" si="323"/>
        <v>16.68642156453836</v>
      </c>
      <c r="J2060" s="3">
        <v>48.398633396407469</v>
      </c>
      <c r="K2060" s="3">
        <v>72</v>
      </c>
      <c r="L2060" s="3">
        <f t="shared" si="324"/>
        <v>0</v>
      </c>
      <c r="N2060" s="11">
        <f t="shared" si="325"/>
        <v>-21.478633396407467</v>
      </c>
      <c r="O2060" s="3">
        <v>48.398633396407469</v>
      </c>
      <c r="P2060" s="11">
        <f t="shared" si="326"/>
        <v>-13.31357843546164</v>
      </c>
      <c r="Q2060" s="12">
        <f t="shared" si="327"/>
        <v>-10.746326084685188</v>
      </c>
      <c r="R2060" s="13">
        <f t="shared" si="328"/>
        <v>0.17373377487676703</v>
      </c>
      <c r="S2060" s="3" t="s">
        <v>29</v>
      </c>
      <c r="T2060" s="3" t="s">
        <v>35</v>
      </c>
      <c r="U2060" s="10">
        <v>9432009900999</v>
      </c>
      <c r="V2060" s="3">
        <v>0.1</v>
      </c>
      <c r="W2060" s="3">
        <f t="shared" si="329"/>
        <v>7.2</v>
      </c>
      <c r="AA2060" s="3">
        <v>48</v>
      </c>
    </row>
    <row r="2061" spans="1:27" x14ac:dyDescent="0.3">
      <c r="A2061" s="3" t="str">
        <f t="shared" si="320"/>
        <v>North9320029900320</v>
      </c>
      <c r="B2061" s="3" t="str">
        <f t="shared" si="321"/>
        <v>Lud9320029900320</v>
      </c>
      <c r="C2061" s="10">
        <v>9320029900320</v>
      </c>
      <c r="D2061" s="10" t="str">
        <f t="shared" si="322"/>
        <v>9320029900</v>
      </c>
      <c r="E2061" s="3" t="s">
        <v>3</v>
      </c>
      <c r="F2061" s="3" t="s">
        <v>64</v>
      </c>
      <c r="H2061" s="3">
        <v>26.48</v>
      </c>
      <c r="I2061" s="10">
        <f t="shared" si="323"/>
        <v>17.719889626543566</v>
      </c>
      <c r="J2061" s="3">
        <v>44.830979015243187</v>
      </c>
      <c r="K2061" s="3">
        <v>84</v>
      </c>
      <c r="L2061" s="3">
        <f t="shared" si="324"/>
        <v>0</v>
      </c>
      <c r="N2061" s="11">
        <f t="shared" si="325"/>
        <v>-18.350979015243187</v>
      </c>
      <c r="O2061" s="3">
        <v>44.830979015243187</v>
      </c>
      <c r="P2061" s="11">
        <f t="shared" si="326"/>
        <v>-12.280110373456434</v>
      </c>
      <c r="Q2061" s="12">
        <f t="shared" si="327"/>
        <v>-9.3859221666778172</v>
      </c>
      <c r="R2061" s="13">
        <f t="shared" si="328"/>
        <v>-2.4182637214499976</v>
      </c>
      <c r="S2061" s="3" t="s">
        <v>29</v>
      </c>
      <c r="T2061" s="3" t="s">
        <v>28</v>
      </c>
      <c r="U2061" s="10">
        <v>9320029900999</v>
      </c>
      <c r="V2061" s="3">
        <v>0.1</v>
      </c>
      <c r="W2061" s="3">
        <f t="shared" si="329"/>
        <v>8.4</v>
      </c>
      <c r="AA2061" s="3">
        <v>48</v>
      </c>
    </row>
    <row r="2062" spans="1:27" x14ac:dyDescent="0.3">
      <c r="A2062" s="3" t="str">
        <f t="shared" si="320"/>
        <v>North9320019900820</v>
      </c>
      <c r="B2062" s="3" t="str">
        <f t="shared" si="321"/>
        <v>Lud9320019900820</v>
      </c>
      <c r="C2062" s="10">
        <v>9320019900820</v>
      </c>
      <c r="D2062" s="10" t="str">
        <f t="shared" si="322"/>
        <v>9320019900</v>
      </c>
      <c r="E2062" s="3" t="s">
        <v>3</v>
      </c>
      <c r="F2062" s="3" t="s">
        <v>64</v>
      </c>
      <c r="H2062" s="3">
        <v>55.399999999999991</v>
      </c>
      <c r="I2062" s="10">
        <f t="shared" si="323"/>
        <v>39.584731148834329</v>
      </c>
      <c r="J2062" s="3">
        <v>41.985885763656164</v>
      </c>
      <c r="K2062" s="3">
        <v>0</v>
      </c>
      <c r="L2062" s="3">
        <f t="shared" si="324"/>
        <v>0</v>
      </c>
      <c r="N2062" s="11">
        <f t="shared" si="325"/>
        <v>13.414114236343828</v>
      </c>
      <c r="O2062" s="3">
        <v>41.985885763656164</v>
      </c>
      <c r="P2062" s="11">
        <f t="shared" si="326"/>
        <v>9.5847311488343241</v>
      </c>
      <c r="Q2062" s="12">
        <f t="shared" si="327"/>
        <v>0.8457782226285081</v>
      </c>
      <c r="R2062" s="13">
        <f t="shared" si="328"/>
        <v>-2.0110700955308665</v>
      </c>
      <c r="S2062" s="3" t="s">
        <v>29</v>
      </c>
      <c r="T2062" s="3" t="s">
        <v>28</v>
      </c>
      <c r="U2062" s="10">
        <v>0</v>
      </c>
      <c r="V2062" s="3">
        <v>0</v>
      </c>
      <c r="W2062" s="3">
        <f t="shared" si="329"/>
        <v>0</v>
      </c>
      <c r="AA2062" s="3">
        <v>48</v>
      </c>
    </row>
    <row r="2063" spans="1:27" x14ac:dyDescent="0.3">
      <c r="A2063" s="3" t="str">
        <f t="shared" si="320"/>
        <v>North9437019900310</v>
      </c>
      <c r="B2063" s="3" t="str">
        <f t="shared" si="321"/>
        <v>Lud9437019900310</v>
      </c>
      <c r="C2063" s="10">
        <v>9437019900310</v>
      </c>
      <c r="D2063" s="10" t="str">
        <f t="shared" si="322"/>
        <v>9437019900</v>
      </c>
      <c r="E2063" s="3" t="s">
        <v>3</v>
      </c>
      <c r="F2063" s="3" t="s">
        <v>64</v>
      </c>
      <c r="H2063" s="3">
        <v>15.377999999999998</v>
      </c>
      <c r="I2063" s="10">
        <f t="shared" si="323"/>
        <v>13.586559573639816</v>
      </c>
      <c r="J2063" s="3">
        <v>33.955616026229059</v>
      </c>
      <c r="K2063" s="3">
        <v>48</v>
      </c>
      <c r="L2063" s="3">
        <f t="shared" si="324"/>
        <v>0</v>
      </c>
      <c r="N2063" s="11">
        <f t="shared" si="325"/>
        <v>-18.577616026229059</v>
      </c>
      <c r="O2063" s="3">
        <v>33.955616026229059</v>
      </c>
      <c r="P2063" s="11">
        <f t="shared" si="326"/>
        <v>-16.413440426360182</v>
      </c>
      <c r="Q2063" s="12">
        <f t="shared" si="327"/>
        <v>-11.264349735766478</v>
      </c>
      <c r="R2063" s="13">
        <f t="shared" si="328"/>
        <v>-5.621670159363906</v>
      </c>
      <c r="S2063" s="3" t="s">
        <v>29</v>
      </c>
      <c r="T2063" s="3" t="s">
        <v>35</v>
      </c>
      <c r="U2063" s="10">
        <v>0</v>
      </c>
      <c r="V2063" s="3">
        <v>0</v>
      </c>
      <c r="W2063" s="3">
        <f t="shared" si="329"/>
        <v>0</v>
      </c>
      <c r="AA2063" s="3">
        <v>48</v>
      </c>
    </row>
    <row r="2064" spans="1:27" x14ac:dyDescent="0.3">
      <c r="A2064" s="3" t="str">
        <f t="shared" si="320"/>
        <v>North9320099900320</v>
      </c>
      <c r="B2064" s="3" t="str">
        <f t="shared" si="321"/>
        <v>Lud9320099900320</v>
      </c>
      <c r="C2064" s="10">
        <v>9320099900320</v>
      </c>
      <c r="D2064" s="10" t="str">
        <f t="shared" si="322"/>
        <v>9320099900</v>
      </c>
      <c r="E2064" s="3" t="s">
        <v>3</v>
      </c>
      <c r="F2064" s="3" t="s">
        <v>64</v>
      </c>
      <c r="H2064" s="3">
        <v>54.66</v>
      </c>
      <c r="I2064" s="10">
        <f t="shared" si="323"/>
        <v>49.960926515065424</v>
      </c>
      <c r="J2064" s="3">
        <v>32.821649124251685</v>
      </c>
      <c r="K2064" s="3">
        <v>0</v>
      </c>
      <c r="L2064" s="3">
        <f t="shared" si="324"/>
        <v>0</v>
      </c>
      <c r="N2064" s="11">
        <f t="shared" si="325"/>
        <v>21.838350875748311</v>
      </c>
      <c r="O2064" s="3">
        <v>32.821649124251685</v>
      </c>
      <c r="P2064" s="11">
        <f t="shared" si="326"/>
        <v>19.960926515065427</v>
      </c>
      <c r="Q2064" s="12">
        <f t="shared" si="327"/>
        <v>15.335207320517947</v>
      </c>
      <c r="R2064" s="13">
        <f t="shared" si="328"/>
        <v>17.971452330671681</v>
      </c>
      <c r="S2064" s="3" t="s">
        <v>31</v>
      </c>
      <c r="T2064" s="3" t="s">
        <v>28</v>
      </c>
      <c r="U2064" s="10">
        <v>9320099900999</v>
      </c>
      <c r="V2064" s="3">
        <v>0.1</v>
      </c>
      <c r="W2064" s="3">
        <f t="shared" si="329"/>
        <v>0</v>
      </c>
      <c r="AA2064" s="3">
        <v>48</v>
      </c>
    </row>
    <row r="2065" spans="1:27" x14ac:dyDescent="0.3">
      <c r="A2065" s="3" t="str">
        <f t="shared" si="320"/>
        <v>North9360029900320</v>
      </c>
      <c r="B2065" s="3" t="str">
        <f t="shared" si="321"/>
        <v>Lud9360029900320</v>
      </c>
      <c r="C2065" s="10">
        <v>9360029900320</v>
      </c>
      <c r="D2065" s="10" t="str">
        <f t="shared" si="322"/>
        <v>9360029900</v>
      </c>
      <c r="E2065" s="3" t="s">
        <v>3</v>
      </c>
      <c r="F2065" s="3" t="s">
        <v>64</v>
      </c>
      <c r="H2065" s="3">
        <v>27.88</v>
      </c>
      <c r="I2065" s="10">
        <f t="shared" si="323"/>
        <v>32.068057983894356</v>
      </c>
      <c r="J2065" s="3">
        <v>26.082028429038886</v>
      </c>
      <c r="K2065" s="3">
        <v>48</v>
      </c>
      <c r="L2065" s="3">
        <f t="shared" si="324"/>
        <v>0</v>
      </c>
      <c r="N2065" s="11">
        <f t="shared" si="325"/>
        <v>1.7979715709611135</v>
      </c>
      <c r="O2065" s="3">
        <v>26.082028429038886</v>
      </c>
      <c r="P2065" s="11">
        <f t="shared" si="326"/>
        <v>2.0680579838943549</v>
      </c>
      <c r="Q2065" s="12">
        <f t="shared" si="327"/>
        <v>-13.380726451225069</v>
      </c>
      <c r="R2065" s="13">
        <f t="shared" si="328"/>
        <v>-17.132899621612285</v>
      </c>
      <c r="S2065" s="3" t="s">
        <v>29</v>
      </c>
      <c r="T2065" s="3" t="s">
        <v>33</v>
      </c>
      <c r="U2065" s="10">
        <v>9360029900999</v>
      </c>
      <c r="V2065" s="3">
        <v>0.1</v>
      </c>
      <c r="W2065" s="3">
        <f t="shared" si="329"/>
        <v>4.8000000000000007</v>
      </c>
      <c r="AA2065" s="3">
        <v>48</v>
      </c>
    </row>
    <row r="2066" spans="1:27" x14ac:dyDescent="0.3">
      <c r="A2066" s="3" t="str">
        <f t="shared" si="320"/>
        <v>North9360039900310</v>
      </c>
      <c r="B2066" s="3" t="str">
        <f t="shared" si="321"/>
        <v>Lud9360039900310</v>
      </c>
      <c r="C2066" s="10">
        <v>9360039900310</v>
      </c>
      <c r="D2066" s="10" t="str">
        <f t="shared" si="322"/>
        <v>9360039900</v>
      </c>
      <c r="E2066" s="3" t="s">
        <v>3</v>
      </c>
      <c r="F2066" s="3" t="s">
        <v>64</v>
      </c>
      <c r="H2066" s="3">
        <v>9.56</v>
      </c>
      <c r="I2066" s="10">
        <f t="shared" si="323"/>
        <v>11.179312922337537</v>
      </c>
      <c r="J2066" s="3">
        <v>25.654528323197841</v>
      </c>
      <c r="K2066" s="3">
        <v>48</v>
      </c>
      <c r="L2066" s="3">
        <f t="shared" si="324"/>
        <v>0</v>
      </c>
      <c r="N2066" s="11">
        <f t="shared" si="325"/>
        <v>-16.094528323197842</v>
      </c>
      <c r="O2066" s="3">
        <v>25.654528323197841</v>
      </c>
      <c r="P2066" s="11">
        <f t="shared" si="326"/>
        <v>-18.820687077662463</v>
      </c>
      <c r="Q2066" s="12">
        <f t="shared" si="327"/>
        <v>-15.411155088948481</v>
      </c>
      <c r="R2066" s="13">
        <f t="shared" si="328"/>
        <v>-10.711161244724483</v>
      </c>
      <c r="S2066" s="3" t="s">
        <v>29</v>
      </c>
      <c r="T2066" s="3" t="s">
        <v>33</v>
      </c>
      <c r="U2066" s="10">
        <v>9360039900999</v>
      </c>
      <c r="V2066" s="3">
        <v>0.1</v>
      </c>
      <c r="W2066" s="3">
        <f t="shared" si="329"/>
        <v>4.8000000000000007</v>
      </c>
      <c r="AA2066" s="3">
        <v>48</v>
      </c>
    </row>
    <row r="2067" spans="1:27" x14ac:dyDescent="0.3">
      <c r="A2067" s="3" t="str">
        <f t="shared" si="320"/>
        <v>North9330019900810</v>
      </c>
      <c r="B2067" s="3" t="str">
        <f t="shared" si="321"/>
        <v>Lud9330019900810</v>
      </c>
      <c r="C2067" s="10">
        <v>9330019900810</v>
      </c>
      <c r="D2067" s="10" t="str">
        <f t="shared" si="322"/>
        <v>9330019900</v>
      </c>
      <c r="E2067" s="3" t="s">
        <v>3</v>
      </c>
      <c r="F2067" s="3" t="s">
        <v>64</v>
      </c>
      <c r="H2067" s="3">
        <v>25.59</v>
      </c>
      <c r="I2067" s="10">
        <f t="shared" si="323"/>
        <v>32.607138464716307</v>
      </c>
      <c r="J2067" s="3">
        <v>23.54392431064494</v>
      </c>
      <c r="K2067" s="3">
        <v>24</v>
      </c>
      <c r="L2067" s="3">
        <f t="shared" si="324"/>
        <v>0</v>
      </c>
      <c r="N2067" s="11">
        <f t="shared" si="325"/>
        <v>2.0460756893550602</v>
      </c>
      <c r="O2067" s="3">
        <v>23.54392431064494</v>
      </c>
      <c r="P2067" s="11">
        <f t="shared" si="326"/>
        <v>2.6071384647163081</v>
      </c>
      <c r="Q2067" s="12">
        <f t="shared" si="327"/>
        <v>-1.8433832180079632</v>
      </c>
      <c r="R2067" s="13">
        <f t="shared" si="328"/>
        <v>-9.2433968520070948</v>
      </c>
      <c r="S2067" s="3" t="s">
        <v>29</v>
      </c>
      <c r="T2067" s="3" t="s">
        <v>35</v>
      </c>
      <c r="U2067" s="10">
        <v>0</v>
      </c>
      <c r="V2067" s="3">
        <v>0</v>
      </c>
      <c r="W2067" s="3">
        <f t="shared" si="329"/>
        <v>0</v>
      </c>
      <c r="AA2067" s="3">
        <v>48</v>
      </c>
    </row>
    <row r="2068" spans="1:27" x14ac:dyDescent="0.3">
      <c r="A2068" s="3" t="str">
        <f t="shared" si="320"/>
        <v>North9360099900320</v>
      </c>
      <c r="B2068" s="3" t="str">
        <f t="shared" si="321"/>
        <v>Lud9360099900320</v>
      </c>
      <c r="C2068" s="10">
        <v>9360099900320</v>
      </c>
      <c r="D2068" s="10" t="str">
        <f t="shared" si="322"/>
        <v>9360099900</v>
      </c>
      <c r="E2068" s="3" t="s">
        <v>3</v>
      </c>
      <c r="F2068" s="3" t="s">
        <v>64</v>
      </c>
      <c r="H2068" s="3">
        <v>1.48</v>
      </c>
      <c r="I2068" s="10">
        <f t="shared" si="323"/>
        <v>2.0268545574498007</v>
      </c>
      <c r="J2068" s="3">
        <v>21.905863860238853</v>
      </c>
      <c r="K2068" s="3">
        <v>48</v>
      </c>
      <c r="L2068" s="3">
        <f t="shared" si="324"/>
        <v>0</v>
      </c>
      <c r="N2068" s="11">
        <f t="shared" si="325"/>
        <v>-20.425863860238852</v>
      </c>
      <c r="O2068" s="3">
        <v>21.905863860238853</v>
      </c>
      <c r="P2068" s="11">
        <f t="shared" si="326"/>
        <v>-27.973145442550202</v>
      </c>
      <c r="Q2068" s="12">
        <f t="shared" si="327"/>
        <v>-25.456089401429484</v>
      </c>
      <c r="R2068" s="13">
        <f t="shared" si="328"/>
        <v>-20.309151298123236</v>
      </c>
      <c r="S2068" s="3" t="s">
        <v>29</v>
      </c>
      <c r="T2068" s="3" t="s">
        <v>33</v>
      </c>
      <c r="U2068" s="10">
        <v>9360099900999</v>
      </c>
      <c r="V2068" s="3">
        <v>0.1</v>
      </c>
      <c r="W2068" s="3">
        <f t="shared" si="329"/>
        <v>4.8000000000000007</v>
      </c>
      <c r="AA2068" s="3">
        <v>48</v>
      </c>
    </row>
    <row r="2069" spans="1:27" x14ac:dyDescent="0.3">
      <c r="A2069" s="3" t="str">
        <f t="shared" si="320"/>
        <v>North9320079901320</v>
      </c>
      <c r="B2069" s="3" t="str">
        <f t="shared" si="321"/>
        <v>Lud9320079901320</v>
      </c>
      <c r="C2069" s="10">
        <v>9320079901320</v>
      </c>
      <c r="D2069" s="10" t="str">
        <f t="shared" si="322"/>
        <v>9320079901</v>
      </c>
      <c r="E2069" s="3" t="s">
        <v>3</v>
      </c>
      <c r="F2069" s="3" t="s">
        <v>64</v>
      </c>
      <c r="H2069" s="3">
        <v>0</v>
      </c>
      <c r="I2069" s="10">
        <f t="shared" si="323"/>
        <v>0</v>
      </c>
      <c r="J2069" s="3">
        <v>20.782645308229071</v>
      </c>
      <c r="K2069" s="3">
        <v>36</v>
      </c>
      <c r="L2069" s="3">
        <f t="shared" si="324"/>
        <v>0</v>
      </c>
      <c r="N2069" s="11">
        <f t="shared" si="325"/>
        <v>-20.782645308229071</v>
      </c>
      <c r="O2069" s="3">
        <v>20.782645308229071</v>
      </c>
      <c r="P2069" s="11">
        <f t="shared" si="326"/>
        <v>-30</v>
      </c>
      <c r="Q2069" s="12">
        <f t="shared" si="327"/>
        <v>-30</v>
      </c>
      <c r="R2069" s="13">
        <f t="shared" si="328"/>
        <v>-30</v>
      </c>
      <c r="S2069" s="3">
        <v>0</v>
      </c>
      <c r="T2069" s="3" t="s">
        <v>28</v>
      </c>
      <c r="U2069" s="10">
        <v>9320079900999</v>
      </c>
      <c r="V2069" s="3">
        <v>0.1</v>
      </c>
      <c r="W2069" s="3">
        <f t="shared" si="329"/>
        <v>3.6</v>
      </c>
      <c r="AA2069" s="3">
        <v>48</v>
      </c>
    </row>
    <row r="2070" spans="1:27" x14ac:dyDescent="0.3">
      <c r="A2070" s="3" t="str">
        <f t="shared" si="320"/>
        <v>North9320099901320</v>
      </c>
      <c r="B2070" s="3" t="str">
        <f t="shared" si="321"/>
        <v>Lud9320099901320</v>
      </c>
      <c r="C2070" s="10">
        <v>9320099901320</v>
      </c>
      <c r="D2070" s="10" t="str">
        <f t="shared" si="322"/>
        <v>9320099901</v>
      </c>
      <c r="E2070" s="3" t="s">
        <v>3</v>
      </c>
      <c r="F2070" s="3" t="s">
        <v>64</v>
      </c>
      <c r="H2070" s="3">
        <v>19.88</v>
      </c>
      <c r="I2070" s="10">
        <f t="shared" si="323"/>
        <v>29.850045781446148</v>
      </c>
      <c r="J2070" s="3">
        <v>19.979868854027135</v>
      </c>
      <c r="K2070" s="3">
        <v>96</v>
      </c>
      <c r="L2070" s="3">
        <f t="shared" si="324"/>
        <v>0</v>
      </c>
      <c r="N2070" s="11">
        <f t="shared" si="325"/>
        <v>-9.9868854027135967E-2</v>
      </c>
      <c r="O2070" s="3">
        <v>19.979868854027135</v>
      </c>
      <c r="P2070" s="11">
        <f t="shared" si="326"/>
        <v>-0.14995421855385166</v>
      </c>
      <c r="Q2070" s="12">
        <f t="shared" si="327"/>
        <v>-2.0999995784505958</v>
      </c>
      <c r="R2070" s="13">
        <f t="shared" si="328"/>
        <v>2.6817619389753564</v>
      </c>
      <c r="S2070" s="3" t="s">
        <v>31</v>
      </c>
      <c r="T2070" s="3" t="s">
        <v>28</v>
      </c>
      <c r="U2070" s="10">
        <v>9320099900999</v>
      </c>
      <c r="V2070" s="3">
        <v>0.1</v>
      </c>
      <c r="W2070" s="3">
        <f t="shared" si="329"/>
        <v>9.6000000000000014</v>
      </c>
      <c r="AA2070" s="3">
        <v>48</v>
      </c>
    </row>
    <row r="2071" spans="1:27" x14ac:dyDescent="0.3">
      <c r="A2071" s="3" t="str">
        <f t="shared" si="320"/>
        <v>North9320079900320</v>
      </c>
      <c r="B2071" s="3" t="str">
        <f t="shared" si="321"/>
        <v>Lud9320079900320</v>
      </c>
      <c r="C2071" s="10">
        <v>9320079900320</v>
      </c>
      <c r="D2071" s="10" t="str">
        <f t="shared" si="322"/>
        <v>9320079900</v>
      </c>
      <c r="E2071" s="3" t="s">
        <v>3</v>
      </c>
      <c r="F2071" s="3" t="s">
        <v>64</v>
      </c>
      <c r="H2071" s="3">
        <v>0</v>
      </c>
      <c r="I2071" s="10">
        <f t="shared" si="323"/>
        <v>0</v>
      </c>
      <c r="J2071" s="3">
        <v>18.40757756934044</v>
      </c>
      <c r="K2071" s="3">
        <v>36</v>
      </c>
      <c r="L2071" s="3">
        <f t="shared" si="324"/>
        <v>0</v>
      </c>
      <c r="N2071" s="11">
        <f t="shared" si="325"/>
        <v>-18.40757756934044</v>
      </c>
      <c r="O2071" s="3">
        <v>18.40757756934044</v>
      </c>
      <c r="P2071" s="11">
        <f t="shared" si="326"/>
        <v>-30</v>
      </c>
      <c r="Q2071" s="12">
        <f t="shared" si="327"/>
        <v>-30</v>
      </c>
      <c r="R2071" s="13">
        <f t="shared" si="328"/>
        <v>-30</v>
      </c>
      <c r="S2071" s="3">
        <v>0</v>
      </c>
      <c r="T2071" s="3" t="s">
        <v>28</v>
      </c>
      <c r="U2071" s="10">
        <v>9320079900999</v>
      </c>
      <c r="V2071" s="3">
        <v>0.1</v>
      </c>
      <c r="W2071" s="3">
        <f t="shared" si="329"/>
        <v>3.6</v>
      </c>
      <c r="AA2071" s="3">
        <v>48</v>
      </c>
    </row>
    <row r="2072" spans="1:27" x14ac:dyDescent="0.3">
      <c r="A2072" s="3" t="str">
        <f t="shared" si="320"/>
        <v>North9320039901310</v>
      </c>
      <c r="B2072" s="3" t="str">
        <f t="shared" si="321"/>
        <v>Lud9320039901310</v>
      </c>
      <c r="C2072" s="10">
        <v>9320039901310</v>
      </c>
      <c r="D2072" s="10" t="str">
        <f t="shared" si="322"/>
        <v>9320039901</v>
      </c>
      <c r="E2072" s="3" t="s">
        <v>3</v>
      </c>
      <c r="F2072" s="3" t="s">
        <v>64</v>
      </c>
      <c r="H2072" s="3">
        <v>33.700000000000003</v>
      </c>
      <c r="I2072" s="10">
        <f t="shared" si="323"/>
        <v>55.857634059616629</v>
      </c>
      <c r="J2072" s="3">
        <v>18.099585079471211</v>
      </c>
      <c r="K2072" s="3">
        <v>36</v>
      </c>
      <c r="L2072" s="3">
        <f t="shared" si="324"/>
        <v>0</v>
      </c>
      <c r="N2072" s="11">
        <f t="shared" si="325"/>
        <v>15.600414920528792</v>
      </c>
      <c r="O2072" s="3">
        <v>18.099585079471211</v>
      </c>
      <c r="P2072" s="11">
        <f t="shared" si="326"/>
        <v>25.857634059616633</v>
      </c>
      <c r="Q2072" s="12">
        <f t="shared" si="327"/>
        <v>4.4606339995964124</v>
      </c>
      <c r="R2072" s="13">
        <f t="shared" si="328"/>
        <v>5.5999242697400797</v>
      </c>
      <c r="S2072" s="3" t="s">
        <v>29</v>
      </c>
      <c r="T2072" s="3" t="s">
        <v>28</v>
      </c>
      <c r="U2072" s="10">
        <v>9320039900999</v>
      </c>
      <c r="V2072" s="3">
        <v>0.1</v>
      </c>
      <c r="W2072" s="3">
        <f t="shared" si="329"/>
        <v>3.6</v>
      </c>
      <c r="AA2072" s="3">
        <v>48</v>
      </c>
    </row>
    <row r="2073" spans="1:27" x14ac:dyDescent="0.3">
      <c r="A2073" s="3" t="str">
        <f t="shared" si="320"/>
        <v>North9330239900320</v>
      </c>
      <c r="B2073" s="3" t="str">
        <f t="shared" si="321"/>
        <v>Lud9330239900320</v>
      </c>
      <c r="C2073" s="10">
        <v>9330239900320</v>
      </c>
      <c r="D2073" s="10" t="str">
        <f t="shared" si="322"/>
        <v>9330239900</v>
      </c>
      <c r="E2073" s="3" t="s">
        <v>3</v>
      </c>
      <c r="F2073" s="3" t="s">
        <v>64</v>
      </c>
      <c r="H2073" s="3">
        <v>64.013999999999996</v>
      </c>
      <c r="I2073" s="10">
        <f t="shared" si="323"/>
        <v>107.63040252874296</v>
      </c>
      <c r="J2073" s="3">
        <v>17.842728029258712</v>
      </c>
      <c r="K2073" s="3">
        <v>0</v>
      </c>
      <c r="L2073" s="3">
        <f t="shared" si="324"/>
        <v>0</v>
      </c>
      <c r="N2073" s="11">
        <f t="shared" si="325"/>
        <v>46.171271970741287</v>
      </c>
      <c r="O2073" s="3">
        <v>17.842728029258712</v>
      </c>
      <c r="P2073" s="11">
        <f t="shared" si="326"/>
        <v>77.630402528742962</v>
      </c>
      <c r="Q2073" s="12">
        <f t="shared" si="327"/>
        <v>47.889787131430971</v>
      </c>
      <c r="R2073" s="13">
        <f t="shared" si="328"/>
        <v>49.457242370391903</v>
      </c>
      <c r="S2073" s="3" t="s">
        <v>31</v>
      </c>
      <c r="T2073" s="3" t="s">
        <v>35</v>
      </c>
      <c r="U2073" s="10">
        <v>9330239900999</v>
      </c>
      <c r="V2073" s="3">
        <v>0.1</v>
      </c>
      <c r="W2073" s="3">
        <f t="shared" si="329"/>
        <v>0</v>
      </c>
      <c r="AA2073" s="3">
        <v>48</v>
      </c>
    </row>
    <row r="2074" spans="1:27" x14ac:dyDescent="0.3">
      <c r="A2074" s="3" t="str">
        <f t="shared" si="320"/>
        <v>North9432009901310</v>
      </c>
      <c r="B2074" s="3" t="str">
        <f t="shared" si="321"/>
        <v>Lud9432009901310</v>
      </c>
      <c r="C2074" s="10">
        <v>9432009901310</v>
      </c>
      <c r="D2074" s="10" t="str">
        <f t="shared" si="322"/>
        <v>9432009901</v>
      </c>
      <c r="E2074" s="3" t="s">
        <v>3</v>
      </c>
      <c r="F2074" s="3" t="s">
        <v>64</v>
      </c>
      <c r="H2074" s="3">
        <v>23.52</v>
      </c>
      <c r="I2074" s="10">
        <f t="shared" si="323"/>
        <v>42.727428449935154</v>
      </c>
      <c r="J2074" s="3">
        <v>16.513982366778052</v>
      </c>
      <c r="K2074" s="3">
        <v>0</v>
      </c>
      <c r="L2074" s="3">
        <f t="shared" si="324"/>
        <v>0</v>
      </c>
      <c r="N2074" s="11">
        <f t="shared" si="325"/>
        <v>7.0060176332219477</v>
      </c>
      <c r="O2074" s="3">
        <v>16.513982366778052</v>
      </c>
      <c r="P2074" s="11">
        <f t="shared" si="326"/>
        <v>12.727428449935152</v>
      </c>
      <c r="Q2074" s="12">
        <f t="shared" si="327"/>
        <v>2.0046655270469262</v>
      </c>
      <c r="R2074" s="13">
        <f t="shared" si="328"/>
        <v>-1.3984884331744118</v>
      </c>
      <c r="S2074" s="3" t="s">
        <v>29</v>
      </c>
      <c r="T2074" s="3" t="s">
        <v>35</v>
      </c>
      <c r="U2074" s="10">
        <v>9432009900999</v>
      </c>
      <c r="V2074" s="3">
        <v>0.1</v>
      </c>
      <c r="W2074" s="3">
        <f t="shared" si="329"/>
        <v>0</v>
      </c>
      <c r="AA2074" s="3">
        <v>48</v>
      </c>
    </row>
    <row r="2075" spans="1:27" x14ac:dyDescent="0.3">
      <c r="A2075" s="3" t="str">
        <f t="shared" si="320"/>
        <v>North9432029901320</v>
      </c>
      <c r="B2075" s="3" t="str">
        <f t="shared" si="321"/>
        <v>Lud9432029901320</v>
      </c>
      <c r="C2075" s="10">
        <v>9432029901320</v>
      </c>
      <c r="D2075" s="10" t="str">
        <f t="shared" si="322"/>
        <v>9432029901</v>
      </c>
      <c r="E2075" s="3" t="s">
        <v>3</v>
      </c>
      <c r="F2075" s="3" t="s">
        <v>64</v>
      </c>
      <c r="H2075" s="3">
        <v>43.180000000000007</v>
      </c>
      <c r="I2075" s="10">
        <f t="shared" si="323"/>
        <v>79.057420645604694</v>
      </c>
      <c r="J2075" s="3">
        <v>16.385558615768218</v>
      </c>
      <c r="K2075" s="3">
        <v>0</v>
      </c>
      <c r="L2075" s="3">
        <f t="shared" si="324"/>
        <v>0</v>
      </c>
      <c r="N2075" s="11">
        <f t="shared" si="325"/>
        <v>26.794441384231789</v>
      </c>
      <c r="O2075" s="3">
        <v>16.385558615768218</v>
      </c>
      <c r="P2075" s="11">
        <f t="shared" si="326"/>
        <v>49.057420645604694</v>
      </c>
      <c r="Q2075" s="12">
        <f t="shared" si="327"/>
        <v>6.9216093371991771</v>
      </c>
      <c r="R2075" s="13">
        <f t="shared" si="328"/>
        <v>34.940925816612058</v>
      </c>
      <c r="S2075" s="3" t="s">
        <v>31</v>
      </c>
      <c r="T2075" s="3" t="s">
        <v>35</v>
      </c>
      <c r="U2075" s="10">
        <v>9432029900999</v>
      </c>
      <c r="V2075" s="3">
        <v>0.1</v>
      </c>
      <c r="W2075" s="3">
        <f t="shared" si="329"/>
        <v>0</v>
      </c>
      <c r="AA2075" s="3">
        <v>48</v>
      </c>
    </row>
    <row r="2076" spans="1:27" x14ac:dyDescent="0.3">
      <c r="A2076" s="3" t="str">
        <f t="shared" si="320"/>
        <v>North9420069900820</v>
      </c>
      <c r="B2076" s="3" t="str">
        <f t="shared" si="321"/>
        <v>Lud9420069900820</v>
      </c>
      <c r="C2076" s="10">
        <v>9420069900820</v>
      </c>
      <c r="D2076" s="10" t="str">
        <f t="shared" si="322"/>
        <v>9420069900</v>
      </c>
      <c r="E2076" s="3" t="s">
        <v>3</v>
      </c>
      <c r="F2076" s="3" t="s">
        <v>64</v>
      </c>
      <c r="H2076" s="3">
        <v>11.620000000000001</v>
      </c>
      <c r="I2076" s="10">
        <f t="shared" si="323"/>
        <v>23.135363560013332</v>
      </c>
      <c r="J2076" s="3">
        <v>15.067841881789697</v>
      </c>
      <c r="K2076" s="3">
        <v>12</v>
      </c>
      <c r="L2076" s="3">
        <f t="shared" si="324"/>
        <v>0</v>
      </c>
      <c r="N2076" s="11">
        <f t="shared" si="325"/>
        <v>-3.4478418817896959</v>
      </c>
      <c r="O2076" s="3">
        <v>15.067841881789697</v>
      </c>
      <c r="P2076" s="11">
        <f t="shared" si="326"/>
        <v>-6.8646364399866702</v>
      </c>
      <c r="Q2076" s="12">
        <f t="shared" si="327"/>
        <v>-5.7371177707792631</v>
      </c>
      <c r="R2076" s="13">
        <f t="shared" si="328"/>
        <v>-4.2232707352649248</v>
      </c>
      <c r="S2076" s="3" t="s">
        <v>29</v>
      </c>
      <c r="T2076" s="3" t="s">
        <v>28</v>
      </c>
      <c r="U2076" s="10">
        <v>0</v>
      </c>
      <c r="V2076" s="3">
        <v>0</v>
      </c>
      <c r="W2076" s="3">
        <f t="shared" si="329"/>
        <v>0</v>
      </c>
      <c r="AA2076" s="3">
        <v>48</v>
      </c>
    </row>
    <row r="2077" spans="1:27" x14ac:dyDescent="0.3">
      <c r="A2077" s="3" t="str">
        <f t="shared" si="320"/>
        <v>North9431009913840</v>
      </c>
      <c r="B2077" s="3" t="str">
        <f t="shared" si="321"/>
        <v>Lud9431009913840</v>
      </c>
      <c r="C2077" s="10">
        <v>9431009913840</v>
      </c>
      <c r="D2077" s="10" t="str">
        <f t="shared" si="322"/>
        <v>9431009913</v>
      </c>
      <c r="E2077" s="3" t="s">
        <v>3</v>
      </c>
      <c r="F2077" s="3" t="s">
        <v>64</v>
      </c>
      <c r="H2077" s="3">
        <v>10.94</v>
      </c>
      <c r="I2077" s="10">
        <f t="shared" si="323"/>
        <v>22.180707309463461</v>
      </c>
      <c r="J2077" s="3">
        <v>14.796642659811507</v>
      </c>
      <c r="K2077" s="3">
        <v>24</v>
      </c>
      <c r="L2077" s="3">
        <f t="shared" si="324"/>
        <v>0</v>
      </c>
      <c r="N2077" s="11">
        <f t="shared" si="325"/>
        <v>-3.8566426598115076</v>
      </c>
      <c r="O2077" s="3">
        <v>14.796642659811507</v>
      </c>
      <c r="P2077" s="11">
        <f t="shared" si="326"/>
        <v>-7.8192926905365372</v>
      </c>
      <c r="Q2077" s="12">
        <f t="shared" si="327"/>
        <v>-0.70671276468343458</v>
      </c>
      <c r="R2077" s="13">
        <f t="shared" si="328"/>
        <v>-5.4650966833710344</v>
      </c>
      <c r="S2077" s="3" t="s">
        <v>29</v>
      </c>
      <c r="T2077" s="3" t="s">
        <v>35</v>
      </c>
      <c r="U2077" s="10">
        <v>0</v>
      </c>
      <c r="V2077" s="3">
        <v>0</v>
      </c>
      <c r="W2077" s="3">
        <f t="shared" si="329"/>
        <v>0</v>
      </c>
      <c r="AA2077" s="3">
        <v>48</v>
      </c>
    </row>
    <row r="2078" spans="1:27" x14ac:dyDescent="0.3">
      <c r="A2078" s="3" t="str">
        <f t="shared" si="320"/>
        <v>North9320039900310</v>
      </c>
      <c r="B2078" s="3" t="str">
        <f t="shared" si="321"/>
        <v>Lud9320039900310</v>
      </c>
      <c r="C2078" s="10">
        <v>9320039900310</v>
      </c>
      <c r="D2078" s="10" t="str">
        <f t="shared" si="322"/>
        <v>9320039900</v>
      </c>
      <c r="E2078" s="3" t="s">
        <v>3</v>
      </c>
      <c r="F2078" s="3" t="s">
        <v>64</v>
      </c>
      <c r="H2078" s="3">
        <v>26.79</v>
      </c>
      <c r="I2078" s="10">
        <f t="shared" si="323"/>
        <v>54.634156694355369</v>
      </c>
      <c r="J2078" s="3">
        <v>14.710577569563469</v>
      </c>
      <c r="K2078" s="3">
        <v>0</v>
      </c>
      <c r="L2078" s="3">
        <f t="shared" si="324"/>
        <v>0</v>
      </c>
      <c r="N2078" s="11">
        <f t="shared" si="325"/>
        <v>12.07942243043653</v>
      </c>
      <c r="O2078" s="3">
        <v>14.710577569563469</v>
      </c>
      <c r="P2078" s="11">
        <f t="shared" si="326"/>
        <v>24.634156694355372</v>
      </c>
      <c r="Q2078" s="12">
        <f t="shared" si="327"/>
        <v>9.5067485879387803</v>
      </c>
      <c r="R2078" s="13">
        <f t="shared" si="328"/>
        <v>11.051869163953389</v>
      </c>
      <c r="S2078" s="3" t="s">
        <v>30</v>
      </c>
      <c r="T2078" s="3" t="s">
        <v>28</v>
      </c>
      <c r="U2078" s="10">
        <v>9320039900999</v>
      </c>
      <c r="V2078" s="3">
        <v>0.1</v>
      </c>
      <c r="W2078" s="3">
        <f t="shared" si="329"/>
        <v>0</v>
      </c>
      <c r="AA2078" s="3">
        <v>48</v>
      </c>
    </row>
    <row r="2079" spans="1:27" x14ac:dyDescent="0.3">
      <c r="A2079" s="3" t="str">
        <f t="shared" si="320"/>
        <v>North9320089901320</v>
      </c>
      <c r="B2079" s="3" t="str">
        <f t="shared" si="321"/>
        <v>Lud9320089901320</v>
      </c>
      <c r="C2079" s="10">
        <v>9320089901320</v>
      </c>
      <c r="D2079" s="10" t="str">
        <f t="shared" si="322"/>
        <v>9320089901</v>
      </c>
      <c r="E2079" s="3" t="s">
        <v>3</v>
      </c>
      <c r="F2079" s="3" t="s">
        <v>64</v>
      </c>
      <c r="H2079" s="3">
        <v>20.84</v>
      </c>
      <c r="I2079" s="10">
        <f t="shared" si="323"/>
        <v>43.885310800400809</v>
      </c>
      <c r="J2079" s="3">
        <v>14.246224729808452</v>
      </c>
      <c r="K2079" s="3">
        <v>0</v>
      </c>
      <c r="L2079" s="3">
        <f t="shared" si="324"/>
        <v>0</v>
      </c>
      <c r="N2079" s="11">
        <f t="shared" si="325"/>
        <v>6.5937752701915482</v>
      </c>
      <c r="O2079" s="3">
        <v>14.246224729808452</v>
      </c>
      <c r="P2079" s="11">
        <f t="shared" si="326"/>
        <v>13.885310800400813</v>
      </c>
      <c r="Q2079" s="12">
        <f t="shared" si="327"/>
        <v>21.721183672986459</v>
      </c>
      <c r="R2079" s="13">
        <f t="shared" si="328"/>
        <v>31.812152870329982</v>
      </c>
      <c r="S2079" s="3" t="s">
        <v>31</v>
      </c>
      <c r="T2079" s="3" t="s">
        <v>28</v>
      </c>
      <c r="U2079" s="10">
        <v>9320089900999</v>
      </c>
      <c r="V2079" s="3">
        <v>0.1</v>
      </c>
      <c r="W2079" s="3">
        <f t="shared" si="329"/>
        <v>0</v>
      </c>
      <c r="AA2079" s="3">
        <v>48</v>
      </c>
    </row>
    <row r="2080" spans="1:27" x14ac:dyDescent="0.3">
      <c r="A2080" s="3" t="str">
        <f t="shared" si="320"/>
        <v>North9320089900320</v>
      </c>
      <c r="B2080" s="3" t="str">
        <f t="shared" si="321"/>
        <v>Lud9320089900320</v>
      </c>
      <c r="C2080" s="10">
        <v>9320089900320</v>
      </c>
      <c r="D2080" s="10" t="str">
        <f t="shared" si="322"/>
        <v>9320089900</v>
      </c>
      <c r="E2080" s="3" t="s">
        <v>3</v>
      </c>
      <c r="F2080" s="3" t="s">
        <v>64</v>
      </c>
      <c r="H2080" s="3">
        <v>17.180000000000003</v>
      </c>
      <c r="I2080" s="10">
        <f t="shared" si="323"/>
        <v>36.24745251354652</v>
      </c>
      <c r="J2080" s="3">
        <v>14.218930276752086</v>
      </c>
      <c r="K2080" s="3">
        <v>0</v>
      </c>
      <c r="L2080" s="3">
        <f t="shared" si="324"/>
        <v>0</v>
      </c>
      <c r="N2080" s="11">
        <f t="shared" si="325"/>
        <v>2.9610697232479168</v>
      </c>
      <c r="O2080" s="3">
        <v>14.218930276752086</v>
      </c>
      <c r="P2080" s="11">
        <f t="shared" si="326"/>
        <v>6.2474525135465182</v>
      </c>
      <c r="Q2080" s="12">
        <f t="shared" si="327"/>
        <v>39.666116567328864</v>
      </c>
      <c r="R2080" s="13">
        <f t="shared" si="328"/>
        <v>49.657770810926209</v>
      </c>
      <c r="S2080" s="3" t="s">
        <v>31</v>
      </c>
      <c r="T2080" s="3" t="s">
        <v>28</v>
      </c>
      <c r="U2080" s="10">
        <v>9320089900999</v>
      </c>
      <c r="V2080" s="3">
        <v>0.1</v>
      </c>
      <c r="W2080" s="3">
        <f t="shared" si="329"/>
        <v>0</v>
      </c>
      <c r="AA2080" s="3">
        <v>48</v>
      </c>
    </row>
    <row r="2081" spans="1:27" x14ac:dyDescent="0.3">
      <c r="A2081" s="3" t="str">
        <f t="shared" si="320"/>
        <v>North9320029901310</v>
      </c>
      <c r="B2081" s="3" t="str">
        <f t="shared" si="321"/>
        <v>Lud9320029901310</v>
      </c>
      <c r="C2081" s="10">
        <v>9320029901310</v>
      </c>
      <c r="D2081" s="10" t="str">
        <f t="shared" si="322"/>
        <v>9320029901</v>
      </c>
      <c r="E2081" s="3" t="s">
        <v>3</v>
      </c>
      <c r="F2081" s="3" t="s">
        <v>64</v>
      </c>
      <c r="H2081" s="3">
        <v>13.969999999999999</v>
      </c>
      <c r="I2081" s="10">
        <f t="shared" si="323"/>
        <v>33.685232276472043</v>
      </c>
      <c r="J2081" s="3">
        <v>12.441653854728697</v>
      </c>
      <c r="K2081" s="3">
        <v>24</v>
      </c>
      <c r="L2081" s="3">
        <f t="shared" si="324"/>
        <v>0</v>
      </c>
      <c r="N2081" s="11">
        <f t="shared" si="325"/>
        <v>1.5283461452713016</v>
      </c>
      <c r="O2081" s="3">
        <v>12.441653854728697</v>
      </c>
      <c r="P2081" s="11">
        <f t="shared" si="326"/>
        <v>3.6852322764720467</v>
      </c>
      <c r="Q2081" s="12">
        <f t="shared" si="327"/>
        <v>7.2264259783968363</v>
      </c>
      <c r="R2081" s="13">
        <f t="shared" si="328"/>
        <v>10.117410198257529</v>
      </c>
      <c r="S2081" s="3" t="s">
        <v>29</v>
      </c>
      <c r="T2081" s="3" t="s">
        <v>28</v>
      </c>
      <c r="U2081" s="10">
        <v>9320029900999</v>
      </c>
      <c r="V2081" s="3">
        <v>0.1</v>
      </c>
      <c r="W2081" s="3">
        <f t="shared" si="329"/>
        <v>2.4000000000000004</v>
      </c>
      <c r="AA2081" s="3">
        <v>48</v>
      </c>
    </row>
    <row r="2082" spans="1:27" x14ac:dyDescent="0.3">
      <c r="A2082" s="3" t="str">
        <f t="shared" si="320"/>
        <v>North9160509901320</v>
      </c>
      <c r="B2082" s="3" t="str">
        <f t="shared" si="321"/>
        <v>Lud9160509901320</v>
      </c>
      <c r="C2082" s="10">
        <v>9160509901320</v>
      </c>
      <c r="D2082" s="10" t="str">
        <f t="shared" si="322"/>
        <v>9160509901</v>
      </c>
      <c r="E2082" s="3" t="s">
        <v>3</v>
      </c>
      <c r="F2082" s="3" t="s">
        <v>64</v>
      </c>
      <c r="H2082" s="3">
        <v>12.639999999999997</v>
      </c>
      <c r="I2082" s="10">
        <f t="shared" si="323"/>
        <v>37.701040153528567</v>
      </c>
      <c r="J2082" s="3">
        <v>10.058077932486681</v>
      </c>
      <c r="K2082" s="3">
        <v>0</v>
      </c>
      <c r="L2082" s="3">
        <f t="shared" si="324"/>
        <v>0</v>
      </c>
      <c r="N2082" s="11">
        <f t="shared" si="325"/>
        <v>2.5819220675133163</v>
      </c>
      <c r="O2082" s="3">
        <v>10.058077932486681</v>
      </c>
      <c r="P2082" s="11">
        <f t="shared" si="326"/>
        <v>7.7010401535285631</v>
      </c>
      <c r="Q2082" s="12">
        <f t="shared" si="327"/>
        <v>28.277306696252701</v>
      </c>
      <c r="R2082" s="13">
        <f t="shared" si="328"/>
        <v>20.628605749315501</v>
      </c>
      <c r="S2082" s="3" t="s">
        <v>29</v>
      </c>
      <c r="T2082" s="3" t="s">
        <v>34</v>
      </c>
      <c r="U2082" s="10">
        <v>0</v>
      </c>
      <c r="V2082" s="3">
        <v>0</v>
      </c>
      <c r="W2082" s="3">
        <f t="shared" si="329"/>
        <v>0</v>
      </c>
      <c r="AA2082" s="3">
        <v>48</v>
      </c>
    </row>
    <row r="2083" spans="1:27" x14ac:dyDescent="0.3">
      <c r="A2083" s="3" t="str">
        <f t="shared" si="320"/>
        <v>North9437019900240</v>
      </c>
      <c r="B2083" s="3" t="str">
        <f t="shared" si="321"/>
        <v>Lud9437019900240</v>
      </c>
      <c r="C2083" s="10">
        <v>9437019900240</v>
      </c>
      <c r="D2083" s="10" t="str">
        <f t="shared" si="322"/>
        <v>9437019900</v>
      </c>
      <c r="E2083" s="3" t="s">
        <v>3</v>
      </c>
      <c r="F2083" s="3" t="s">
        <v>64</v>
      </c>
      <c r="H2083" s="3">
        <v>11.528000000000002</v>
      </c>
      <c r="I2083" s="10">
        <f t="shared" si="323"/>
        <v>34.530658276983878</v>
      </c>
      <c r="J2083" s="3">
        <v>10.01544764150983</v>
      </c>
      <c r="K2083" s="3">
        <v>0</v>
      </c>
      <c r="L2083" s="3">
        <f t="shared" si="324"/>
        <v>0</v>
      </c>
      <c r="N2083" s="11">
        <f t="shared" si="325"/>
        <v>1.5125523584901721</v>
      </c>
      <c r="O2083" s="3">
        <v>10.01544764150983</v>
      </c>
      <c r="P2083" s="11">
        <f t="shared" si="326"/>
        <v>4.5306582769838775</v>
      </c>
      <c r="Q2083" s="12">
        <f t="shared" si="327"/>
        <v>5.2150345363456649</v>
      </c>
      <c r="R2083" s="13">
        <f t="shared" si="328"/>
        <v>10.080966563011508</v>
      </c>
      <c r="S2083" s="3" t="s">
        <v>29</v>
      </c>
      <c r="T2083" s="3" t="s">
        <v>35</v>
      </c>
      <c r="U2083" s="10">
        <v>0</v>
      </c>
      <c r="V2083" s="3">
        <v>0</v>
      </c>
      <c r="W2083" s="3">
        <f t="shared" si="329"/>
        <v>0</v>
      </c>
      <c r="AA2083" s="3">
        <v>48</v>
      </c>
    </row>
    <row r="2084" spans="1:27" x14ac:dyDescent="0.3">
      <c r="A2084" s="3" t="str">
        <f t="shared" si="320"/>
        <v>North9181709900320</v>
      </c>
      <c r="B2084" s="3" t="str">
        <f t="shared" si="321"/>
        <v>Lud9181709900320</v>
      </c>
      <c r="C2084" s="10">
        <v>9181709900320</v>
      </c>
      <c r="D2084" s="10" t="str">
        <f t="shared" si="322"/>
        <v>9181709900</v>
      </c>
      <c r="E2084" s="3" t="s">
        <v>3</v>
      </c>
      <c r="F2084" s="3" t="s">
        <v>64</v>
      </c>
      <c r="H2084" s="3">
        <v>4.88</v>
      </c>
      <c r="I2084" s="10">
        <f t="shared" si="323"/>
        <v>14.985228395130102</v>
      </c>
      <c r="J2084" s="3">
        <v>9.7696208652767051</v>
      </c>
      <c r="K2084" s="3">
        <v>0</v>
      </c>
      <c r="L2084" s="3">
        <f t="shared" si="324"/>
        <v>0</v>
      </c>
      <c r="N2084" s="11">
        <f t="shared" si="325"/>
        <v>-4.8896208652767053</v>
      </c>
      <c r="O2084" s="3">
        <v>9.7696208652767051</v>
      </c>
      <c r="P2084" s="11">
        <f t="shared" si="326"/>
        <v>-15.0147716048699</v>
      </c>
      <c r="Q2084" s="12">
        <f t="shared" si="327"/>
        <v>-6.6515018463766413</v>
      </c>
      <c r="R2084" s="13">
        <f t="shared" si="328"/>
        <v>36.002851558501796</v>
      </c>
      <c r="S2084" s="3" t="s">
        <v>29</v>
      </c>
      <c r="T2084" s="3" t="s">
        <v>34</v>
      </c>
      <c r="U2084" s="10">
        <v>0</v>
      </c>
      <c r="V2084" s="3">
        <v>0</v>
      </c>
      <c r="W2084" s="3">
        <f t="shared" si="329"/>
        <v>0</v>
      </c>
      <c r="AA2084" s="3">
        <v>48</v>
      </c>
    </row>
    <row r="2085" spans="1:27" x14ac:dyDescent="0.3">
      <c r="A2085" s="3" t="str">
        <f t="shared" si="320"/>
        <v>North9432009900310</v>
      </c>
      <c r="B2085" s="3" t="str">
        <f t="shared" si="321"/>
        <v>Lud9432009900310</v>
      </c>
      <c r="C2085" s="10">
        <v>9432009900310</v>
      </c>
      <c r="D2085" s="10" t="str">
        <f t="shared" si="322"/>
        <v>9432009900</v>
      </c>
      <c r="E2085" s="3" t="s">
        <v>3</v>
      </c>
      <c r="F2085" s="3" t="s">
        <v>64</v>
      </c>
      <c r="H2085" s="3">
        <v>8.32</v>
      </c>
      <c r="I2085" s="10">
        <f t="shared" si="323"/>
        <v>27.10217444277637</v>
      </c>
      <c r="J2085" s="3">
        <v>9.2095931463730469</v>
      </c>
      <c r="K2085" s="3">
        <v>12</v>
      </c>
      <c r="L2085" s="3">
        <f t="shared" si="324"/>
        <v>0</v>
      </c>
      <c r="N2085" s="11">
        <f t="shared" si="325"/>
        <v>-0.88959314637304665</v>
      </c>
      <c r="O2085" s="3">
        <v>9.2095931463730469</v>
      </c>
      <c r="P2085" s="11">
        <f t="shared" si="326"/>
        <v>-2.89782555722363</v>
      </c>
      <c r="Q2085" s="12">
        <f t="shared" si="327"/>
        <v>8.7409676022864513</v>
      </c>
      <c r="R2085" s="13">
        <f t="shared" si="328"/>
        <v>13.907087089372547</v>
      </c>
      <c r="S2085" s="3" t="s">
        <v>30</v>
      </c>
      <c r="T2085" s="3" t="s">
        <v>35</v>
      </c>
      <c r="U2085" s="10">
        <v>9432009900999</v>
      </c>
      <c r="V2085" s="3">
        <v>0.1</v>
      </c>
      <c r="W2085" s="3">
        <f t="shared" si="329"/>
        <v>1.2000000000000002</v>
      </c>
      <c r="AA2085" s="3">
        <v>48</v>
      </c>
    </row>
    <row r="2086" spans="1:27" x14ac:dyDescent="0.3">
      <c r="A2086" s="3" t="str">
        <f t="shared" si="320"/>
        <v>North9320029900310</v>
      </c>
      <c r="B2086" s="3" t="str">
        <f t="shared" si="321"/>
        <v>Lud9320029900310</v>
      </c>
      <c r="C2086" s="10">
        <v>9320029900310</v>
      </c>
      <c r="D2086" s="10" t="str">
        <f t="shared" si="322"/>
        <v>9320029900</v>
      </c>
      <c r="E2086" s="3" t="s">
        <v>3</v>
      </c>
      <c r="F2086" s="3" t="s">
        <v>64</v>
      </c>
      <c r="H2086" s="3">
        <v>5.8000000000000007</v>
      </c>
      <c r="I2086" s="10">
        <f t="shared" si="323"/>
        <v>19.365279922057383</v>
      </c>
      <c r="J2086" s="3">
        <v>8.9851528457283525</v>
      </c>
      <c r="K2086" s="3">
        <v>0</v>
      </c>
      <c r="L2086" s="3">
        <f t="shared" si="324"/>
        <v>0</v>
      </c>
      <c r="N2086" s="11">
        <f t="shared" si="325"/>
        <v>-3.1851528457283518</v>
      </c>
      <c r="O2086" s="3">
        <v>8.9851528457283525</v>
      </c>
      <c r="P2086" s="11">
        <f t="shared" si="326"/>
        <v>-10.634720077942617</v>
      </c>
      <c r="Q2086" s="12">
        <f t="shared" si="327"/>
        <v>-4.4423866546108899</v>
      </c>
      <c r="R2086" s="13">
        <f t="shared" si="328"/>
        <v>9.5182439109816208</v>
      </c>
      <c r="S2086" s="3" t="s">
        <v>30</v>
      </c>
      <c r="T2086" s="3" t="s">
        <v>28</v>
      </c>
      <c r="U2086" s="10">
        <v>9320029900999</v>
      </c>
      <c r="V2086" s="3">
        <v>0.1</v>
      </c>
      <c r="W2086" s="3">
        <f t="shared" si="329"/>
        <v>0</v>
      </c>
      <c r="AA2086" s="3">
        <v>48</v>
      </c>
    </row>
    <row r="2087" spans="1:27" x14ac:dyDescent="0.3">
      <c r="A2087" s="3" t="str">
        <f t="shared" si="320"/>
        <v>North9420139901320</v>
      </c>
      <c r="B2087" s="3" t="str">
        <f t="shared" si="321"/>
        <v>Lud9420139901320</v>
      </c>
      <c r="C2087" s="10">
        <v>9420139901320</v>
      </c>
      <c r="D2087" s="10" t="str">
        <f t="shared" si="322"/>
        <v>9420139901</v>
      </c>
      <c r="E2087" s="3" t="s">
        <v>3</v>
      </c>
      <c r="F2087" s="3" t="s">
        <v>64</v>
      </c>
      <c r="H2087" s="3">
        <v>5.5599999999999987</v>
      </c>
      <c r="I2087" s="10">
        <f t="shared" si="323"/>
        <v>19.579401158185735</v>
      </c>
      <c r="J2087" s="3">
        <v>8.5191573864997601</v>
      </c>
      <c r="K2087" s="3">
        <v>0</v>
      </c>
      <c r="L2087" s="3">
        <f t="shared" si="324"/>
        <v>0</v>
      </c>
      <c r="N2087" s="11">
        <f t="shared" si="325"/>
        <v>-2.9591573864997613</v>
      </c>
      <c r="O2087" s="3">
        <v>8.5191573864997601</v>
      </c>
      <c r="P2087" s="11">
        <f t="shared" si="326"/>
        <v>-10.420598841814265</v>
      </c>
      <c r="Q2087" s="12">
        <f t="shared" si="327"/>
        <v>-9.2142220418553151</v>
      </c>
      <c r="R2087" s="13">
        <f t="shared" si="328"/>
        <v>3.4542911269476986</v>
      </c>
      <c r="S2087" s="3" t="s">
        <v>31</v>
      </c>
      <c r="T2087" s="3" t="s">
        <v>28</v>
      </c>
      <c r="U2087" s="10">
        <v>9420139900999</v>
      </c>
      <c r="V2087" s="3">
        <v>0.1</v>
      </c>
      <c r="W2087" s="3">
        <f t="shared" si="329"/>
        <v>0</v>
      </c>
      <c r="AA2087" s="3">
        <v>48</v>
      </c>
    </row>
    <row r="2088" spans="1:27" x14ac:dyDescent="0.3">
      <c r="A2088" s="3" t="str">
        <f t="shared" si="320"/>
        <v>North9437009900810</v>
      </c>
      <c r="B2088" s="3" t="str">
        <f t="shared" si="321"/>
        <v>Lud9437009900810</v>
      </c>
      <c r="C2088" s="10">
        <v>9437009900810</v>
      </c>
      <c r="D2088" s="10" t="str">
        <f t="shared" si="322"/>
        <v>9437009900</v>
      </c>
      <c r="E2088" s="3" t="s">
        <v>3</v>
      </c>
      <c r="F2088" s="3" t="s">
        <v>64</v>
      </c>
      <c r="H2088" s="3">
        <v>9.5100000000000016</v>
      </c>
      <c r="I2088" s="10">
        <f t="shared" si="323"/>
        <v>34.967834541760105</v>
      </c>
      <c r="J2088" s="3">
        <v>8.1589267319165106</v>
      </c>
      <c r="K2088" s="3">
        <v>0</v>
      </c>
      <c r="L2088" s="3">
        <f t="shared" si="324"/>
        <v>0</v>
      </c>
      <c r="N2088" s="11">
        <f t="shared" si="325"/>
        <v>1.3510732680834909</v>
      </c>
      <c r="O2088" s="3">
        <v>8.1589267319165106</v>
      </c>
      <c r="P2088" s="11">
        <f t="shared" si="326"/>
        <v>4.9678345417601051</v>
      </c>
      <c r="Q2088" s="12">
        <f t="shared" si="327"/>
        <v>8.5406795661060393</v>
      </c>
      <c r="R2088" s="13">
        <f t="shared" si="328"/>
        <v>12.39250820735101</v>
      </c>
      <c r="S2088" s="3" t="s">
        <v>29</v>
      </c>
      <c r="T2088" s="3" t="s">
        <v>35</v>
      </c>
      <c r="U2088" s="10">
        <v>0</v>
      </c>
      <c r="V2088" s="3">
        <v>0</v>
      </c>
      <c r="W2088" s="3">
        <f t="shared" si="329"/>
        <v>0</v>
      </c>
      <c r="AA2088" s="3">
        <v>48</v>
      </c>
    </row>
    <row r="2089" spans="1:27" x14ac:dyDescent="0.3">
      <c r="A2089" s="3" t="str">
        <f t="shared" si="320"/>
        <v>North9432029900320</v>
      </c>
      <c r="B2089" s="3" t="str">
        <f t="shared" si="321"/>
        <v>Lud9432029900320</v>
      </c>
      <c r="C2089" s="10">
        <v>9432029900320</v>
      </c>
      <c r="D2089" s="10" t="str">
        <f t="shared" si="322"/>
        <v>9432029900</v>
      </c>
      <c r="E2089" s="3" t="s">
        <v>3</v>
      </c>
      <c r="F2089" s="3" t="s">
        <v>64</v>
      </c>
      <c r="H2089" s="3">
        <v>12.3</v>
      </c>
      <c r="I2089" s="10">
        <f t="shared" si="323"/>
        <v>45.619635847327615</v>
      </c>
      <c r="J2089" s="3">
        <v>8.0886222159885115</v>
      </c>
      <c r="K2089" s="3">
        <v>0</v>
      </c>
      <c r="L2089" s="3">
        <f t="shared" si="324"/>
        <v>0</v>
      </c>
      <c r="N2089" s="11">
        <f t="shared" si="325"/>
        <v>4.2113777840114892</v>
      </c>
      <c r="O2089" s="3">
        <v>8.0886222159885115</v>
      </c>
      <c r="P2089" s="11">
        <f t="shared" si="326"/>
        <v>15.619635847327615</v>
      </c>
      <c r="Q2089" s="12">
        <f t="shared" si="327"/>
        <v>22.136749959608558</v>
      </c>
      <c r="R2089" s="13">
        <f t="shared" si="328"/>
        <v>44.067510562075888</v>
      </c>
      <c r="S2089" s="3" t="s">
        <v>31</v>
      </c>
      <c r="T2089" s="3" t="s">
        <v>35</v>
      </c>
      <c r="U2089" s="10">
        <v>9432029900999</v>
      </c>
      <c r="V2089" s="3">
        <v>0.1</v>
      </c>
      <c r="W2089" s="3">
        <f t="shared" si="329"/>
        <v>0</v>
      </c>
      <c r="AA2089" s="3">
        <v>48</v>
      </c>
    </row>
    <row r="2090" spans="1:27" x14ac:dyDescent="0.3">
      <c r="A2090" s="3" t="str">
        <f t="shared" si="320"/>
        <v>North9161089900320</v>
      </c>
      <c r="B2090" s="3" t="str">
        <f t="shared" si="321"/>
        <v>Lud9161089900320</v>
      </c>
      <c r="C2090" s="10">
        <v>9161089900320</v>
      </c>
      <c r="D2090" s="10" t="str">
        <f t="shared" si="322"/>
        <v>9161089900</v>
      </c>
      <c r="E2090" s="3" t="s">
        <v>3</v>
      </c>
      <c r="F2090" s="3" t="s">
        <v>64</v>
      </c>
      <c r="H2090" s="3">
        <v>8.92</v>
      </c>
      <c r="I2090" s="10">
        <f t="shared" si="323"/>
        <v>33.278910482879432</v>
      </c>
      <c r="J2090" s="3">
        <v>8.0411286342342461</v>
      </c>
      <c r="K2090" s="3">
        <v>0</v>
      </c>
      <c r="L2090" s="3">
        <f t="shared" si="324"/>
        <v>0</v>
      </c>
      <c r="N2090" s="11">
        <f t="shared" si="325"/>
        <v>0.87887136576575386</v>
      </c>
      <c r="O2090" s="3">
        <v>8.0411286342342461</v>
      </c>
      <c r="P2090" s="11">
        <f t="shared" si="326"/>
        <v>3.2789104828794291</v>
      </c>
      <c r="Q2090" s="12">
        <f t="shared" si="327"/>
        <v>30.479124913312688</v>
      </c>
      <c r="R2090" s="13">
        <f t="shared" si="328"/>
        <v>27.706955085899509</v>
      </c>
      <c r="S2090" s="3" t="s">
        <v>29</v>
      </c>
      <c r="T2090" s="3" t="s">
        <v>34</v>
      </c>
      <c r="U2090" s="10">
        <v>0</v>
      </c>
      <c r="V2090" s="3">
        <v>0</v>
      </c>
      <c r="W2090" s="3">
        <f t="shared" si="329"/>
        <v>0</v>
      </c>
      <c r="AA2090" s="3">
        <v>48</v>
      </c>
    </row>
    <row r="2091" spans="1:27" x14ac:dyDescent="0.3">
      <c r="A2091" s="3" t="str">
        <f t="shared" si="320"/>
        <v>North9420019900320</v>
      </c>
      <c r="B2091" s="3" t="str">
        <f t="shared" si="321"/>
        <v>Lud9420019900320</v>
      </c>
      <c r="C2091" s="10">
        <v>9420019900320</v>
      </c>
      <c r="D2091" s="10" t="str">
        <f t="shared" si="322"/>
        <v>9420019900</v>
      </c>
      <c r="E2091" s="3" t="s">
        <v>3</v>
      </c>
      <c r="F2091" s="3" t="s">
        <v>64</v>
      </c>
      <c r="H2091" s="3">
        <v>19.100000000000001</v>
      </c>
      <c r="I2091" s="10">
        <f t="shared" si="323"/>
        <v>74.745614699319503</v>
      </c>
      <c r="J2091" s="3">
        <v>7.6660015748752244</v>
      </c>
      <c r="K2091" s="3">
        <v>0</v>
      </c>
      <c r="L2091" s="3">
        <f t="shared" si="324"/>
        <v>0</v>
      </c>
      <c r="N2091" s="11">
        <f t="shared" si="325"/>
        <v>11.433998425124777</v>
      </c>
      <c r="O2091" s="3">
        <v>7.6660015748752244</v>
      </c>
      <c r="P2091" s="11">
        <f t="shared" si="326"/>
        <v>44.745614699319503</v>
      </c>
      <c r="Q2091" s="12">
        <f t="shared" si="327"/>
        <v>17.78649337436514</v>
      </c>
      <c r="R2091" s="13">
        <f t="shared" si="328"/>
        <v>28.338406312816389</v>
      </c>
      <c r="S2091" s="3" t="s">
        <v>30</v>
      </c>
      <c r="T2091" s="3" t="s">
        <v>28</v>
      </c>
      <c r="U2091" s="10">
        <v>9420019900999</v>
      </c>
      <c r="V2091" s="3">
        <v>0.1</v>
      </c>
      <c r="W2091" s="3">
        <f t="shared" si="329"/>
        <v>0</v>
      </c>
      <c r="AA2091" s="3">
        <v>48</v>
      </c>
    </row>
    <row r="2092" spans="1:27" x14ac:dyDescent="0.3">
      <c r="A2092" s="3" t="str">
        <f t="shared" si="320"/>
        <v>North9360039900840</v>
      </c>
      <c r="B2092" s="3" t="str">
        <f t="shared" si="321"/>
        <v>Lud9360039900840</v>
      </c>
      <c r="C2092" s="10">
        <v>9360039900840</v>
      </c>
      <c r="D2092" s="10" t="str">
        <f t="shared" si="322"/>
        <v>9360039900</v>
      </c>
      <c r="E2092" s="3" t="s">
        <v>3</v>
      </c>
      <c r="F2092" s="3" t="s">
        <v>64</v>
      </c>
      <c r="H2092" s="3">
        <v>1.8640000000000001</v>
      </c>
      <c r="I2092" s="10">
        <f t="shared" si="323"/>
        <v>7.3282919701902571</v>
      </c>
      <c r="J2092" s="3">
        <v>7.6307003361041312</v>
      </c>
      <c r="K2092" s="3">
        <v>36</v>
      </c>
      <c r="L2092" s="3">
        <f t="shared" si="324"/>
        <v>0</v>
      </c>
      <c r="N2092" s="11">
        <f t="shared" si="325"/>
        <v>-5.7667003361041314</v>
      </c>
      <c r="O2092" s="3">
        <v>7.6307003361041312</v>
      </c>
      <c r="P2092" s="11">
        <f t="shared" si="326"/>
        <v>-22.671708029809743</v>
      </c>
      <c r="Q2092" s="12">
        <f t="shared" si="327"/>
        <v>-24.43781990220084</v>
      </c>
      <c r="R2092" s="13">
        <f t="shared" si="328"/>
        <v>-18.707730516871298</v>
      </c>
      <c r="S2092" s="3" t="s">
        <v>30</v>
      </c>
      <c r="T2092" s="3" t="s">
        <v>33</v>
      </c>
      <c r="U2092" s="10">
        <v>0</v>
      </c>
      <c r="V2092" s="3">
        <v>0</v>
      </c>
      <c r="W2092" s="3">
        <f t="shared" si="329"/>
        <v>0</v>
      </c>
      <c r="AA2092" s="3">
        <v>48</v>
      </c>
    </row>
    <row r="2093" spans="1:27" x14ac:dyDescent="0.3">
      <c r="A2093" s="3" t="str">
        <f t="shared" si="320"/>
        <v>North9101069900320</v>
      </c>
      <c r="B2093" s="3" t="str">
        <f t="shared" si="321"/>
        <v>Lud9101069900320</v>
      </c>
      <c r="C2093" s="10">
        <v>9101069900320</v>
      </c>
      <c r="D2093" s="10" t="str">
        <f t="shared" si="322"/>
        <v>9101069900</v>
      </c>
      <c r="E2093" s="3" t="s">
        <v>3</v>
      </c>
      <c r="F2093" s="3" t="s">
        <v>64</v>
      </c>
      <c r="H2093" s="3">
        <v>7.76</v>
      </c>
      <c r="I2093" s="10">
        <f t="shared" si="323"/>
        <v>30.684732326551138</v>
      </c>
      <c r="J2093" s="3">
        <v>7.5868349615212676</v>
      </c>
      <c r="K2093" s="3">
        <v>0</v>
      </c>
      <c r="L2093" s="3">
        <f t="shared" si="324"/>
        <v>0</v>
      </c>
      <c r="N2093" s="11">
        <f t="shared" si="325"/>
        <v>0.17316503847873221</v>
      </c>
      <c r="O2093" s="3">
        <v>7.5868349615212676</v>
      </c>
      <c r="P2093" s="11">
        <f t="shared" si="326"/>
        <v>0.68473232655113747</v>
      </c>
      <c r="Q2093" s="12">
        <f t="shared" si="327"/>
        <v>9.1578461621437235</v>
      </c>
      <c r="R2093" s="13">
        <f t="shared" si="328"/>
        <v>25.087060035412687</v>
      </c>
      <c r="S2093" s="3" t="s">
        <v>29</v>
      </c>
      <c r="T2093" s="3" t="s">
        <v>34</v>
      </c>
      <c r="U2093" s="10">
        <v>0</v>
      </c>
      <c r="V2093" s="3">
        <v>0</v>
      </c>
      <c r="W2093" s="3">
        <f t="shared" si="329"/>
        <v>0</v>
      </c>
      <c r="AA2093" s="3">
        <v>48</v>
      </c>
    </row>
    <row r="2094" spans="1:27" x14ac:dyDescent="0.3">
      <c r="A2094" s="3" t="str">
        <f t="shared" si="320"/>
        <v>North9420019901320</v>
      </c>
      <c r="B2094" s="3" t="str">
        <f t="shared" si="321"/>
        <v>Lud9420019901320</v>
      </c>
      <c r="C2094" s="10">
        <v>9420019901320</v>
      </c>
      <c r="D2094" s="10" t="str">
        <f t="shared" si="322"/>
        <v>9420019901</v>
      </c>
      <c r="E2094" s="3" t="s">
        <v>3</v>
      </c>
      <c r="F2094" s="3" t="s">
        <v>64</v>
      </c>
      <c r="H2094" s="3">
        <v>6.7000000000000011</v>
      </c>
      <c r="I2094" s="10">
        <f t="shared" si="323"/>
        <v>28.325267585384573</v>
      </c>
      <c r="J2094" s="3">
        <v>7.0961377291176282</v>
      </c>
      <c r="K2094" s="3">
        <v>48</v>
      </c>
      <c r="L2094" s="3">
        <f t="shared" si="324"/>
        <v>0</v>
      </c>
      <c r="N2094" s="11">
        <f t="shared" si="325"/>
        <v>-0.39613772911762712</v>
      </c>
      <c r="O2094" s="3">
        <v>7.0961377291176282</v>
      </c>
      <c r="P2094" s="11">
        <f t="shared" si="326"/>
        <v>-1.6747324146154292</v>
      </c>
      <c r="Q2094" s="12">
        <f t="shared" si="327"/>
        <v>-5.5611531881563057</v>
      </c>
      <c r="R2094" s="13">
        <f t="shared" si="328"/>
        <v>9.1596073909749496</v>
      </c>
      <c r="S2094" s="3" t="s">
        <v>30</v>
      </c>
      <c r="T2094" s="3" t="s">
        <v>28</v>
      </c>
      <c r="U2094" s="10">
        <v>9420019900999</v>
      </c>
      <c r="V2094" s="3">
        <v>0.1</v>
      </c>
      <c r="W2094" s="3">
        <f t="shared" si="329"/>
        <v>4.8000000000000007</v>
      </c>
      <c r="AA2094" s="3">
        <v>48</v>
      </c>
    </row>
    <row r="2095" spans="1:27" x14ac:dyDescent="0.3">
      <c r="A2095" s="3" t="str">
        <f t="shared" si="320"/>
        <v>North9100309901320</v>
      </c>
      <c r="B2095" s="3" t="str">
        <f t="shared" si="321"/>
        <v>Lud9100309901320</v>
      </c>
      <c r="C2095" s="10">
        <v>9100309901320</v>
      </c>
      <c r="D2095" s="10" t="str">
        <f t="shared" si="322"/>
        <v>9100309901</v>
      </c>
      <c r="E2095" s="3" t="s">
        <v>3</v>
      </c>
      <c r="F2095" s="3" t="s">
        <v>64</v>
      </c>
      <c r="H2095" s="3">
        <v>6.66</v>
      </c>
      <c r="I2095" s="10">
        <f t="shared" si="323"/>
        <v>29.288007641858627</v>
      </c>
      <c r="J2095" s="3">
        <v>6.8219048029216038</v>
      </c>
      <c r="K2095" s="3">
        <v>0</v>
      </c>
      <c r="L2095" s="3">
        <f t="shared" si="324"/>
        <v>0</v>
      </c>
      <c r="N2095" s="11">
        <f t="shared" si="325"/>
        <v>-0.1619048029216037</v>
      </c>
      <c r="O2095" s="3">
        <v>6.8219048029216038</v>
      </c>
      <c r="P2095" s="11">
        <f t="shared" si="326"/>
        <v>-0.71199235814137296</v>
      </c>
      <c r="Q2095" s="12">
        <f t="shared" si="327"/>
        <v>44.720463344474609</v>
      </c>
      <c r="R2095" s="13">
        <f t="shared" si="328"/>
        <v>38.292230513753402</v>
      </c>
      <c r="S2095" s="3" t="s">
        <v>29</v>
      </c>
      <c r="T2095" s="3" t="s">
        <v>34</v>
      </c>
      <c r="U2095" s="10">
        <v>0</v>
      </c>
      <c r="V2095" s="3">
        <v>0</v>
      </c>
      <c r="W2095" s="3">
        <f t="shared" si="329"/>
        <v>0</v>
      </c>
      <c r="AA2095" s="3">
        <v>48</v>
      </c>
    </row>
    <row r="2096" spans="1:27" x14ac:dyDescent="0.3">
      <c r="A2096" s="3" t="str">
        <f t="shared" si="320"/>
        <v>North9360019900320</v>
      </c>
      <c r="B2096" s="3" t="str">
        <f t="shared" si="321"/>
        <v>Lud9360019900320</v>
      </c>
      <c r="C2096" s="10">
        <v>9360019900320</v>
      </c>
      <c r="D2096" s="10" t="str">
        <f t="shared" si="322"/>
        <v>9360019900</v>
      </c>
      <c r="E2096" s="3" t="s">
        <v>3</v>
      </c>
      <c r="F2096" s="3" t="s">
        <v>64</v>
      </c>
      <c r="H2096" s="3">
        <v>8.2800000000000011</v>
      </c>
      <c r="I2096" s="10">
        <f t="shared" si="323"/>
        <v>37.060990410176338</v>
      </c>
      <c r="J2096" s="3">
        <v>6.7024652404268581</v>
      </c>
      <c r="K2096" s="3">
        <v>0</v>
      </c>
      <c r="L2096" s="3">
        <f t="shared" si="324"/>
        <v>0</v>
      </c>
      <c r="N2096" s="11">
        <f t="shared" si="325"/>
        <v>1.577534759573143</v>
      </c>
      <c r="O2096" s="3">
        <v>6.7024652404268581</v>
      </c>
      <c r="P2096" s="11">
        <f t="shared" si="326"/>
        <v>7.0609904101763385</v>
      </c>
      <c r="Q2096" s="12">
        <f t="shared" si="327"/>
        <v>10.497720503551337</v>
      </c>
      <c r="R2096" s="13">
        <f t="shared" si="328"/>
        <v>8.1280544165909951</v>
      </c>
      <c r="S2096" s="3" t="s">
        <v>29</v>
      </c>
      <c r="T2096" s="3" t="s">
        <v>33</v>
      </c>
      <c r="U2096" s="10">
        <v>9360019900999</v>
      </c>
      <c r="V2096" s="3">
        <v>0.1</v>
      </c>
      <c r="W2096" s="3">
        <f t="shared" si="329"/>
        <v>0</v>
      </c>
      <c r="AA2096" s="3">
        <v>48</v>
      </c>
    </row>
    <row r="2097" spans="1:27" x14ac:dyDescent="0.3">
      <c r="A2097" s="3" t="str">
        <f t="shared" si="320"/>
        <v>North9330019900840</v>
      </c>
      <c r="B2097" s="3" t="str">
        <f t="shared" si="321"/>
        <v>Lud9330019900840</v>
      </c>
      <c r="C2097" s="10">
        <v>9330019900840</v>
      </c>
      <c r="D2097" s="10" t="str">
        <f t="shared" si="322"/>
        <v>9330019900</v>
      </c>
      <c r="E2097" s="3" t="s">
        <v>3</v>
      </c>
      <c r="F2097" s="3" t="s">
        <v>64</v>
      </c>
      <c r="H2097" s="3">
        <v>22.584000000000003</v>
      </c>
      <c r="I2097" s="10">
        <f t="shared" si="323"/>
        <v>102.14964086740534</v>
      </c>
      <c r="J2097" s="3">
        <v>6.6326224375027465</v>
      </c>
      <c r="K2097" s="3">
        <v>24</v>
      </c>
      <c r="L2097" s="3">
        <f t="shared" si="324"/>
        <v>0</v>
      </c>
      <c r="N2097" s="11">
        <f t="shared" si="325"/>
        <v>15.951377562497257</v>
      </c>
      <c r="O2097" s="3">
        <v>6.6326224375027465</v>
      </c>
      <c r="P2097" s="11">
        <f t="shared" si="326"/>
        <v>72.149640867405338</v>
      </c>
      <c r="Q2097" s="12">
        <f t="shared" si="327"/>
        <v>35.49187972485398</v>
      </c>
      <c r="R2097" s="13">
        <f t="shared" si="328"/>
        <v>9.4476303331844651</v>
      </c>
      <c r="S2097" s="3" t="s">
        <v>29</v>
      </c>
      <c r="T2097" s="3" t="s">
        <v>35</v>
      </c>
      <c r="U2097" s="10">
        <v>0</v>
      </c>
      <c r="V2097" s="3">
        <v>0</v>
      </c>
      <c r="W2097" s="3">
        <f t="shared" si="329"/>
        <v>0</v>
      </c>
      <c r="AA2097" s="3">
        <v>48</v>
      </c>
    </row>
    <row r="2098" spans="1:27" x14ac:dyDescent="0.3">
      <c r="A2098" s="3" t="str">
        <f t="shared" si="320"/>
        <v>North9160509900320</v>
      </c>
      <c r="B2098" s="3" t="str">
        <f t="shared" si="321"/>
        <v>Lud9160509900320</v>
      </c>
      <c r="C2098" s="10">
        <v>9160509900320</v>
      </c>
      <c r="D2098" s="10" t="str">
        <f t="shared" si="322"/>
        <v>9160509900</v>
      </c>
      <c r="E2098" s="3" t="s">
        <v>3</v>
      </c>
      <c r="F2098" s="3" t="s">
        <v>64</v>
      </c>
      <c r="H2098" s="3">
        <v>14.839999999999998</v>
      </c>
      <c r="I2098" s="10">
        <f t="shared" si="323"/>
        <v>68.260880823905737</v>
      </c>
      <c r="J2098" s="3">
        <v>6.522037140840494</v>
      </c>
      <c r="K2098" s="3">
        <v>0</v>
      </c>
      <c r="L2098" s="3">
        <f t="shared" si="324"/>
        <v>0</v>
      </c>
      <c r="N2098" s="11">
        <f t="shared" si="325"/>
        <v>8.3179628591595041</v>
      </c>
      <c r="O2098" s="3">
        <v>6.522037140840494</v>
      </c>
      <c r="P2098" s="11">
        <f t="shared" si="326"/>
        <v>38.260880823905751</v>
      </c>
      <c r="Q2098" s="12">
        <f t="shared" si="327"/>
        <v>23.55474137720482</v>
      </c>
      <c r="R2098" s="13">
        <f t="shared" si="328"/>
        <v>28.106886654104677</v>
      </c>
      <c r="S2098" s="3" t="s">
        <v>30</v>
      </c>
      <c r="T2098" s="3" t="s">
        <v>34</v>
      </c>
      <c r="U2098" s="10">
        <v>0</v>
      </c>
      <c r="V2098" s="3">
        <v>0</v>
      </c>
      <c r="W2098" s="3">
        <f t="shared" si="329"/>
        <v>0</v>
      </c>
      <c r="AA2098" s="3">
        <v>48</v>
      </c>
    </row>
    <row r="2099" spans="1:27" x14ac:dyDescent="0.3">
      <c r="A2099" s="3" t="str">
        <f t="shared" si="320"/>
        <v>North9161109900320</v>
      </c>
      <c r="B2099" s="3" t="str">
        <f t="shared" si="321"/>
        <v>Lud9161109900320</v>
      </c>
      <c r="C2099" s="10">
        <v>9161109900320</v>
      </c>
      <c r="D2099" s="10" t="str">
        <f t="shared" si="322"/>
        <v>9161109900</v>
      </c>
      <c r="E2099" s="3" t="s">
        <v>3</v>
      </c>
      <c r="F2099" s="3" t="s">
        <v>64</v>
      </c>
      <c r="H2099" s="3">
        <v>4.34</v>
      </c>
      <c r="I2099" s="10">
        <f t="shared" si="323"/>
        <v>19.973519881452635</v>
      </c>
      <c r="J2099" s="3">
        <v>6.5186307056926607</v>
      </c>
      <c r="K2099" s="3">
        <v>0</v>
      </c>
      <c r="L2099" s="3">
        <f t="shared" si="324"/>
        <v>0</v>
      </c>
      <c r="N2099" s="11">
        <f t="shared" si="325"/>
        <v>-2.1786307056926608</v>
      </c>
      <c r="O2099" s="3">
        <v>6.5186307056926607</v>
      </c>
      <c r="P2099" s="11">
        <f t="shared" si="326"/>
        <v>-10.026480118547362</v>
      </c>
      <c r="Q2099" s="12">
        <f t="shared" si="327"/>
        <v>37.448349995047664</v>
      </c>
      <c r="R2099" s="13">
        <f t="shared" si="328"/>
        <v>29.817154882232217</v>
      </c>
      <c r="S2099" s="3" t="s">
        <v>29</v>
      </c>
      <c r="T2099" s="3" t="s">
        <v>34</v>
      </c>
      <c r="U2099" s="10">
        <v>0</v>
      </c>
      <c r="V2099" s="3">
        <v>0</v>
      </c>
      <c r="W2099" s="3">
        <f t="shared" si="329"/>
        <v>0</v>
      </c>
      <c r="AA2099" s="3">
        <v>48</v>
      </c>
    </row>
    <row r="2100" spans="1:27" x14ac:dyDescent="0.3">
      <c r="A2100" s="3" t="str">
        <f t="shared" si="320"/>
        <v>North9432009901840</v>
      </c>
      <c r="B2100" s="3" t="str">
        <f t="shared" si="321"/>
        <v>Lud9432009901840</v>
      </c>
      <c r="C2100" s="10">
        <v>9432009901840</v>
      </c>
      <c r="D2100" s="10" t="str">
        <f t="shared" si="322"/>
        <v>9432009901</v>
      </c>
      <c r="E2100" s="3" t="s">
        <v>3</v>
      </c>
      <c r="F2100" s="3" t="s">
        <v>64</v>
      </c>
      <c r="H2100" s="3">
        <v>4.452</v>
      </c>
      <c r="I2100" s="10">
        <f t="shared" si="323"/>
        <v>21.886288743330443</v>
      </c>
      <c r="J2100" s="3">
        <v>6.1024507885422397</v>
      </c>
      <c r="K2100" s="3">
        <v>0</v>
      </c>
      <c r="L2100" s="3">
        <f t="shared" si="324"/>
        <v>0</v>
      </c>
      <c r="N2100" s="11">
        <f t="shared" si="325"/>
        <v>-1.6504507885422397</v>
      </c>
      <c r="O2100" s="3">
        <v>6.1024507885422397</v>
      </c>
      <c r="P2100" s="11">
        <f t="shared" si="326"/>
        <v>-8.1137112566695588</v>
      </c>
      <c r="Q2100" s="12">
        <f t="shared" si="327"/>
        <v>14.794858542202762</v>
      </c>
      <c r="R2100" s="13">
        <f t="shared" si="328"/>
        <v>-1.9751548200886611</v>
      </c>
      <c r="S2100" s="3" t="s">
        <v>29</v>
      </c>
      <c r="T2100" s="3" t="s">
        <v>35</v>
      </c>
      <c r="U2100" s="10">
        <v>0</v>
      </c>
      <c r="V2100" s="3">
        <v>0</v>
      </c>
      <c r="W2100" s="3">
        <f t="shared" si="329"/>
        <v>0</v>
      </c>
      <c r="AA2100" s="3">
        <v>48</v>
      </c>
    </row>
    <row r="2101" spans="1:27" x14ac:dyDescent="0.3">
      <c r="A2101" s="3" t="str">
        <f t="shared" si="320"/>
        <v>North9320039901840</v>
      </c>
      <c r="B2101" s="3" t="str">
        <f t="shared" si="321"/>
        <v>Lud9320039901840</v>
      </c>
      <c r="C2101" s="10">
        <v>9320039901840</v>
      </c>
      <c r="D2101" s="10" t="str">
        <f t="shared" si="322"/>
        <v>9320039901</v>
      </c>
      <c r="E2101" s="3" t="s">
        <v>3</v>
      </c>
      <c r="F2101" s="3" t="s">
        <v>64</v>
      </c>
      <c r="H2101" s="3">
        <v>23.283999999999999</v>
      </c>
      <c r="I2101" s="10">
        <f t="shared" si="323"/>
        <v>118.13499421303516</v>
      </c>
      <c r="J2101" s="3">
        <v>5.9128965523995802</v>
      </c>
      <c r="K2101" s="3">
        <v>0</v>
      </c>
      <c r="L2101" s="3">
        <f t="shared" si="324"/>
        <v>0</v>
      </c>
      <c r="N2101" s="11">
        <f t="shared" si="325"/>
        <v>17.371103447600419</v>
      </c>
      <c r="O2101" s="3">
        <v>5.9128965523995802</v>
      </c>
      <c r="P2101" s="11">
        <f t="shared" si="326"/>
        <v>88.134994213035156</v>
      </c>
      <c r="Q2101" s="12">
        <f t="shared" si="327"/>
        <v>16.808762799143288</v>
      </c>
      <c r="R2101" s="13">
        <f t="shared" si="328"/>
        <v>11.907427871935532</v>
      </c>
      <c r="S2101" s="3" t="s">
        <v>30</v>
      </c>
      <c r="T2101" s="3" t="s">
        <v>28</v>
      </c>
      <c r="U2101" s="10">
        <v>0</v>
      </c>
      <c r="V2101" s="3">
        <v>0</v>
      </c>
      <c r="W2101" s="3">
        <f t="shared" si="329"/>
        <v>0</v>
      </c>
      <c r="AA2101" s="3">
        <v>48</v>
      </c>
    </row>
    <row r="2102" spans="1:27" x14ac:dyDescent="0.3">
      <c r="A2102" s="3" t="str">
        <f t="shared" si="320"/>
        <v>North9101109900320</v>
      </c>
      <c r="B2102" s="3" t="str">
        <f t="shared" si="321"/>
        <v>Lud9101109900320</v>
      </c>
      <c r="C2102" s="10">
        <v>9101109900320</v>
      </c>
      <c r="D2102" s="10" t="str">
        <f t="shared" si="322"/>
        <v>9101109900</v>
      </c>
      <c r="E2102" s="3" t="s">
        <v>3</v>
      </c>
      <c r="F2102" s="3" t="s">
        <v>64</v>
      </c>
      <c r="H2102" s="3">
        <v>3.3600000000000003</v>
      </c>
      <c r="I2102" s="10">
        <f t="shared" si="323"/>
        <v>17.534124313105114</v>
      </c>
      <c r="J2102" s="3">
        <v>5.7487900849808309</v>
      </c>
      <c r="K2102" s="3">
        <v>0</v>
      </c>
      <c r="L2102" s="3">
        <f t="shared" si="324"/>
        <v>0</v>
      </c>
      <c r="N2102" s="11">
        <f t="shared" si="325"/>
        <v>-2.3887900849808306</v>
      </c>
      <c r="O2102" s="3">
        <v>5.7487900849808309</v>
      </c>
      <c r="P2102" s="11">
        <f t="shared" si="326"/>
        <v>-12.465875686894885</v>
      </c>
      <c r="Q2102" s="12">
        <f t="shared" si="327"/>
        <v>54.636827734253039</v>
      </c>
      <c r="R2102" s="13">
        <f t="shared" si="328"/>
        <v>45.040599103158151</v>
      </c>
      <c r="S2102" s="3" t="s">
        <v>29</v>
      </c>
      <c r="T2102" s="3" t="s">
        <v>34</v>
      </c>
      <c r="U2102" s="10">
        <v>0</v>
      </c>
      <c r="V2102" s="3">
        <v>0</v>
      </c>
      <c r="W2102" s="3">
        <f t="shared" si="329"/>
        <v>0</v>
      </c>
      <c r="AA2102" s="3">
        <v>48</v>
      </c>
    </row>
    <row r="2103" spans="1:27" x14ac:dyDescent="0.3">
      <c r="A2103" s="3" t="str">
        <f t="shared" si="320"/>
        <v>North9420139900320</v>
      </c>
      <c r="B2103" s="3" t="str">
        <f t="shared" si="321"/>
        <v>Lud9420139900320</v>
      </c>
      <c r="C2103" s="10">
        <v>9420139900320</v>
      </c>
      <c r="D2103" s="10" t="str">
        <f t="shared" si="322"/>
        <v>9420139900</v>
      </c>
      <c r="E2103" s="3" t="s">
        <v>3</v>
      </c>
      <c r="F2103" s="3" t="s">
        <v>64</v>
      </c>
      <c r="H2103" s="3">
        <v>7.5600000000000005</v>
      </c>
      <c r="I2103" s="10">
        <f t="shared" si="323"/>
        <v>40.224876561408593</v>
      </c>
      <c r="J2103" s="3">
        <v>5.6383019511261852</v>
      </c>
      <c r="K2103" s="3">
        <v>0</v>
      </c>
      <c r="L2103" s="3">
        <f t="shared" si="324"/>
        <v>0</v>
      </c>
      <c r="N2103" s="11">
        <f t="shared" si="325"/>
        <v>1.9216980488738153</v>
      </c>
      <c r="O2103" s="3">
        <v>5.6383019511261852</v>
      </c>
      <c r="P2103" s="11">
        <f t="shared" si="326"/>
        <v>10.224876561408591</v>
      </c>
      <c r="Q2103" s="12">
        <f t="shared" si="327"/>
        <v>13.510125932788961</v>
      </c>
      <c r="R2103" s="13">
        <f t="shared" si="328"/>
        <v>20.904234494707751</v>
      </c>
      <c r="S2103" s="3" t="s">
        <v>31</v>
      </c>
      <c r="T2103" s="3" t="s">
        <v>28</v>
      </c>
      <c r="U2103" s="10">
        <v>9420139900999</v>
      </c>
      <c r="V2103" s="3">
        <v>0.1</v>
      </c>
      <c r="W2103" s="3">
        <f t="shared" si="329"/>
        <v>0</v>
      </c>
      <c r="AA2103" s="3">
        <v>48</v>
      </c>
    </row>
    <row r="2104" spans="1:27" x14ac:dyDescent="0.3">
      <c r="A2104" s="3" t="str">
        <f t="shared" si="320"/>
        <v>North9100309900320</v>
      </c>
      <c r="B2104" s="3" t="str">
        <f t="shared" si="321"/>
        <v>Lud9100309900320</v>
      </c>
      <c r="C2104" s="10">
        <v>9100309900320</v>
      </c>
      <c r="D2104" s="10" t="str">
        <f t="shared" si="322"/>
        <v>9100309900</v>
      </c>
      <c r="E2104" s="3" t="s">
        <v>3</v>
      </c>
      <c r="F2104" s="3" t="s">
        <v>64</v>
      </c>
      <c r="H2104" s="3">
        <v>5.3759999999999994</v>
      </c>
      <c r="I2104" s="10">
        <f t="shared" si="323"/>
        <v>30.781998928157865</v>
      </c>
      <c r="J2104" s="3">
        <v>5.2394258207990818</v>
      </c>
      <c r="K2104" s="3">
        <v>0</v>
      </c>
      <c r="L2104" s="3">
        <f t="shared" si="324"/>
        <v>0</v>
      </c>
      <c r="N2104" s="11">
        <f t="shared" si="325"/>
        <v>0.13657417920091763</v>
      </c>
      <c r="O2104" s="3">
        <v>5.2394258207990818</v>
      </c>
      <c r="P2104" s="11">
        <f t="shared" si="326"/>
        <v>0.78199892815786598</v>
      </c>
      <c r="Q2104" s="12">
        <f t="shared" si="327"/>
        <v>67.117247170372039</v>
      </c>
      <c r="R2104" s="13">
        <f t="shared" si="328"/>
        <v>25.384779387632882</v>
      </c>
      <c r="S2104" s="3" t="s">
        <v>29</v>
      </c>
      <c r="T2104" s="3" t="s">
        <v>34</v>
      </c>
      <c r="U2104" s="10">
        <v>0</v>
      </c>
      <c r="V2104" s="3">
        <v>0</v>
      </c>
      <c r="W2104" s="3">
        <f t="shared" si="329"/>
        <v>0</v>
      </c>
      <c r="AA2104" s="3">
        <v>48</v>
      </c>
    </row>
    <row r="2105" spans="1:27" x14ac:dyDescent="0.3">
      <c r="A2105" s="3" t="str">
        <f t="shared" si="320"/>
        <v>North9360119922320</v>
      </c>
      <c r="B2105" s="3" t="str">
        <f t="shared" si="321"/>
        <v>Lud9360119922320</v>
      </c>
      <c r="C2105" s="10">
        <v>9360119922320</v>
      </c>
      <c r="D2105" s="10" t="str">
        <f t="shared" si="322"/>
        <v>9360119922</v>
      </c>
      <c r="E2105" s="3" t="s">
        <v>3</v>
      </c>
      <c r="F2105" s="3" t="s">
        <v>64</v>
      </c>
      <c r="H2105" s="3">
        <v>7.62</v>
      </c>
      <c r="I2105" s="10">
        <f t="shared" si="323"/>
        <v>47.421311367297989</v>
      </c>
      <c r="J2105" s="3">
        <v>4.8206174272448292</v>
      </c>
      <c r="K2105" s="3">
        <v>0</v>
      </c>
      <c r="L2105" s="3">
        <f t="shared" si="324"/>
        <v>0</v>
      </c>
      <c r="N2105" s="11">
        <f t="shared" si="325"/>
        <v>2.7993825727551709</v>
      </c>
      <c r="O2105" s="3">
        <v>4.8206174272448292</v>
      </c>
      <c r="P2105" s="11">
        <f t="shared" si="326"/>
        <v>17.421311367297989</v>
      </c>
      <c r="Q2105" s="12">
        <f t="shared" si="327"/>
        <v>14.405605724950179</v>
      </c>
      <c r="R2105" s="13">
        <f t="shared" si="328"/>
        <v>5.798507580120047</v>
      </c>
      <c r="S2105" s="3" t="s">
        <v>29</v>
      </c>
      <c r="T2105" s="3" t="s">
        <v>33</v>
      </c>
      <c r="U2105" s="10">
        <v>9360119922999</v>
      </c>
      <c r="V2105" s="3">
        <v>0.1</v>
      </c>
      <c r="W2105" s="3">
        <f t="shared" si="329"/>
        <v>0</v>
      </c>
      <c r="AA2105" s="3">
        <v>48</v>
      </c>
    </row>
    <row r="2106" spans="1:27" x14ac:dyDescent="0.3">
      <c r="A2106" s="3" t="str">
        <f t="shared" si="320"/>
        <v>North9320029901840</v>
      </c>
      <c r="B2106" s="3" t="str">
        <f t="shared" si="321"/>
        <v>Lud9320029901840</v>
      </c>
      <c r="C2106" s="10">
        <v>9320029901840</v>
      </c>
      <c r="D2106" s="10" t="str">
        <f t="shared" si="322"/>
        <v>9320029901</v>
      </c>
      <c r="E2106" s="3" t="s">
        <v>3</v>
      </c>
      <c r="F2106" s="3" t="s">
        <v>64</v>
      </c>
      <c r="H2106" s="3">
        <v>16.540000000000003</v>
      </c>
      <c r="I2106" s="10">
        <f t="shared" si="323"/>
        <v>104.7430581637761</v>
      </c>
      <c r="J2106" s="3">
        <v>4.737306783845689</v>
      </c>
      <c r="K2106" s="3">
        <v>0</v>
      </c>
      <c r="L2106" s="3">
        <f t="shared" si="324"/>
        <v>0</v>
      </c>
      <c r="N2106" s="11">
        <f t="shared" si="325"/>
        <v>11.802693216154314</v>
      </c>
      <c r="O2106" s="3">
        <v>4.737306783845689</v>
      </c>
      <c r="P2106" s="11">
        <f t="shared" si="326"/>
        <v>74.743058163776098</v>
      </c>
      <c r="Q2106" s="12">
        <f t="shared" si="327"/>
        <v>30.988895982935979</v>
      </c>
      <c r="R2106" s="13">
        <f t="shared" si="328"/>
        <v>12.080184680245301</v>
      </c>
      <c r="S2106" s="3" t="s">
        <v>30</v>
      </c>
      <c r="T2106" s="3" t="s">
        <v>28</v>
      </c>
      <c r="U2106" s="10">
        <v>0</v>
      </c>
      <c r="V2106" s="3">
        <v>0</v>
      </c>
      <c r="W2106" s="3">
        <f t="shared" si="329"/>
        <v>0</v>
      </c>
      <c r="AA2106" s="3">
        <v>48</v>
      </c>
    </row>
    <row r="2107" spans="1:27" x14ac:dyDescent="0.3">
      <c r="A2107" s="3" t="str">
        <f t="shared" si="320"/>
        <v>North9420059901320</v>
      </c>
      <c r="B2107" s="3" t="str">
        <f t="shared" si="321"/>
        <v>Lud9420059901320</v>
      </c>
      <c r="C2107" s="10">
        <v>9420059901320</v>
      </c>
      <c r="D2107" s="10" t="str">
        <f t="shared" si="322"/>
        <v>9420059901</v>
      </c>
      <c r="E2107" s="3" t="s">
        <v>3</v>
      </c>
      <c r="F2107" s="3" t="s">
        <v>64</v>
      </c>
      <c r="H2107" s="3">
        <v>13.760000000000002</v>
      </c>
      <c r="I2107" s="10">
        <f t="shared" si="323"/>
        <v>87.321618207245024</v>
      </c>
      <c r="J2107" s="3">
        <v>4.7273516968075411</v>
      </c>
      <c r="K2107" s="3">
        <v>0</v>
      </c>
      <c r="L2107" s="3">
        <f t="shared" si="324"/>
        <v>0</v>
      </c>
      <c r="N2107" s="11">
        <f t="shared" si="325"/>
        <v>9.0326483031924596</v>
      </c>
      <c r="O2107" s="3">
        <v>4.7273516968075411</v>
      </c>
      <c r="P2107" s="11">
        <f t="shared" si="326"/>
        <v>57.321618207245017</v>
      </c>
      <c r="Q2107" s="12">
        <f t="shared" si="327"/>
        <v>-9.2190084096866318</v>
      </c>
      <c r="R2107" s="13">
        <f t="shared" si="328"/>
        <v>-2.9292804868373241</v>
      </c>
      <c r="S2107" s="3" t="s">
        <v>29</v>
      </c>
      <c r="T2107" s="3" t="s">
        <v>28</v>
      </c>
      <c r="U2107" s="10">
        <v>9420059900999</v>
      </c>
      <c r="V2107" s="3">
        <v>0.1</v>
      </c>
      <c r="W2107" s="3">
        <f t="shared" si="329"/>
        <v>0</v>
      </c>
      <c r="AA2107" s="3">
        <v>48</v>
      </c>
    </row>
    <row r="2108" spans="1:27" x14ac:dyDescent="0.3">
      <c r="A2108" s="3" t="str">
        <f t="shared" si="320"/>
        <v>North9431009913210</v>
      </c>
      <c r="B2108" s="3" t="str">
        <f t="shared" si="321"/>
        <v>Lud9431009913210</v>
      </c>
      <c r="C2108" s="10">
        <v>9431009913210</v>
      </c>
      <c r="D2108" s="10" t="str">
        <f t="shared" si="322"/>
        <v>9431009913</v>
      </c>
      <c r="E2108" s="3" t="s">
        <v>3</v>
      </c>
      <c r="F2108" s="3" t="s">
        <v>64</v>
      </c>
      <c r="H2108" s="3">
        <v>9.343</v>
      </c>
      <c r="I2108" s="10">
        <f t="shared" si="323"/>
        <v>62.48389686139916</v>
      </c>
      <c r="J2108" s="3">
        <v>4.4857957662553449</v>
      </c>
      <c r="K2108" s="3">
        <v>0</v>
      </c>
      <c r="L2108" s="3">
        <f t="shared" si="324"/>
        <v>0</v>
      </c>
      <c r="N2108" s="11">
        <f t="shared" si="325"/>
        <v>4.857204233744655</v>
      </c>
      <c r="O2108" s="3">
        <v>4.4857957662553449</v>
      </c>
      <c r="P2108" s="11">
        <f t="shared" si="326"/>
        <v>32.48389686139916</v>
      </c>
      <c r="Q2108" s="12">
        <f t="shared" si="327"/>
        <v>24.52183733807243</v>
      </c>
      <c r="R2108" s="13">
        <f t="shared" si="328"/>
        <v>26.053752707382994</v>
      </c>
      <c r="S2108" s="3" t="s">
        <v>30</v>
      </c>
      <c r="T2108" s="3" t="s">
        <v>35</v>
      </c>
      <c r="U2108" s="10">
        <v>0</v>
      </c>
      <c r="V2108" s="3">
        <v>0</v>
      </c>
      <c r="W2108" s="3">
        <f t="shared" si="329"/>
        <v>0</v>
      </c>
      <c r="AA2108" s="3">
        <v>48</v>
      </c>
    </row>
    <row r="2109" spans="1:27" x14ac:dyDescent="0.3">
      <c r="A2109" s="3" t="str">
        <f t="shared" si="320"/>
        <v>North9320019900810</v>
      </c>
      <c r="B2109" s="3" t="str">
        <f t="shared" si="321"/>
        <v>Lud9320019900810</v>
      </c>
      <c r="C2109" s="10">
        <v>9320019900810</v>
      </c>
      <c r="D2109" s="10" t="str">
        <f t="shared" si="322"/>
        <v>9320019900</v>
      </c>
      <c r="E2109" s="3" t="s">
        <v>3</v>
      </c>
      <c r="F2109" s="3" t="s">
        <v>64</v>
      </c>
      <c r="H2109" s="3">
        <v>6.31</v>
      </c>
      <c r="I2109" s="10">
        <f t="shared" si="323"/>
        <v>43.376826538168032</v>
      </c>
      <c r="J2109" s="3">
        <v>4.3640813565149026</v>
      </c>
      <c r="K2109" s="3">
        <v>0</v>
      </c>
      <c r="L2109" s="3">
        <f t="shared" si="324"/>
        <v>0</v>
      </c>
      <c r="N2109" s="11">
        <f t="shared" si="325"/>
        <v>1.945918643485097</v>
      </c>
      <c r="O2109" s="3">
        <v>4.3640813565149026</v>
      </c>
      <c r="P2109" s="11">
        <f t="shared" si="326"/>
        <v>13.376826538168036</v>
      </c>
      <c r="Q2109" s="12">
        <f t="shared" si="327"/>
        <v>-0.33761070131295623</v>
      </c>
      <c r="R2109" s="13">
        <f t="shared" si="328"/>
        <v>9.9235296770641845</v>
      </c>
      <c r="S2109" s="3" t="s">
        <v>29</v>
      </c>
      <c r="T2109" s="3" t="s">
        <v>28</v>
      </c>
      <c r="U2109" s="10">
        <v>0</v>
      </c>
      <c r="V2109" s="3">
        <v>0</v>
      </c>
      <c r="W2109" s="3">
        <f t="shared" si="329"/>
        <v>0</v>
      </c>
      <c r="AA2109" s="3">
        <v>48</v>
      </c>
    </row>
    <row r="2110" spans="1:27" x14ac:dyDescent="0.3">
      <c r="A2110" s="3" t="str">
        <f t="shared" si="320"/>
        <v>North9360029900310</v>
      </c>
      <c r="B2110" s="3" t="str">
        <f t="shared" si="321"/>
        <v>Lud9360029900310</v>
      </c>
      <c r="C2110" s="10">
        <v>9360029900310</v>
      </c>
      <c r="D2110" s="10" t="str">
        <f t="shared" si="322"/>
        <v>9360029900</v>
      </c>
      <c r="E2110" s="3" t="s">
        <v>3</v>
      </c>
      <c r="F2110" s="3" t="s">
        <v>64</v>
      </c>
      <c r="H2110" s="3">
        <v>17.260000000000002</v>
      </c>
      <c r="I2110" s="10">
        <f t="shared" si="323"/>
        <v>128.71434254972257</v>
      </c>
      <c r="J2110" s="3">
        <v>4.0228617086706793</v>
      </c>
      <c r="K2110" s="3">
        <v>0</v>
      </c>
      <c r="L2110" s="3">
        <f t="shared" si="324"/>
        <v>0</v>
      </c>
      <c r="N2110" s="11">
        <f t="shared" si="325"/>
        <v>13.237138291329323</v>
      </c>
      <c r="O2110" s="3">
        <v>4.0228617086706793</v>
      </c>
      <c r="P2110" s="11">
        <f t="shared" si="326"/>
        <v>98.714342549722573</v>
      </c>
      <c r="Q2110" s="12">
        <f t="shared" si="327"/>
        <v>33.759467160806061</v>
      </c>
      <c r="R2110" s="13">
        <f t="shared" si="328"/>
        <v>-3.3162661745390394</v>
      </c>
      <c r="S2110" s="3" t="s">
        <v>29</v>
      </c>
      <c r="T2110" s="3" t="s">
        <v>33</v>
      </c>
      <c r="U2110" s="10">
        <v>9360029900999</v>
      </c>
      <c r="V2110" s="3">
        <v>0.1</v>
      </c>
      <c r="W2110" s="3">
        <f t="shared" si="329"/>
        <v>0</v>
      </c>
      <c r="AA2110" s="3">
        <v>48</v>
      </c>
    </row>
    <row r="2111" spans="1:27" x14ac:dyDescent="0.3">
      <c r="A2111" s="3" t="str">
        <f t="shared" si="320"/>
        <v>North9320079901310</v>
      </c>
      <c r="B2111" s="3" t="str">
        <f t="shared" si="321"/>
        <v>Lud9320079901310</v>
      </c>
      <c r="C2111" s="10">
        <v>9320079901310</v>
      </c>
      <c r="D2111" s="10" t="str">
        <f t="shared" si="322"/>
        <v>9320079901</v>
      </c>
      <c r="E2111" s="3" t="s">
        <v>3</v>
      </c>
      <c r="F2111" s="3" t="s">
        <v>64</v>
      </c>
      <c r="H2111" s="3">
        <v>0</v>
      </c>
      <c r="I2111" s="10">
        <f t="shared" si="323"/>
        <v>0</v>
      </c>
      <c r="J2111" s="3">
        <v>3.6789861941393416</v>
      </c>
      <c r="K2111" s="3">
        <v>0</v>
      </c>
      <c r="L2111" s="3">
        <f t="shared" si="324"/>
        <v>0</v>
      </c>
      <c r="N2111" s="11">
        <f t="shared" si="325"/>
        <v>-3.6789861941393416</v>
      </c>
      <c r="O2111" s="3">
        <v>3.6789861941393416</v>
      </c>
      <c r="P2111" s="11">
        <f t="shared" si="326"/>
        <v>-30</v>
      </c>
      <c r="Q2111" s="12">
        <f t="shared" si="327"/>
        <v>-30</v>
      </c>
      <c r="R2111" s="13">
        <f t="shared" si="328"/>
        <v>-30</v>
      </c>
      <c r="S2111" s="3">
        <v>0</v>
      </c>
      <c r="T2111" s="3" t="s">
        <v>28</v>
      </c>
      <c r="U2111" s="10">
        <v>9320079900999</v>
      </c>
      <c r="V2111" s="3">
        <v>0.1</v>
      </c>
      <c r="W2111" s="3">
        <f t="shared" si="329"/>
        <v>0</v>
      </c>
      <c r="AA2111" s="3">
        <v>48</v>
      </c>
    </row>
    <row r="2112" spans="1:27" x14ac:dyDescent="0.3">
      <c r="A2112" s="3" t="str">
        <f t="shared" si="320"/>
        <v>North9320039900840</v>
      </c>
      <c r="B2112" s="3" t="str">
        <f t="shared" si="321"/>
        <v>Lud9320039900840</v>
      </c>
      <c r="C2112" s="10">
        <v>9320039900840</v>
      </c>
      <c r="D2112" s="10" t="str">
        <f t="shared" si="322"/>
        <v>9320039900</v>
      </c>
      <c r="E2112" s="3" t="s">
        <v>3</v>
      </c>
      <c r="F2112" s="3" t="s">
        <v>64</v>
      </c>
      <c r="H2112" s="3">
        <v>1.2160000000000002</v>
      </c>
      <c r="I2112" s="10">
        <f t="shared" si="323"/>
        <v>10.144351770406274</v>
      </c>
      <c r="J2112" s="3">
        <v>3.5960898069822167</v>
      </c>
      <c r="K2112" s="3">
        <v>0</v>
      </c>
      <c r="L2112" s="3">
        <f t="shared" si="324"/>
        <v>0</v>
      </c>
      <c r="N2112" s="11">
        <f t="shared" si="325"/>
        <v>-2.3800898069822165</v>
      </c>
      <c r="O2112" s="3">
        <v>3.5960898069822167</v>
      </c>
      <c r="P2112" s="11">
        <f t="shared" si="326"/>
        <v>-19.855648229593726</v>
      </c>
      <c r="Q2112" s="12">
        <f t="shared" si="327"/>
        <v>-19.528704038969398</v>
      </c>
      <c r="R2112" s="13">
        <f t="shared" si="328"/>
        <v>-11.770542147540164</v>
      </c>
      <c r="S2112" s="3" t="s">
        <v>30</v>
      </c>
      <c r="T2112" s="3" t="s">
        <v>28</v>
      </c>
      <c r="U2112" s="10">
        <v>0</v>
      </c>
      <c r="V2112" s="3">
        <v>0</v>
      </c>
      <c r="W2112" s="3">
        <f t="shared" si="329"/>
        <v>0</v>
      </c>
      <c r="AA2112" s="3">
        <v>48</v>
      </c>
    </row>
    <row r="2113" spans="1:27" x14ac:dyDescent="0.3">
      <c r="A2113" s="3" t="str">
        <f t="shared" si="320"/>
        <v>North9320029902219</v>
      </c>
      <c r="B2113" s="3" t="str">
        <f t="shared" si="321"/>
        <v>Lud9320029902219</v>
      </c>
      <c r="C2113" s="10">
        <v>9320029902219</v>
      </c>
      <c r="D2113" s="10" t="str">
        <f t="shared" si="322"/>
        <v>9320029902</v>
      </c>
      <c r="E2113" s="3" t="s">
        <v>3</v>
      </c>
      <c r="F2113" s="3" t="s">
        <v>64</v>
      </c>
      <c r="H2113" s="3">
        <v>3.9195000000000007</v>
      </c>
      <c r="I2113" s="10">
        <f t="shared" si="323"/>
        <v>32.901315614293701</v>
      </c>
      <c r="J2113" s="3">
        <v>3.573869245183503</v>
      </c>
      <c r="K2113" s="3">
        <v>0</v>
      </c>
      <c r="L2113" s="3">
        <f t="shared" si="324"/>
        <v>0</v>
      </c>
      <c r="N2113" s="11">
        <f t="shared" si="325"/>
        <v>0.34563075481649763</v>
      </c>
      <c r="O2113" s="3">
        <v>3.573869245183503</v>
      </c>
      <c r="P2113" s="11">
        <f t="shared" si="326"/>
        <v>2.9013156142936976</v>
      </c>
      <c r="Q2113" s="12">
        <f t="shared" si="327"/>
        <v>19.401855834121147</v>
      </c>
      <c r="R2113" s="13">
        <f t="shared" si="328"/>
        <v>24.165952135270057</v>
      </c>
      <c r="S2113" s="3" t="s">
        <v>29</v>
      </c>
      <c r="T2113" s="3" t="s">
        <v>28</v>
      </c>
      <c r="U2113" s="10">
        <v>9320029900999</v>
      </c>
      <c r="V2113" s="3">
        <v>0.1</v>
      </c>
      <c r="W2113" s="3">
        <f t="shared" si="329"/>
        <v>0</v>
      </c>
      <c r="AA2113" s="3">
        <v>48</v>
      </c>
    </row>
    <row r="2114" spans="1:27" x14ac:dyDescent="0.3">
      <c r="A2114" s="3" t="str">
        <f t="shared" si="320"/>
        <v>North9420039901320</v>
      </c>
      <c r="B2114" s="3" t="str">
        <f t="shared" si="321"/>
        <v>Lud9420039901320</v>
      </c>
      <c r="C2114" s="10">
        <v>9420039901320</v>
      </c>
      <c r="D2114" s="10" t="str">
        <f t="shared" si="322"/>
        <v>9420039901</v>
      </c>
      <c r="E2114" s="3" t="s">
        <v>3</v>
      </c>
      <c r="F2114" s="3" t="s">
        <v>64</v>
      </c>
      <c r="H2114" s="3">
        <v>4.1859999999999999</v>
      </c>
      <c r="I2114" s="10">
        <f t="shared" si="323"/>
        <v>36.896594462719683</v>
      </c>
      <c r="J2114" s="3">
        <v>3.403566150986808</v>
      </c>
      <c r="K2114" s="3">
        <v>24</v>
      </c>
      <c r="L2114" s="3">
        <f t="shared" si="324"/>
        <v>0</v>
      </c>
      <c r="N2114" s="11">
        <f t="shared" si="325"/>
        <v>0.78243384901319191</v>
      </c>
      <c r="O2114" s="3">
        <v>3.403566150986808</v>
      </c>
      <c r="P2114" s="11">
        <f t="shared" si="326"/>
        <v>6.8965944627196807</v>
      </c>
      <c r="Q2114" s="12">
        <f t="shared" si="327"/>
        <v>5.7599993642921063</v>
      </c>
      <c r="R2114" s="13">
        <f t="shared" si="328"/>
        <v>12.411220962330324</v>
      </c>
      <c r="S2114" s="3" t="s">
        <v>29</v>
      </c>
      <c r="T2114" s="3" t="s">
        <v>28</v>
      </c>
      <c r="U2114" s="10">
        <v>9420039900999</v>
      </c>
      <c r="V2114" s="3">
        <v>0.1</v>
      </c>
      <c r="W2114" s="3">
        <f t="shared" si="329"/>
        <v>2.4000000000000004</v>
      </c>
      <c r="AA2114" s="3">
        <v>48</v>
      </c>
    </row>
    <row r="2115" spans="1:27" x14ac:dyDescent="0.3">
      <c r="A2115" s="3" t="str">
        <f t="shared" si="320"/>
        <v>North9320079900310</v>
      </c>
      <c r="B2115" s="3" t="str">
        <f t="shared" si="321"/>
        <v>Lud9320079900310</v>
      </c>
      <c r="C2115" s="10">
        <v>9320079900310</v>
      </c>
      <c r="D2115" s="10" t="str">
        <f t="shared" si="322"/>
        <v>9320079900</v>
      </c>
      <c r="E2115" s="3" t="s">
        <v>3</v>
      </c>
      <c r="F2115" s="3" t="s">
        <v>64</v>
      </c>
      <c r="H2115" s="3">
        <v>0</v>
      </c>
      <c r="I2115" s="10">
        <f t="shared" si="323"/>
        <v>0</v>
      </c>
      <c r="J2115" s="3">
        <v>3.2727596309135052</v>
      </c>
      <c r="K2115" s="3">
        <v>0</v>
      </c>
      <c r="L2115" s="3">
        <f t="shared" si="324"/>
        <v>0</v>
      </c>
      <c r="N2115" s="11">
        <f t="shared" si="325"/>
        <v>-3.2727596309135052</v>
      </c>
      <c r="O2115" s="3">
        <v>3.2727596309135052</v>
      </c>
      <c r="P2115" s="11">
        <f t="shared" si="326"/>
        <v>-30</v>
      </c>
      <c r="Q2115" s="12">
        <f t="shared" si="327"/>
        <v>-30</v>
      </c>
      <c r="R2115" s="13">
        <f t="shared" si="328"/>
        <v>-30</v>
      </c>
      <c r="S2115" s="3">
        <v>0</v>
      </c>
      <c r="T2115" s="3" t="s">
        <v>28</v>
      </c>
      <c r="U2115" s="10">
        <v>9320079900999</v>
      </c>
      <c r="V2115" s="3">
        <v>0.1</v>
      </c>
      <c r="W2115" s="3">
        <f t="shared" si="329"/>
        <v>0</v>
      </c>
      <c r="AA2115" s="3">
        <v>48</v>
      </c>
    </row>
    <row r="2116" spans="1:27" x14ac:dyDescent="0.3">
      <c r="A2116" s="3" t="str">
        <f t="shared" ref="A2116:A2179" si="330">_xlfn.CONCAT(F2116,C2116)</f>
        <v>North9181309900320</v>
      </c>
      <c r="B2116" s="3" t="str">
        <f t="shared" ref="B2116:B2179" si="331">_xlfn.CONCAT(E2116,C2116)</f>
        <v>Lud9181309900320</v>
      </c>
      <c r="C2116" s="10">
        <v>9181309900320</v>
      </c>
      <c r="D2116" s="10" t="str">
        <f t="shared" ref="D2116:D2179" si="332">LEFT(C2116,10)</f>
        <v>9181309900</v>
      </c>
      <c r="E2116" s="3" t="s">
        <v>3</v>
      </c>
      <c r="F2116" s="3" t="s">
        <v>64</v>
      </c>
      <c r="H2116" s="3">
        <v>6.18</v>
      </c>
      <c r="I2116" s="10">
        <f t="shared" ref="I2116:I2179" si="333">IFERROR(H2116/J2116*30,0)</f>
        <v>58.597889580710913</v>
      </c>
      <c r="J2116" s="3">
        <v>3.1639364715453753</v>
      </c>
      <c r="K2116" s="3">
        <v>0</v>
      </c>
      <c r="L2116" s="3">
        <f t="shared" ref="L2116:L2179" si="334">M2116*G2116</f>
        <v>0</v>
      </c>
      <c r="N2116" s="11">
        <f t="shared" ref="N2116:N2179" si="335">H2116-J2116+L2116</f>
        <v>3.0160635284546244</v>
      </c>
      <c r="O2116" s="3">
        <v>3.1639364715453753</v>
      </c>
      <c r="P2116" s="11">
        <f t="shared" ref="P2116:P2179" si="336">IF(O2116=0,9999,N2116/O2116*30)</f>
        <v>28.597889580710913</v>
      </c>
      <c r="Q2116" s="12">
        <f t="shared" ref="Q2116:Q2179" si="337">IF(SUMIF($A:$A,$A2116,$O:$O)=0,9999,SUMIF($A:$A,$A2116,$N:$N)*30/SUMIF($A:$A,$A2116,$O:$O))</f>
        <v>100.96983333824409</v>
      </c>
      <c r="R2116" s="13">
        <f t="shared" ref="R2116:R2179" si="338">IF(SUMIF($C:$C,$C2116,$O:$O)=0,9999,SUMIF($C:$C,$C2116,$N:$N)*30/SUMIF($C:$C,$C2116,$O:$O))</f>
        <v>61.057190306933194</v>
      </c>
      <c r="S2116" s="3" t="s">
        <v>29</v>
      </c>
      <c r="T2116" s="3" t="s">
        <v>34</v>
      </c>
      <c r="U2116" s="10">
        <v>0</v>
      </c>
      <c r="V2116" s="3">
        <v>0</v>
      </c>
      <c r="W2116" s="3">
        <f t="shared" ref="W2116:W2179" si="339">IFERROR(K2116*V2116,0)</f>
        <v>0</v>
      </c>
      <c r="AA2116" s="3">
        <v>48</v>
      </c>
    </row>
    <row r="2117" spans="1:27" x14ac:dyDescent="0.3">
      <c r="A2117" s="3" t="str">
        <f t="shared" si="330"/>
        <v>North9320029900840</v>
      </c>
      <c r="B2117" s="3" t="str">
        <f t="shared" si="331"/>
        <v>Lud9320029900840</v>
      </c>
      <c r="C2117" s="10">
        <v>9320029900840</v>
      </c>
      <c r="D2117" s="10" t="str">
        <f t="shared" si="332"/>
        <v>9320029900</v>
      </c>
      <c r="E2117" s="3" t="s">
        <v>3</v>
      </c>
      <c r="F2117" s="3" t="s">
        <v>64</v>
      </c>
      <c r="H2117" s="3">
        <v>1.6400000000000001</v>
      </c>
      <c r="I2117" s="10">
        <f t="shared" si="333"/>
        <v>16.954871328479651</v>
      </c>
      <c r="J2117" s="3">
        <v>2.9018209013097698</v>
      </c>
      <c r="K2117" s="3">
        <v>0</v>
      </c>
      <c r="L2117" s="3">
        <f t="shared" si="334"/>
        <v>0</v>
      </c>
      <c r="N2117" s="11">
        <f t="shared" si="335"/>
        <v>-1.2618209013097696</v>
      </c>
      <c r="O2117" s="3">
        <v>2.9018209013097698</v>
      </c>
      <c r="P2117" s="11">
        <f t="shared" si="336"/>
        <v>-13.045128671520345</v>
      </c>
      <c r="Q2117" s="12">
        <f t="shared" si="337"/>
        <v>-5.3369342206698827</v>
      </c>
      <c r="R2117" s="13">
        <f t="shared" si="338"/>
        <v>3.8494905204534557</v>
      </c>
      <c r="S2117" s="3" t="s">
        <v>30</v>
      </c>
      <c r="T2117" s="3" t="s">
        <v>28</v>
      </c>
      <c r="U2117" s="10">
        <v>0</v>
      </c>
      <c r="V2117" s="3">
        <v>0</v>
      </c>
      <c r="W2117" s="3">
        <f t="shared" si="339"/>
        <v>0</v>
      </c>
      <c r="AA2117" s="3">
        <v>48</v>
      </c>
    </row>
    <row r="2118" spans="1:27" x14ac:dyDescent="0.3">
      <c r="A2118" s="3" t="str">
        <f t="shared" si="330"/>
        <v>North9420039900320</v>
      </c>
      <c r="B2118" s="3" t="str">
        <f t="shared" si="331"/>
        <v>Lud9420039900320</v>
      </c>
      <c r="C2118" s="10">
        <v>9420039900320</v>
      </c>
      <c r="D2118" s="10" t="str">
        <f t="shared" si="332"/>
        <v>9420039900</v>
      </c>
      <c r="E2118" s="3" t="s">
        <v>3</v>
      </c>
      <c r="F2118" s="3" t="s">
        <v>64</v>
      </c>
      <c r="H2118" s="3">
        <v>3.9600000000000004</v>
      </c>
      <c r="I2118" s="10">
        <f t="shared" si="333"/>
        <v>41.526123800208474</v>
      </c>
      <c r="J2118" s="3">
        <v>2.8608497285124308</v>
      </c>
      <c r="K2118" s="3">
        <v>0</v>
      </c>
      <c r="L2118" s="3">
        <f t="shared" si="334"/>
        <v>0</v>
      </c>
      <c r="N2118" s="11">
        <f t="shared" si="335"/>
        <v>1.0991502714875696</v>
      </c>
      <c r="O2118" s="3">
        <v>2.8608497285124308</v>
      </c>
      <c r="P2118" s="11">
        <f t="shared" si="336"/>
        <v>11.526123800208477</v>
      </c>
      <c r="Q2118" s="12">
        <f t="shared" si="337"/>
        <v>25.806519045779464</v>
      </c>
      <c r="R2118" s="13">
        <f t="shared" si="338"/>
        <v>23.422416878504819</v>
      </c>
      <c r="S2118" s="3" t="s">
        <v>30</v>
      </c>
      <c r="T2118" s="3" t="s">
        <v>28</v>
      </c>
      <c r="U2118" s="10">
        <v>9420039900999</v>
      </c>
      <c r="V2118" s="3">
        <v>0.1</v>
      </c>
      <c r="W2118" s="3">
        <f t="shared" si="339"/>
        <v>0</v>
      </c>
      <c r="AA2118" s="3">
        <v>48</v>
      </c>
    </row>
    <row r="2119" spans="1:27" x14ac:dyDescent="0.3">
      <c r="A2119" s="3" t="str">
        <f t="shared" si="330"/>
        <v>North9432029901310</v>
      </c>
      <c r="B2119" s="3" t="str">
        <f t="shared" si="331"/>
        <v>Lud9432029901310</v>
      </c>
      <c r="C2119" s="10">
        <v>9432029901310</v>
      </c>
      <c r="D2119" s="10" t="str">
        <f t="shared" si="332"/>
        <v>9432029901</v>
      </c>
      <c r="E2119" s="3" t="s">
        <v>3</v>
      </c>
      <c r="F2119" s="3" t="s">
        <v>64</v>
      </c>
      <c r="H2119" s="3">
        <v>7.0399999999999991</v>
      </c>
      <c r="I2119" s="10">
        <f t="shared" si="333"/>
        <v>74.168729371696344</v>
      </c>
      <c r="J2119" s="3">
        <v>2.8475612537673642</v>
      </c>
      <c r="K2119" s="3">
        <v>0</v>
      </c>
      <c r="L2119" s="3">
        <f t="shared" si="334"/>
        <v>0</v>
      </c>
      <c r="N2119" s="11">
        <f t="shared" si="335"/>
        <v>4.1924387462326349</v>
      </c>
      <c r="O2119" s="3">
        <v>2.8475612537673642</v>
      </c>
      <c r="P2119" s="11">
        <f t="shared" si="336"/>
        <v>44.168729371696344</v>
      </c>
      <c r="Q2119" s="12">
        <f t="shared" si="337"/>
        <v>40.70674985485357</v>
      </c>
      <c r="R2119" s="13">
        <f t="shared" si="338"/>
        <v>43.777640765882907</v>
      </c>
      <c r="S2119" s="3" t="s">
        <v>31</v>
      </c>
      <c r="T2119" s="3" t="s">
        <v>35</v>
      </c>
      <c r="U2119" s="10">
        <v>9432029900999</v>
      </c>
      <c r="V2119" s="3">
        <v>0.1</v>
      </c>
      <c r="W2119" s="3">
        <f t="shared" si="339"/>
        <v>0</v>
      </c>
      <c r="AA2119" s="3">
        <v>48</v>
      </c>
    </row>
    <row r="2120" spans="1:27" x14ac:dyDescent="0.3">
      <c r="A2120" s="3" t="str">
        <f t="shared" si="330"/>
        <v>North9432009900840</v>
      </c>
      <c r="B2120" s="3" t="str">
        <f t="shared" si="331"/>
        <v>Lud9432009900840</v>
      </c>
      <c r="C2120" s="10">
        <v>9432009900840</v>
      </c>
      <c r="D2120" s="10" t="str">
        <f t="shared" si="332"/>
        <v>9432009900</v>
      </c>
      <c r="E2120" s="3" t="s">
        <v>3</v>
      </c>
      <c r="F2120" s="3" t="s">
        <v>64</v>
      </c>
      <c r="H2120" s="3">
        <v>13.440000000000001</v>
      </c>
      <c r="I2120" s="10">
        <f t="shared" si="333"/>
        <v>145.00692980719194</v>
      </c>
      <c r="J2120" s="3">
        <v>2.7805567674325209</v>
      </c>
      <c r="K2120" s="3">
        <v>0</v>
      </c>
      <c r="L2120" s="3">
        <f t="shared" si="334"/>
        <v>0</v>
      </c>
      <c r="N2120" s="11">
        <f t="shared" si="335"/>
        <v>10.659443232567479</v>
      </c>
      <c r="O2120" s="3">
        <v>2.7805567674325209</v>
      </c>
      <c r="P2120" s="11">
        <f t="shared" si="336"/>
        <v>115.00692980719191</v>
      </c>
      <c r="Q2120" s="12">
        <f t="shared" si="337"/>
        <v>50.85777282204085</v>
      </c>
      <c r="R2120" s="13">
        <f t="shared" si="338"/>
        <v>16.28600824867836</v>
      </c>
      <c r="S2120" s="3" t="s">
        <v>30</v>
      </c>
      <c r="T2120" s="3" t="s">
        <v>35</v>
      </c>
      <c r="U2120" s="10">
        <v>0</v>
      </c>
      <c r="V2120" s="3">
        <v>0</v>
      </c>
      <c r="W2120" s="3">
        <f t="shared" si="339"/>
        <v>0</v>
      </c>
      <c r="AA2120" s="3">
        <v>48</v>
      </c>
    </row>
    <row r="2121" spans="1:27" x14ac:dyDescent="0.3">
      <c r="A2121" s="3" t="str">
        <f t="shared" si="330"/>
        <v>North9360099900310</v>
      </c>
      <c r="B2121" s="3" t="str">
        <f t="shared" si="331"/>
        <v>Lud9360099900310</v>
      </c>
      <c r="C2121" s="10">
        <v>9360099900310</v>
      </c>
      <c r="D2121" s="10" t="str">
        <f t="shared" si="332"/>
        <v>9360099900</v>
      </c>
      <c r="E2121" s="3" t="s">
        <v>3</v>
      </c>
      <c r="F2121" s="3" t="s">
        <v>64</v>
      </c>
      <c r="H2121" s="3">
        <v>4.05</v>
      </c>
      <c r="I2121" s="10">
        <f t="shared" si="333"/>
        <v>44.026108185548296</v>
      </c>
      <c r="J2121" s="3">
        <v>2.7597261036096472</v>
      </c>
      <c r="K2121" s="3">
        <v>0</v>
      </c>
      <c r="L2121" s="3">
        <f t="shared" si="334"/>
        <v>0</v>
      </c>
      <c r="N2121" s="11">
        <f t="shared" si="335"/>
        <v>1.2902738963903526</v>
      </c>
      <c r="O2121" s="3">
        <v>2.7597261036096472</v>
      </c>
      <c r="P2121" s="11">
        <f t="shared" si="336"/>
        <v>14.026108185548296</v>
      </c>
      <c r="Q2121" s="12">
        <f t="shared" si="337"/>
        <v>-15.740385258118526</v>
      </c>
      <c r="R2121" s="13">
        <f t="shared" si="338"/>
        <v>1.7950782691611549</v>
      </c>
      <c r="S2121" s="3" t="s">
        <v>31</v>
      </c>
      <c r="T2121" s="3" t="s">
        <v>33</v>
      </c>
      <c r="U2121" s="10">
        <v>9360099900999</v>
      </c>
      <c r="V2121" s="3">
        <v>0.1</v>
      </c>
      <c r="W2121" s="3">
        <f t="shared" si="339"/>
        <v>0</v>
      </c>
      <c r="AA2121" s="3">
        <v>48</v>
      </c>
    </row>
    <row r="2122" spans="1:27" x14ac:dyDescent="0.3">
      <c r="A2122" s="3" t="str">
        <f t="shared" si="330"/>
        <v>North9320079999839</v>
      </c>
      <c r="B2122" s="3" t="str">
        <f t="shared" si="331"/>
        <v>Lud9320079999839</v>
      </c>
      <c r="C2122" s="10">
        <v>9320079999839</v>
      </c>
      <c r="D2122" s="10" t="str">
        <f t="shared" si="332"/>
        <v>9320079999</v>
      </c>
      <c r="E2122" s="3" t="s">
        <v>3</v>
      </c>
      <c r="F2122" s="3" t="s">
        <v>64</v>
      </c>
      <c r="H2122" s="3">
        <v>0</v>
      </c>
      <c r="I2122" s="10">
        <f t="shared" si="333"/>
        <v>0</v>
      </c>
      <c r="J2122" s="3">
        <v>2.6954918525106746</v>
      </c>
      <c r="K2122" s="3">
        <v>0</v>
      </c>
      <c r="L2122" s="3">
        <f t="shared" si="334"/>
        <v>0</v>
      </c>
      <c r="N2122" s="11">
        <f t="shared" si="335"/>
        <v>-2.6954918525106746</v>
      </c>
      <c r="O2122" s="3">
        <v>2.6954918525106746</v>
      </c>
      <c r="P2122" s="11">
        <f t="shared" si="336"/>
        <v>-30</v>
      </c>
      <c r="Q2122" s="12">
        <f t="shared" si="337"/>
        <v>-30</v>
      </c>
      <c r="R2122" s="13">
        <f t="shared" si="338"/>
        <v>-30</v>
      </c>
      <c r="S2122" s="3">
        <v>0</v>
      </c>
      <c r="T2122" s="3" t="s">
        <v>28</v>
      </c>
      <c r="U2122" s="10">
        <v>0</v>
      </c>
      <c r="V2122" s="3">
        <v>0</v>
      </c>
      <c r="W2122" s="3">
        <f t="shared" si="339"/>
        <v>0</v>
      </c>
      <c r="AA2122" s="3">
        <v>48</v>
      </c>
    </row>
    <row r="2123" spans="1:27" x14ac:dyDescent="0.3">
      <c r="A2123" s="3" t="str">
        <f t="shared" si="330"/>
        <v>North9360039900210</v>
      </c>
      <c r="B2123" s="3" t="str">
        <f t="shared" si="331"/>
        <v>Lud9360039900210</v>
      </c>
      <c r="C2123" s="10">
        <v>9360039900210</v>
      </c>
      <c r="D2123" s="10" t="str">
        <f t="shared" si="332"/>
        <v>9360039900</v>
      </c>
      <c r="E2123" s="3" t="s">
        <v>3</v>
      </c>
      <c r="F2123" s="3" t="s">
        <v>64</v>
      </c>
      <c r="H2123" s="3">
        <v>2.1699999999999995</v>
      </c>
      <c r="I2123" s="10">
        <f t="shared" si="333"/>
        <v>25.238016889417448</v>
      </c>
      <c r="J2123" s="3">
        <v>2.5794419698362696</v>
      </c>
      <c r="K2123" s="3">
        <v>0</v>
      </c>
      <c r="L2123" s="3">
        <f t="shared" si="334"/>
        <v>0</v>
      </c>
      <c r="N2123" s="11">
        <f t="shared" si="335"/>
        <v>-0.40944196983627013</v>
      </c>
      <c r="O2123" s="3">
        <v>2.5794419698362696</v>
      </c>
      <c r="P2123" s="11">
        <f t="shared" si="336"/>
        <v>-4.761983110582551</v>
      </c>
      <c r="Q2123" s="12">
        <f t="shared" si="337"/>
        <v>-13.345291376787827</v>
      </c>
      <c r="R2123" s="13">
        <f t="shared" si="338"/>
        <v>-6.5668161431774514</v>
      </c>
      <c r="S2123" s="3" t="s">
        <v>30</v>
      </c>
      <c r="T2123" s="3" t="s">
        <v>33</v>
      </c>
      <c r="U2123" s="10">
        <v>0</v>
      </c>
      <c r="V2123" s="3">
        <v>0</v>
      </c>
      <c r="W2123" s="3">
        <f t="shared" si="339"/>
        <v>0</v>
      </c>
      <c r="AA2123" s="3">
        <v>48</v>
      </c>
    </row>
    <row r="2124" spans="1:27" x14ac:dyDescent="0.3">
      <c r="A2124" s="3" t="str">
        <f t="shared" si="330"/>
        <v>North9420139901310</v>
      </c>
      <c r="B2124" s="3" t="str">
        <f t="shared" si="331"/>
        <v>Lud9420139901310</v>
      </c>
      <c r="C2124" s="10">
        <v>9420139901310</v>
      </c>
      <c r="D2124" s="10" t="str">
        <f t="shared" si="332"/>
        <v>9420139901</v>
      </c>
      <c r="E2124" s="3" t="s">
        <v>3</v>
      </c>
      <c r="F2124" s="3" t="s">
        <v>64</v>
      </c>
      <c r="H2124" s="3">
        <v>2.5399999999999996</v>
      </c>
      <c r="I2124" s="10">
        <f t="shared" si="333"/>
        <v>29.827973304603994</v>
      </c>
      <c r="J2124" s="3">
        <v>2.5546489270941652</v>
      </c>
      <c r="K2124" s="3">
        <v>0</v>
      </c>
      <c r="L2124" s="3">
        <f t="shared" si="334"/>
        <v>0</v>
      </c>
      <c r="N2124" s="11">
        <f t="shared" si="335"/>
        <v>-1.4648927094165654E-2</v>
      </c>
      <c r="O2124" s="3">
        <v>2.5546489270941652</v>
      </c>
      <c r="P2124" s="11">
        <f t="shared" si="336"/>
        <v>-0.17202669539600918</v>
      </c>
      <c r="Q2124" s="12">
        <f t="shared" si="337"/>
        <v>21.476719339185674</v>
      </c>
      <c r="R2124" s="13">
        <f t="shared" si="338"/>
        <v>7.9243561134415827</v>
      </c>
      <c r="S2124" s="3" t="s">
        <v>31</v>
      </c>
      <c r="T2124" s="3" t="s">
        <v>28</v>
      </c>
      <c r="U2124" s="10">
        <v>9420139900999</v>
      </c>
      <c r="V2124" s="3">
        <v>0.1</v>
      </c>
      <c r="W2124" s="3">
        <f t="shared" si="339"/>
        <v>0</v>
      </c>
      <c r="AA2124" s="3">
        <v>48</v>
      </c>
    </row>
    <row r="2125" spans="1:27" x14ac:dyDescent="0.3">
      <c r="A2125" s="3" t="str">
        <f t="shared" si="330"/>
        <v>North9437019900210</v>
      </c>
      <c r="B2125" s="3" t="str">
        <f t="shared" si="331"/>
        <v>Lud9437019900210</v>
      </c>
      <c r="C2125" s="10">
        <v>9437019900210</v>
      </c>
      <c r="D2125" s="10" t="str">
        <f t="shared" si="332"/>
        <v>9437019900</v>
      </c>
      <c r="E2125" s="3" t="s">
        <v>3</v>
      </c>
      <c r="F2125" s="3" t="s">
        <v>64</v>
      </c>
      <c r="H2125" s="3">
        <v>3.88</v>
      </c>
      <c r="I2125" s="10">
        <f t="shared" si="333"/>
        <v>47.034744182361401</v>
      </c>
      <c r="J2125" s="3">
        <v>2.4747663035797141</v>
      </c>
      <c r="K2125" s="3">
        <v>0</v>
      </c>
      <c r="L2125" s="3">
        <f t="shared" si="334"/>
        <v>0</v>
      </c>
      <c r="N2125" s="11">
        <f t="shared" si="335"/>
        <v>1.4052336964202858</v>
      </c>
      <c r="O2125" s="3">
        <v>2.4747663035797141</v>
      </c>
      <c r="P2125" s="11">
        <f t="shared" si="336"/>
        <v>17.034744182361408</v>
      </c>
      <c r="Q2125" s="12">
        <f t="shared" si="337"/>
        <v>16.009207383512042</v>
      </c>
      <c r="R2125" s="13">
        <f t="shared" si="338"/>
        <v>21.676130298195474</v>
      </c>
      <c r="S2125" s="3" t="s">
        <v>30</v>
      </c>
      <c r="T2125" s="3" t="s">
        <v>35</v>
      </c>
      <c r="U2125" s="10">
        <v>0</v>
      </c>
      <c r="V2125" s="3">
        <v>0</v>
      </c>
      <c r="W2125" s="3">
        <f t="shared" si="339"/>
        <v>0</v>
      </c>
      <c r="AA2125" s="3">
        <v>48</v>
      </c>
    </row>
    <row r="2126" spans="1:27" x14ac:dyDescent="0.3">
      <c r="A2126" s="3" t="str">
        <f t="shared" si="330"/>
        <v>North9320079902839</v>
      </c>
      <c r="B2126" s="3" t="str">
        <f t="shared" si="331"/>
        <v>Lud9320079902839</v>
      </c>
      <c r="C2126" s="10">
        <v>9320079902839</v>
      </c>
      <c r="D2126" s="10" t="str">
        <f t="shared" si="332"/>
        <v>9320079902</v>
      </c>
      <c r="E2126" s="3" t="s">
        <v>3</v>
      </c>
      <c r="F2126" s="3" t="s">
        <v>64</v>
      </c>
      <c r="H2126" s="3">
        <v>0</v>
      </c>
      <c r="I2126" s="10">
        <f t="shared" si="333"/>
        <v>0</v>
      </c>
      <c r="J2126" s="3">
        <v>2.3860776594016535</v>
      </c>
      <c r="K2126" s="3">
        <v>0</v>
      </c>
      <c r="L2126" s="3">
        <f t="shared" si="334"/>
        <v>0</v>
      </c>
      <c r="N2126" s="11">
        <f t="shared" si="335"/>
        <v>-2.3860776594016535</v>
      </c>
      <c r="O2126" s="3">
        <v>2.3860776594016535</v>
      </c>
      <c r="P2126" s="11">
        <f t="shared" si="336"/>
        <v>-30</v>
      </c>
      <c r="Q2126" s="12">
        <f t="shared" si="337"/>
        <v>-30</v>
      </c>
      <c r="R2126" s="13">
        <f t="shared" si="338"/>
        <v>-30</v>
      </c>
      <c r="S2126" s="3">
        <v>0</v>
      </c>
      <c r="T2126" s="3" t="s">
        <v>28</v>
      </c>
      <c r="U2126" s="10">
        <v>0</v>
      </c>
      <c r="V2126" s="3">
        <v>0</v>
      </c>
      <c r="W2126" s="3">
        <f t="shared" si="339"/>
        <v>0</v>
      </c>
      <c r="AA2126" s="3">
        <v>48</v>
      </c>
    </row>
    <row r="2127" spans="1:27" x14ac:dyDescent="0.3">
      <c r="A2127" s="3" t="str">
        <f t="shared" si="330"/>
        <v>North9330239900310</v>
      </c>
      <c r="B2127" s="3" t="str">
        <f t="shared" si="331"/>
        <v>Lud9330239900310</v>
      </c>
      <c r="C2127" s="10">
        <v>9330239900310</v>
      </c>
      <c r="D2127" s="10" t="str">
        <f t="shared" si="332"/>
        <v>9330239900</v>
      </c>
      <c r="E2127" s="3" t="s">
        <v>3</v>
      </c>
      <c r="F2127" s="3" t="s">
        <v>64</v>
      </c>
      <c r="H2127" s="3">
        <v>3.7</v>
      </c>
      <c r="I2127" s="10">
        <f t="shared" si="333"/>
        <v>47.371501084907052</v>
      </c>
      <c r="J2127" s="3">
        <v>2.3431809729028306</v>
      </c>
      <c r="K2127" s="3">
        <v>0</v>
      </c>
      <c r="L2127" s="3">
        <f t="shared" si="334"/>
        <v>0</v>
      </c>
      <c r="N2127" s="11">
        <f t="shared" si="335"/>
        <v>1.3568190270971696</v>
      </c>
      <c r="O2127" s="3">
        <v>2.3431809729028306</v>
      </c>
      <c r="P2127" s="11">
        <f t="shared" si="336"/>
        <v>17.371501084907056</v>
      </c>
      <c r="Q2127" s="12">
        <f t="shared" si="337"/>
        <v>107.22657074241567</v>
      </c>
      <c r="R2127" s="13">
        <f t="shared" si="338"/>
        <v>86.092170811049129</v>
      </c>
      <c r="S2127" s="3" t="s">
        <v>31</v>
      </c>
      <c r="T2127" s="3" t="s">
        <v>35</v>
      </c>
      <c r="U2127" s="10">
        <v>9330239900999</v>
      </c>
      <c r="V2127" s="3">
        <v>0.1</v>
      </c>
      <c r="W2127" s="3">
        <f t="shared" si="339"/>
        <v>0</v>
      </c>
      <c r="AA2127" s="3">
        <v>48</v>
      </c>
    </row>
    <row r="2128" spans="1:27" x14ac:dyDescent="0.3">
      <c r="A2128" s="3" t="str">
        <f t="shared" si="330"/>
        <v>North9432009901210</v>
      </c>
      <c r="B2128" s="3" t="str">
        <f t="shared" si="331"/>
        <v>Lud9432009901210</v>
      </c>
      <c r="C2128" s="10">
        <v>9432009901210</v>
      </c>
      <c r="D2128" s="10" t="str">
        <f t="shared" si="332"/>
        <v>9432009901</v>
      </c>
      <c r="E2128" s="3" t="s">
        <v>3</v>
      </c>
      <c r="F2128" s="3" t="s">
        <v>64</v>
      </c>
      <c r="H2128" s="3">
        <v>6.7149999999999999</v>
      </c>
      <c r="I2128" s="10">
        <f t="shared" si="333"/>
        <v>86.343616913156566</v>
      </c>
      <c r="J2128" s="3">
        <v>2.3331197742459193</v>
      </c>
      <c r="K2128" s="3">
        <v>0</v>
      </c>
      <c r="L2128" s="3">
        <f t="shared" si="334"/>
        <v>0</v>
      </c>
      <c r="N2128" s="11">
        <f t="shared" si="335"/>
        <v>4.381880225754081</v>
      </c>
      <c r="O2128" s="3">
        <v>2.3331197742459193</v>
      </c>
      <c r="P2128" s="11">
        <f t="shared" si="336"/>
        <v>56.343616913156573</v>
      </c>
      <c r="Q2128" s="12">
        <f t="shared" si="337"/>
        <v>46.925563385154554</v>
      </c>
      <c r="R2128" s="13">
        <f t="shared" si="338"/>
        <v>10.799641646358246</v>
      </c>
      <c r="S2128" s="3" t="s">
        <v>30</v>
      </c>
      <c r="T2128" s="3" t="s">
        <v>35</v>
      </c>
      <c r="U2128" s="10">
        <v>0</v>
      </c>
      <c r="V2128" s="3">
        <v>0</v>
      </c>
      <c r="W2128" s="3">
        <f t="shared" si="339"/>
        <v>0</v>
      </c>
      <c r="AA2128" s="3">
        <v>48</v>
      </c>
    </row>
    <row r="2129" spans="1:27" x14ac:dyDescent="0.3">
      <c r="A2129" s="3" t="str">
        <f t="shared" si="330"/>
        <v>North9437009900840</v>
      </c>
      <c r="B2129" s="3" t="str">
        <f t="shared" si="331"/>
        <v>Lud9437009900840</v>
      </c>
      <c r="C2129" s="10">
        <v>9437009900840</v>
      </c>
      <c r="D2129" s="10" t="str">
        <f t="shared" si="332"/>
        <v>9437009900</v>
      </c>
      <c r="E2129" s="3" t="s">
        <v>3</v>
      </c>
      <c r="F2129" s="3" t="s">
        <v>64</v>
      </c>
      <c r="H2129" s="3">
        <v>2.8920000000000008</v>
      </c>
      <c r="I2129" s="10">
        <f t="shared" si="333"/>
        <v>37.88492287398951</v>
      </c>
      <c r="J2129" s="3">
        <v>2.2900930876532541</v>
      </c>
      <c r="K2129" s="3">
        <v>0</v>
      </c>
      <c r="L2129" s="3">
        <f t="shared" si="334"/>
        <v>0</v>
      </c>
      <c r="N2129" s="11">
        <f t="shared" si="335"/>
        <v>0.60190691234674665</v>
      </c>
      <c r="O2129" s="3">
        <v>2.2900930876532541</v>
      </c>
      <c r="P2129" s="11">
        <f t="shared" si="336"/>
        <v>7.8849228739895061</v>
      </c>
      <c r="Q2129" s="12">
        <f t="shared" si="337"/>
        <v>54.678371681989397</v>
      </c>
      <c r="R2129" s="13">
        <f t="shared" si="338"/>
        <v>20.229042425225856</v>
      </c>
      <c r="S2129" s="3" t="s">
        <v>30</v>
      </c>
      <c r="T2129" s="3" t="s">
        <v>35</v>
      </c>
      <c r="U2129" s="10">
        <v>0</v>
      </c>
      <c r="V2129" s="3">
        <v>0</v>
      </c>
      <c r="W2129" s="3">
        <f t="shared" si="339"/>
        <v>0</v>
      </c>
      <c r="AA2129" s="3">
        <v>48</v>
      </c>
    </row>
    <row r="2130" spans="1:27" x14ac:dyDescent="0.3">
      <c r="A2130" s="3" t="str">
        <f t="shared" si="330"/>
        <v>North9320099901310</v>
      </c>
      <c r="B2130" s="3" t="str">
        <f t="shared" si="331"/>
        <v>Lud9320099901310</v>
      </c>
      <c r="C2130" s="10">
        <v>9320099901310</v>
      </c>
      <c r="D2130" s="10" t="str">
        <f t="shared" si="332"/>
        <v>9320099901</v>
      </c>
      <c r="E2130" s="3" t="s">
        <v>3</v>
      </c>
      <c r="F2130" s="3" t="s">
        <v>64</v>
      </c>
      <c r="H2130" s="3">
        <v>1.34</v>
      </c>
      <c r="I2130" s="10">
        <f t="shared" si="333"/>
        <v>18.293518122160645</v>
      </c>
      <c r="J2130" s="3">
        <v>2.1974996679999999</v>
      </c>
      <c r="K2130" s="3">
        <v>0</v>
      </c>
      <c r="L2130" s="3">
        <f t="shared" si="334"/>
        <v>0</v>
      </c>
      <c r="N2130" s="11">
        <f t="shared" si="335"/>
        <v>-0.85749966799999977</v>
      </c>
      <c r="O2130" s="3">
        <v>2.1974996679999999</v>
      </c>
      <c r="P2130" s="11">
        <f t="shared" si="336"/>
        <v>-11.706481877839353</v>
      </c>
      <c r="Q2130" s="12">
        <f t="shared" si="337"/>
        <v>6.8156021831112339</v>
      </c>
      <c r="R2130" s="13">
        <f t="shared" si="338"/>
        <v>10.747191543098038</v>
      </c>
      <c r="S2130" s="3" t="s">
        <v>31</v>
      </c>
      <c r="T2130" s="3" t="s">
        <v>28</v>
      </c>
      <c r="U2130" s="10">
        <v>9320099900999</v>
      </c>
      <c r="V2130" s="3">
        <v>0.1</v>
      </c>
      <c r="W2130" s="3">
        <f t="shared" si="339"/>
        <v>0</v>
      </c>
      <c r="AA2130" s="3">
        <v>48</v>
      </c>
    </row>
    <row r="2131" spans="1:27" x14ac:dyDescent="0.3">
      <c r="A2131" s="3" t="str">
        <f t="shared" si="330"/>
        <v>North9320039901210</v>
      </c>
      <c r="B2131" s="3" t="str">
        <f t="shared" si="331"/>
        <v>Lud9320039901210</v>
      </c>
      <c r="C2131" s="10">
        <v>9320039901210</v>
      </c>
      <c r="D2131" s="10" t="str">
        <f t="shared" si="332"/>
        <v>9320039901</v>
      </c>
      <c r="E2131" s="3" t="s">
        <v>3</v>
      </c>
      <c r="F2131" s="3" t="s">
        <v>64</v>
      </c>
      <c r="H2131" s="3">
        <v>2.3319999999999999</v>
      </c>
      <c r="I2131" s="10">
        <f t="shared" si="333"/>
        <v>33.756531213804422</v>
      </c>
      <c r="J2131" s="3">
        <v>2.0724878263377517</v>
      </c>
      <c r="K2131" s="3">
        <v>0</v>
      </c>
      <c r="L2131" s="3">
        <f t="shared" si="334"/>
        <v>0</v>
      </c>
      <c r="N2131" s="11">
        <f t="shared" si="335"/>
        <v>0.2595121736622481</v>
      </c>
      <c r="O2131" s="3">
        <v>2.0724878263377517</v>
      </c>
      <c r="P2131" s="11">
        <f t="shared" si="336"/>
        <v>3.756531213804422</v>
      </c>
      <c r="Q2131" s="12">
        <f t="shared" si="337"/>
        <v>31.335432881649357</v>
      </c>
      <c r="R2131" s="13">
        <f t="shared" si="338"/>
        <v>17.999842974581782</v>
      </c>
      <c r="S2131" s="3" t="s">
        <v>30</v>
      </c>
      <c r="T2131" s="3" t="s">
        <v>28</v>
      </c>
      <c r="U2131" s="10">
        <v>0</v>
      </c>
      <c r="V2131" s="3">
        <v>0</v>
      </c>
      <c r="W2131" s="3">
        <f t="shared" si="339"/>
        <v>0</v>
      </c>
      <c r="AA2131" s="3">
        <v>48</v>
      </c>
    </row>
    <row r="2132" spans="1:27" x14ac:dyDescent="0.3">
      <c r="A2132" s="3" t="str">
        <f t="shared" si="330"/>
        <v>North9320039902219</v>
      </c>
      <c r="B2132" s="3" t="str">
        <f t="shared" si="331"/>
        <v>Lud9320039902219</v>
      </c>
      <c r="C2132" s="10">
        <v>9320039902219</v>
      </c>
      <c r="D2132" s="10" t="str">
        <f t="shared" si="332"/>
        <v>9320039902</v>
      </c>
      <c r="E2132" s="3" t="s">
        <v>3</v>
      </c>
      <c r="F2132" s="3" t="s">
        <v>64</v>
      </c>
      <c r="H2132" s="3">
        <v>2.6325000000000003</v>
      </c>
      <c r="I2132" s="10">
        <f t="shared" si="333"/>
        <v>39.719153668362921</v>
      </c>
      <c r="J2132" s="3">
        <v>1.9883354177031503</v>
      </c>
      <c r="K2132" s="3">
        <v>18.240000000000002</v>
      </c>
      <c r="L2132" s="3">
        <f t="shared" si="334"/>
        <v>0</v>
      </c>
      <c r="N2132" s="11">
        <f t="shared" si="335"/>
        <v>0.64416458229685003</v>
      </c>
      <c r="O2132" s="3">
        <v>1.9883354177031503</v>
      </c>
      <c r="P2132" s="11">
        <f t="shared" si="336"/>
        <v>9.7191536683629245</v>
      </c>
      <c r="Q2132" s="12">
        <f t="shared" si="337"/>
        <v>39.508849867787553</v>
      </c>
      <c r="R2132" s="13">
        <f t="shared" si="338"/>
        <v>37.449963075784481</v>
      </c>
      <c r="S2132" s="3" t="s">
        <v>30</v>
      </c>
      <c r="T2132" s="3" t="s">
        <v>28</v>
      </c>
      <c r="U2132" s="10">
        <v>9320039900999</v>
      </c>
      <c r="V2132" s="3">
        <v>0.1</v>
      </c>
      <c r="W2132" s="3">
        <f t="shared" si="339"/>
        <v>1.8240000000000003</v>
      </c>
      <c r="AA2132" s="3">
        <v>48</v>
      </c>
    </row>
    <row r="2133" spans="1:27" x14ac:dyDescent="0.3">
      <c r="A2133" s="3" t="str">
        <f t="shared" si="330"/>
        <v>North9320079902219</v>
      </c>
      <c r="B2133" s="3" t="str">
        <f t="shared" si="331"/>
        <v>Lud9320079902219</v>
      </c>
      <c r="C2133" s="10">
        <v>9320079902219</v>
      </c>
      <c r="D2133" s="10" t="str">
        <f t="shared" si="332"/>
        <v>9320079902</v>
      </c>
      <c r="E2133" s="3" t="s">
        <v>3</v>
      </c>
      <c r="F2133" s="3" t="s">
        <v>64</v>
      </c>
      <c r="H2133" s="3">
        <v>0</v>
      </c>
      <c r="I2133" s="10">
        <f t="shared" si="333"/>
        <v>0</v>
      </c>
      <c r="J2133" s="3">
        <v>1.8974539806527828</v>
      </c>
      <c r="K2133" s="3">
        <v>0</v>
      </c>
      <c r="L2133" s="3">
        <f t="shared" si="334"/>
        <v>0</v>
      </c>
      <c r="N2133" s="11">
        <f t="shared" si="335"/>
        <v>-1.8974539806527828</v>
      </c>
      <c r="O2133" s="3">
        <v>1.8974539806527828</v>
      </c>
      <c r="P2133" s="11">
        <f t="shared" si="336"/>
        <v>-30</v>
      </c>
      <c r="Q2133" s="12">
        <f t="shared" si="337"/>
        <v>-30</v>
      </c>
      <c r="R2133" s="13">
        <f t="shared" si="338"/>
        <v>-30</v>
      </c>
      <c r="S2133" s="3">
        <v>0</v>
      </c>
      <c r="T2133" s="3" t="s">
        <v>28</v>
      </c>
      <c r="U2133" s="10">
        <v>0</v>
      </c>
      <c r="V2133" s="3">
        <v>0</v>
      </c>
      <c r="W2133" s="3">
        <f t="shared" si="339"/>
        <v>0</v>
      </c>
      <c r="AA2133" s="3">
        <v>48</v>
      </c>
    </row>
    <row r="2134" spans="1:27" x14ac:dyDescent="0.3">
      <c r="A2134" s="3" t="str">
        <f t="shared" si="330"/>
        <v>North9320079902097</v>
      </c>
      <c r="B2134" s="3" t="str">
        <f t="shared" si="331"/>
        <v>Lud9320079902097</v>
      </c>
      <c r="C2134" s="10">
        <v>9320079902097</v>
      </c>
      <c r="D2134" s="10" t="str">
        <f t="shared" si="332"/>
        <v>9320079902</v>
      </c>
      <c r="E2134" s="3" t="s">
        <v>3</v>
      </c>
      <c r="F2134" s="3" t="s">
        <v>64</v>
      </c>
      <c r="H2134" s="3">
        <v>0</v>
      </c>
      <c r="I2134" s="10">
        <f t="shared" si="333"/>
        <v>0</v>
      </c>
      <c r="J2134" s="3">
        <v>1.8893488212982501</v>
      </c>
      <c r="K2134" s="3">
        <v>0</v>
      </c>
      <c r="L2134" s="3">
        <f t="shared" si="334"/>
        <v>0</v>
      </c>
      <c r="N2134" s="11">
        <f t="shared" si="335"/>
        <v>-1.8893488212982501</v>
      </c>
      <c r="O2134" s="3">
        <v>1.8893488212982501</v>
      </c>
      <c r="P2134" s="11">
        <f t="shared" si="336"/>
        <v>-30</v>
      </c>
      <c r="Q2134" s="12">
        <f t="shared" si="337"/>
        <v>-30</v>
      </c>
      <c r="R2134" s="13">
        <f t="shared" si="338"/>
        <v>-30</v>
      </c>
      <c r="S2134" s="3">
        <v>0</v>
      </c>
      <c r="T2134" s="3" t="s">
        <v>28</v>
      </c>
      <c r="U2134" s="10">
        <v>0</v>
      </c>
      <c r="V2134" s="3">
        <v>0</v>
      </c>
      <c r="W2134" s="3">
        <f t="shared" si="339"/>
        <v>0</v>
      </c>
      <c r="AA2134" s="3">
        <v>48</v>
      </c>
    </row>
    <row r="2135" spans="1:27" x14ac:dyDescent="0.3">
      <c r="A2135" s="3" t="str">
        <f t="shared" si="330"/>
        <v>North9320029902839</v>
      </c>
      <c r="B2135" s="3" t="str">
        <f t="shared" si="331"/>
        <v>Lud9320029902839</v>
      </c>
      <c r="C2135" s="10">
        <v>9320029902839</v>
      </c>
      <c r="D2135" s="10" t="str">
        <f t="shared" si="332"/>
        <v>9320029902</v>
      </c>
      <c r="E2135" s="3" t="s">
        <v>3</v>
      </c>
      <c r="F2135" s="3" t="s">
        <v>64</v>
      </c>
      <c r="H2135" s="3">
        <v>1.7822999999999998</v>
      </c>
      <c r="I2135" s="10">
        <f t="shared" si="333"/>
        <v>28.931174611577735</v>
      </c>
      <c r="J2135" s="3">
        <v>1.8481448028937844</v>
      </c>
      <c r="K2135" s="3">
        <v>0</v>
      </c>
      <c r="L2135" s="3">
        <f t="shared" si="334"/>
        <v>0</v>
      </c>
      <c r="N2135" s="11">
        <f t="shared" si="335"/>
        <v>-6.5844802893784582E-2</v>
      </c>
      <c r="O2135" s="3">
        <v>1.8481448028937844</v>
      </c>
      <c r="P2135" s="11">
        <f t="shared" si="336"/>
        <v>-1.0688253884222638</v>
      </c>
      <c r="Q2135" s="12">
        <f t="shared" si="337"/>
        <v>71.0916793067844</v>
      </c>
      <c r="R2135" s="13">
        <f t="shared" si="338"/>
        <v>29.839396520491132</v>
      </c>
      <c r="S2135" s="3" t="s">
        <v>30</v>
      </c>
      <c r="T2135" s="3" t="s">
        <v>28</v>
      </c>
      <c r="U2135" s="10">
        <v>0</v>
      </c>
      <c r="V2135" s="3">
        <v>0</v>
      </c>
      <c r="W2135" s="3">
        <f t="shared" si="339"/>
        <v>0</v>
      </c>
      <c r="AA2135" s="3">
        <v>48</v>
      </c>
    </row>
    <row r="2136" spans="1:27" x14ac:dyDescent="0.3">
      <c r="A2136" s="3" t="str">
        <f t="shared" si="330"/>
        <v>North9420019901310</v>
      </c>
      <c r="B2136" s="3" t="str">
        <f t="shared" si="331"/>
        <v>Lud9420019901310</v>
      </c>
      <c r="C2136" s="10">
        <v>9420019901310</v>
      </c>
      <c r="D2136" s="10" t="str">
        <f t="shared" si="332"/>
        <v>9420019901</v>
      </c>
      <c r="E2136" s="3" t="s">
        <v>3</v>
      </c>
      <c r="F2136" s="3" t="s">
        <v>64</v>
      </c>
      <c r="H2136" s="3">
        <v>15.59</v>
      </c>
      <c r="I2136" s="10">
        <f t="shared" si="333"/>
        <v>255.9962055345178</v>
      </c>
      <c r="J2136" s="3">
        <v>1.8269802047395451</v>
      </c>
      <c r="K2136" s="3">
        <v>0</v>
      </c>
      <c r="L2136" s="3">
        <f t="shared" si="334"/>
        <v>0</v>
      </c>
      <c r="N2136" s="11">
        <f t="shared" si="335"/>
        <v>13.763019795260455</v>
      </c>
      <c r="O2136" s="3">
        <v>1.8269802047395451</v>
      </c>
      <c r="P2136" s="11">
        <f t="shared" si="336"/>
        <v>225.9962055345178</v>
      </c>
      <c r="Q2136" s="12">
        <f t="shared" si="337"/>
        <v>68.092835848004455</v>
      </c>
      <c r="R2136" s="13">
        <f t="shared" si="338"/>
        <v>38.280373310321046</v>
      </c>
      <c r="S2136" s="3" t="s">
        <v>30</v>
      </c>
      <c r="T2136" s="3" t="s">
        <v>28</v>
      </c>
      <c r="U2136" s="10">
        <v>9420019900999</v>
      </c>
      <c r="V2136" s="3">
        <v>0.1</v>
      </c>
      <c r="W2136" s="3">
        <f t="shared" si="339"/>
        <v>0</v>
      </c>
      <c r="AA2136" s="3">
        <v>48</v>
      </c>
    </row>
    <row r="2137" spans="1:27" x14ac:dyDescent="0.3">
      <c r="A2137" s="3" t="str">
        <f t="shared" si="330"/>
        <v>North9320029901210</v>
      </c>
      <c r="B2137" s="3" t="str">
        <f t="shared" si="331"/>
        <v>Lud9320029901210</v>
      </c>
      <c r="C2137" s="10">
        <v>9320029901210</v>
      </c>
      <c r="D2137" s="10" t="str">
        <f t="shared" si="332"/>
        <v>9320029901</v>
      </c>
      <c r="E2137" s="3" t="s">
        <v>3</v>
      </c>
      <c r="F2137" s="3" t="s">
        <v>64</v>
      </c>
      <c r="H2137" s="3">
        <v>1.2820000000000003</v>
      </c>
      <c r="I2137" s="10">
        <f t="shared" si="333"/>
        <v>22.845536812128088</v>
      </c>
      <c r="J2137" s="3">
        <v>1.6834798112330902</v>
      </c>
      <c r="K2137" s="3">
        <v>0</v>
      </c>
      <c r="L2137" s="3">
        <f t="shared" si="334"/>
        <v>0</v>
      </c>
      <c r="N2137" s="11">
        <f t="shared" si="335"/>
        <v>-0.40147981123308996</v>
      </c>
      <c r="O2137" s="3">
        <v>1.6834798112330902</v>
      </c>
      <c r="P2137" s="11">
        <f t="shared" si="336"/>
        <v>-7.1544631878719116</v>
      </c>
      <c r="Q2137" s="12">
        <f t="shared" si="337"/>
        <v>-7.8618663311614974</v>
      </c>
      <c r="R2137" s="13">
        <f t="shared" si="338"/>
        <v>31.098176860777059</v>
      </c>
      <c r="S2137" s="3" t="s">
        <v>30</v>
      </c>
      <c r="T2137" s="3" t="s">
        <v>28</v>
      </c>
      <c r="U2137" s="10">
        <v>0</v>
      </c>
      <c r="V2137" s="3">
        <v>0</v>
      </c>
      <c r="W2137" s="3">
        <f t="shared" si="339"/>
        <v>0</v>
      </c>
      <c r="AA2137" s="3">
        <v>48</v>
      </c>
    </row>
    <row r="2138" spans="1:27" x14ac:dyDescent="0.3">
      <c r="A2138" s="3" t="str">
        <f t="shared" si="330"/>
        <v>North9410059900820</v>
      </c>
      <c r="B2138" s="3" t="str">
        <f t="shared" si="331"/>
        <v>Lud9410059900820</v>
      </c>
      <c r="C2138" s="10">
        <v>9410059900820</v>
      </c>
      <c r="D2138" s="10" t="str">
        <f t="shared" si="332"/>
        <v>9410059900</v>
      </c>
      <c r="E2138" s="3" t="s">
        <v>3</v>
      </c>
      <c r="F2138" s="3" t="s">
        <v>64</v>
      </c>
      <c r="H2138" s="3">
        <v>12.920000000000002</v>
      </c>
      <c r="I2138" s="10">
        <f t="shared" si="333"/>
        <v>233.71559448506906</v>
      </c>
      <c r="J2138" s="3">
        <v>1.6584259208461245</v>
      </c>
      <c r="K2138" s="3">
        <v>0</v>
      </c>
      <c r="L2138" s="3">
        <f t="shared" si="334"/>
        <v>0</v>
      </c>
      <c r="N2138" s="11">
        <f t="shared" si="335"/>
        <v>11.261574079153878</v>
      </c>
      <c r="O2138" s="3">
        <v>1.6584259208461245</v>
      </c>
      <c r="P2138" s="11">
        <f t="shared" si="336"/>
        <v>203.71559448506906</v>
      </c>
      <c r="Q2138" s="12">
        <f t="shared" si="337"/>
        <v>61.362575207084795</v>
      </c>
      <c r="R2138" s="13">
        <f t="shared" si="338"/>
        <v>1.7095469951111055</v>
      </c>
      <c r="S2138" s="3" t="s">
        <v>30</v>
      </c>
      <c r="T2138" s="3" t="s">
        <v>32</v>
      </c>
      <c r="U2138" s="10">
        <v>0</v>
      </c>
      <c r="V2138" s="3">
        <v>0</v>
      </c>
      <c r="W2138" s="3">
        <f t="shared" si="339"/>
        <v>0</v>
      </c>
      <c r="AA2138" s="3">
        <v>48</v>
      </c>
    </row>
    <row r="2139" spans="1:27" x14ac:dyDescent="0.3">
      <c r="A2139" s="3" t="str">
        <f t="shared" si="330"/>
        <v>North9420019900310</v>
      </c>
      <c r="B2139" s="3" t="str">
        <f t="shared" si="331"/>
        <v>Lud9420019900310</v>
      </c>
      <c r="C2139" s="10">
        <v>9420019900310</v>
      </c>
      <c r="D2139" s="10" t="str">
        <f t="shared" si="332"/>
        <v>9420019900</v>
      </c>
      <c r="E2139" s="3" t="s">
        <v>3</v>
      </c>
      <c r="F2139" s="3" t="s">
        <v>64</v>
      </c>
      <c r="H2139" s="3">
        <v>2.0100000000000002</v>
      </c>
      <c r="I2139" s="10">
        <f t="shared" si="333"/>
        <v>37.096375518771517</v>
      </c>
      <c r="J2139" s="3">
        <v>1.6254957298857131</v>
      </c>
      <c r="K2139" s="3">
        <v>0</v>
      </c>
      <c r="L2139" s="3">
        <f t="shared" si="334"/>
        <v>0</v>
      </c>
      <c r="N2139" s="11">
        <f t="shared" si="335"/>
        <v>0.38450427011428712</v>
      </c>
      <c r="O2139" s="3">
        <v>1.6254957298857131</v>
      </c>
      <c r="P2139" s="11">
        <f t="shared" si="336"/>
        <v>7.0963755187715165</v>
      </c>
      <c r="Q2139" s="12">
        <f t="shared" si="337"/>
        <v>1.5822001910104633</v>
      </c>
      <c r="R2139" s="13">
        <f t="shared" si="338"/>
        <v>-4.0605572829131411</v>
      </c>
      <c r="S2139" s="3" t="s">
        <v>31</v>
      </c>
      <c r="T2139" s="3" t="s">
        <v>28</v>
      </c>
      <c r="U2139" s="10">
        <v>9420019900999</v>
      </c>
      <c r="V2139" s="3">
        <v>0.1</v>
      </c>
      <c r="W2139" s="3">
        <f t="shared" si="339"/>
        <v>0</v>
      </c>
      <c r="AA2139" s="3">
        <v>48</v>
      </c>
    </row>
    <row r="2140" spans="1:27" x14ac:dyDescent="0.3">
      <c r="A2140" s="3" t="str">
        <f t="shared" si="330"/>
        <v>North9320099900310</v>
      </c>
      <c r="B2140" s="3" t="str">
        <f t="shared" si="331"/>
        <v>Lud9320099900310</v>
      </c>
      <c r="C2140" s="10">
        <v>9320099900310</v>
      </c>
      <c r="D2140" s="10" t="str">
        <f t="shared" si="332"/>
        <v>9320099900</v>
      </c>
      <c r="E2140" s="3" t="s">
        <v>3</v>
      </c>
      <c r="F2140" s="3" t="s">
        <v>64</v>
      </c>
      <c r="H2140" s="3">
        <v>4.78</v>
      </c>
      <c r="I2140" s="10">
        <f t="shared" si="333"/>
        <v>88.354920220996874</v>
      </c>
      <c r="J2140" s="3">
        <v>1.622999598</v>
      </c>
      <c r="K2140" s="3">
        <v>0</v>
      </c>
      <c r="L2140" s="3">
        <f t="shared" si="334"/>
        <v>0</v>
      </c>
      <c r="N2140" s="11">
        <f t="shared" si="335"/>
        <v>3.1570004020000004</v>
      </c>
      <c r="O2140" s="3">
        <v>1.622999598</v>
      </c>
      <c r="P2140" s="11">
        <f t="shared" si="336"/>
        <v>58.354920220996881</v>
      </c>
      <c r="Q2140" s="12">
        <f t="shared" si="337"/>
        <v>140.26929347092835</v>
      </c>
      <c r="R2140" s="13">
        <f t="shared" si="338"/>
        <v>124.33472921467568</v>
      </c>
      <c r="S2140" s="3" t="s">
        <v>31</v>
      </c>
      <c r="T2140" s="3" t="s">
        <v>28</v>
      </c>
      <c r="U2140" s="10">
        <v>9320099900999</v>
      </c>
      <c r="V2140" s="3">
        <v>0.1</v>
      </c>
      <c r="W2140" s="3">
        <f t="shared" si="339"/>
        <v>0</v>
      </c>
      <c r="AA2140" s="3">
        <v>48</v>
      </c>
    </row>
    <row r="2141" spans="1:27" x14ac:dyDescent="0.3">
      <c r="A2141" s="3" t="str">
        <f t="shared" si="330"/>
        <v>North9432029901840</v>
      </c>
      <c r="B2141" s="3" t="str">
        <f t="shared" si="331"/>
        <v>Lud9432029901840</v>
      </c>
      <c r="C2141" s="10">
        <v>9432029901840</v>
      </c>
      <c r="D2141" s="10" t="str">
        <f t="shared" si="332"/>
        <v>9432029901</v>
      </c>
      <c r="E2141" s="3" t="s">
        <v>3</v>
      </c>
      <c r="F2141" s="3" t="s">
        <v>64</v>
      </c>
      <c r="H2141" s="3">
        <v>2.6240000000000006</v>
      </c>
      <c r="I2141" s="10">
        <f t="shared" si="333"/>
        <v>49.594650582546919</v>
      </c>
      <c r="J2141" s="3">
        <v>1.5872679628819231</v>
      </c>
      <c r="K2141" s="3">
        <v>0</v>
      </c>
      <c r="L2141" s="3">
        <f t="shared" si="334"/>
        <v>0</v>
      </c>
      <c r="N2141" s="11">
        <f t="shared" si="335"/>
        <v>1.0367320371180775</v>
      </c>
      <c r="O2141" s="3">
        <v>1.5872679628819231</v>
      </c>
      <c r="P2141" s="11">
        <f t="shared" si="336"/>
        <v>19.594650582546912</v>
      </c>
      <c r="Q2141" s="12">
        <f t="shared" si="337"/>
        <v>49.967394857908268</v>
      </c>
      <c r="R2141" s="13">
        <f t="shared" si="338"/>
        <v>45.487316805056096</v>
      </c>
      <c r="S2141" s="3" t="s">
        <v>31</v>
      </c>
      <c r="T2141" s="3" t="s">
        <v>35</v>
      </c>
      <c r="U2141" s="10">
        <v>0</v>
      </c>
      <c r="V2141" s="3">
        <v>0</v>
      </c>
      <c r="W2141" s="3">
        <f t="shared" si="339"/>
        <v>0</v>
      </c>
      <c r="AA2141" s="3">
        <v>48</v>
      </c>
    </row>
    <row r="2142" spans="1:27" x14ac:dyDescent="0.3">
      <c r="A2142" s="3" t="str">
        <f t="shared" si="330"/>
        <v>North9330019900210</v>
      </c>
      <c r="B2142" s="3" t="str">
        <f t="shared" si="331"/>
        <v>Lud9330019900210</v>
      </c>
      <c r="C2142" s="10">
        <v>9330019900210</v>
      </c>
      <c r="D2142" s="10" t="str">
        <f t="shared" si="332"/>
        <v>9330019900</v>
      </c>
      <c r="E2142" s="3" t="s">
        <v>3</v>
      </c>
      <c r="F2142" s="3" t="s">
        <v>64</v>
      </c>
      <c r="H2142" s="3">
        <v>1.6460000000000001</v>
      </c>
      <c r="I2142" s="10">
        <f t="shared" si="333"/>
        <v>31.690947635712675</v>
      </c>
      <c r="J2142" s="3">
        <v>1.5581736642155017</v>
      </c>
      <c r="K2142" s="3">
        <v>12</v>
      </c>
      <c r="L2142" s="3">
        <f t="shared" si="334"/>
        <v>0</v>
      </c>
      <c r="N2142" s="11">
        <f t="shared" si="335"/>
        <v>8.7826335784498388E-2</v>
      </c>
      <c r="O2142" s="3">
        <v>1.5581736642155017</v>
      </c>
      <c r="P2142" s="11">
        <f t="shared" si="336"/>
        <v>1.6909476357126707</v>
      </c>
      <c r="Q2142" s="12">
        <f t="shared" si="337"/>
        <v>7.2958607722615927</v>
      </c>
      <c r="R2142" s="13">
        <f t="shared" si="338"/>
        <v>31.282836342770231</v>
      </c>
      <c r="S2142" s="3" t="s">
        <v>30</v>
      </c>
      <c r="T2142" s="3" t="s">
        <v>35</v>
      </c>
      <c r="U2142" s="10">
        <v>0</v>
      </c>
      <c r="V2142" s="3">
        <v>0</v>
      </c>
      <c r="W2142" s="3">
        <f t="shared" si="339"/>
        <v>0</v>
      </c>
      <c r="AA2142" s="3">
        <v>48</v>
      </c>
    </row>
    <row r="2143" spans="1:27" x14ac:dyDescent="0.3">
      <c r="A2143" s="3" t="str">
        <f t="shared" si="330"/>
        <v>North9420069900810</v>
      </c>
      <c r="B2143" s="3" t="str">
        <f t="shared" si="331"/>
        <v>Lud9420069900810</v>
      </c>
      <c r="C2143" s="10">
        <v>9420069900810</v>
      </c>
      <c r="D2143" s="10" t="str">
        <f t="shared" si="332"/>
        <v>9420069900</v>
      </c>
      <c r="E2143" s="3" t="s">
        <v>3</v>
      </c>
      <c r="F2143" s="3" t="s">
        <v>64</v>
      </c>
      <c r="H2143" s="3">
        <v>9.15</v>
      </c>
      <c r="I2143" s="10">
        <f t="shared" si="333"/>
        <v>178.30860868808699</v>
      </c>
      <c r="J2143" s="3">
        <v>1.5394657724023824</v>
      </c>
      <c r="K2143" s="3">
        <v>0</v>
      </c>
      <c r="L2143" s="3">
        <f t="shared" si="334"/>
        <v>0</v>
      </c>
      <c r="N2143" s="11">
        <f t="shared" si="335"/>
        <v>7.6105342275976184</v>
      </c>
      <c r="O2143" s="3">
        <v>1.5394657724023824</v>
      </c>
      <c r="P2143" s="11">
        <f t="shared" si="336"/>
        <v>148.30860868808702</v>
      </c>
      <c r="Q2143" s="12">
        <f t="shared" si="337"/>
        <v>28.128457940827932</v>
      </c>
      <c r="R2143" s="13">
        <f t="shared" si="338"/>
        <v>28.11286676931412</v>
      </c>
      <c r="S2143" s="3" t="s">
        <v>30</v>
      </c>
      <c r="T2143" s="3" t="s">
        <v>28</v>
      </c>
      <c r="U2143" s="10">
        <v>0</v>
      </c>
      <c r="V2143" s="3">
        <v>0</v>
      </c>
      <c r="W2143" s="3">
        <f t="shared" si="339"/>
        <v>0</v>
      </c>
      <c r="AA2143" s="3">
        <v>48</v>
      </c>
    </row>
    <row r="2144" spans="1:27" x14ac:dyDescent="0.3">
      <c r="A2144" s="3" t="str">
        <f t="shared" si="330"/>
        <v>North9320029902297</v>
      </c>
      <c r="B2144" s="3" t="str">
        <f t="shared" si="331"/>
        <v>Lud9320029902297</v>
      </c>
      <c r="C2144" s="10">
        <v>9320029902297</v>
      </c>
      <c r="D2144" s="10" t="str">
        <f t="shared" si="332"/>
        <v>9320029902</v>
      </c>
      <c r="E2144" s="3" t="s">
        <v>3</v>
      </c>
      <c r="F2144" s="3" t="s">
        <v>64</v>
      </c>
      <c r="H2144" s="3">
        <v>1.33263</v>
      </c>
      <c r="I2144" s="10">
        <f t="shared" si="333"/>
        <v>26.089825107961843</v>
      </c>
      <c r="J2144" s="3">
        <v>1.5323559983466359</v>
      </c>
      <c r="K2144" s="3">
        <v>0</v>
      </c>
      <c r="L2144" s="3">
        <f t="shared" si="334"/>
        <v>0</v>
      </c>
      <c r="N2144" s="11">
        <f t="shared" si="335"/>
        <v>-0.19972599834663596</v>
      </c>
      <c r="O2144" s="3">
        <v>1.5323559983466359</v>
      </c>
      <c r="P2144" s="11">
        <f t="shared" si="336"/>
        <v>-3.9101748920381567</v>
      </c>
      <c r="Q2144" s="12">
        <f t="shared" si="337"/>
        <v>-3.5167241923270289</v>
      </c>
      <c r="R2144" s="13">
        <f t="shared" si="338"/>
        <v>18.208892829292608</v>
      </c>
      <c r="S2144" s="3" t="s">
        <v>30</v>
      </c>
      <c r="T2144" s="3" t="s">
        <v>28</v>
      </c>
      <c r="U2144" s="10">
        <v>9320029900999</v>
      </c>
      <c r="V2144" s="3">
        <v>0.1</v>
      </c>
      <c r="W2144" s="3">
        <f t="shared" si="339"/>
        <v>0</v>
      </c>
      <c r="AA2144" s="3">
        <v>48</v>
      </c>
    </row>
    <row r="2145" spans="1:27" x14ac:dyDescent="0.3">
      <c r="A2145" s="3" t="str">
        <f t="shared" si="330"/>
        <v>North9320039902839</v>
      </c>
      <c r="B2145" s="3" t="str">
        <f t="shared" si="331"/>
        <v>Lud9320039902839</v>
      </c>
      <c r="C2145" s="10">
        <v>9320039902839</v>
      </c>
      <c r="D2145" s="10" t="str">
        <f t="shared" si="332"/>
        <v>9320039902</v>
      </c>
      <c r="E2145" s="3" t="s">
        <v>3</v>
      </c>
      <c r="F2145" s="3" t="s">
        <v>64</v>
      </c>
      <c r="H2145" s="3">
        <v>1.2948</v>
      </c>
      <c r="I2145" s="10">
        <f t="shared" si="333"/>
        <v>25.576808623627826</v>
      </c>
      <c r="J2145" s="3">
        <v>1.518719578021003</v>
      </c>
      <c r="K2145" s="3">
        <v>0</v>
      </c>
      <c r="L2145" s="3">
        <f t="shared" si="334"/>
        <v>0</v>
      </c>
      <c r="N2145" s="11">
        <f t="shared" si="335"/>
        <v>-0.22391957802100304</v>
      </c>
      <c r="O2145" s="3">
        <v>1.518719578021003</v>
      </c>
      <c r="P2145" s="11">
        <f t="shared" si="336"/>
        <v>-4.4231913763721762</v>
      </c>
      <c r="Q2145" s="12">
        <f t="shared" si="337"/>
        <v>18.589845450211435</v>
      </c>
      <c r="R2145" s="13">
        <f t="shared" si="338"/>
        <v>25.893509310912197</v>
      </c>
      <c r="S2145" s="3" t="s">
        <v>30</v>
      </c>
      <c r="T2145" s="3" t="s">
        <v>28</v>
      </c>
      <c r="U2145" s="10">
        <v>0</v>
      </c>
      <c r="V2145" s="3">
        <v>0</v>
      </c>
      <c r="W2145" s="3">
        <f t="shared" si="339"/>
        <v>0</v>
      </c>
      <c r="AA2145" s="3">
        <v>48</v>
      </c>
    </row>
    <row r="2146" spans="1:27" x14ac:dyDescent="0.3">
      <c r="A2146" s="3" t="str">
        <f t="shared" si="330"/>
        <v>North9432029900310</v>
      </c>
      <c r="B2146" s="3" t="str">
        <f t="shared" si="331"/>
        <v>Lud9432029900310</v>
      </c>
      <c r="C2146" s="10">
        <v>9432029900310</v>
      </c>
      <c r="D2146" s="10" t="str">
        <f t="shared" si="332"/>
        <v>9432029900</v>
      </c>
      <c r="E2146" s="3" t="s">
        <v>3</v>
      </c>
      <c r="F2146" s="3" t="s">
        <v>64</v>
      </c>
      <c r="H2146" s="3">
        <v>0.91999999999999993</v>
      </c>
      <c r="I2146" s="10">
        <f t="shared" si="333"/>
        <v>18.486716981128083</v>
      </c>
      <c r="J2146" s="3">
        <v>1.4929638414530328</v>
      </c>
      <c r="K2146" s="3">
        <v>0</v>
      </c>
      <c r="L2146" s="3">
        <f t="shared" si="334"/>
        <v>0</v>
      </c>
      <c r="N2146" s="11">
        <f t="shared" si="335"/>
        <v>-0.57296384145303292</v>
      </c>
      <c r="O2146" s="3">
        <v>1.4929638414530328</v>
      </c>
      <c r="P2146" s="11">
        <f t="shared" si="336"/>
        <v>-11.513283018871917</v>
      </c>
      <c r="Q2146" s="12">
        <f t="shared" si="337"/>
        <v>99.548439352843175</v>
      </c>
      <c r="R2146" s="13">
        <f t="shared" si="338"/>
        <v>63.07750694482106</v>
      </c>
      <c r="S2146" s="3" t="s">
        <v>31</v>
      </c>
      <c r="T2146" s="3" t="s">
        <v>35</v>
      </c>
      <c r="U2146" s="10">
        <v>9432029900999</v>
      </c>
      <c r="V2146" s="3">
        <v>0.1</v>
      </c>
      <c r="W2146" s="3">
        <f t="shared" si="339"/>
        <v>0</v>
      </c>
      <c r="AA2146" s="3">
        <v>48</v>
      </c>
    </row>
    <row r="2147" spans="1:27" x14ac:dyDescent="0.3">
      <c r="A2147" s="3" t="str">
        <f t="shared" si="330"/>
        <v>North9320079900840</v>
      </c>
      <c r="B2147" s="3" t="str">
        <f t="shared" si="331"/>
        <v>Lud9320079900840</v>
      </c>
      <c r="C2147" s="10">
        <v>9320079900840</v>
      </c>
      <c r="D2147" s="10" t="str">
        <f t="shared" si="332"/>
        <v>9320079900</v>
      </c>
      <c r="E2147" s="3" t="s">
        <v>3</v>
      </c>
      <c r="F2147" s="3" t="s">
        <v>64</v>
      </c>
      <c r="H2147" s="3">
        <v>0</v>
      </c>
      <c r="I2147" s="10">
        <f t="shared" si="333"/>
        <v>0</v>
      </c>
      <c r="J2147" s="3">
        <v>1.4618756564026585</v>
      </c>
      <c r="K2147" s="3">
        <v>24</v>
      </c>
      <c r="L2147" s="3">
        <f t="shared" si="334"/>
        <v>0</v>
      </c>
      <c r="N2147" s="11">
        <f t="shared" si="335"/>
        <v>-1.4618756564026585</v>
      </c>
      <c r="O2147" s="3">
        <v>1.4618756564026585</v>
      </c>
      <c r="P2147" s="11">
        <f t="shared" si="336"/>
        <v>-30</v>
      </c>
      <c r="Q2147" s="12">
        <f t="shared" si="337"/>
        <v>-30.000000000000004</v>
      </c>
      <c r="R2147" s="13">
        <f t="shared" si="338"/>
        <v>-30.000000000000004</v>
      </c>
      <c r="S2147" s="3">
        <v>0</v>
      </c>
      <c r="T2147" s="3" t="s">
        <v>28</v>
      </c>
      <c r="U2147" s="10">
        <v>0</v>
      </c>
      <c r="V2147" s="3">
        <v>0</v>
      </c>
      <c r="W2147" s="3">
        <f t="shared" si="339"/>
        <v>0</v>
      </c>
      <c r="AA2147" s="3">
        <v>48</v>
      </c>
    </row>
    <row r="2148" spans="1:27" x14ac:dyDescent="0.3">
      <c r="A2148" s="3" t="str">
        <f t="shared" si="330"/>
        <v>North9320079901840</v>
      </c>
      <c r="B2148" s="3" t="str">
        <f t="shared" si="331"/>
        <v>Lud9320079901840</v>
      </c>
      <c r="C2148" s="10">
        <v>9320079901840</v>
      </c>
      <c r="D2148" s="10" t="str">
        <f t="shared" si="332"/>
        <v>9320079901</v>
      </c>
      <c r="E2148" s="3" t="s">
        <v>3</v>
      </c>
      <c r="F2148" s="3" t="s">
        <v>64</v>
      </c>
      <c r="H2148" s="3">
        <v>0</v>
      </c>
      <c r="I2148" s="10">
        <f t="shared" si="333"/>
        <v>0</v>
      </c>
      <c r="J2148" s="3">
        <v>1.4002739368604773</v>
      </c>
      <c r="K2148" s="3">
        <v>24</v>
      </c>
      <c r="L2148" s="3">
        <f t="shared" si="334"/>
        <v>0</v>
      </c>
      <c r="N2148" s="11">
        <f t="shared" si="335"/>
        <v>-1.4002739368604773</v>
      </c>
      <c r="O2148" s="3">
        <v>1.4002739368604773</v>
      </c>
      <c r="P2148" s="11">
        <f t="shared" si="336"/>
        <v>-30</v>
      </c>
      <c r="Q2148" s="12">
        <f t="shared" si="337"/>
        <v>-30</v>
      </c>
      <c r="R2148" s="13">
        <f t="shared" si="338"/>
        <v>-30</v>
      </c>
      <c r="S2148" s="3">
        <v>0</v>
      </c>
      <c r="T2148" s="3" t="s">
        <v>28</v>
      </c>
      <c r="U2148" s="10">
        <v>0</v>
      </c>
      <c r="V2148" s="3">
        <v>0</v>
      </c>
      <c r="W2148" s="3">
        <f t="shared" si="339"/>
        <v>0</v>
      </c>
      <c r="AA2148" s="3">
        <v>48</v>
      </c>
    </row>
    <row r="2149" spans="1:27" x14ac:dyDescent="0.3">
      <c r="A2149" s="3" t="str">
        <f t="shared" si="330"/>
        <v>North9420139901840</v>
      </c>
      <c r="B2149" s="3" t="str">
        <f t="shared" si="331"/>
        <v>Lud9420139901840</v>
      </c>
      <c r="C2149" s="10">
        <v>9420139901840</v>
      </c>
      <c r="D2149" s="10" t="str">
        <f t="shared" si="332"/>
        <v>9420139901</v>
      </c>
      <c r="E2149" s="3" t="s">
        <v>3</v>
      </c>
      <c r="F2149" s="3" t="s">
        <v>64</v>
      </c>
      <c r="H2149" s="3">
        <v>0</v>
      </c>
      <c r="I2149" s="10">
        <f t="shared" si="333"/>
        <v>0</v>
      </c>
      <c r="J2149" s="3">
        <v>1.3424256612362644</v>
      </c>
      <c r="K2149" s="3">
        <v>0</v>
      </c>
      <c r="L2149" s="3">
        <f t="shared" si="334"/>
        <v>0</v>
      </c>
      <c r="N2149" s="11">
        <f t="shared" si="335"/>
        <v>-1.3424256612362644</v>
      </c>
      <c r="O2149" s="3">
        <v>1.3424256612362644</v>
      </c>
      <c r="P2149" s="11">
        <f t="shared" si="336"/>
        <v>-30</v>
      </c>
      <c r="Q2149" s="12">
        <f t="shared" si="337"/>
        <v>-30</v>
      </c>
      <c r="R2149" s="13">
        <f t="shared" si="338"/>
        <v>50.297723678272817</v>
      </c>
      <c r="S2149" s="3" t="s">
        <v>31</v>
      </c>
      <c r="T2149" s="3" t="s">
        <v>28</v>
      </c>
      <c r="U2149" s="10">
        <v>0</v>
      </c>
      <c r="V2149" s="3">
        <v>0</v>
      </c>
      <c r="W2149" s="3">
        <f t="shared" si="339"/>
        <v>0</v>
      </c>
      <c r="AA2149" s="3">
        <v>48</v>
      </c>
    </row>
    <row r="2150" spans="1:27" x14ac:dyDescent="0.3">
      <c r="A2150" s="3" t="str">
        <f t="shared" si="330"/>
        <v>North9360029900840</v>
      </c>
      <c r="B2150" s="3" t="str">
        <f t="shared" si="331"/>
        <v>Lud9360029900840</v>
      </c>
      <c r="C2150" s="10">
        <v>9360029900840</v>
      </c>
      <c r="D2150" s="10" t="str">
        <f t="shared" si="332"/>
        <v>9360029900</v>
      </c>
      <c r="E2150" s="3" t="s">
        <v>3</v>
      </c>
      <c r="F2150" s="3" t="s">
        <v>64</v>
      </c>
      <c r="H2150" s="3">
        <v>1.0920000000000001</v>
      </c>
      <c r="I2150" s="10">
        <f t="shared" si="333"/>
        <v>25.167247941550059</v>
      </c>
      <c r="J2150" s="3">
        <v>1.3016917891095527</v>
      </c>
      <c r="K2150" s="3">
        <v>0</v>
      </c>
      <c r="L2150" s="3">
        <f t="shared" si="334"/>
        <v>0</v>
      </c>
      <c r="N2150" s="11">
        <f t="shared" si="335"/>
        <v>-0.20969178910955266</v>
      </c>
      <c r="O2150" s="3">
        <v>1.3016917891095527</v>
      </c>
      <c r="P2150" s="11">
        <f t="shared" si="336"/>
        <v>-4.8327520584499428</v>
      </c>
      <c r="Q2150" s="12">
        <f t="shared" si="337"/>
        <v>-1.508819135216368</v>
      </c>
      <c r="R2150" s="13">
        <f t="shared" si="338"/>
        <v>-5.4655961298356379</v>
      </c>
      <c r="S2150" s="3" t="s">
        <v>30</v>
      </c>
      <c r="T2150" s="3" t="s">
        <v>33</v>
      </c>
      <c r="U2150" s="10">
        <v>0</v>
      </c>
      <c r="V2150" s="3">
        <v>0</v>
      </c>
      <c r="W2150" s="3">
        <f t="shared" si="339"/>
        <v>0</v>
      </c>
      <c r="AA2150" s="3">
        <v>48</v>
      </c>
    </row>
    <row r="2151" spans="1:27" x14ac:dyDescent="0.3">
      <c r="A2151" s="3" t="str">
        <f t="shared" si="330"/>
        <v>North9420059901310</v>
      </c>
      <c r="B2151" s="3" t="str">
        <f t="shared" si="331"/>
        <v>Lud9420059901310</v>
      </c>
      <c r="C2151" s="10">
        <v>9420059901310</v>
      </c>
      <c r="D2151" s="10" t="str">
        <f t="shared" si="332"/>
        <v>9420059901</v>
      </c>
      <c r="E2151" s="3" t="s">
        <v>3</v>
      </c>
      <c r="F2151" s="3" t="s">
        <v>64</v>
      </c>
      <c r="H2151" s="3">
        <v>1.1600000000000001</v>
      </c>
      <c r="I2151" s="10">
        <f t="shared" si="333"/>
        <v>27.425922560919663</v>
      </c>
      <c r="J2151" s="3">
        <v>1.2688725392081421</v>
      </c>
      <c r="K2151" s="3">
        <v>0</v>
      </c>
      <c r="L2151" s="3">
        <f t="shared" si="334"/>
        <v>0</v>
      </c>
      <c r="N2151" s="11">
        <f t="shared" si="335"/>
        <v>-0.10887253920814199</v>
      </c>
      <c r="O2151" s="3">
        <v>1.2688725392081421</v>
      </c>
      <c r="P2151" s="11">
        <f t="shared" si="336"/>
        <v>-2.5740774390803378</v>
      </c>
      <c r="Q2151" s="12">
        <f t="shared" si="337"/>
        <v>7.431940229598256</v>
      </c>
      <c r="R2151" s="13">
        <f t="shared" si="338"/>
        <v>11.425874448246407</v>
      </c>
      <c r="S2151" s="3" t="s">
        <v>30</v>
      </c>
      <c r="T2151" s="3" t="s">
        <v>28</v>
      </c>
      <c r="U2151" s="10">
        <v>9420059900999</v>
      </c>
      <c r="V2151" s="3">
        <v>0.1</v>
      </c>
      <c r="W2151" s="3">
        <f t="shared" si="339"/>
        <v>0</v>
      </c>
      <c r="AA2151" s="3">
        <v>48</v>
      </c>
    </row>
    <row r="2152" spans="1:27" x14ac:dyDescent="0.3">
      <c r="A2152" s="3" t="str">
        <f t="shared" si="330"/>
        <v>North9320019900840</v>
      </c>
      <c r="B2152" s="3" t="str">
        <f t="shared" si="331"/>
        <v>Lud9320019900840</v>
      </c>
      <c r="C2152" s="10">
        <v>9320019900840</v>
      </c>
      <c r="D2152" s="10" t="str">
        <f t="shared" si="332"/>
        <v>9320019900</v>
      </c>
      <c r="E2152" s="3" t="s">
        <v>3</v>
      </c>
      <c r="F2152" s="3" t="s">
        <v>64</v>
      </c>
      <c r="H2152" s="3">
        <v>1.34</v>
      </c>
      <c r="I2152" s="10">
        <f t="shared" si="333"/>
        <v>33.10705858704533</v>
      </c>
      <c r="J2152" s="3">
        <v>1.2142425729034747</v>
      </c>
      <c r="K2152" s="3">
        <v>0</v>
      </c>
      <c r="L2152" s="3">
        <f t="shared" si="334"/>
        <v>0</v>
      </c>
      <c r="N2152" s="11">
        <f t="shared" si="335"/>
        <v>0.12575742709652538</v>
      </c>
      <c r="O2152" s="3">
        <v>1.2142425729034747</v>
      </c>
      <c r="P2152" s="11">
        <f t="shared" si="336"/>
        <v>3.1070585870453344</v>
      </c>
      <c r="Q2152" s="12">
        <f t="shared" si="337"/>
        <v>20.42834635546447</v>
      </c>
      <c r="R2152" s="13">
        <f t="shared" si="338"/>
        <v>30.390251247234943</v>
      </c>
      <c r="S2152" s="3" t="s">
        <v>30</v>
      </c>
      <c r="T2152" s="3" t="s">
        <v>28</v>
      </c>
      <c r="U2152" s="10">
        <v>0</v>
      </c>
      <c r="V2152" s="3">
        <v>0</v>
      </c>
      <c r="W2152" s="3">
        <f t="shared" si="339"/>
        <v>0</v>
      </c>
      <c r="AA2152" s="3">
        <v>48</v>
      </c>
    </row>
    <row r="2153" spans="1:27" x14ac:dyDescent="0.3">
      <c r="A2153" s="3" t="str">
        <f t="shared" si="330"/>
        <v>North9320029902097</v>
      </c>
      <c r="B2153" s="3" t="str">
        <f t="shared" si="331"/>
        <v>Lud9320029902097</v>
      </c>
      <c r="C2153" s="10">
        <v>9320029902097</v>
      </c>
      <c r="D2153" s="10" t="str">
        <f t="shared" si="332"/>
        <v>9320029902</v>
      </c>
      <c r="E2153" s="3" t="s">
        <v>3</v>
      </c>
      <c r="F2153" s="3" t="s">
        <v>64</v>
      </c>
      <c r="H2153" s="3">
        <v>1.2489749999999997</v>
      </c>
      <c r="I2153" s="10">
        <f t="shared" si="333"/>
        <v>33.269235511121963</v>
      </c>
      <c r="J2153" s="3">
        <v>1.1262431920767748</v>
      </c>
      <c r="K2153" s="3">
        <v>0</v>
      </c>
      <c r="L2153" s="3">
        <f t="shared" si="334"/>
        <v>0</v>
      </c>
      <c r="N2153" s="11">
        <f t="shared" si="335"/>
        <v>0.12273180792322491</v>
      </c>
      <c r="O2153" s="3">
        <v>1.1262431920767748</v>
      </c>
      <c r="P2153" s="11">
        <f t="shared" si="336"/>
        <v>3.269235511121964</v>
      </c>
      <c r="Q2153" s="12">
        <f t="shared" si="337"/>
        <v>-7.0409201336664706</v>
      </c>
      <c r="R2153" s="13">
        <f t="shared" si="338"/>
        <v>32.356577789682831</v>
      </c>
      <c r="S2153" s="3" t="s">
        <v>30</v>
      </c>
      <c r="T2153" s="3" t="s">
        <v>28</v>
      </c>
      <c r="U2153" s="10">
        <v>0</v>
      </c>
      <c r="V2153" s="3">
        <v>0</v>
      </c>
      <c r="W2153" s="3">
        <f t="shared" si="339"/>
        <v>0</v>
      </c>
      <c r="AA2153" s="3">
        <v>48</v>
      </c>
    </row>
    <row r="2154" spans="1:27" x14ac:dyDescent="0.3">
      <c r="A2154" s="3" t="str">
        <f t="shared" si="330"/>
        <v>North9320029900210</v>
      </c>
      <c r="B2154" s="3" t="str">
        <f t="shared" si="331"/>
        <v>Lud9320029900210</v>
      </c>
      <c r="C2154" s="10">
        <v>9320029900210</v>
      </c>
      <c r="D2154" s="10" t="str">
        <f t="shared" si="332"/>
        <v>9320029900</v>
      </c>
      <c r="E2154" s="3" t="s">
        <v>3</v>
      </c>
      <c r="F2154" s="3" t="s">
        <v>64</v>
      </c>
      <c r="H2154" s="3">
        <v>0.28000000000000003</v>
      </c>
      <c r="I2154" s="10">
        <f t="shared" si="333"/>
        <v>7.7249701860027562</v>
      </c>
      <c r="J2154" s="3">
        <v>1.0873828374406369</v>
      </c>
      <c r="K2154" s="3">
        <v>0</v>
      </c>
      <c r="L2154" s="3">
        <f t="shared" si="334"/>
        <v>0</v>
      </c>
      <c r="N2154" s="11">
        <f t="shared" si="335"/>
        <v>-0.80738283744063688</v>
      </c>
      <c r="O2154" s="3">
        <v>1.0873828374406369</v>
      </c>
      <c r="P2154" s="11">
        <f t="shared" si="336"/>
        <v>-22.275029813997246</v>
      </c>
      <c r="Q2154" s="12">
        <f t="shared" si="337"/>
        <v>15.365702850760711</v>
      </c>
      <c r="R2154" s="13">
        <f t="shared" si="338"/>
        <v>20.758348619970487</v>
      </c>
      <c r="S2154" s="3" t="s">
        <v>31</v>
      </c>
      <c r="T2154" s="3" t="s">
        <v>28</v>
      </c>
      <c r="U2154" s="10">
        <v>0</v>
      </c>
      <c r="V2154" s="3">
        <v>0</v>
      </c>
      <c r="W2154" s="3">
        <f t="shared" si="339"/>
        <v>0</v>
      </c>
      <c r="AA2154" s="3">
        <v>48</v>
      </c>
    </row>
    <row r="2155" spans="1:27" x14ac:dyDescent="0.3">
      <c r="A2155" s="3" t="str">
        <f t="shared" si="330"/>
        <v>North9320039902097</v>
      </c>
      <c r="B2155" s="3" t="str">
        <f t="shared" si="331"/>
        <v>Lud9320039902097</v>
      </c>
      <c r="C2155" s="10">
        <v>9320039902097</v>
      </c>
      <c r="D2155" s="10" t="str">
        <f t="shared" si="332"/>
        <v>9320039902</v>
      </c>
      <c r="E2155" s="3" t="s">
        <v>3</v>
      </c>
      <c r="F2155" s="3" t="s">
        <v>64</v>
      </c>
      <c r="H2155" s="3">
        <v>0.76049999999999995</v>
      </c>
      <c r="I2155" s="10">
        <f t="shared" si="333"/>
        <v>21.265782290577512</v>
      </c>
      <c r="J2155" s="3">
        <v>1.0728502571997511</v>
      </c>
      <c r="K2155" s="3">
        <v>0</v>
      </c>
      <c r="L2155" s="3">
        <f t="shared" si="334"/>
        <v>0</v>
      </c>
      <c r="N2155" s="11">
        <f t="shared" si="335"/>
        <v>-0.31235025719975118</v>
      </c>
      <c r="O2155" s="3">
        <v>1.0728502571997511</v>
      </c>
      <c r="P2155" s="11">
        <f t="shared" si="336"/>
        <v>-8.7342177094224862</v>
      </c>
      <c r="Q2155" s="12">
        <f t="shared" si="337"/>
        <v>-8.8436699979735351</v>
      </c>
      <c r="R2155" s="13">
        <f t="shared" si="338"/>
        <v>14.813342582695007</v>
      </c>
      <c r="S2155" s="3" t="s">
        <v>30</v>
      </c>
      <c r="T2155" s="3" t="s">
        <v>28</v>
      </c>
      <c r="U2155" s="10">
        <v>0</v>
      </c>
      <c r="V2155" s="3">
        <v>0</v>
      </c>
      <c r="W2155" s="3">
        <f t="shared" si="339"/>
        <v>0</v>
      </c>
      <c r="AA2155" s="3">
        <v>48</v>
      </c>
    </row>
    <row r="2156" spans="1:27" x14ac:dyDescent="0.3">
      <c r="A2156" s="3" t="str">
        <f t="shared" si="330"/>
        <v>North9360019900840</v>
      </c>
      <c r="B2156" s="3" t="str">
        <f t="shared" si="331"/>
        <v>Lud9360019900840</v>
      </c>
      <c r="C2156" s="10">
        <v>9360019900840</v>
      </c>
      <c r="D2156" s="10" t="str">
        <f t="shared" si="332"/>
        <v>9360019900</v>
      </c>
      <c r="E2156" s="3" t="s">
        <v>3</v>
      </c>
      <c r="F2156" s="3" t="s">
        <v>64</v>
      </c>
      <c r="H2156" s="3">
        <v>2.032</v>
      </c>
      <c r="I2156" s="10">
        <f t="shared" si="333"/>
        <v>57.195574057728763</v>
      </c>
      <c r="J2156" s="3">
        <v>1.0658167350234429</v>
      </c>
      <c r="K2156" s="3">
        <v>0</v>
      </c>
      <c r="L2156" s="3">
        <f t="shared" si="334"/>
        <v>0</v>
      </c>
      <c r="N2156" s="11">
        <f t="shared" si="335"/>
        <v>0.96618326497655715</v>
      </c>
      <c r="O2156" s="3">
        <v>1.0658167350234429</v>
      </c>
      <c r="P2156" s="11">
        <f t="shared" si="336"/>
        <v>27.195574057728763</v>
      </c>
      <c r="Q2156" s="12">
        <f t="shared" si="337"/>
        <v>39.36069373485207</v>
      </c>
      <c r="R2156" s="13">
        <f t="shared" si="338"/>
        <v>38.068005268363464</v>
      </c>
      <c r="S2156" s="3" t="s">
        <v>31</v>
      </c>
      <c r="T2156" s="3" t="s">
        <v>33</v>
      </c>
      <c r="U2156" s="10">
        <v>0</v>
      </c>
      <c r="V2156" s="3">
        <v>0</v>
      </c>
      <c r="W2156" s="3">
        <f t="shared" si="339"/>
        <v>0</v>
      </c>
      <c r="AA2156" s="3">
        <v>48</v>
      </c>
    </row>
    <row r="2157" spans="1:27" x14ac:dyDescent="0.3">
      <c r="A2157" s="3" t="str">
        <f t="shared" si="330"/>
        <v>North9360099900240</v>
      </c>
      <c r="B2157" s="3" t="str">
        <f t="shared" si="331"/>
        <v>Lud9360099900240</v>
      </c>
      <c r="C2157" s="10">
        <v>9360099900240</v>
      </c>
      <c r="D2157" s="10" t="str">
        <f t="shared" si="332"/>
        <v>9360099900</v>
      </c>
      <c r="E2157" s="3" t="s">
        <v>3</v>
      </c>
      <c r="F2157" s="3" t="s">
        <v>64</v>
      </c>
      <c r="H2157" s="3">
        <v>0.91200000000000014</v>
      </c>
      <c r="I2157" s="10">
        <f t="shared" si="333"/>
        <v>28.518276197917743</v>
      </c>
      <c r="J2157" s="3">
        <v>0.95938477522697141</v>
      </c>
      <c r="K2157" s="3">
        <v>0</v>
      </c>
      <c r="L2157" s="3">
        <f t="shared" si="334"/>
        <v>0</v>
      </c>
      <c r="N2157" s="11">
        <f t="shared" si="335"/>
        <v>-4.7384775226971265E-2</v>
      </c>
      <c r="O2157" s="3">
        <v>0.95938477522697141</v>
      </c>
      <c r="P2157" s="11">
        <f t="shared" si="336"/>
        <v>-1.4817238020822552</v>
      </c>
      <c r="Q2157" s="12">
        <f t="shared" si="337"/>
        <v>-18.119227699087268</v>
      </c>
      <c r="R2157" s="13">
        <f t="shared" si="338"/>
        <v>-16.096257444310101</v>
      </c>
      <c r="S2157" s="3" t="s">
        <v>31</v>
      </c>
      <c r="T2157" s="3" t="s">
        <v>33</v>
      </c>
      <c r="U2157" s="10">
        <v>0</v>
      </c>
      <c r="V2157" s="3">
        <v>0</v>
      </c>
      <c r="W2157" s="3">
        <f t="shared" si="339"/>
        <v>0</v>
      </c>
      <c r="AA2157" s="3">
        <v>48</v>
      </c>
    </row>
    <row r="2158" spans="1:27" x14ac:dyDescent="0.3">
      <c r="A2158" s="3" t="str">
        <f t="shared" si="330"/>
        <v>North9320089902219</v>
      </c>
      <c r="B2158" s="3" t="str">
        <f t="shared" si="331"/>
        <v>Lud9320089902219</v>
      </c>
      <c r="C2158" s="10">
        <v>9320089902219</v>
      </c>
      <c r="D2158" s="10" t="str">
        <f t="shared" si="332"/>
        <v>9320089902</v>
      </c>
      <c r="E2158" s="3" t="s">
        <v>3</v>
      </c>
      <c r="F2158" s="3" t="s">
        <v>64</v>
      </c>
      <c r="H2158" s="3">
        <v>1.014</v>
      </c>
      <c r="I2158" s="10">
        <f t="shared" si="333"/>
        <v>33.361831831049599</v>
      </c>
      <c r="J2158" s="3">
        <v>0.91182043462278783</v>
      </c>
      <c r="K2158" s="3">
        <v>0</v>
      </c>
      <c r="L2158" s="3">
        <f t="shared" si="334"/>
        <v>0</v>
      </c>
      <c r="N2158" s="11">
        <f t="shared" si="335"/>
        <v>0.10217956537721218</v>
      </c>
      <c r="O2158" s="3">
        <v>0.91182043462278783</v>
      </c>
      <c r="P2158" s="11">
        <f t="shared" si="336"/>
        <v>3.3618318310495958</v>
      </c>
      <c r="Q2158" s="12">
        <f t="shared" si="337"/>
        <v>15.303721121938011</v>
      </c>
      <c r="R2158" s="13">
        <f t="shared" si="338"/>
        <v>61.197046460796265</v>
      </c>
      <c r="S2158" s="3" t="s">
        <v>31</v>
      </c>
      <c r="T2158" s="3" t="s">
        <v>28</v>
      </c>
      <c r="U2158" s="10">
        <v>9320089900999</v>
      </c>
      <c r="V2158" s="3">
        <v>0.1</v>
      </c>
      <c r="W2158" s="3">
        <f t="shared" si="339"/>
        <v>0</v>
      </c>
      <c r="AA2158" s="3">
        <v>48</v>
      </c>
    </row>
    <row r="2159" spans="1:27" x14ac:dyDescent="0.3">
      <c r="A2159" s="3" t="str">
        <f t="shared" si="330"/>
        <v>North9320039902297</v>
      </c>
      <c r="B2159" s="3" t="str">
        <f t="shared" si="331"/>
        <v>Lud9320039902297</v>
      </c>
      <c r="C2159" s="10">
        <v>9320039902297</v>
      </c>
      <c r="D2159" s="10" t="str">
        <f t="shared" si="332"/>
        <v>9320039902</v>
      </c>
      <c r="E2159" s="3" t="s">
        <v>3</v>
      </c>
      <c r="F2159" s="3" t="s">
        <v>64</v>
      </c>
      <c r="H2159" s="3">
        <v>1.0335000000000001</v>
      </c>
      <c r="I2159" s="10">
        <f t="shared" si="333"/>
        <v>34.019356514483988</v>
      </c>
      <c r="J2159" s="3">
        <v>0.91139290029778763</v>
      </c>
      <c r="K2159" s="3">
        <v>12</v>
      </c>
      <c r="L2159" s="3">
        <f t="shared" si="334"/>
        <v>0</v>
      </c>
      <c r="N2159" s="11">
        <f t="shared" si="335"/>
        <v>0.12210709970221245</v>
      </c>
      <c r="O2159" s="3">
        <v>0.91139290029778763</v>
      </c>
      <c r="P2159" s="11">
        <f t="shared" si="336"/>
        <v>4.0193565144839933</v>
      </c>
      <c r="Q2159" s="12">
        <f t="shared" si="337"/>
        <v>-4.5020509455849531</v>
      </c>
      <c r="R2159" s="13">
        <f t="shared" si="338"/>
        <v>2.7993874025720751</v>
      </c>
      <c r="S2159" s="3" t="s">
        <v>30</v>
      </c>
      <c r="T2159" s="3" t="s">
        <v>28</v>
      </c>
      <c r="U2159" s="10">
        <v>9320039900999</v>
      </c>
      <c r="V2159" s="3">
        <v>0.1</v>
      </c>
      <c r="W2159" s="3">
        <f t="shared" si="339"/>
        <v>1.2000000000000002</v>
      </c>
      <c r="AA2159" s="3">
        <v>48</v>
      </c>
    </row>
    <row r="2160" spans="1:27" x14ac:dyDescent="0.3">
      <c r="A2160" s="3" t="str">
        <f t="shared" si="330"/>
        <v>North9420059901840</v>
      </c>
      <c r="B2160" s="3" t="str">
        <f t="shared" si="331"/>
        <v>Lud9420059901840</v>
      </c>
      <c r="C2160" s="10">
        <v>9420059901840</v>
      </c>
      <c r="D2160" s="10" t="str">
        <f t="shared" si="332"/>
        <v>9420059901</v>
      </c>
      <c r="E2160" s="3" t="s">
        <v>3</v>
      </c>
      <c r="F2160" s="3" t="s">
        <v>64</v>
      </c>
      <c r="H2160" s="3">
        <v>0.71600000000000008</v>
      </c>
      <c r="I2160" s="10">
        <f t="shared" si="333"/>
        <v>25.418790278321278</v>
      </c>
      <c r="J2160" s="3">
        <v>0.8450441490254349</v>
      </c>
      <c r="K2160" s="3">
        <v>0</v>
      </c>
      <c r="L2160" s="3">
        <f t="shared" si="334"/>
        <v>0</v>
      </c>
      <c r="N2160" s="11">
        <f t="shared" si="335"/>
        <v>-0.12904414902543482</v>
      </c>
      <c r="O2160" s="3">
        <v>0.8450441490254349</v>
      </c>
      <c r="P2160" s="11">
        <f t="shared" si="336"/>
        <v>-4.5812097216787215</v>
      </c>
      <c r="Q2160" s="12">
        <f t="shared" si="337"/>
        <v>-8.112833734751761E-3</v>
      </c>
      <c r="R2160" s="13">
        <f t="shared" si="338"/>
        <v>10.165483682719454</v>
      </c>
      <c r="S2160" s="3" t="s">
        <v>30</v>
      </c>
      <c r="T2160" s="3" t="s">
        <v>28</v>
      </c>
      <c r="U2160" s="10">
        <v>0</v>
      </c>
      <c r="V2160" s="3">
        <v>0</v>
      </c>
      <c r="W2160" s="3">
        <f t="shared" si="339"/>
        <v>0</v>
      </c>
      <c r="AA2160" s="3">
        <v>48</v>
      </c>
    </row>
    <row r="2161" spans="1:27" x14ac:dyDescent="0.3">
      <c r="A2161" s="3" t="str">
        <f t="shared" si="330"/>
        <v>North9420039901310</v>
      </c>
      <c r="B2161" s="3" t="str">
        <f t="shared" si="331"/>
        <v>Lud9420039901310</v>
      </c>
      <c r="C2161" s="10">
        <v>9420039901310</v>
      </c>
      <c r="D2161" s="10" t="str">
        <f t="shared" si="332"/>
        <v>9420039901</v>
      </c>
      <c r="E2161" s="3" t="s">
        <v>3</v>
      </c>
      <c r="F2161" s="3" t="s">
        <v>64</v>
      </c>
      <c r="H2161" s="3">
        <v>0.70000000000000018</v>
      </c>
      <c r="I2161" s="10">
        <f t="shared" si="333"/>
        <v>25.790719681073565</v>
      </c>
      <c r="J2161" s="3">
        <v>0.81424637465277039</v>
      </c>
      <c r="K2161" s="3">
        <v>0</v>
      </c>
      <c r="L2161" s="3">
        <f t="shared" si="334"/>
        <v>0</v>
      </c>
      <c r="N2161" s="11">
        <f t="shared" si="335"/>
        <v>-0.11424637465277021</v>
      </c>
      <c r="O2161" s="3">
        <v>0.81424637465277039</v>
      </c>
      <c r="P2161" s="11">
        <f t="shared" si="336"/>
        <v>-4.2092803189264343</v>
      </c>
      <c r="Q2161" s="12">
        <f t="shared" si="337"/>
        <v>13.916880936485585</v>
      </c>
      <c r="R2161" s="13">
        <f t="shared" si="338"/>
        <v>-0.5574194861834727</v>
      </c>
      <c r="S2161" s="3" t="s">
        <v>30</v>
      </c>
      <c r="T2161" s="3" t="s">
        <v>28</v>
      </c>
      <c r="U2161" s="10">
        <v>9420039900999</v>
      </c>
      <c r="V2161" s="3">
        <v>0.1</v>
      </c>
      <c r="W2161" s="3">
        <f t="shared" si="339"/>
        <v>0</v>
      </c>
      <c r="AA2161" s="3">
        <v>48</v>
      </c>
    </row>
    <row r="2162" spans="1:27" x14ac:dyDescent="0.3">
      <c r="A2162" s="3" t="str">
        <f t="shared" si="330"/>
        <v>North9320099901210</v>
      </c>
      <c r="B2162" s="3" t="str">
        <f t="shared" si="331"/>
        <v>Lud9320099901210</v>
      </c>
      <c r="C2162" s="10">
        <v>9320099901210</v>
      </c>
      <c r="D2162" s="10" t="str">
        <f t="shared" si="332"/>
        <v>9320099901</v>
      </c>
      <c r="E2162" s="3" t="s">
        <v>3</v>
      </c>
      <c r="F2162" s="3" t="s">
        <v>64</v>
      </c>
      <c r="H2162" s="3">
        <v>0.71899999999999997</v>
      </c>
      <c r="I2162" s="10">
        <f t="shared" si="333"/>
        <v>27.626187782309593</v>
      </c>
      <c r="J2162" s="3">
        <v>0.78078090867869687</v>
      </c>
      <c r="K2162" s="3">
        <v>0</v>
      </c>
      <c r="L2162" s="3">
        <f t="shared" si="334"/>
        <v>0</v>
      </c>
      <c r="N2162" s="11">
        <f t="shared" si="335"/>
        <v>-6.17809086786969E-2</v>
      </c>
      <c r="O2162" s="3">
        <v>0.78078090867869687</v>
      </c>
      <c r="P2162" s="11">
        <f t="shared" si="336"/>
        <v>-2.3738122176904053</v>
      </c>
      <c r="Q2162" s="12">
        <f t="shared" si="337"/>
        <v>45.571439493587192</v>
      </c>
      <c r="R2162" s="13">
        <f t="shared" si="338"/>
        <v>29.724229731147283</v>
      </c>
      <c r="S2162" s="3" t="s">
        <v>31</v>
      </c>
      <c r="T2162" s="3" t="s">
        <v>28</v>
      </c>
      <c r="U2162" s="10">
        <v>0</v>
      </c>
      <c r="V2162" s="3">
        <v>0</v>
      </c>
      <c r="W2162" s="3">
        <f t="shared" si="339"/>
        <v>0</v>
      </c>
      <c r="AA2162" s="3">
        <v>48</v>
      </c>
    </row>
    <row r="2163" spans="1:27" x14ac:dyDescent="0.3">
      <c r="A2163" s="3" t="str">
        <f t="shared" si="330"/>
        <v>North9360019900310</v>
      </c>
      <c r="B2163" s="3" t="str">
        <f t="shared" si="331"/>
        <v>Lud9360019900310</v>
      </c>
      <c r="C2163" s="10">
        <v>9360019900310</v>
      </c>
      <c r="D2163" s="10" t="str">
        <f t="shared" si="332"/>
        <v>9360019900</v>
      </c>
      <c r="E2163" s="3" t="s">
        <v>3</v>
      </c>
      <c r="F2163" s="3" t="s">
        <v>64</v>
      </c>
      <c r="H2163" s="3">
        <v>1.25</v>
      </c>
      <c r="I2163" s="10">
        <f t="shared" si="333"/>
        <v>48.133751521721472</v>
      </c>
      <c r="J2163" s="3">
        <v>0.77907910384000001</v>
      </c>
      <c r="K2163" s="3">
        <v>0</v>
      </c>
      <c r="L2163" s="3">
        <f t="shared" si="334"/>
        <v>0</v>
      </c>
      <c r="N2163" s="11">
        <f t="shared" si="335"/>
        <v>0.47092089615999999</v>
      </c>
      <c r="O2163" s="3">
        <v>0.77907910384000001</v>
      </c>
      <c r="P2163" s="11">
        <f t="shared" si="336"/>
        <v>18.133751521721472</v>
      </c>
      <c r="Q2163" s="12">
        <f t="shared" si="337"/>
        <v>30.484118898432182</v>
      </c>
      <c r="R2163" s="13">
        <f t="shared" si="338"/>
        <v>13.739643012449649</v>
      </c>
      <c r="S2163" s="3" t="s">
        <v>31</v>
      </c>
      <c r="T2163" s="3" t="s">
        <v>33</v>
      </c>
      <c r="U2163" s="10">
        <v>9360019900999</v>
      </c>
      <c r="V2163" s="3">
        <v>0.1</v>
      </c>
      <c r="W2163" s="3">
        <f t="shared" si="339"/>
        <v>0</v>
      </c>
      <c r="AA2163" s="3">
        <v>48</v>
      </c>
    </row>
    <row r="2164" spans="1:27" x14ac:dyDescent="0.3">
      <c r="A2164" s="3" t="str">
        <f t="shared" si="330"/>
        <v>North9432009900210</v>
      </c>
      <c r="B2164" s="3" t="str">
        <f t="shared" si="331"/>
        <v>Lud9432009900210</v>
      </c>
      <c r="C2164" s="10">
        <v>9432009900210</v>
      </c>
      <c r="D2164" s="10" t="str">
        <f t="shared" si="332"/>
        <v>9432009900</v>
      </c>
      <c r="E2164" s="3" t="s">
        <v>3</v>
      </c>
      <c r="F2164" s="3" t="s">
        <v>64</v>
      </c>
      <c r="H2164" s="3">
        <v>2.5630000000000002</v>
      </c>
      <c r="I2164" s="10">
        <f t="shared" si="333"/>
        <v>99.216050349062996</v>
      </c>
      <c r="J2164" s="3">
        <v>0.774975417077023</v>
      </c>
      <c r="K2164" s="3">
        <v>0</v>
      </c>
      <c r="L2164" s="3">
        <f t="shared" si="334"/>
        <v>0</v>
      </c>
      <c r="N2164" s="11">
        <f t="shared" si="335"/>
        <v>1.7880245829229771</v>
      </c>
      <c r="O2164" s="3">
        <v>0.774975417077023</v>
      </c>
      <c r="P2164" s="11">
        <f t="shared" si="336"/>
        <v>69.216050349062982</v>
      </c>
      <c r="Q2164" s="12">
        <f t="shared" si="337"/>
        <v>46.738665824187414</v>
      </c>
      <c r="R2164" s="13">
        <f t="shared" si="338"/>
        <v>7.3143711344841078</v>
      </c>
      <c r="S2164" s="3" t="s">
        <v>31</v>
      </c>
      <c r="T2164" s="3" t="s">
        <v>35</v>
      </c>
      <c r="U2164" s="10">
        <v>0</v>
      </c>
      <c r="V2164" s="3">
        <v>0</v>
      </c>
      <c r="W2164" s="3">
        <f t="shared" si="339"/>
        <v>0</v>
      </c>
      <c r="AA2164" s="3">
        <v>48</v>
      </c>
    </row>
    <row r="2165" spans="1:27" x14ac:dyDescent="0.3">
      <c r="A2165" s="3" t="str">
        <f t="shared" si="330"/>
        <v>North9432029901210</v>
      </c>
      <c r="B2165" s="3" t="str">
        <f t="shared" si="331"/>
        <v>Lud9432029901210</v>
      </c>
      <c r="C2165" s="10">
        <v>9432029901210</v>
      </c>
      <c r="D2165" s="10" t="str">
        <f t="shared" si="332"/>
        <v>9432029901</v>
      </c>
      <c r="E2165" s="3" t="s">
        <v>3</v>
      </c>
      <c r="F2165" s="3" t="s">
        <v>64</v>
      </c>
      <c r="H2165" s="3">
        <v>0.77500000000000002</v>
      </c>
      <c r="I2165" s="10">
        <f t="shared" si="333"/>
        <v>30.440033260330196</v>
      </c>
      <c r="J2165" s="3">
        <v>0.76379680012701145</v>
      </c>
      <c r="K2165" s="3">
        <v>0</v>
      </c>
      <c r="L2165" s="3">
        <f t="shared" si="334"/>
        <v>0</v>
      </c>
      <c r="N2165" s="11">
        <f t="shared" si="335"/>
        <v>1.1203199872988567E-2</v>
      </c>
      <c r="O2165" s="3">
        <v>0.76379680012701145</v>
      </c>
      <c r="P2165" s="11">
        <f t="shared" si="336"/>
        <v>0.44003326033019219</v>
      </c>
      <c r="Q2165" s="12">
        <f t="shared" si="337"/>
        <v>120.42630531533398</v>
      </c>
      <c r="R2165" s="13">
        <f t="shared" si="338"/>
        <v>66.700184019047626</v>
      </c>
      <c r="S2165" s="3" t="s">
        <v>31</v>
      </c>
      <c r="T2165" s="3" t="s">
        <v>35</v>
      </c>
      <c r="U2165" s="10">
        <v>0</v>
      </c>
      <c r="V2165" s="3">
        <v>0</v>
      </c>
      <c r="W2165" s="3">
        <f t="shared" si="339"/>
        <v>0</v>
      </c>
      <c r="AA2165" s="3">
        <v>48</v>
      </c>
    </row>
    <row r="2166" spans="1:27" x14ac:dyDescent="0.3">
      <c r="A2166" s="3" t="str">
        <f t="shared" si="330"/>
        <v>North9320079902297</v>
      </c>
      <c r="B2166" s="3" t="str">
        <f t="shared" si="331"/>
        <v>Lud9320079902297</v>
      </c>
      <c r="C2166" s="10">
        <v>9320079902297</v>
      </c>
      <c r="D2166" s="10" t="str">
        <f t="shared" si="332"/>
        <v>9320079902</v>
      </c>
      <c r="E2166" s="3" t="s">
        <v>3</v>
      </c>
      <c r="F2166" s="3" t="s">
        <v>64</v>
      </c>
      <c r="H2166" s="3">
        <v>0</v>
      </c>
      <c r="I2166" s="10">
        <f t="shared" si="333"/>
        <v>0</v>
      </c>
      <c r="J2166" s="3">
        <v>0.75711953864731341</v>
      </c>
      <c r="K2166" s="3">
        <v>0</v>
      </c>
      <c r="L2166" s="3">
        <f t="shared" si="334"/>
        <v>0</v>
      </c>
      <c r="N2166" s="11">
        <f t="shared" si="335"/>
        <v>-0.75711953864731341</v>
      </c>
      <c r="O2166" s="3">
        <v>0.75711953864731341</v>
      </c>
      <c r="P2166" s="11">
        <f t="shared" si="336"/>
        <v>-30</v>
      </c>
      <c r="Q2166" s="12">
        <f t="shared" si="337"/>
        <v>-30</v>
      </c>
      <c r="R2166" s="13">
        <f t="shared" si="338"/>
        <v>-30</v>
      </c>
      <c r="S2166" s="3">
        <v>0</v>
      </c>
      <c r="T2166" s="3" t="s">
        <v>28</v>
      </c>
      <c r="U2166" s="10">
        <v>0</v>
      </c>
      <c r="V2166" s="3">
        <v>0</v>
      </c>
      <c r="W2166" s="3">
        <f t="shared" si="339"/>
        <v>0</v>
      </c>
      <c r="AA2166" s="3">
        <v>48</v>
      </c>
    </row>
    <row r="2167" spans="1:27" x14ac:dyDescent="0.3">
      <c r="A2167" s="3" t="str">
        <f t="shared" si="330"/>
        <v>North9320079999219</v>
      </c>
      <c r="B2167" s="3" t="str">
        <f t="shared" si="331"/>
        <v>Lud9320079999219</v>
      </c>
      <c r="C2167" s="10">
        <v>9320079999219</v>
      </c>
      <c r="D2167" s="10" t="str">
        <f t="shared" si="332"/>
        <v>9320079999</v>
      </c>
      <c r="E2167" s="3" t="s">
        <v>3</v>
      </c>
      <c r="F2167" s="3" t="s">
        <v>64</v>
      </c>
      <c r="H2167" s="3">
        <v>0</v>
      </c>
      <c r="I2167" s="10">
        <f t="shared" si="333"/>
        <v>0</v>
      </c>
      <c r="J2167" s="3">
        <v>0.74790818138676474</v>
      </c>
      <c r="K2167" s="3">
        <v>0</v>
      </c>
      <c r="L2167" s="3">
        <f t="shared" si="334"/>
        <v>0</v>
      </c>
      <c r="N2167" s="11">
        <f t="shared" si="335"/>
        <v>-0.74790818138676474</v>
      </c>
      <c r="O2167" s="3">
        <v>0.74790818138676474</v>
      </c>
      <c r="P2167" s="11">
        <f t="shared" si="336"/>
        <v>-30</v>
      </c>
      <c r="Q2167" s="12">
        <f t="shared" si="337"/>
        <v>-30</v>
      </c>
      <c r="R2167" s="13">
        <f t="shared" si="338"/>
        <v>-30</v>
      </c>
      <c r="S2167" s="3">
        <v>0</v>
      </c>
      <c r="T2167" s="3" t="s">
        <v>28</v>
      </c>
      <c r="U2167" s="10">
        <v>0</v>
      </c>
      <c r="V2167" s="3">
        <v>0</v>
      </c>
      <c r="W2167" s="3">
        <f t="shared" si="339"/>
        <v>0</v>
      </c>
      <c r="AA2167" s="3">
        <v>48</v>
      </c>
    </row>
    <row r="2168" spans="1:27" x14ac:dyDescent="0.3">
      <c r="A2168" s="3" t="str">
        <f t="shared" si="330"/>
        <v>North9437009900210</v>
      </c>
      <c r="B2168" s="3" t="str">
        <f t="shared" si="331"/>
        <v>Lud9437009900210</v>
      </c>
      <c r="C2168" s="10">
        <v>9437009900210</v>
      </c>
      <c r="D2168" s="10" t="str">
        <f t="shared" si="332"/>
        <v>9437009900</v>
      </c>
      <c r="E2168" s="3" t="s">
        <v>3</v>
      </c>
      <c r="F2168" s="3" t="s">
        <v>64</v>
      </c>
      <c r="H2168" s="3">
        <v>4.7799999999999994</v>
      </c>
      <c r="I2168" s="10">
        <f t="shared" si="333"/>
        <v>193.73875745864163</v>
      </c>
      <c r="J2168" s="3">
        <v>0.74017198149220231</v>
      </c>
      <c r="K2168" s="3">
        <v>0</v>
      </c>
      <c r="L2168" s="3">
        <f t="shared" si="334"/>
        <v>0</v>
      </c>
      <c r="N2168" s="11">
        <f t="shared" si="335"/>
        <v>4.039828018507797</v>
      </c>
      <c r="O2168" s="3">
        <v>0.74017198149220231</v>
      </c>
      <c r="P2168" s="11">
        <f t="shared" si="336"/>
        <v>163.73875745864163</v>
      </c>
      <c r="Q2168" s="12">
        <f t="shared" si="337"/>
        <v>144.74022539358398</v>
      </c>
      <c r="R2168" s="13">
        <f t="shared" si="338"/>
        <v>46.768930863463687</v>
      </c>
      <c r="S2168" s="3" t="s">
        <v>31</v>
      </c>
      <c r="T2168" s="3" t="s">
        <v>35</v>
      </c>
      <c r="U2168" s="10">
        <v>0</v>
      </c>
      <c r="V2168" s="3">
        <v>0</v>
      </c>
      <c r="W2168" s="3">
        <f t="shared" si="339"/>
        <v>0</v>
      </c>
      <c r="AA2168" s="3">
        <v>48</v>
      </c>
    </row>
    <row r="2169" spans="1:27" x14ac:dyDescent="0.3">
      <c r="A2169" s="3" t="str">
        <f t="shared" si="330"/>
        <v>North9432009902319</v>
      </c>
      <c r="B2169" s="3" t="str">
        <f t="shared" si="331"/>
        <v>Lud9432009902319</v>
      </c>
      <c r="C2169" s="10">
        <v>9432009902319</v>
      </c>
      <c r="D2169" s="10" t="str">
        <f t="shared" si="332"/>
        <v>9432009902</v>
      </c>
      <c r="E2169" s="3" t="s">
        <v>3</v>
      </c>
      <c r="F2169" s="3" t="s">
        <v>64</v>
      </c>
      <c r="H2169" s="3">
        <v>2.2040000000000002</v>
      </c>
      <c r="I2169" s="10">
        <f t="shared" si="333"/>
        <v>98.893841479650931</v>
      </c>
      <c r="J2169" s="3">
        <v>0.66859572861880689</v>
      </c>
      <c r="K2169" s="3">
        <v>0</v>
      </c>
      <c r="L2169" s="3">
        <f t="shared" si="334"/>
        <v>0</v>
      </c>
      <c r="N2169" s="11">
        <f t="shared" si="335"/>
        <v>1.5354042713811933</v>
      </c>
      <c r="O2169" s="3">
        <v>0.66859572861880689</v>
      </c>
      <c r="P2169" s="11">
        <f t="shared" si="336"/>
        <v>68.893841479650931</v>
      </c>
      <c r="Q2169" s="12">
        <f t="shared" si="337"/>
        <v>19.02686705775627</v>
      </c>
      <c r="R2169" s="13">
        <f t="shared" si="338"/>
        <v>18.627692690008107</v>
      </c>
      <c r="S2169" s="3" t="s">
        <v>30</v>
      </c>
      <c r="T2169" s="3" t="s">
        <v>35</v>
      </c>
      <c r="U2169" s="10">
        <v>9432009900999</v>
      </c>
      <c r="V2169" s="3">
        <v>0.1</v>
      </c>
      <c r="W2169" s="3">
        <f t="shared" si="339"/>
        <v>0</v>
      </c>
      <c r="AA2169" s="3">
        <v>48</v>
      </c>
    </row>
    <row r="2170" spans="1:27" x14ac:dyDescent="0.3">
      <c r="A2170" s="3" t="str">
        <f t="shared" si="330"/>
        <v>North9420019901840</v>
      </c>
      <c r="B2170" s="3" t="str">
        <f t="shared" si="331"/>
        <v>Lud9420019901840</v>
      </c>
      <c r="C2170" s="10">
        <v>9420019901840</v>
      </c>
      <c r="D2170" s="10" t="str">
        <f t="shared" si="332"/>
        <v>9420019901</v>
      </c>
      <c r="E2170" s="3" t="s">
        <v>3</v>
      </c>
      <c r="F2170" s="3" t="s">
        <v>64</v>
      </c>
      <c r="H2170" s="3">
        <v>0.58000000000000007</v>
      </c>
      <c r="I2170" s="10">
        <f t="shared" si="333"/>
        <v>26.184663629909764</v>
      </c>
      <c r="J2170" s="3">
        <v>0.66451111406008789</v>
      </c>
      <c r="K2170" s="3">
        <v>0</v>
      </c>
      <c r="L2170" s="3">
        <f t="shared" si="334"/>
        <v>0</v>
      </c>
      <c r="N2170" s="11">
        <f t="shared" si="335"/>
        <v>-8.4511114060087822E-2</v>
      </c>
      <c r="O2170" s="3">
        <v>0.66451111406008789</v>
      </c>
      <c r="P2170" s="11">
        <f t="shared" si="336"/>
        <v>-3.8153363700902361</v>
      </c>
      <c r="Q2170" s="12">
        <f t="shared" si="337"/>
        <v>10.673762174984983</v>
      </c>
      <c r="R2170" s="13">
        <f t="shared" si="338"/>
        <v>13.508670420487539</v>
      </c>
      <c r="S2170" s="3" t="s">
        <v>31</v>
      </c>
      <c r="T2170" s="3" t="s">
        <v>28</v>
      </c>
      <c r="U2170" s="10">
        <v>0</v>
      </c>
      <c r="V2170" s="3">
        <v>0</v>
      </c>
      <c r="W2170" s="3">
        <f t="shared" si="339"/>
        <v>0</v>
      </c>
      <c r="AA2170" s="3">
        <v>48</v>
      </c>
    </row>
    <row r="2171" spans="1:27" x14ac:dyDescent="0.3">
      <c r="A2171" s="3" t="str">
        <f t="shared" si="330"/>
        <v>North9420139901210</v>
      </c>
      <c r="B2171" s="3" t="str">
        <f t="shared" si="331"/>
        <v>Lud9420139901210</v>
      </c>
      <c r="C2171" s="10">
        <v>9420139901210</v>
      </c>
      <c r="D2171" s="10" t="str">
        <f t="shared" si="332"/>
        <v>9420139901</v>
      </c>
      <c r="E2171" s="3" t="s">
        <v>3</v>
      </c>
      <c r="F2171" s="3" t="s">
        <v>64</v>
      </c>
      <c r="H2171" s="3">
        <v>1.4460000000000002</v>
      </c>
      <c r="I2171" s="10">
        <f t="shared" si="333"/>
        <v>69.406742444138246</v>
      </c>
      <c r="J2171" s="3">
        <v>0.62501132415073701</v>
      </c>
      <c r="K2171" s="3">
        <v>0</v>
      </c>
      <c r="L2171" s="3">
        <f t="shared" si="334"/>
        <v>0</v>
      </c>
      <c r="N2171" s="11">
        <f t="shared" si="335"/>
        <v>0.82098867584926316</v>
      </c>
      <c r="O2171" s="3">
        <v>0.62501132415073701</v>
      </c>
      <c r="P2171" s="11">
        <f t="shared" si="336"/>
        <v>39.406742444138246</v>
      </c>
      <c r="Q2171" s="12">
        <f t="shared" si="337"/>
        <v>47.370178953731596</v>
      </c>
      <c r="R2171" s="13">
        <f t="shared" si="338"/>
        <v>62.555831983232935</v>
      </c>
      <c r="S2171" s="3" t="s">
        <v>31</v>
      </c>
      <c r="T2171" s="3" t="s">
        <v>28</v>
      </c>
      <c r="U2171" s="10">
        <v>0</v>
      </c>
      <c r="V2171" s="3">
        <v>0</v>
      </c>
      <c r="W2171" s="3">
        <f t="shared" si="339"/>
        <v>0</v>
      </c>
      <c r="AA2171" s="3">
        <v>48</v>
      </c>
    </row>
    <row r="2172" spans="1:27" x14ac:dyDescent="0.3">
      <c r="A2172" s="3" t="str">
        <f t="shared" si="330"/>
        <v>North9432029900840</v>
      </c>
      <c r="B2172" s="3" t="str">
        <f t="shared" si="331"/>
        <v>Lud9432029900840</v>
      </c>
      <c r="C2172" s="10">
        <v>9432029900840</v>
      </c>
      <c r="D2172" s="10" t="str">
        <f t="shared" si="332"/>
        <v>9432029900</v>
      </c>
      <c r="E2172" s="3" t="s">
        <v>3</v>
      </c>
      <c r="F2172" s="3" t="s">
        <v>64</v>
      </c>
      <c r="H2172" s="3">
        <v>0.33600000000000002</v>
      </c>
      <c r="I2172" s="10">
        <f t="shared" si="333"/>
        <v>16.564561463743065</v>
      </c>
      <c r="J2172" s="3">
        <v>0.60852803269578615</v>
      </c>
      <c r="K2172" s="3">
        <v>0</v>
      </c>
      <c r="L2172" s="3">
        <f t="shared" si="334"/>
        <v>0</v>
      </c>
      <c r="N2172" s="11">
        <f t="shared" si="335"/>
        <v>-0.27252803269578613</v>
      </c>
      <c r="O2172" s="3">
        <v>0.60852803269578615</v>
      </c>
      <c r="P2172" s="11">
        <f t="shared" si="336"/>
        <v>-13.435438536256932</v>
      </c>
      <c r="Q2172" s="12">
        <f t="shared" si="337"/>
        <v>3.4106048076502047</v>
      </c>
      <c r="R2172" s="13">
        <f t="shared" si="338"/>
        <v>43.321758221941678</v>
      </c>
      <c r="S2172" s="3" t="s">
        <v>31</v>
      </c>
      <c r="T2172" s="3" t="s">
        <v>35</v>
      </c>
      <c r="U2172" s="10">
        <v>0</v>
      </c>
      <c r="V2172" s="3">
        <v>0</v>
      </c>
      <c r="W2172" s="3">
        <f t="shared" si="339"/>
        <v>0</v>
      </c>
      <c r="AA2172" s="3">
        <v>48</v>
      </c>
    </row>
    <row r="2173" spans="1:27" x14ac:dyDescent="0.3">
      <c r="A2173" s="3" t="str">
        <f t="shared" si="330"/>
        <v>North9420019900840</v>
      </c>
      <c r="B2173" s="3" t="str">
        <f t="shared" si="331"/>
        <v>Lud9420019900840</v>
      </c>
      <c r="C2173" s="10">
        <v>9420019900840</v>
      </c>
      <c r="D2173" s="10" t="str">
        <f t="shared" si="332"/>
        <v>9420019900</v>
      </c>
      <c r="E2173" s="3" t="s">
        <v>3</v>
      </c>
      <c r="F2173" s="3" t="s">
        <v>64</v>
      </c>
      <c r="H2173" s="3">
        <v>0.22399999999999998</v>
      </c>
      <c r="I2173" s="10">
        <f t="shared" si="333"/>
        <v>11.644727550514254</v>
      </c>
      <c r="J2173" s="3">
        <v>0.57708520623165893</v>
      </c>
      <c r="K2173" s="3">
        <v>0</v>
      </c>
      <c r="L2173" s="3">
        <f t="shared" si="334"/>
        <v>0</v>
      </c>
      <c r="N2173" s="11">
        <f t="shared" si="335"/>
        <v>-0.35308520623165895</v>
      </c>
      <c r="O2173" s="3">
        <v>0.57708520623165893</v>
      </c>
      <c r="P2173" s="11">
        <f t="shared" si="336"/>
        <v>-18.355272449485746</v>
      </c>
      <c r="Q2173" s="12">
        <f t="shared" si="337"/>
        <v>-9.523100735126123</v>
      </c>
      <c r="R2173" s="13">
        <f t="shared" si="338"/>
        <v>-16.802681825879457</v>
      </c>
      <c r="S2173" s="3" t="s">
        <v>31</v>
      </c>
      <c r="T2173" s="3" t="s">
        <v>28</v>
      </c>
      <c r="U2173" s="10">
        <v>0</v>
      </c>
      <c r="V2173" s="3">
        <v>0</v>
      </c>
      <c r="W2173" s="3">
        <f t="shared" si="339"/>
        <v>0</v>
      </c>
      <c r="AA2173" s="3">
        <v>48</v>
      </c>
    </row>
    <row r="2174" spans="1:27" x14ac:dyDescent="0.3">
      <c r="A2174" s="3" t="str">
        <f t="shared" si="330"/>
        <v>North9432009902838</v>
      </c>
      <c r="B2174" s="3" t="str">
        <f t="shared" si="331"/>
        <v>Lud9432009902838</v>
      </c>
      <c r="C2174" s="10">
        <v>9432009902838</v>
      </c>
      <c r="D2174" s="10" t="str">
        <f t="shared" si="332"/>
        <v>9432009902</v>
      </c>
      <c r="E2174" s="3" t="s">
        <v>3</v>
      </c>
      <c r="F2174" s="3" t="s">
        <v>64</v>
      </c>
      <c r="H2174" s="3">
        <v>0.91199999999999981</v>
      </c>
      <c r="I2174" s="10">
        <f t="shared" si="333"/>
        <v>48.635934120031557</v>
      </c>
      <c r="J2174" s="3">
        <v>0.56254702402706191</v>
      </c>
      <c r="K2174" s="3">
        <v>0</v>
      </c>
      <c r="L2174" s="3">
        <f t="shared" si="334"/>
        <v>0</v>
      </c>
      <c r="N2174" s="11">
        <f t="shared" si="335"/>
        <v>0.3494529759729379</v>
      </c>
      <c r="O2174" s="3">
        <v>0.56254702402706191</v>
      </c>
      <c r="P2174" s="11">
        <f t="shared" si="336"/>
        <v>18.635934120031557</v>
      </c>
      <c r="Q2174" s="12">
        <f t="shared" si="337"/>
        <v>10.342575855054347</v>
      </c>
      <c r="R2174" s="13">
        <f t="shared" si="338"/>
        <v>19.801120837885417</v>
      </c>
      <c r="S2174" s="3" t="s">
        <v>30</v>
      </c>
      <c r="T2174" s="3" t="s">
        <v>35</v>
      </c>
      <c r="U2174" s="10">
        <v>0</v>
      </c>
      <c r="V2174" s="3">
        <v>0</v>
      </c>
      <c r="W2174" s="3">
        <f t="shared" si="339"/>
        <v>0</v>
      </c>
      <c r="AA2174" s="3">
        <v>48</v>
      </c>
    </row>
    <row r="2175" spans="1:27" x14ac:dyDescent="0.3">
      <c r="A2175" s="3" t="str">
        <f t="shared" si="330"/>
        <v>North9320099900210</v>
      </c>
      <c r="B2175" s="3" t="str">
        <f t="shared" si="331"/>
        <v>Lud9320099900210</v>
      </c>
      <c r="C2175" s="10">
        <v>9320099900210</v>
      </c>
      <c r="D2175" s="10" t="str">
        <f t="shared" si="332"/>
        <v>9320099900</v>
      </c>
      <c r="E2175" s="3" t="s">
        <v>3</v>
      </c>
      <c r="F2175" s="3" t="s">
        <v>64</v>
      </c>
      <c r="H2175" s="3">
        <v>0.63600000000000001</v>
      </c>
      <c r="I2175" s="10">
        <f t="shared" si="333"/>
        <v>34.908898595879535</v>
      </c>
      <c r="J2175" s="3">
        <v>0.54656551101420603</v>
      </c>
      <c r="K2175" s="3">
        <v>0</v>
      </c>
      <c r="L2175" s="3">
        <f t="shared" si="334"/>
        <v>0</v>
      </c>
      <c r="N2175" s="11">
        <f t="shared" si="335"/>
        <v>8.9434488985793981E-2</v>
      </c>
      <c r="O2175" s="3">
        <v>0.54656551101420603</v>
      </c>
      <c r="P2175" s="11">
        <f t="shared" si="336"/>
        <v>4.9088985958795401</v>
      </c>
      <c r="Q2175" s="12">
        <f t="shared" si="337"/>
        <v>-3.4025202824862304</v>
      </c>
      <c r="R2175" s="13">
        <f t="shared" si="338"/>
        <v>28.658286020871561</v>
      </c>
      <c r="S2175" s="3" t="s">
        <v>31</v>
      </c>
      <c r="T2175" s="3" t="s">
        <v>28</v>
      </c>
      <c r="U2175" s="10">
        <v>0</v>
      </c>
      <c r="V2175" s="3">
        <v>0</v>
      </c>
      <c r="W2175" s="3">
        <f t="shared" si="339"/>
        <v>0</v>
      </c>
      <c r="AA2175" s="3">
        <v>48</v>
      </c>
    </row>
    <row r="2176" spans="1:27" x14ac:dyDescent="0.3">
      <c r="A2176" s="3" t="str">
        <f t="shared" si="330"/>
        <v>North9320079901210</v>
      </c>
      <c r="B2176" s="3" t="str">
        <f t="shared" si="331"/>
        <v>Lud9320079901210</v>
      </c>
      <c r="C2176" s="10">
        <v>9320079901210</v>
      </c>
      <c r="D2176" s="10" t="str">
        <f t="shared" si="332"/>
        <v>9320079901</v>
      </c>
      <c r="E2176" s="3" t="s">
        <v>3</v>
      </c>
      <c r="F2176" s="3" t="s">
        <v>64</v>
      </c>
      <c r="H2176" s="3">
        <v>0</v>
      </c>
      <c r="I2176" s="10">
        <f t="shared" si="333"/>
        <v>0</v>
      </c>
      <c r="J2176" s="3">
        <v>0.53809456077110995</v>
      </c>
      <c r="K2176" s="3">
        <v>12</v>
      </c>
      <c r="L2176" s="3">
        <f t="shared" si="334"/>
        <v>0</v>
      </c>
      <c r="N2176" s="11">
        <f t="shared" si="335"/>
        <v>-0.53809456077110995</v>
      </c>
      <c r="O2176" s="3">
        <v>0.53809456077110995</v>
      </c>
      <c r="P2176" s="11">
        <f t="shared" si="336"/>
        <v>-30</v>
      </c>
      <c r="Q2176" s="12">
        <f t="shared" si="337"/>
        <v>-30</v>
      </c>
      <c r="R2176" s="13">
        <f t="shared" si="338"/>
        <v>-30</v>
      </c>
      <c r="S2176" s="3">
        <v>0</v>
      </c>
      <c r="T2176" s="3" t="s">
        <v>28</v>
      </c>
      <c r="U2176" s="10">
        <v>0</v>
      </c>
      <c r="V2176" s="3">
        <v>0</v>
      </c>
      <c r="W2176" s="3">
        <f t="shared" si="339"/>
        <v>0</v>
      </c>
      <c r="AA2176" s="3">
        <v>48</v>
      </c>
    </row>
    <row r="2177" spans="1:27" x14ac:dyDescent="0.3">
      <c r="A2177" s="3" t="str">
        <f t="shared" si="330"/>
        <v>North9432009902195</v>
      </c>
      <c r="B2177" s="3" t="str">
        <f t="shared" si="331"/>
        <v>Lud9432009902195</v>
      </c>
      <c r="C2177" s="10">
        <v>9432009902195</v>
      </c>
      <c r="D2177" s="10" t="str">
        <f t="shared" si="332"/>
        <v>9432009902</v>
      </c>
      <c r="E2177" s="3" t="s">
        <v>3</v>
      </c>
      <c r="F2177" s="3" t="s">
        <v>64</v>
      </c>
      <c r="H2177" s="3">
        <v>0.64979999999999993</v>
      </c>
      <c r="I2177" s="10">
        <f t="shared" si="333"/>
        <v>38.298281962814961</v>
      </c>
      <c r="J2177" s="3">
        <v>0.50900455584214854</v>
      </c>
      <c r="K2177" s="3">
        <v>0</v>
      </c>
      <c r="L2177" s="3">
        <f t="shared" si="334"/>
        <v>0</v>
      </c>
      <c r="N2177" s="11">
        <f t="shared" si="335"/>
        <v>0.14079544415785139</v>
      </c>
      <c r="O2177" s="3">
        <v>0.50900455584214854</v>
      </c>
      <c r="P2177" s="11">
        <f t="shared" si="336"/>
        <v>8.2982819628149596</v>
      </c>
      <c r="Q2177" s="12">
        <f t="shared" si="337"/>
        <v>20.299132804188687</v>
      </c>
      <c r="R2177" s="13">
        <f t="shared" si="338"/>
        <v>34.173467301071753</v>
      </c>
      <c r="S2177" s="3" t="s">
        <v>30</v>
      </c>
      <c r="T2177" s="3" t="s">
        <v>35</v>
      </c>
      <c r="U2177" s="10">
        <v>0</v>
      </c>
      <c r="V2177" s="3">
        <v>0</v>
      </c>
      <c r="W2177" s="3">
        <f t="shared" si="339"/>
        <v>0</v>
      </c>
      <c r="AA2177" s="3">
        <v>48</v>
      </c>
    </row>
    <row r="2178" spans="1:27" x14ac:dyDescent="0.3">
      <c r="A2178" s="3" t="str">
        <f t="shared" si="330"/>
        <v>North9420139900210</v>
      </c>
      <c r="B2178" s="3" t="str">
        <f t="shared" si="331"/>
        <v>Lud9420139900210</v>
      </c>
      <c r="C2178" s="10">
        <v>9420139900210</v>
      </c>
      <c r="D2178" s="10" t="str">
        <f t="shared" si="332"/>
        <v>9420139900</v>
      </c>
      <c r="E2178" s="3" t="s">
        <v>3</v>
      </c>
      <c r="F2178" s="3" t="s">
        <v>64</v>
      </c>
      <c r="H2178" s="3">
        <v>0.57000000000000006</v>
      </c>
      <c r="I2178" s="10">
        <f t="shared" si="333"/>
        <v>33.748459812697448</v>
      </c>
      <c r="J2178" s="3">
        <v>0.50668978954607991</v>
      </c>
      <c r="K2178" s="3">
        <v>0</v>
      </c>
      <c r="L2178" s="3">
        <f t="shared" si="334"/>
        <v>0</v>
      </c>
      <c r="N2178" s="11">
        <f t="shared" si="335"/>
        <v>6.3310210453920157E-2</v>
      </c>
      <c r="O2178" s="3">
        <v>0.50668978954607991</v>
      </c>
      <c r="P2178" s="11">
        <f t="shared" si="336"/>
        <v>3.7484598126974413</v>
      </c>
      <c r="Q2178" s="12">
        <f t="shared" si="337"/>
        <v>12.467419703372471</v>
      </c>
      <c r="R2178" s="13">
        <f t="shared" si="338"/>
        <v>110.31179778736497</v>
      </c>
      <c r="S2178" s="3" t="s">
        <v>31</v>
      </c>
      <c r="T2178" s="3" t="s">
        <v>28</v>
      </c>
      <c r="U2178" s="10">
        <v>0</v>
      </c>
      <c r="V2178" s="3">
        <v>0</v>
      </c>
      <c r="W2178" s="3">
        <f t="shared" si="339"/>
        <v>0</v>
      </c>
      <c r="AA2178" s="3">
        <v>48</v>
      </c>
    </row>
    <row r="2179" spans="1:27" x14ac:dyDescent="0.3">
      <c r="A2179" s="3" t="str">
        <f t="shared" si="330"/>
        <v>North9420039900310</v>
      </c>
      <c r="B2179" s="3" t="str">
        <f t="shared" si="331"/>
        <v>Lud9420039900310</v>
      </c>
      <c r="C2179" s="10">
        <v>9420039900310</v>
      </c>
      <c r="D2179" s="10" t="str">
        <f t="shared" si="332"/>
        <v>9420039900</v>
      </c>
      <c r="E2179" s="3" t="s">
        <v>3</v>
      </c>
      <c r="F2179" s="3" t="s">
        <v>64</v>
      </c>
      <c r="H2179" s="3">
        <v>0.58000000000000007</v>
      </c>
      <c r="I2179" s="10">
        <f t="shared" si="333"/>
        <v>35.322267518325624</v>
      </c>
      <c r="J2179" s="3">
        <v>0.49260710657866652</v>
      </c>
      <c r="K2179" s="3">
        <v>0</v>
      </c>
      <c r="L2179" s="3">
        <f t="shared" si="334"/>
        <v>0</v>
      </c>
      <c r="N2179" s="11">
        <f t="shared" si="335"/>
        <v>8.7392893421333551E-2</v>
      </c>
      <c r="O2179" s="3">
        <v>0.49260710657866652</v>
      </c>
      <c r="P2179" s="11">
        <f t="shared" si="336"/>
        <v>5.3222675183256261</v>
      </c>
      <c r="Q2179" s="12">
        <f t="shared" si="337"/>
        <v>47.332779399695674</v>
      </c>
      <c r="R2179" s="13">
        <f t="shared" si="338"/>
        <v>25.372275431898188</v>
      </c>
      <c r="S2179" s="3" t="s">
        <v>31</v>
      </c>
      <c r="T2179" s="3" t="s">
        <v>28</v>
      </c>
      <c r="U2179" s="10">
        <v>9420039900999</v>
      </c>
      <c r="V2179" s="3">
        <v>0.1</v>
      </c>
      <c r="W2179" s="3">
        <f t="shared" si="339"/>
        <v>0</v>
      </c>
      <c r="AA2179" s="3">
        <v>48</v>
      </c>
    </row>
    <row r="2180" spans="1:27" x14ac:dyDescent="0.3">
      <c r="A2180" s="3" t="str">
        <f t="shared" ref="A2180:A2243" si="340">_xlfn.CONCAT(F2180,C2180)</f>
        <v>North9320089901210</v>
      </c>
      <c r="B2180" s="3" t="str">
        <f t="shared" ref="B2180:B2243" si="341">_xlfn.CONCAT(E2180,C2180)</f>
        <v>Lud9320089901210</v>
      </c>
      <c r="C2180" s="10">
        <v>9320089901210</v>
      </c>
      <c r="D2180" s="10" t="str">
        <f t="shared" ref="D2180:D2243" si="342">LEFT(C2180,10)</f>
        <v>9320089901</v>
      </c>
      <c r="E2180" s="3" t="s">
        <v>3</v>
      </c>
      <c r="F2180" s="3" t="s">
        <v>64</v>
      </c>
      <c r="H2180" s="3">
        <v>0.64200000000000002</v>
      </c>
      <c r="I2180" s="10">
        <f t="shared" ref="I2180:I2243" si="343">IFERROR(H2180/J2180*30,0)</f>
        <v>39.959053282755875</v>
      </c>
      <c r="J2180" s="3">
        <v>0.48199340118779926</v>
      </c>
      <c r="K2180" s="3">
        <v>0</v>
      </c>
      <c r="L2180" s="3">
        <f t="shared" ref="L2180:L2243" si="344">M2180*G2180</f>
        <v>0</v>
      </c>
      <c r="N2180" s="11">
        <f t="shared" ref="N2180:N2243" si="345">H2180-J2180+L2180</f>
        <v>0.16000659881220075</v>
      </c>
      <c r="O2180" s="3">
        <v>0.48199340118779926</v>
      </c>
      <c r="P2180" s="11">
        <f t="shared" ref="P2180:P2243" si="346">IF(O2180=0,9999,N2180/O2180*30)</f>
        <v>9.9590532827558764</v>
      </c>
      <c r="Q2180" s="12">
        <f t="shared" ref="Q2180:Q2243" si="347">IF(SUMIF($A:$A,$A2180,$O:$O)=0,9999,SUMIF($A:$A,$A2180,$N:$N)*30/SUMIF($A:$A,$A2180,$O:$O))</f>
        <v>11.50782572806753</v>
      </c>
      <c r="R2180" s="13">
        <f t="shared" ref="R2180:R2243" si="348">IF(SUMIF($C:$C,$C2180,$O:$O)=0,9999,SUMIF($C:$C,$C2180,$N:$N)*30/SUMIF($C:$C,$C2180,$O:$O))</f>
        <v>56.5397382176292</v>
      </c>
      <c r="S2180" s="3" t="s">
        <v>31</v>
      </c>
      <c r="T2180" s="3" t="s">
        <v>28</v>
      </c>
      <c r="U2180" s="10">
        <v>0</v>
      </c>
      <c r="V2180" s="3">
        <v>0</v>
      </c>
      <c r="W2180" s="3">
        <f t="shared" ref="W2180:W2243" si="349">IFERROR(K2180*V2180,0)</f>
        <v>0</v>
      </c>
      <c r="AA2180" s="3">
        <v>48</v>
      </c>
    </row>
    <row r="2181" spans="1:27" x14ac:dyDescent="0.3">
      <c r="A2181" s="3" t="str">
        <f t="shared" si="340"/>
        <v>North9320089900210</v>
      </c>
      <c r="B2181" s="3" t="str">
        <f t="shared" si="341"/>
        <v>Lud9320089900210</v>
      </c>
      <c r="C2181" s="10">
        <v>9320089900210</v>
      </c>
      <c r="D2181" s="10" t="str">
        <f t="shared" si="342"/>
        <v>9320089900</v>
      </c>
      <c r="E2181" s="3" t="s">
        <v>3</v>
      </c>
      <c r="F2181" s="3" t="s">
        <v>64</v>
      </c>
      <c r="H2181" s="3">
        <v>0.33600000000000002</v>
      </c>
      <c r="I2181" s="10">
        <f t="shared" si="343"/>
        <v>21.089643233599542</v>
      </c>
      <c r="J2181" s="3">
        <v>0.47795972119342311</v>
      </c>
      <c r="K2181" s="3">
        <v>0</v>
      </c>
      <c r="L2181" s="3">
        <f t="shared" si="344"/>
        <v>0</v>
      </c>
      <c r="N2181" s="11">
        <f t="shared" si="345"/>
        <v>-0.14195972119342309</v>
      </c>
      <c r="O2181" s="3">
        <v>0.47795972119342311</v>
      </c>
      <c r="P2181" s="11">
        <f t="shared" si="346"/>
        <v>-8.9103567664004544</v>
      </c>
      <c r="Q2181" s="12">
        <f t="shared" si="347"/>
        <v>5.7968909208661623</v>
      </c>
      <c r="R2181" s="13">
        <f t="shared" si="348"/>
        <v>36.265259284265305</v>
      </c>
      <c r="S2181" s="3" t="s">
        <v>31</v>
      </c>
      <c r="T2181" s="3" t="s">
        <v>28</v>
      </c>
      <c r="U2181" s="10">
        <v>0</v>
      </c>
      <c r="V2181" s="3">
        <v>0</v>
      </c>
      <c r="W2181" s="3">
        <f t="shared" si="349"/>
        <v>0</v>
      </c>
      <c r="AA2181" s="3">
        <v>48</v>
      </c>
    </row>
    <row r="2182" spans="1:27" x14ac:dyDescent="0.3">
      <c r="A2182" s="3" t="str">
        <f t="shared" si="340"/>
        <v>North9320019900210</v>
      </c>
      <c r="B2182" s="3" t="str">
        <f t="shared" si="341"/>
        <v>Lud9320019900210</v>
      </c>
      <c r="C2182" s="10">
        <v>9320019900210</v>
      </c>
      <c r="D2182" s="10" t="str">
        <f t="shared" si="342"/>
        <v>9320019900</v>
      </c>
      <c r="E2182" s="3" t="s">
        <v>3</v>
      </c>
      <c r="F2182" s="3" t="s">
        <v>64</v>
      </c>
      <c r="H2182" s="3">
        <v>2.2210000000000005</v>
      </c>
      <c r="I2182" s="10">
        <f t="shared" si="343"/>
        <v>142.99108891628353</v>
      </c>
      <c r="J2182" s="3">
        <v>0.46597309318351748</v>
      </c>
      <c r="K2182" s="3">
        <v>0</v>
      </c>
      <c r="L2182" s="3">
        <f t="shared" si="344"/>
        <v>0</v>
      </c>
      <c r="N2182" s="11">
        <f t="shared" si="345"/>
        <v>1.755026906816483</v>
      </c>
      <c r="O2182" s="3">
        <v>0.46597309318351748</v>
      </c>
      <c r="P2182" s="11">
        <f t="shared" si="346"/>
        <v>112.99108891628352</v>
      </c>
      <c r="Q2182" s="12">
        <f t="shared" si="347"/>
        <v>268.916955089422</v>
      </c>
      <c r="R2182" s="13">
        <f t="shared" si="348"/>
        <v>72.211571713659765</v>
      </c>
      <c r="S2182" s="3" t="s">
        <v>31</v>
      </c>
      <c r="T2182" s="3" t="s">
        <v>28</v>
      </c>
      <c r="U2182" s="10">
        <v>0</v>
      </c>
      <c r="V2182" s="3">
        <v>0</v>
      </c>
      <c r="W2182" s="3">
        <f t="shared" si="349"/>
        <v>0</v>
      </c>
      <c r="AA2182" s="3">
        <v>48</v>
      </c>
    </row>
    <row r="2183" spans="1:27" x14ac:dyDescent="0.3">
      <c r="A2183" s="3" t="str">
        <f t="shared" si="340"/>
        <v>North9320039900210</v>
      </c>
      <c r="B2183" s="3" t="str">
        <f t="shared" si="341"/>
        <v>Lud9320039900210</v>
      </c>
      <c r="C2183" s="10">
        <v>9320039900210</v>
      </c>
      <c r="D2183" s="10" t="str">
        <f t="shared" si="342"/>
        <v>9320039900</v>
      </c>
      <c r="E2183" s="3" t="s">
        <v>3</v>
      </c>
      <c r="F2183" s="3" t="s">
        <v>64</v>
      </c>
      <c r="H2183" s="3">
        <v>0.38500000000000006</v>
      </c>
      <c r="I2183" s="10">
        <f t="shared" si="343"/>
        <v>25.065804690010228</v>
      </c>
      <c r="J2183" s="3">
        <v>0.4607871218514345</v>
      </c>
      <c r="K2183" s="3">
        <v>0</v>
      </c>
      <c r="L2183" s="3">
        <f t="shared" si="344"/>
        <v>0</v>
      </c>
      <c r="N2183" s="11">
        <f t="shared" si="345"/>
        <v>-7.5787121851434436E-2</v>
      </c>
      <c r="O2183" s="3">
        <v>0.4607871218514345</v>
      </c>
      <c r="P2183" s="11">
        <f t="shared" si="346"/>
        <v>-4.9341953099897706</v>
      </c>
      <c r="Q2183" s="12">
        <f t="shared" si="347"/>
        <v>-20.529638230530193</v>
      </c>
      <c r="R2183" s="13">
        <f t="shared" si="348"/>
        <v>42.006413866655983</v>
      </c>
      <c r="S2183" s="3" t="s">
        <v>31</v>
      </c>
      <c r="T2183" s="3" t="s">
        <v>28</v>
      </c>
      <c r="U2183" s="10">
        <v>0</v>
      </c>
      <c r="V2183" s="3">
        <v>0</v>
      </c>
      <c r="W2183" s="3">
        <f t="shared" si="349"/>
        <v>0</v>
      </c>
      <c r="AA2183" s="3">
        <v>48</v>
      </c>
    </row>
    <row r="2184" spans="1:27" x14ac:dyDescent="0.3">
      <c r="A2184" s="3" t="str">
        <f t="shared" si="340"/>
        <v>North9360119922310</v>
      </c>
      <c r="B2184" s="3" t="str">
        <f t="shared" si="341"/>
        <v>Lud9360119922310</v>
      </c>
      <c r="C2184" s="10">
        <v>9360119922310</v>
      </c>
      <c r="D2184" s="10" t="str">
        <f t="shared" si="342"/>
        <v>9360119922</v>
      </c>
      <c r="E2184" s="3" t="s">
        <v>3</v>
      </c>
      <c r="F2184" s="3" t="s">
        <v>64</v>
      </c>
      <c r="H2184" s="3">
        <v>2.21</v>
      </c>
      <c r="I2184" s="10">
        <f t="shared" si="343"/>
        <v>145.11033375062829</v>
      </c>
      <c r="J2184" s="3">
        <v>0.45689371863713285</v>
      </c>
      <c r="K2184" s="3">
        <v>0</v>
      </c>
      <c r="L2184" s="3">
        <f t="shared" si="344"/>
        <v>0</v>
      </c>
      <c r="N2184" s="11">
        <f t="shared" si="345"/>
        <v>1.7531062813628671</v>
      </c>
      <c r="O2184" s="3">
        <v>0.45689371863713285</v>
      </c>
      <c r="P2184" s="11">
        <f t="shared" si="346"/>
        <v>115.11033375062827</v>
      </c>
      <c r="Q2184" s="12">
        <f t="shared" si="347"/>
        <v>35.253082364251298</v>
      </c>
      <c r="R2184" s="13">
        <f t="shared" si="348"/>
        <v>13.901872457836575</v>
      </c>
      <c r="S2184" s="3" t="s">
        <v>30</v>
      </c>
      <c r="T2184" s="3" t="s">
        <v>33</v>
      </c>
      <c r="U2184" s="10">
        <v>9360119922999</v>
      </c>
      <c r="V2184" s="3">
        <v>0.1</v>
      </c>
      <c r="W2184" s="3">
        <f t="shared" si="349"/>
        <v>0</v>
      </c>
      <c r="AA2184" s="3">
        <v>48</v>
      </c>
    </row>
    <row r="2185" spans="1:27" x14ac:dyDescent="0.3">
      <c r="A2185" s="3" t="str">
        <f t="shared" si="340"/>
        <v>North9310019902219</v>
      </c>
      <c r="B2185" s="3" t="str">
        <f t="shared" si="341"/>
        <v>Lud9310019902219</v>
      </c>
      <c r="C2185" s="10">
        <v>9310019902219</v>
      </c>
      <c r="D2185" s="10" t="str">
        <f t="shared" si="342"/>
        <v>9310019902</v>
      </c>
      <c r="E2185" s="3" t="s">
        <v>3</v>
      </c>
      <c r="F2185" s="3" t="s">
        <v>64</v>
      </c>
      <c r="H2185" s="3">
        <v>1.3064999999999998</v>
      </c>
      <c r="I2185" s="10">
        <f t="shared" si="343"/>
        <v>87.240411181237405</v>
      </c>
      <c r="J2185" s="3">
        <v>0.44927573666032389</v>
      </c>
      <c r="K2185" s="3">
        <v>0</v>
      </c>
      <c r="L2185" s="3">
        <f t="shared" si="344"/>
        <v>0</v>
      </c>
      <c r="N2185" s="11">
        <f t="shared" si="345"/>
        <v>0.85722426333967583</v>
      </c>
      <c r="O2185" s="3">
        <v>0.44927573666032389</v>
      </c>
      <c r="P2185" s="11">
        <f t="shared" si="346"/>
        <v>57.240411181237405</v>
      </c>
      <c r="Q2185" s="12">
        <f t="shared" si="347"/>
        <v>20.642101074104076</v>
      </c>
      <c r="R2185" s="13">
        <f t="shared" si="348"/>
        <v>23.550066035894439</v>
      </c>
      <c r="S2185" s="3" t="s">
        <v>30</v>
      </c>
      <c r="T2185" s="3" t="s">
        <v>32</v>
      </c>
      <c r="U2185" s="10">
        <v>9310019900999</v>
      </c>
      <c r="V2185" s="3">
        <v>0.1</v>
      </c>
      <c r="W2185" s="3">
        <f t="shared" si="349"/>
        <v>0</v>
      </c>
      <c r="AA2185" s="3">
        <v>48</v>
      </c>
    </row>
    <row r="2186" spans="1:27" x14ac:dyDescent="0.3">
      <c r="A2186" s="3" t="str">
        <f t="shared" si="340"/>
        <v>North9330239900840</v>
      </c>
      <c r="B2186" s="3" t="str">
        <f t="shared" si="341"/>
        <v>Lud9330239900840</v>
      </c>
      <c r="C2186" s="10">
        <v>9330239900840</v>
      </c>
      <c r="D2186" s="10" t="str">
        <f t="shared" si="342"/>
        <v>9330239900</v>
      </c>
      <c r="E2186" s="3" t="s">
        <v>3</v>
      </c>
      <c r="F2186" s="3" t="s">
        <v>64</v>
      </c>
      <c r="H2186" s="3">
        <v>0.27200000000000002</v>
      </c>
      <c r="I2186" s="10">
        <f t="shared" si="343"/>
        <v>18.799779093562144</v>
      </c>
      <c r="J2186" s="3">
        <v>0.4340476534000518</v>
      </c>
      <c r="K2186" s="3">
        <v>0</v>
      </c>
      <c r="L2186" s="3">
        <f t="shared" si="344"/>
        <v>0</v>
      </c>
      <c r="N2186" s="11">
        <f t="shared" si="345"/>
        <v>-0.16204765340005178</v>
      </c>
      <c r="O2186" s="3">
        <v>0.4340476534000518</v>
      </c>
      <c r="P2186" s="11">
        <f t="shared" si="346"/>
        <v>-11.200220906437858</v>
      </c>
      <c r="Q2186" s="12">
        <f t="shared" si="347"/>
        <v>14.867502904019679</v>
      </c>
      <c r="R2186" s="13">
        <f t="shared" si="348"/>
        <v>10.604359305730044</v>
      </c>
      <c r="S2186" s="3" t="s">
        <v>31</v>
      </c>
      <c r="T2186" s="3" t="s">
        <v>35</v>
      </c>
      <c r="U2186" s="10">
        <v>0</v>
      </c>
      <c r="V2186" s="3">
        <v>0</v>
      </c>
      <c r="W2186" s="3">
        <f t="shared" si="349"/>
        <v>0</v>
      </c>
      <c r="AA2186" s="3">
        <v>48</v>
      </c>
    </row>
    <row r="2187" spans="1:27" x14ac:dyDescent="0.3">
      <c r="A2187" s="3" t="str">
        <f t="shared" si="340"/>
        <v>North9360099900210</v>
      </c>
      <c r="B2187" s="3" t="str">
        <f t="shared" si="341"/>
        <v>Lud9360099900210</v>
      </c>
      <c r="C2187" s="10">
        <v>9360099900210</v>
      </c>
      <c r="D2187" s="10" t="str">
        <f t="shared" si="342"/>
        <v>9360099900</v>
      </c>
      <c r="E2187" s="3" t="s">
        <v>3</v>
      </c>
      <c r="F2187" s="3" t="s">
        <v>64</v>
      </c>
      <c r="H2187" s="3">
        <v>0.68199999999999994</v>
      </c>
      <c r="I2187" s="10">
        <f t="shared" si="343"/>
        <v>48.847638751940359</v>
      </c>
      <c r="J2187" s="3">
        <v>0.41885340873692228</v>
      </c>
      <c r="K2187" s="3">
        <v>0</v>
      </c>
      <c r="L2187" s="3">
        <f t="shared" si="344"/>
        <v>0</v>
      </c>
      <c r="N2187" s="11">
        <f t="shared" si="345"/>
        <v>0.26314659126307766</v>
      </c>
      <c r="O2187" s="3">
        <v>0.41885340873692228</v>
      </c>
      <c r="P2187" s="11">
        <f t="shared" si="346"/>
        <v>18.847638751940355</v>
      </c>
      <c r="Q2187" s="12">
        <f t="shared" si="347"/>
        <v>135.96531782442926</v>
      </c>
      <c r="R2187" s="13">
        <f t="shared" si="348"/>
        <v>126.13949734777879</v>
      </c>
      <c r="S2187" s="3" t="s">
        <v>31</v>
      </c>
      <c r="T2187" s="3" t="s">
        <v>33</v>
      </c>
      <c r="U2187" s="10">
        <v>0</v>
      </c>
      <c r="V2187" s="3">
        <v>0</v>
      </c>
      <c r="W2187" s="3">
        <f t="shared" si="349"/>
        <v>0</v>
      </c>
      <c r="AA2187" s="3">
        <v>48</v>
      </c>
    </row>
    <row r="2188" spans="1:27" x14ac:dyDescent="0.3">
      <c r="A2188" s="3" t="str">
        <f t="shared" si="340"/>
        <v>North9310019902839</v>
      </c>
      <c r="B2188" s="3" t="str">
        <f t="shared" si="341"/>
        <v>Lud9310019902839</v>
      </c>
      <c r="C2188" s="10">
        <v>9310019902839</v>
      </c>
      <c r="D2188" s="10" t="str">
        <f t="shared" si="342"/>
        <v>9310019902</v>
      </c>
      <c r="E2188" s="3" t="s">
        <v>3</v>
      </c>
      <c r="F2188" s="3" t="s">
        <v>64</v>
      </c>
      <c r="H2188" s="3">
        <v>0.54599999999999993</v>
      </c>
      <c r="I2188" s="10">
        <f t="shared" si="343"/>
        <v>44.134131984300282</v>
      </c>
      <c r="J2188" s="3">
        <v>0.37114131996131272</v>
      </c>
      <c r="K2188" s="3">
        <v>0</v>
      </c>
      <c r="L2188" s="3">
        <f t="shared" si="344"/>
        <v>0</v>
      </c>
      <c r="N2188" s="11">
        <f t="shared" si="345"/>
        <v>0.17485868003868721</v>
      </c>
      <c r="O2188" s="3">
        <v>0.37114131996131272</v>
      </c>
      <c r="P2188" s="11">
        <f t="shared" si="346"/>
        <v>14.134131984300286</v>
      </c>
      <c r="Q2188" s="12">
        <f t="shared" si="347"/>
        <v>-1.8744184679129317</v>
      </c>
      <c r="R2188" s="13">
        <f t="shared" si="348"/>
        <v>34.250706408111796</v>
      </c>
      <c r="S2188" s="3" t="s">
        <v>31</v>
      </c>
      <c r="T2188" s="3" t="s">
        <v>32</v>
      </c>
      <c r="U2188" s="10">
        <v>0</v>
      </c>
      <c r="V2188" s="3">
        <v>0</v>
      </c>
      <c r="W2188" s="3">
        <f t="shared" si="349"/>
        <v>0</v>
      </c>
      <c r="AA2188" s="3">
        <v>48</v>
      </c>
    </row>
    <row r="2189" spans="1:27" x14ac:dyDescent="0.3">
      <c r="A2189" s="3" t="str">
        <f t="shared" si="340"/>
        <v>North9420039901840</v>
      </c>
      <c r="B2189" s="3" t="str">
        <f t="shared" si="341"/>
        <v>Lud9420039901840</v>
      </c>
      <c r="C2189" s="10">
        <v>9420039901840</v>
      </c>
      <c r="D2189" s="10" t="str">
        <f t="shared" si="342"/>
        <v>9420039901</v>
      </c>
      <c r="E2189" s="3" t="s">
        <v>3</v>
      </c>
      <c r="F2189" s="3" t="s">
        <v>64</v>
      </c>
      <c r="H2189" s="3">
        <v>0.66400000000000015</v>
      </c>
      <c r="I2189" s="10">
        <f t="shared" si="343"/>
        <v>53.732256045885109</v>
      </c>
      <c r="J2189" s="3">
        <v>0.37072703560016451</v>
      </c>
      <c r="K2189" s="3">
        <v>0</v>
      </c>
      <c r="L2189" s="3">
        <f t="shared" si="344"/>
        <v>0</v>
      </c>
      <c r="N2189" s="11">
        <f t="shared" si="345"/>
        <v>0.29327296439983563</v>
      </c>
      <c r="O2189" s="3">
        <v>0.37072703560016451</v>
      </c>
      <c r="P2189" s="11">
        <f t="shared" si="346"/>
        <v>23.732256045885112</v>
      </c>
      <c r="Q2189" s="12">
        <f t="shared" si="347"/>
        <v>62.917990330474034</v>
      </c>
      <c r="R2189" s="13">
        <f t="shared" si="348"/>
        <v>8.7861449633385647</v>
      </c>
      <c r="S2189" s="3" t="s">
        <v>30</v>
      </c>
      <c r="T2189" s="3" t="s">
        <v>28</v>
      </c>
      <c r="U2189" s="10">
        <v>0</v>
      </c>
      <c r="V2189" s="3">
        <v>0</v>
      </c>
      <c r="W2189" s="3">
        <f t="shared" si="349"/>
        <v>0</v>
      </c>
      <c r="AA2189" s="3">
        <v>48</v>
      </c>
    </row>
    <row r="2190" spans="1:27" x14ac:dyDescent="0.3">
      <c r="A2190" s="3" t="str">
        <f t="shared" si="340"/>
        <v>North9320089902839</v>
      </c>
      <c r="B2190" s="3" t="str">
        <f t="shared" si="341"/>
        <v>Lud9320089902839</v>
      </c>
      <c r="C2190" s="10">
        <v>9320089902839</v>
      </c>
      <c r="D2190" s="10" t="str">
        <f t="shared" si="342"/>
        <v>9320089902</v>
      </c>
      <c r="E2190" s="3" t="s">
        <v>3</v>
      </c>
      <c r="F2190" s="3" t="s">
        <v>64</v>
      </c>
      <c r="H2190" s="3">
        <v>0.26519999999999999</v>
      </c>
      <c r="I2190" s="10">
        <f t="shared" si="343"/>
        <v>21.744689175218255</v>
      </c>
      <c r="J2190" s="3">
        <v>0.36588244310556556</v>
      </c>
      <c r="K2190" s="3">
        <v>0</v>
      </c>
      <c r="L2190" s="3">
        <f t="shared" si="344"/>
        <v>0</v>
      </c>
      <c r="N2190" s="11">
        <f t="shared" si="345"/>
        <v>-0.10068244310556557</v>
      </c>
      <c r="O2190" s="3">
        <v>0.36588244310556556</v>
      </c>
      <c r="P2190" s="11">
        <f t="shared" si="346"/>
        <v>-8.2553108247817466</v>
      </c>
      <c r="Q2190" s="12">
        <f t="shared" si="347"/>
        <v>8.3646488639094532</v>
      </c>
      <c r="R2190" s="13">
        <f t="shared" si="348"/>
        <v>23.218371468264344</v>
      </c>
      <c r="S2190" s="3" t="s">
        <v>31</v>
      </c>
      <c r="T2190" s="3" t="s">
        <v>28</v>
      </c>
      <c r="U2190" s="10">
        <v>0</v>
      </c>
      <c r="V2190" s="3">
        <v>0</v>
      </c>
      <c r="W2190" s="3">
        <f t="shared" si="349"/>
        <v>0</v>
      </c>
      <c r="AA2190" s="3">
        <v>48</v>
      </c>
    </row>
    <row r="2191" spans="1:27" x14ac:dyDescent="0.3">
      <c r="A2191" s="3" t="str">
        <f t="shared" si="340"/>
        <v>North9360019900210</v>
      </c>
      <c r="B2191" s="3" t="str">
        <f t="shared" si="341"/>
        <v>Lud9360019900210</v>
      </c>
      <c r="C2191" s="10">
        <v>9360019900210</v>
      </c>
      <c r="D2191" s="10" t="str">
        <f t="shared" si="342"/>
        <v>9360019900</v>
      </c>
      <c r="E2191" s="3" t="s">
        <v>3</v>
      </c>
      <c r="F2191" s="3" t="s">
        <v>64</v>
      </c>
      <c r="H2191" s="3">
        <v>0.39600000000000007</v>
      </c>
      <c r="I2191" s="10">
        <f t="shared" si="343"/>
        <v>34.910033428226619</v>
      </c>
      <c r="J2191" s="3">
        <v>0.34030331206713743</v>
      </c>
      <c r="K2191" s="3">
        <v>0</v>
      </c>
      <c r="L2191" s="3">
        <f t="shared" si="344"/>
        <v>0</v>
      </c>
      <c r="N2191" s="11">
        <f t="shared" si="345"/>
        <v>5.5696687932862643E-2</v>
      </c>
      <c r="O2191" s="3">
        <v>0.34030331206713743</v>
      </c>
      <c r="P2191" s="11">
        <f t="shared" si="346"/>
        <v>4.9100334282266171</v>
      </c>
      <c r="Q2191" s="12">
        <f t="shared" si="347"/>
        <v>50.103548854427906</v>
      </c>
      <c r="R2191" s="13">
        <f t="shared" si="348"/>
        <v>101.59272695247127</v>
      </c>
      <c r="S2191" s="3" t="s">
        <v>31</v>
      </c>
      <c r="T2191" s="3" t="s">
        <v>33</v>
      </c>
      <c r="U2191" s="10">
        <v>0</v>
      </c>
      <c r="V2191" s="3">
        <v>0</v>
      </c>
      <c r="W2191" s="3">
        <f t="shared" si="349"/>
        <v>0</v>
      </c>
      <c r="AA2191" s="3">
        <v>48</v>
      </c>
    </row>
    <row r="2192" spans="1:27" x14ac:dyDescent="0.3">
      <c r="A2192" s="3" t="str">
        <f t="shared" si="340"/>
        <v>North9420059901210</v>
      </c>
      <c r="B2192" s="3" t="str">
        <f t="shared" si="341"/>
        <v>Lud9420059901210</v>
      </c>
      <c r="C2192" s="10">
        <v>9420059901210</v>
      </c>
      <c r="D2192" s="10" t="str">
        <f t="shared" si="342"/>
        <v>9420059901</v>
      </c>
      <c r="E2192" s="3" t="s">
        <v>3</v>
      </c>
      <c r="F2192" s="3" t="s">
        <v>64</v>
      </c>
      <c r="H2192" s="3">
        <v>0.2</v>
      </c>
      <c r="I2192" s="10">
        <f t="shared" si="343"/>
        <v>17.809006128372438</v>
      </c>
      <c r="J2192" s="3">
        <v>0.3369081888540143</v>
      </c>
      <c r="K2192" s="3">
        <v>0</v>
      </c>
      <c r="L2192" s="3">
        <f t="shared" si="344"/>
        <v>0</v>
      </c>
      <c r="N2192" s="11">
        <f t="shared" si="345"/>
        <v>-0.13690818885401429</v>
      </c>
      <c r="O2192" s="3">
        <v>0.3369081888540143</v>
      </c>
      <c r="P2192" s="11">
        <f t="shared" si="346"/>
        <v>-12.190993871627558</v>
      </c>
      <c r="Q2192" s="12">
        <f t="shared" si="347"/>
        <v>34.730083739439785</v>
      </c>
      <c r="R2192" s="13">
        <f t="shared" si="348"/>
        <v>19.510512160893086</v>
      </c>
      <c r="S2192" s="3" t="s">
        <v>31</v>
      </c>
      <c r="T2192" s="3" t="s">
        <v>28</v>
      </c>
      <c r="U2192" s="10">
        <v>0</v>
      </c>
      <c r="V2192" s="3">
        <v>0</v>
      </c>
      <c r="W2192" s="3">
        <f t="shared" si="349"/>
        <v>0</v>
      </c>
      <c r="AA2192" s="3">
        <v>48</v>
      </c>
    </row>
    <row r="2193" spans="1:27" x14ac:dyDescent="0.3">
      <c r="A2193" s="3" t="str">
        <f t="shared" si="340"/>
        <v>North9360029900210</v>
      </c>
      <c r="B2193" s="3" t="str">
        <f t="shared" si="341"/>
        <v>Lud9360029900210</v>
      </c>
      <c r="C2193" s="10">
        <v>9360029900210</v>
      </c>
      <c r="D2193" s="10" t="str">
        <f t="shared" si="342"/>
        <v>9360029900</v>
      </c>
      <c r="E2193" s="3" t="s">
        <v>3</v>
      </c>
      <c r="F2193" s="3" t="s">
        <v>64</v>
      </c>
      <c r="H2193" s="3">
        <v>0.13600000000000001</v>
      </c>
      <c r="I2193" s="10">
        <f t="shared" si="343"/>
        <v>12.187613189525885</v>
      </c>
      <c r="J2193" s="3">
        <v>0.3347661216805255</v>
      </c>
      <c r="K2193" s="3">
        <v>0</v>
      </c>
      <c r="L2193" s="3">
        <f t="shared" si="344"/>
        <v>0</v>
      </c>
      <c r="N2193" s="11">
        <f t="shared" si="345"/>
        <v>-0.19876612168052549</v>
      </c>
      <c r="O2193" s="3">
        <v>0.3347661216805255</v>
      </c>
      <c r="P2193" s="11">
        <f t="shared" si="346"/>
        <v>-17.812386810474116</v>
      </c>
      <c r="Q2193" s="12">
        <f t="shared" si="347"/>
        <v>18.4097340323769</v>
      </c>
      <c r="R2193" s="13">
        <f t="shared" si="348"/>
        <v>28.25136322109687</v>
      </c>
      <c r="S2193" s="3" t="s">
        <v>31</v>
      </c>
      <c r="T2193" s="3" t="s">
        <v>33</v>
      </c>
      <c r="U2193" s="10">
        <v>0</v>
      </c>
      <c r="V2193" s="3">
        <v>0</v>
      </c>
      <c r="W2193" s="3">
        <f t="shared" si="349"/>
        <v>0</v>
      </c>
      <c r="AA2193" s="3">
        <v>48</v>
      </c>
    </row>
    <row r="2194" spans="1:27" x14ac:dyDescent="0.3">
      <c r="A2194" s="3" t="str">
        <f t="shared" si="340"/>
        <v>North9432009902295</v>
      </c>
      <c r="B2194" s="3" t="str">
        <f t="shared" si="341"/>
        <v>Lud9432009902295</v>
      </c>
      <c r="C2194" s="10">
        <v>9432009902295</v>
      </c>
      <c r="D2194" s="10" t="str">
        <f t="shared" si="342"/>
        <v>9432009902</v>
      </c>
      <c r="E2194" s="3" t="s">
        <v>3</v>
      </c>
      <c r="F2194" s="3" t="s">
        <v>64</v>
      </c>
      <c r="H2194" s="3">
        <v>1.2825000000000002</v>
      </c>
      <c r="I2194" s="10">
        <f t="shared" si="343"/>
        <v>115.60903225178033</v>
      </c>
      <c r="J2194" s="3">
        <v>0.3328027166269053</v>
      </c>
      <c r="K2194" s="3">
        <v>0</v>
      </c>
      <c r="L2194" s="3">
        <f t="shared" si="344"/>
        <v>0</v>
      </c>
      <c r="N2194" s="11">
        <f t="shared" si="345"/>
        <v>0.94969728337309489</v>
      </c>
      <c r="O2194" s="3">
        <v>0.3328027166269053</v>
      </c>
      <c r="P2194" s="11">
        <f t="shared" si="346"/>
        <v>85.609032251780334</v>
      </c>
      <c r="Q2194" s="12">
        <f t="shared" si="347"/>
        <v>30.566197172818942</v>
      </c>
      <c r="R2194" s="13">
        <f t="shared" si="348"/>
        <v>36.662124742386482</v>
      </c>
      <c r="S2194" s="3" t="s">
        <v>30</v>
      </c>
      <c r="T2194" s="3" t="s">
        <v>35</v>
      </c>
      <c r="U2194" s="10">
        <v>9432009900999</v>
      </c>
      <c r="V2194" s="3">
        <v>0.1</v>
      </c>
      <c r="W2194" s="3">
        <f t="shared" si="349"/>
        <v>0</v>
      </c>
      <c r="AA2194" s="3">
        <v>48</v>
      </c>
    </row>
    <row r="2195" spans="1:27" x14ac:dyDescent="0.3">
      <c r="A2195" s="3" t="str">
        <f t="shared" si="340"/>
        <v>North9420069900840</v>
      </c>
      <c r="B2195" s="3" t="str">
        <f t="shared" si="341"/>
        <v>Lud9420069900840</v>
      </c>
      <c r="C2195" s="10">
        <v>9420069900840</v>
      </c>
      <c r="D2195" s="10" t="str">
        <f t="shared" si="342"/>
        <v>9420069900</v>
      </c>
      <c r="E2195" s="3" t="s">
        <v>3</v>
      </c>
      <c r="F2195" s="3" t="s">
        <v>64</v>
      </c>
      <c r="H2195" s="3">
        <v>0.97199999999999998</v>
      </c>
      <c r="I2195" s="10">
        <f t="shared" si="343"/>
        <v>98.976208862895447</v>
      </c>
      <c r="J2195" s="3">
        <v>0.29461625510826778</v>
      </c>
      <c r="K2195" s="3">
        <v>0</v>
      </c>
      <c r="L2195" s="3">
        <f t="shared" si="344"/>
        <v>0</v>
      </c>
      <c r="N2195" s="11">
        <f t="shared" si="345"/>
        <v>0.67738374489173214</v>
      </c>
      <c r="O2195" s="3">
        <v>0.29461625510826778</v>
      </c>
      <c r="P2195" s="11">
        <f t="shared" si="346"/>
        <v>68.976208862895447</v>
      </c>
      <c r="Q2195" s="12">
        <f t="shared" si="347"/>
        <v>44.477686127433728</v>
      </c>
      <c r="R2195" s="13">
        <f t="shared" si="348"/>
        <v>25.660583345540346</v>
      </c>
      <c r="S2195" s="3" t="s">
        <v>30</v>
      </c>
      <c r="T2195" s="3" t="s">
        <v>28</v>
      </c>
      <c r="U2195" s="10">
        <v>0</v>
      </c>
      <c r="V2195" s="3">
        <v>0</v>
      </c>
      <c r="W2195" s="3">
        <f t="shared" si="349"/>
        <v>0</v>
      </c>
      <c r="AA2195" s="3">
        <v>48</v>
      </c>
    </row>
    <row r="2196" spans="1:27" x14ac:dyDescent="0.3">
      <c r="A2196" s="3" t="str">
        <f t="shared" si="340"/>
        <v>North9360119922240</v>
      </c>
      <c r="B2196" s="3" t="str">
        <f t="shared" si="341"/>
        <v>Lud9360119922240</v>
      </c>
      <c r="C2196" s="10">
        <v>9360119922240</v>
      </c>
      <c r="D2196" s="10" t="str">
        <f t="shared" si="342"/>
        <v>9360119922</v>
      </c>
      <c r="E2196" s="3" t="s">
        <v>3</v>
      </c>
      <c r="F2196" s="3" t="s">
        <v>64</v>
      </c>
      <c r="H2196" s="3">
        <v>1.0680000000000001</v>
      </c>
      <c r="I2196" s="10">
        <f t="shared" si="343"/>
        <v>110.9045912525316</v>
      </c>
      <c r="J2196" s="3">
        <v>0.28889696664626252</v>
      </c>
      <c r="K2196" s="3">
        <v>0</v>
      </c>
      <c r="L2196" s="3">
        <f t="shared" si="344"/>
        <v>0</v>
      </c>
      <c r="N2196" s="11">
        <f t="shared" si="345"/>
        <v>0.77910303335373754</v>
      </c>
      <c r="O2196" s="3">
        <v>0.28889696664626252</v>
      </c>
      <c r="P2196" s="11">
        <f t="shared" si="346"/>
        <v>80.904591252531603</v>
      </c>
      <c r="Q2196" s="12">
        <f t="shared" si="347"/>
        <v>67.604198663964709</v>
      </c>
      <c r="R2196" s="13">
        <f t="shared" si="348"/>
        <v>79.889481963770294</v>
      </c>
      <c r="S2196" s="3" t="s">
        <v>31</v>
      </c>
      <c r="T2196" s="3" t="s">
        <v>33</v>
      </c>
      <c r="U2196" s="10">
        <v>0</v>
      </c>
      <c r="V2196" s="3">
        <v>0</v>
      </c>
      <c r="W2196" s="3">
        <f t="shared" si="349"/>
        <v>0</v>
      </c>
      <c r="AA2196" s="3">
        <v>48</v>
      </c>
    </row>
    <row r="2197" spans="1:27" x14ac:dyDescent="0.3">
      <c r="A2197" s="3" t="str">
        <f t="shared" si="340"/>
        <v>North9320089900310</v>
      </c>
      <c r="B2197" s="3" t="str">
        <f t="shared" si="341"/>
        <v>Lud9320089900310</v>
      </c>
      <c r="C2197" s="10">
        <v>9320089900310</v>
      </c>
      <c r="D2197" s="10" t="str">
        <f t="shared" si="342"/>
        <v>9320089900</v>
      </c>
      <c r="E2197" s="3" t="s">
        <v>3</v>
      </c>
      <c r="F2197" s="3" t="s">
        <v>64</v>
      </c>
      <c r="H2197" s="3">
        <v>0</v>
      </c>
      <c r="I2197" s="10">
        <f t="shared" si="343"/>
        <v>0</v>
      </c>
      <c r="J2197" s="3">
        <v>0.25999995999999997</v>
      </c>
      <c r="K2197" s="3">
        <v>0</v>
      </c>
      <c r="L2197" s="3">
        <f t="shared" si="344"/>
        <v>0</v>
      </c>
      <c r="N2197" s="11">
        <f t="shared" si="345"/>
        <v>-0.25999995999999997</v>
      </c>
      <c r="O2197" s="3">
        <v>0.25999995999999997</v>
      </c>
      <c r="P2197" s="11">
        <f t="shared" si="346"/>
        <v>-30</v>
      </c>
      <c r="Q2197" s="12">
        <f t="shared" si="347"/>
        <v>-30</v>
      </c>
      <c r="R2197" s="13">
        <f t="shared" si="348"/>
        <v>-29.999999999999996</v>
      </c>
      <c r="S2197" s="3" t="s">
        <v>31</v>
      </c>
      <c r="T2197" s="3" t="s">
        <v>28</v>
      </c>
      <c r="U2197" s="10">
        <v>9320089900999</v>
      </c>
      <c r="V2197" s="3">
        <v>0.1</v>
      </c>
      <c r="W2197" s="3">
        <f t="shared" si="349"/>
        <v>0</v>
      </c>
      <c r="AA2197" s="3">
        <v>48</v>
      </c>
    </row>
    <row r="2198" spans="1:27" x14ac:dyDescent="0.3">
      <c r="A2198" s="3" t="str">
        <f t="shared" si="340"/>
        <v>North9420019900210</v>
      </c>
      <c r="B2198" s="3" t="str">
        <f t="shared" si="341"/>
        <v>Lud9420019900210</v>
      </c>
      <c r="C2198" s="10">
        <v>9420019900210</v>
      </c>
      <c r="D2198" s="10" t="str">
        <f t="shared" si="342"/>
        <v>9420019900</v>
      </c>
      <c r="E2198" s="3" t="s">
        <v>3</v>
      </c>
      <c r="F2198" s="3" t="s">
        <v>64</v>
      </c>
      <c r="H2198" s="3">
        <v>1.8820000000000001</v>
      </c>
      <c r="I2198" s="10">
        <f t="shared" si="343"/>
        <v>218.69545048787523</v>
      </c>
      <c r="J2198" s="3">
        <v>0.25816723609954667</v>
      </c>
      <c r="K2198" s="3">
        <v>0</v>
      </c>
      <c r="L2198" s="3">
        <f t="shared" si="344"/>
        <v>0</v>
      </c>
      <c r="N2198" s="11">
        <f t="shared" si="345"/>
        <v>1.6238327639004535</v>
      </c>
      <c r="O2198" s="3">
        <v>0.25816723609954667</v>
      </c>
      <c r="P2198" s="11">
        <f t="shared" si="346"/>
        <v>188.69545048787523</v>
      </c>
      <c r="Q2198" s="12">
        <f t="shared" si="347"/>
        <v>580.07895711763661</v>
      </c>
      <c r="R2198" s="13">
        <f t="shared" si="348"/>
        <v>173.10614674349301</v>
      </c>
      <c r="S2198" s="3" t="s">
        <v>31</v>
      </c>
      <c r="T2198" s="3" t="s">
        <v>28</v>
      </c>
      <c r="U2198" s="10">
        <v>0</v>
      </c>
      <c r="V2198" s="3">
        <v>0</v>
      </c>
      <c r="W2198" s="3">
        <f t="shared" si="349"/>
        <v>0</v>
      </c>
      <c r="AA2198" s="3">
        <v>48</v>
      </c>
    </row>
    <row r="2199" spans="1:27" x14ac:dyDescent="0.3">
      <c r="A2199" s="3" t="str">
        <f t="shared" si="340"/>
        <v>North9320079900210</v>
      </c>
      <c r="B2199" s="3" t="str">
        <f t="shared" si="341"/>
        <v>Lud9320079900210</v>
      </c>
      <c r="C2199" s="10">
        <v>9320079900210</v>
      </c>
      <c r="D2199" s="10" t="str">
        <f t="shared" si="342"/>
        <v>9320079900</v>
      </c>
      <c r="E2199" s="3" t="s">
        <v>3</v>
      </c>
      <c r="F2199" s="3" t="s">
        <v>64</v>
      </c>
      <c r="H2199" s="3">
        <v>0</v>
      </c>
      <c r="I2199" s="10">
        <f t="shared" si="343"/>
        <v>0</v>
      </c>
      <c r="J2199" s="3">
        <v>0.25778714334339597</v>
      </c>
      <c r="K2199" s="3">
        <v>12</v>
      </c>
      <c r="L2199" s="3">
        <f t="shared" si="344"/>
        <v>0</v>
      </c>
      <c r="N2199" s="11">
        <f t="shared" si="345"/>
        <v>-0.25778714334339597</v>
      </c>
      <c r="O2199" s="3">
        <v>0.25778714334339597</v>
      </c>
      <c r="P2199" s="11">
        <f t="shared" si="346"/>
        <v>-30</v>
      </c>
      <c r="Q2199" s="12">
        <f t="shared" si="347"/>
        <v>-30</v>
      </c>
      <c r="R2199" s="13">
        <f t="shared" si="348"/>
        <v>-30</v>
      </c>
      <c r="S2199" s="3">
        <v>0</v>
      </c>
      <c r="T2199" s="3" t="s">
        <v>28</v>
      </c>
      <c r="U2199" s="10">
        <v>0</v>
      </c>
      <c r="V2199" s="3">
        <v>0</v>
      </c>
      <c r="W2199" s="3">
        <f t="shared" si="349"/>
        <v>0</v>
      </c>
      <c r="AA2199" s="3">
        <v>48</v>
      </c>
    </row>
    <row r="2200" spans="1:27" x14ac:dyDescent="0.3">
      <c r="A2200" s="3" t="str">
        <f t="shared" si="340"/>
        <v>North9420019901210</v>
      </c>
      <c r="B2200" s="3" t="str">
        <f t="shared" si="341"/>
        <v>Lud9420019901210</v>
      </c>
      <c r="C2200" s="10">
        <v>9420019901210</v>
      </c>
      <c r="D2200" s="10" t="str">
        <f t="shared" si="342"/>
        <v>9420019901</v>
      </c>
      <c r="E2200" s="3" t="s">
        <v>3</v>
      </c>
      <c r="F2200" s="3" t="s">
        <v>64</v>
      </c>
      <c r="H2200" s="3">
        <v>0.123</v>
      </c>
      <c r="I2200" s="10">
        <f t="shared" si="343"/>
        <v>14.830647663532222</v>
      </c>
      <c r="J2200" s="3">
        <v>0.24880909342034432</v>
      </c>
      <c r="K2200" s="3">
        <v>0</v>
      </c>
      <c r="L2200" s="3">
        <f t="shared" si="344"/>
        <v>0</v>
      </c>
      <c r="N2200" s="11">
        <f t="shared" si="345"/>
        <v>-0.12580909342034433</v>
      </c>
      <c r="O2200" s="3">
        <v>0.24880909342034432</v>
      </c>
      <c r="P2200" s="11">
        <f t="shared" si="346"/>
        <v>-15.169352336467776</v>
      </c>
      <c r="Q2200" s="12">
        <f t="shared" si="347"/>
        <v>61.86078841931888</v>
      </c>
      <c r="R2200" s="13">
        <f t="shared" si="348"/>
        <v>7.9005308736412605</v>
      </c>
      <c r="S2200" s="3" t="s">
        <v>31</v>
      </c>
      <c r="T2200" s="3" t="s">
        <v>28</v>
      </c>
      <c r="U2200" s="10">
        <v>0</v>
      </c>
      <c r="V2200" s="3">
        <v>0</v>
      </c>
      <c r="W2200" s="3">
        <f t="shared" si="349"/>
        <v>0</v>
      </c>
      <c r="AA2200" s="3">
        <v>48</v>
      </c>
    </row>
    <row r="2201" spans="1:27" x14ac:dyDescent="0.3">
      <c r="A2201" s="3" t="str">
        <f t="shared" si="340"/>
        <v>North9160509902219</v>
      </c>
      <c r="B2201" s="3" t="str">
        <f t="shared" si="341"/>
        <v>Lud9160509902219</v>
      </c>
      <c r="C2201" s="10">
        <v>9160509902219</v>
      </c>
      <c r="D2201" s="10" t="str">
        <f t="shared" si="342"/>
        <v>9160509902</v>
      </c>
      <c r="E2201" s="3" t="s">
        <v>3</v>
      </c>
      <c r="F2201" s="3" t="s">
        <v>64</v>
      </c>
      <c r="H2201" s="3">
        <v>3.0770999999999997</v>
      </c>
      <c r="I2201" s="10">
        <f t="shared" si="343"/>
        <v>388.90295603198058</v>
      </c>
      <c r="J2201" s="3">
        <v>0.23736769949470077</v>
      </c>
      <c r="K2201" s="3">
        <v>0</v>
      </c>
      <c r="L2201" s="3">
        <f t="shared" si="344"/>
        <v>0</v>
      </c>
      <c r="N2201" s="11">
        <f t="shared" si="345"/>
        <v>2.839732300505299</v>
      </c>
      <c r="O2201" s="3">
        <v>0.23736769949470077</v>
      </c>
      <c r="P2201" s="11">
        <f t="shared" si="346"/>
        <v>358.90295603198058</v>
      </c>
      <c r="Q2201" s="12">
        <f t="shared" si="347"/>
        <v>38.348338948494764</v>
      </c>
      <c r="R2201" s="13">
        <f t="shared" si="348"/>
        <v>65.8644667568567</v>
      </c>
      <c r="S2201" s="3" t="s">
        <v>30</v>
      </c>
      <c r="T2201" s="3" t="s">
        <v>34</v>
      </c>
      <c r="U2201" s="10">
        <v>0</v>
      </c>
      <c r="V2201" s="3">
        <v>0</v>
      </c>
      <c r="W2201" s="3">
        <f t="shared" si="349"/>
        <v>0</v>
      </c>
      <c r="AA2201" s="3">
        <v>48</v>
      </c>
    </row>
    <row r="2202" spans="1:27" x14ac:dyDescent="0.3">
      <c r="A2202" s="3" t="str">
        <f t="shared" si="340"/>
        <v>North9420059902838</v>
      </c>
      <c r="B2202" s="3" t="str">
        <f t="shared" si="341"/>
        <v>Lud9420059902838</v>
      </c>
      <c r="C2202" s="10">
        <v>9420059902838</v>
      </c>
      <c r="D2202" s="10" t="str">
        <f t="shared" si="342"/>
        <v>9420059902</v>
      </c>
      <c r="E2202" s="3" t="s">
        <v>3</v>
      </c>
      <c r="F2202" s="3" t="s">
        <v>64</v>
      </c>
      <c r="H2202" s="3">
        <v>0.31159999999999993</v>
      </c>
      <c r="I2202" s="10">
        <f t="shared" si="343"/>
        <v>39.423046697076174</v>
      </c>
      <c r="J2202" s="3">
        <v>0.23712018180201422</v>
      </c>
      <c r="K2202" s="3">
        <v>0</v>
      </c>
      <c r="L2202" s="3">
        <f t="shared" si="344"/>
        <v>0</v>
      </c>
      <c r="N2202" s="11">
        <f t="shared" si="345"/>
        <v>7.4479818197985714E-2</v>
      </c>
      <c r="O2202" s="3">
        <v>0.23712018180201422</v>
      </c>
      <c r="P2202" s="11">
        <f t="shared" si="346"/>
        <v>9.4230466970761722</v>
      </c>
      <c r="Q2202" s="12">
        <f t="shared" si="347"/>
        <v>-10.011077364041601</v>
      </c>
      <c r="R2202" s="13">
        <f t="shared" si="348"/>
        <v>-19.691088593934413</v>
      </c>
      <c r="S2202" s="3" t="s">
        <v>31</v>
      </c>
      <c r="T2202" s="3" t="s">
        <v>28</v>
      </c>
      <c r="U2202" s="10">
        <v>0</v>
      </c>
      <c r="V2202" s="3">
        <v>0</v>
      </c>
      <c r="W2202" s="3">
        <f t="shared" si="349"/>
        <v>0</v>
      </c>
      <c r="AA2202" s="3">
        <v>48</v>
      </c>
    </row>
    <row r="2203" spans="1:27" x14ac:dyDescent="0.3">
      <c r="A2203" s="3" t="str">
        <f t="shared" si="340"/>
        <v>North9310099902297</v>
      </c>
      <c r="B2203" s="3" t="str">
        <f t="shared" si="341"/>
        <v>Lud9310099902297</v>
      </c>
      <c r="C2203" s="10">
        <v>9310099902297</v>
      </c>
      <c r="D2203" s="10" t="str">
        <f t="shared" si="342"/>
        <v>9310099902</v>
      </c>
      <c r="E2203" s="3" t="s">
        <v>3</v>
      </c>
      <c r="F2203" s="3" t="s">
        <v>64</v>
      </c>
      <c r="H2203" s="3">
        <v>0</v>
      </c>
      <c r="I2203" s="10">
        <f t="shared" si="343"/>
        <v>0</v>
      </c>
      <c r="J2203" s="3">
        <v>0.2359398125000001</v>
      </c>
      <c r="K2203" s="3">
        <v>0</v>
      </c>
      <c r="L2203" s="3">
        <f t="shared" si="344"/>
        <v>0</v>
      </c>
      <c r="N2203" s="11">
        <f t="shared" si="345"/>
        <v>-0.2359398125000001</v>
      </c>
      <c r="O2203" s="3">
        <v>0.2359398125000001</v>
      </c>
      <c r="P2203" s="11">
        <f t="shared" si="346"/>
        <v>-30</v>
      </c>
      <c r="Q2203" s="12">
        <f t="shared" si="347"/>
        <v>-30</v>
      </c>
      <c r="R2203" s="13">
        <f t="shared" si="348"/>
        <v>-30</v>
      </c>
      <c r="S2203" s="3">
        <v>0</v>
      </c>
      <c r="T2203" s="3" t="s">
        <v>32</v>
      </c>
      <c r="U2203" s="10">
        <v>0</v>
      </c>
      <c r="V2203" s="3">
        <v>0</v>
      </c>
      <c r="W2203" s="3">
        <f t="shared" si="349"/>
        <v>0</v>
      </c>
      <c r="AA2203" s="3">
        <v>48</v>
      </c>
    </row>
    <row r="2204" spans="1:27" x14ac:dyDescent="0.3">
      <c r="A2204" s="3" t="str">
        <f t="shared" si="340"/>
        <v>North9310099902839</v>
      </c>
      <c r="B2204" s="3" t="str">
        <f t="shared" si="341"/>
        <v>Lud9310099902839</v>
      </c>
      <c r="C2204" s="10">
        <v>9310099902839</v>
      </c>
      <c r="D2204" s="10" t="str">
        <f t="shared" si="342"/>
        <v>9310099902</v>
      </c>
      <c r="E2204" s="3" t="s">
        <v>3</v>
      </c>
      <c r="F2204" s="3" t="s">
        <v>64</v>
      </c>
      <c r="H2204" s="3">
        <v>0</v>
      </c>
      <c r="I2204" s="10">
        <f t="shared" si="343"/>
        <v>0</v>
      </c>
      <c r="J2204" s="3">
        <v>0.23556230880000006</v>
      </c>
      <c r="K2204" s="3">
        <v>0</v>
      </c>
      <c r="L2204" s="3">
        <f t="shared" si="344"/>
        <v>0</v>
      </c>
      <c r="N2204" s="11">
        <f t="shared" si="345"/>
        <v>-0.23556230880000006</v>
      </c>
      <c r="O2204" s="3">
        <v>0.23556230880000006</v>
      </c>
      <c r="P2204" s="11">
        <f t="shared" si="346"/>
        <v>-30</v>
      </c>
      <c r="Q2204" s="12">
        <f t="shared" si="347"/>
        <v>-30</v>
      </c>
      <c r="R2204" s="13">
        <f t="shared" si="348"/>
        <v>-30.000000000000004</v>
      </c>
      <c r="S2204" s="3">
        <v>0</v>
      </c>
      <c r="T2204" s="3" t="s">
        <v>32</v>
      </c>
      <c r="U2204" s="10">
        <v>0</v>
      </c>
      <c r="V2204" s="3">
        <v>0</v>
      </c>
      <c r="W2204" s="3">
        <f t="shared" si="349"/>
        <v>0</v>
      </c>
      <c r="AA2204" s="3">
        <v>48</v>
      </c>
    </row>
    <row r="2205" spans="1:27" x14ac:dyDescent="0.3">
      <c r="A2205" s="3" t="str">
        <f t="shared" si="340"/>
        <v>North9310019902297</v>
      </c>
      <c r="B2205" s="3" t="str">
        <f t="shared" si="341"/>
        <v>Lud9310019902297</v>
      </c>
      <c r="C2205" s="10">
        <v>9310019902297</v>
      </c>
      <c r="D2205" s="10" t="str">
        <f t="shared" si="342"/>
        <v>9310019902</v>
      </c>
      <c r="E2205" s="3" t="s">
        <v>3</v>
      </c>
      <c r="F2205" s="3" t="s">
        <v>64</v>
      </c>
      <c r="H2205" s="3">
        <v>0.65325000000000011</v>
      </c>
      <c r="I2205" s="10">
        <f t="shared" si="343"/>
        <v>85.730789192305863</v>
      </c>
      <c r="J2205" s="3">
        <v>0.22859348647823752</v>
      </c>
      <c r="K2205" s="3">
        <v>0</v>
      </c>
      <c r="L2205" s="3">
        <f t="shared" si="344"/>
        <v>0</v>
      </c>
      <c r="N2205" s="11">
        <f t="shared" si="345"/>
        <v>0.42465651352176259</v>
      </c>
      <c r="O2205" s="3">
        <v>0.22859348647823752</v>
      </c>
      <c r="P2205" s="11">
        <f t="shared" si="346"/>
        <v>55.73078919230587</v>
      </c>
      <c r="Q2205" s="12">
        <f t="shared" si="347"/>
        <v>10.234699304457079</v>
      </c>
      <c r="R2205" s="13">
        <f t="shared" si="348"/>
        <v>54.023302349984483</v>
      </c>
      <c r="S2205" s="3" t="s">
        <v>31</v>
      </c>
      <c r="T2205" s="3" t="s">
        <v>32</v>
      </c>
      <c r="U2205" s="10">
        <v>9310019900999</v>
      </c>
      <c r="V2205" s="3">
        <v>0.1</v>
      </c>
      <c r="W2205" s="3">
        <f t="shared" si="349"/>
        <v>0</v>
      </c>
      <c r="AA2205" s="3">
        <v>48</v>
      </c>
    </row>
    <row r="2206" spans="1:27" x14ac:dyDescent="0.3">
      <c r="A2206" s="3" t="str">
        <f t="shared" si="340"/>
        <v>North9420059902195</v>
      </c>
      <c r="B2206" s="3" t="str">
        <f t="shared" si="341"/>
        <v>Lud9420059902195</v>
      </c>
      <c r="C2206" s="10">
        <v>9420059902195</v>
      </c>
      <c r="D2206" s="10" t="str">
        <f t="shared" si="342"/>
        <v>9420059902</v>
      </c>
      <c r="E2206" s="3" t="s">
        <v>3</v>
      </c>
      <c r="F2206" s="3" t="s">
        <v>64</v>
      </c>
      <c r="H2206" s="3">
        <v>0.21660000000000001</v>
      </c>
      <c r="I2206" s="10">
        <f t="shared" si="343"/>
        <v>29.381613267760621</v>
      </c>
      <c r="J2206" s="3">
        <v>0.22115872061831335</v>
      </c>
      <c r="K2206" s="3">
        <v>0</v>
      </c>
      <c r="L2206" s="3">
        <f t="shared" si="344"/>
        <v>0</v>
      </c>
      <c r="N2206" s="11">
        <f t="shared" si="345"/>
        <v>-4.5587206183133333E-3</v>
      </c>
      <c r="O2206" s="3">
        <v>0.22115872061831335</v>
      </c>
      <c r="P2206" s="11">
        <f t="shared" si="346"/>
        <v>-0.61838673223937646</v>
      </c>
      <c r="Q2206" s="12">
        <f t="shared" si="347"/>
        <v>-10.696620712376687</v>
      </c>
      <c r="R2206" s="13">
        <f t="shared" si="348"/>
        <v>24.314735260595061</v>
      </c>
      <c r="S2206" s="3" t="s">
        <v>31</v>
      </c>
      <c r="T2206" s="3" t="s">
        <v>28</v>
      </c>
      <c r="U2206" s="10">
        <v>0</v>
      </c>
      <c r="V2206" s="3">
        <v>0</v>
      </c>
      <c r="W2206" s="3">
        <f t="shared" si="349"/>
        <v>0</v>
      </c>
      <c r="AA2206" s="3">
        <v>48</v>
      </c>
    </row>
    <row r="2207" spans="1:27" x14ac:dyDescent="0.3">
      <c r="A2207" s="3" t="str">
        <f t="shared" si="340"/>
        <v>North9310019902097</v>
      </c>
      <c r="B2207" s="3" t="str">
        <f t="shared" si="341"/>
        <v>Lud9310019902097</v>
      </c>
      <c r="C2207" s="10">
        <v>9310019902097</v>
      </c>
      <c r="D2207" s="10" t="str">
        <f t="shared" si="342"/>
        <v>9310019902</v>
      </c>
      <c r="E2207" s="3" t="s">
        <v>3</v>
      </c>
      <c r="F2207" s="3" t="s">
        <v>64</v>
      </c>
      <c r="H2207" s="3">
        <v>0.35002499999999998</v>
      </c>
      <c r="I2207" s="10">
        <f t="shared" si="343"/>
        <v>52.097269528749621</v>
      </c>
      <c r="J2207" s="3">
        <v>0.20156046746759371</v>
      </c>
      <c r="K2207" s="3">
        <v>0</v>
      </c>
      <c r="L2207" s="3">
        <f t="shared" si="344"/>
        <v>0</v>
      </c>
      <c r="N2207" s="11">
        <f t="shared" si="345"/>
        <v>0.14846453253240627</v>
      </c>
      <c r="O2207" s="3">
        <v>0.20156046746759371</v>
      </c>
      <c r="P2207" s="11">
        <f t="shared" si="346"/>
        <v>22.097269528749624</v>
      </c>
      <c r="Q2207" s="12">
        <f t="shared" si="347"/>
        <v>0.3085702214909089</v>
      </c>
      <c r="R2207" s="13">
        <f t="shared" si="348"/>
        <v>-5.8812893016433128</v>
      </c>
      <c r="S2207" s="3" t="s">
        <v>31</v>
      </c>
      <c r="T2207" s="3" t="s">
        <v>32</v>
      </c>
      <c r="U2207" s="10">
        <v>0</v>
      </c>
      <c r="V2207" s="3">
        <v>0</v>
      </c>
      <c r="W2207" s="3">
        <f t="shared" si="349"/>
        <v>0</v>
      </c>
      <c r="AA2207" s="3">
        <v>48</v>
      </c>
    </row>
    <row r="2208" spans="1:27" x14ac:dyDescent="0.3">
      <c r="A2208" s="3" t="str">
        <f t="shared" si="340"/>
        <v>North9320089901840</v>
      </c>
      <c r="B2208" s="3" t="str">
        <f t="shared" si="341"/>
        <v>Lud9320089901840</v>
      </c>
      <c r="C2208" s="10">
        <v>9320089901840</v>
      </c>
      <c r="D2208" s="10" t="str">
        <f t="shared" si="342"/>
        <v>9320089901</v>
      </c>
      <c r="E2208" s="3" t="s">
        <v>3</v>
      </c>
      <c r="F2208" s="3" t="s">
        <v>64</v>
      </c>
      <c r="H2208" s="3">
        <v>0</v>
      </c>
      <c r="I2208" s="10">
        <f t="shared" si="343"/>
        <v>0</v>
      </c>
      <c r="J2208" s="3">
        <v>0.19500000000000001</v>
      </c>
      <c r="K2208" s="3">
        <v>0</v>
      </c>
      <c r="L2208" s="3">
        <f t="shared" si="344"/>
        <v>0</v>
      </c>
      <c r="N2208" s="11">
        <f t="shared" si="345"/>
        <v>-0.19500000000000001</v>
      </c>
      <c r="O2208" s="3">
        <v>0.19500000000000001</v>
      </c>
      <c r="P2208" s="11">
        <f t="shared" si="346"/>
        <v>-30</v>
      </c>
      <c r="Q2208" s="12">
        <f t="shared" si="347"/>
        <v>-30</v>
      </c>
      <c r="R2208" s="13">
        <f t="shared" si="348"/>
        <v>-30</v>
      </c>
      <c r="S2208" s="3" t="s">
        <v>31</v>
      </c>
      <c r="T2208" s="3" t="s">
        <v>28</v>
      </c>
      <c r="U2208" s="10">
        <v>0</v>
      </c>
      <c r="V2208" s="3">
        <v>0</v>
      </c>
      <c r="W2208" s="3">
        <f t="shared" si="349"/>
        <v>0</v>
      </c>
      <c r="AA2208" s="3">
        <v>48</v>
      </c>
    </row>
    <row r="2209" spans="1:27" x14ac:dyDescent="0.3">
      <c r="A2209" s="3" t="str">
        <f t="shared" si="340"/>
        <v>North9420039900840</v>
      </c>
      <c r="B2209" s="3" t="str">
        <f t="shared" si="341"/>
        <v>Lud9420039900840</v>
      </c>
      <c r="C2209" s="10">
        <v>9420039900840</v>
      </c>
      <c r="D2209" s="10" t="str">
        <f t="shared" si="342"/>
        <v>9420039900</v>
      </c>
      <c r="E2209" s="3" t="s">
        <v>3</v>
      </c>
      <c r="F2209" s="3" t="s">
        <v>64</v>
      </c>
      <c r="H2209" s="3">
        <v>0.54400000000000004</v>
      </c>
      <c r="I2209" s="10">
        <f t="shared" si="343"/>
        <v>84.955649820097918</v>
      </c>
      <c r="J2209" s="3">
        <v>0.19210023152738201</v>
      </c>
      <c r="K2209" s="3">
        <v>0</v>
      </c>
      <c r="L2209" s="3">
        <f t="shared" si="344"/>
        <v>0</v>
      </c>
      <c r="N2209" s="11">
        <f t="shared" si="345"/>
        <v>0.35189976847261806</v>
      </c>
      <c r="O2209" s="3">
        <v>0.19210023152738201</v>
      </c>
      <c r="P2209" s="11">
        <f t="shared" si="346"/>
        <v>54.955649820097925</v>
      </c>
      <c r="Q2209" s="12">
        <f t="shared" si="347"/>
        <v>7.7854633753402229</v>
      </c>
      <c r="R2209" s="13">
        <f t="shared" si="348"/>
        <v>-9.128082310210873</v>
      </c>
      <c r="S2209" s="3" t="s">
        <v>31</v>
      </c>
      <c r="T2209" s="3" t="s">
        <v>28</v>
      </c>
      <c r="U2209" s="10">
        <v>0</v>
      </c>
      <c r="V2209" s="3">
        <v>0</v>
      </c>
      <c r="W2209" s="3">
        <f t="shared" si="349"/>
        <v>0</v>
      </c>
      <c r="AA2209" s="3">
        <v>48</v>
      </c>
    </row>
    <row r="2210" spans="1:27" x14ac:dyDescent="0.3">
      <c r="A2210" s="3" t="str">
        <f t="shared" si="340"/>
        <v>North9360119922210</v>
      </c>
      <c r="B2210" s="3" t="str">
        <f t="shared" si="341"/>
        <v>Lud9360119922210</v>
      </c>
      <c r="C2210" s="10">
        <v>9360119922210</v>
      </c>
      <c r="D2210" s="10" t="str">
        <f t="shared" si="342"/>
        <v>9360119922</v>
      </c>
      <c r="E2210" s="3" t="s">
        <v>3</v>
      </c>
      <c r="F2210" s="3" t="s">
        <v>64</v>
      </c>
      <c r="H2210" s="3">
        <v>0.44800000000000001</v>
      </c>
      <c r="I2210" s="10">
        <f t="shared" si="343"/>
        <v>72.387788279167879</v>
      </c>
      <c r="J2210" s="3">
        <v>0.18566667554709407</v>
      </c>
      <c r="K2210" s="3">
        <v>0</v>
      </c>
      <c r="L2210" s="3">
        <f t="shared" si="344"/>
        <v>0</v>
      </c>
      <c r="N2210" s="11">
        <f t="shared" si="345"/>
        <v>0.26233332445290591</v>
      </c>
      <c r="O2210" s="3">
        <v>0.18566667554709407</v>
      </c>
      <c r="P2210" s="11">
        <f t="shared" si="346"/>
        <v>42.387788279167872</v>
      </c>
      <c r="Q2210" s="12">
        <f t="shared" si="347"/>
        <v>51.097213680529677</v>
      </c>
      <c r="R2210" s="13">
        <f t="shared" si="348"/>
        <v>83.449892995261749</v>
      </c>
      <c r="S2210" s="3" t="s">
        <v>31</v>
      </c>
      <c r="T2210" s="3" t="s">
        <v>33</v>
      </c>
      <c r="U2210" s="10">
        <v>0</v>
      </c>
      <c r="V2210" s="3">
        <v>0</v>
      </c>
      <c r="W2210" s="3">
        <f t="shared" si="349"/>
        <v>0</v>
      </c>
      <c r="AA2210" s="3">
        <v>48</v>
      </c>
    </row>
    <row r="2211" spans="1:27" x14ac:dyDescent="0.3">
      <c r="A2211" s="3" t="str">
        <f t="shared" si="340"/>
        <v>North9432029900210</v>
      </c>
      <c r="B2211" s="3" t="str">
        <f t="shared" si="341"/>
        <v>Lud9432029900210</v>
      </c>
      <c r="C2211" s="10">
        <v>9432029900210</v>
      </c>
      <c r="D2211" s="10" t="str">
        <f t="shared" si="342"/>
        <v>9432029900</v>
      </c>
      <c r="E2211" s="3" t="s">
        <v>3</v>
      </c>
      <c r="F2211" s="3" t="s">
        <v>64</v>
      </c>
      <c r="H2211" s="3">
        <v>1.1720000000000002</v>
      </c>
      <c r="I2211" s="10">
        <f t="shared" si="343"/>
        <v>197.82179880126228</v>
      </c>
      <c r="J2211" s="3">
        <v>0.17773572080053118</v>
      </c>
      <c r="K2211" s="3">
        <v>0</v>
      </c>
      <c r="L2211" s="3">
        <f t="shared" si="344"/>
        <v>0</v>
      </c>
      <c r="N2211" s="11">
        <f t="shared" si="345"/>
        <v>0.99426427919946891</v>
      </c>
      <c r="O2211" s="3">
        <v>0.17773572080053118</v>
      </c>
      <c r="P2211" s="11">
        <f t="shared" si="346"/>
        <v>167.82179880126225</v>
      </c>
      <c r="Q2211" s="12">
        <f t="shared" si="347"/>
        <v>130.75947752013829</v>
      </c>
      <c r="R2211" s="13">
        <f t="shared" si="348"/>
        <v>343.47422136245308</v>
      </c>
      <c r="S2211" s="3" t="s">
        <v>31</v>
      </c>
      <c r="T2211" s="3" t="s">
        <v>35</v>
      </c>
      <c r="U2211" s="10">
        <v>0</v>
      </c>
      <c r="V2211" s="3">
        <v>0</v>
      </c>
      <c r="W2211" s="3">
        <f t="shared" si="349"/>
        <v>0</v>
      </c>
      <c r="AA2211" s="3">
        <v>48</v>
      </c>
    </row>
    <row r="2212" spans="1:27" x14ac:dyDescent="0.3">
      <c r="A2212" s="3" t="str">
        <f t="shared" si="340"/>
        <v>North9420039901210</v>
      </c>
      <c r="B2212" s="3" t="str">
        <f t="shared" si="341"/>
        <v>Lud9420039901210</v>
      </c>
      <c r="C2212" s="10">
        <v>9420039901210</v>
      </c>
      <c r="D2212" s="10" t="str">
        <f t="shared" si="342"/>
        <v>9420039901</v>
      </c>
      <c r="E2212" s="3" t="s">
        <v>3</v>
      </c>
      <c r="F2212" s="3" t="s">
        <v>64</v>
      </c>
      <c r="H2212" s="3">
        <v>1.004</v>
      </c>
      <c r="I2212" s="10">
        <f t="shared" si="343"/>
        <v>190.16048512199595</v>
      </c>
      <c r="J2212" s="3">
        <v>0.15839252818837077</v>
      </c>
      <c r="K2212" s="3">
        <v>0</v>
      </c>
      <c r="L2212" s="3">
        <f t="shared" si="344"/>
        <v>0</v>
      </c>
      <c r="N2212" s="11">
        <f t="shared" si="345"/>
        <v>0.84560747181162921</v>
      </c>
      <c r="O2212" s="3">
        <v>0.15839252818837077</v>
      </c>
      <c r="P2212" s="11">
        <f t="shared" si="346"/>
        <v>160.16048512199595</v>
      </c>
      <c r="Q2212" s="12">
        <f t="shared" si="347"/>
        <v>-2.445557569856363</v>
      </c>
      <c r="R2212" s="13">
        <f t="shared" si="348"/>
        <v>-10.289621700239787</v>
      </c>
      <c r="S2212" s="3" t="s">
        <v>31</v>
      </c>
      <c r="T2212" s="3" t="s">
        <v>28</v>
      </c>
      <c r="U2212" s="10">
        <v>0</v>
      </c>
      <c r="V2212" s="3">
        <v>0</v>
      </c>
      <c r="W2212" s="3">
        <f t="shared" si="349"/>
        <v>0</v>
      </c>
      <c r="AA2212" s="3">
        <v>48</v>
      </c>
    </row>
    <row r="2213" spans="1:27" x14ac:dyDescent="0.3">
      <c r="A2213" s="3" t="str">
        <f t="shared" si="340"/>
        <v>North9320089901310</v>
      </c>
      <c r="B2213" s="3" t="str">
        <f t="shared" si="341"/>
        <v>Lud9320089901310</v>
      </c>
      <c r="C2213" s="10">
        <v>9320089901310</v>
      </c>
      <c r="D2213" s="10" t="str">
        <f t="shared" si="342"/>
        <v>9320089901</v>
      </c>
      <c r="E2213" s="3" t="s">
        <v>3</v>
      </c>
      <c r="F2213" s="3" t="s">
        <v>64</v>
      </c>
      <c r="H2213" s="3">
        <v>1.3399999999999999</v>
      </c>
      <c r="I2213" s="10">
        <f t="shared" si="343"/>
        <v>254.43055366139112</v>
      </c>
      <c r="J2213" s="3">
        <v>0.15799989199999998</v>
      </c>
      <c r="K2213" s="3">
        <v>0</v>
      </c>
      <c r="L2213" s="3">
        <f t="shared" si="344"/>
        <v>0</v>
      </c>
      <c r="N2213" s="11">
        <f t="shared" si="345"/>
        <v>1.182000108</v>
      </c>
      <c r="O2213" s="3">
        <v>0.15799989199999998</v>
      </c>
      <c r="P2213" s="11">
        <f t="shared" si="346"/>
        <v>224.43055366139114</v>
      </c>
      <c r="Q2213" s="12">
        <f t="shared" si="347"/>
        <v>79.547769153986053</v>
      </c>
      <c r="R2213" s="13">
        <f t="shared" si="348"/>
        <v>65.473015604420794</v>
      </c>
      <c r="S2213" s="3" t="s">
        <v>31</v>
      </c>
      <c r="T2213" s="3" t="s">
        <v>28</v>
      </c>
      <c r="U2213" s="10">
        <v>9320089900999</v>
      </c>
      <c r="V2213" s="3">
        <v>0.1</v>
      </c>
      <c r="W2213" s="3">
        <f t="shared" si="349"/>
        <v>0</v>
      </c>
      <c r="AA2213" s="3">
        <v>48</v>
      </c>
    </row>
    <row r="2214" spans="1:27" x14ac:dyDescent="0.3">
      <c r="A2214" s="3" t="str">
        <f t="shared" si="340"/>
        <v>North9100309902319</v>
      </c>
      <c r="B2214" s="3" t="str">
        <f t="shared" si="341"/>
        <v>Lud9100309902319</v>
      </c>
      <c r="C2214" s="10">
        <v>9100309902319</v>
      </c>
      <c r="D2214" s="10" t="str">
        <f t="shared" si="342"/>
        <v>9100309902</v>
      </c>
      <c r="E2214" s="3" t="s">
        <v>3</v>
      </c>
      <c r="F2214" s="3" t="s">
        <v>64</v>
      </c>
      <c r="H2214" s="3">
        <v>9.5190000000000001</v>
      </c>
      <c r="I2214" s="10">
        <f t="shared" si="343"/>
        <v>1873.8426733030108</v>
      </c>
      <c r="J2214" s="3">
        <v>0.15239806632038513</v>
      </c>
      <c r="K2214" s="3">
        <v>0</v>
      </c>
      <c r="L2214" s="3">
        <f t="shared" si="344"/>
        <v>0</v>
      </c>
      <c r="N2214" s="11">
        <f t="shared" si="345"/>
        <v>9.3666019336796147</v>
      </c>
      <c r="O2214" s="3">
        <v>0.15239806632038513</v>
      </c>
      <c r="P2214" s="11">
        <f t="shared" si="346"/>
        <v>1843.8426733030108</v>
      </c>
      <c r="Q2214" s="12">
        <f t="shared" si="347"/>
        <v>1105.3341331178669</v>
      </c>
      <c r="R2214" s="13">
        <f t="shared" si="348"/>
        <v>340.2992622587538</v>
      </c>
      <c r="S2214" s="3" t="s">
        <v>31</v>
      </c>
      <c r="T2214" s="3" t="s">
        <v>34</v>
      </c>
      <c r="U2214" s="10">
        <v>0</v>
      </c>
      <c r="V2214" s="3">
        <v>0</v>
      </c>
      <c r="W2214" s="3">
        <f t="shared" si="349"/>
        <v>0</v>
      </c>
      <c r="AA2214" s="3">
        <v>48</v>
      </c>
    </row>
    <row r="2215" spans="1:27" x14ac:dyDescent="0.3">
      <c r="A2215" s="3" t="str">
        <f t="shared" si="340"/>
        <v>North9420139900840</v>
      </c>
      <c r="B2215" s="3" t="str">
        <f t="shared" si="341"/>
        <v>Lud9420139900840</v>
      </c>
      <c r="C2215" s="10">
        <v>9420139900840</v>
      </c>
      <c r="D2215" s="10" t="str">
        <f t="shared" si="342"/>
        <v>9420139900</v>
      </c>
      <c r="E2215" s="3" t="s">
        <v>3</v>
      </c>
      <c r="F2215" s="3" t="s">
        <v>64</v>
      </c>
      <c r="H2215" s="3">
        <v>0</v>
      </c>
      <c r="I2215" s="10">
        <f t="shared" si="343"/>
        <v>0</v>
      </c>
      <c r="J2215" s="3">
        <v>0.12999999600000001</v>
      </c>
      <c r="K2215" s="3">
        <v>0</v>
      </c>
      <c r="L2215" s="3">
        <f t="shared" si="344"/>
        <v>0</v>
      </c>
      <c r="N2215" s="11">
        <f t="shared" si="345"/>
        <v>-0.12999999600000001</v>
      </c>
      <c r="O2215" s="3">
        <v>0.12999999600000001</v>
      </c>
      <c r="P2215" s="11">
        <f t="shared" si="346"/>
        <v>-30</v>
      </c>
      <c r="Q2215" s="12">
        <f t="shared" si="347"/>
        <v>-30</v>
      </c>
      <c r="R2215" s="13">
        <f t="shared" si="348"/>
        <v>-30.000000000000004</v>
      </c>
      <c r="S2215" s="3" t="s">
        <v>31</v>
      </c>
      <c r="T2215" s="3" t="s">
        <v>28</v>
      </c>
      <c r="U2215" s="10">
        <v>0</v>
      </c>
      <c r="V2215" s="3">
        <v>0</v>
      </c>
      <c r="W2215" s="3">
        <f t="shared" si="349"/>
        <v>0</v>
      </c>
      <c r="AA2215" s="3">
        <v>48</v>
      </c>
    </row>
    <row r="2216" spans="1:27" x14ac:dyDescent="0.3">
      <c r="A2216" s="3" t="str">
        <f t="shared" si="340"/>
        <v>North9320089900840</v>
      </c>
      <c r="B2216" s="3" t="str">
        <f t="shared" si="341"/>
        <v>Lud9320089900840</v>
      </c>
      <c r="C2216" s="10">
        <v>9320089900840</v>
      </c>
      <c r="D2216" s="10" t="str">
        <f t="shared" si="342"/>
        <v>9320089900</v>
      </c>
      <c r="E2216" s="3" t="s">
        <v>3</v>
      </c>
      <c r="F2216" s="3" t="s">
        <v>64</v>
      </c>
      <c r="H2216" s="3">
        <v>0</v>
      </c>
      <c r="I2216" s="10">
        <f t="shared" si="343"/>
        <v>0</v>
      </c>
      <c r="J2216" s="3">
        <v>0.12999998800000001</v>
      </c>
      <c r="K2216" s="3">
        <v>0</v>
      </c>
      <c r="L2216" s="3">
        <f t="shared" si="344"/>
        <v>0</v>
      </c>
      <c r="N2216" s="11">
        <f t="shared" si="345"/>
        <v>-0.12999998800000001</v>
      </c>
      <c r="O2216" s="3">
        <v>0.12999998800000001</v>
      </c>
      <c r="P2216" s="11">
        <f t="shared" si="346"/>
        <v>-30</v>
      </c>
      <c r="Q2216" s="12">
        <f t="shared" si="347"/>
        <v>-30</v>
      </c>
      <c r="R2216" s="13">
        <f t="shared" si="348"/>
        <v>-29.999999999999996</v>
      </c>
      <c r="S2216" s="3" t="s">
        <v>31</v>
      </c>
      <c r="T2216" s="3" t="s">
        <v>28</v>
      </c>
      <c r="U2216" s="10">
        <v>0</v>
      </c>
      <c r="V2216" s="3">
        <v>0</v>
      </c>
      <c r="W2216" s="3">
        <f t="shared" si="349"/>
        <v>0</v>
      </c>
      <c r="AA2216" s="3">
        <v>48</v>
      </c>
    </row>
    <row r="2217" spans="1:27" x14ac:dyDescent="0.3">
      <c r="A2217" s="3" t="str">
        <f t="shared" si="340"/>
        <v>North9420139900310</v>
      </c>
      <c r="B2217" s="3" t="str">
        <f t="shared" si="341"/>
        <v>Lud9420139900310</v>
      </c>
      <c r="C2217" s="10">
        <v>9420139900310</v>
      </c>
      <c r="D2217" s="10" t="str">
        <f t="shared" si="342"/>
        <v>9420139900</v>
      </c>
      <c r="E2217" s="3" t="s">
        <v>3</v>
      </c>
      <c r="F2217" s="3" t="s">
        <v>64</v>
      </c>
      <c r="H2217" s="3">
        <v>0</v>
      </c>
      <c r="I2217" s="10">
        <f t="shared" si="343"/>
        <v>0</v>
      </c>
      <c r="J2217" s="3">
        <v>0.12999993000000001</v>
      </c>
      <c r="K2217" s="3">
        <v>0</v>
      </c>
      <c r="L2217" s="3">
        <f t="shared" si="344"/>
        <v>0</v>
      </c>
      <c r="N2217" s="11">
        <f t="shared" si="345"/>
        <v>-0.12999993000000001</v>
      </c>
      <c r="O2217" s="3">
        <v>0.12999993000000001</v>
      </c>
      <c r="P2217" s="11">
        <f t="shared" si="346"/>
        <v>-30</v>
      </c>
      <c r="Q2217" s="12">
        <f t="shared" si="347"/>
        <v>-30</v>
      </c>
      <c r="R2217" s="13">
        <f t="shared" si="348"/>
        <v>-29.999999999999996</v>
      </c>
      <c r="S2217" s="3" t="s">
        <v>31</v>
      </c>
      <c r="T2217" s="3" t="s">
        <v>28</v>
      </c>
      <c r="U2217" s="10">
        <v>9420139900999</v>
      </c>
      <c r="V2217" s="3">
        <v>0.1</v>
      </c>
      <c r="W2217" s="3">
        <f t="shared" si="349"/>
        <v>0</v>
      </c>
      <c r="AA2217" s="3">
        <v>48</v>
      </c>
    </row>
    <row r="2218" spans="1:27" x14ac:dyDescent="0.3">
      <c r="A2218" s="3" t="str">
        <f t="shared" si="340"/>
        <v>North9420039900210</v>
      </c>
      <c r="B2218" s="3" t="str">
        <f t="shared" si="341"/>
        <v>Lud9420039900210</v>
      </c>
      <c r="C2218" s="10">
        <v>9420039900210</v>
      </c>
      <c r="D2218" s="10" t="str">
        <f t="shared" si="342"/>
        <v>9420039900</v>
      </c>
      <c r="E2218" s="3" t="s">
        <v>3</v>
      </c>
      <c r="F2218" s="3" t="s">
        <v>64</v>
      </c>
      <c r="H2218" s="3">
        <v>0.32400000000000001</v>
      </c>
      <c r="I2218" s="10">
        <f t="shared" si="343"/>
        <v>76.666500187832938</v>
      </c>
      <c r="J2218" s="3">
        <v>0.12678288399999998</v>
      </c>
      <c r="K2218" s="3">
        <v>0</v>
      </c>
      <c r="L2218" s="3">
        <f t="shared" si="344"/>
        <v>0</v>
      </c>
      <c r="N2218" s="11">
        <f t="shared" si="345"/>
        <v>0.19721711600000003</v>
      </c>
      <c r="O2218" s="3">
        <v>0.12678288399999998</v>
      </c>
      <c r="P2218" s="11">
        <f t="shared" si="346"/>
        <v>46.666500187832938</v>
      </c>
      <c r="Q2218" s="12">
        <f t="shared" si="347"/>
        <v>28.679033048528101</v>
      </c>
      <c r="R2218" s="13">
        <f t="shared" si="348"/>
        <v>66.549270263730406</v>
      </c>
      <c r="S2218" s="3" t="s">
        <v>31</v>
      </c>
      <c r="T2218" s="3" t="s">
        <v>28</v>
      </c>
      <c r="U2218" s="10">
        <v>0</v>
      </c>
      <c r="V2218" s="3">
        <v>0</v>
      </c>
      <c r="W2218" s="3">
        <f t="shared" si="349"/>
        <v>0</v>
      </c>
      <c r="AA2218" s="3">
        <v>48</v>
      </c>
    </row>
    <row r="2219" spans="1:27" x14ac:dyDescent="0.3">
      <c r="A2219" s="3" t="str">
        <f t="shared" si="340"/>
        <v>North9420019902195</v>
      </c>
      <c r="B2219" s="3" t="str">
        <f t="shared" si="341"/>
        <v>Lud9420019902195</v>
      </c>
      <c r="C2219" s="10">
        <v>9420019902195</v>
      </c>
      <c r="D2219" s="10" t="str">
        <f t="shared" si="342"/>
        <v>9420019902</v>
      </c>
      <c r="E2219" s="3" t="s">
        <v>3</v>
      </c>
      <c r="F2219" s="3" t="s">
        <v>64</v>
      </c>
      <c r="H2219" s="3">
        <v>0</v>
      </c>
      <c r="I2219" s="10">
        <f t="shared" si="343"/>
        <v>0</v>
      </c>
      <c r="J2219" s="3">
        <v>0.12678286899999999</v>
      </c>
      <c r="K2219" s="3">
        <v>0</v>
      </c>
      <c r="L2219" s="3">
        <f t="shared" si="344"/>
        <v>0</v>
      </c>
      <c r="N2219" s="11">
        <f t="shared" si="345"/>
        <v>-0.12678286899999999</v>
      </c>
      <c r="O2219" s="3">
        <v>0.12678286899999999</v>
      </c>
      <c r="P2219" s="11">
        <f t="shared" si="346"/>
        <v>-30</v>
      </c>
      <c r="Q2219" s="12">
        <f t="shared" si="347"/>
        <v>107.1423355719254</v>
      </c>
      <c r="R2219" s="13">
        <f t="shared" si="348"/>
        <v>45.855734013861159</v>
      </c>
      <c r="S2219" s="3" t="s">
        <v>31</v>
      </c>
      <c r="T2219" s="3" t="s">
        <v>28</v>
      </c>
      <c r="U2219" s="10">
        <v>0</v>
      </c>
      <c r="V2219" s="3">
        <v>0</v>
      </c>
      <c r="W2219" s="3">
        <f t="shared" si="349"/>
        <v>0</v>
      </c>
      <c r="AA2219" s="3">
        <v>48</v>
      </c>
    </row>
    <row r="2220" spans="1:27" x14ac:dyDescent="0.3">
      <c r="A2220" s="3" t="str">
        <f t="shared" si="340"/>
        <v>North9410059900810</v>
      </c>
      <c r="B2220" s="3" t="str">
        <f t="shared" si="341"/>
        <v>Lud9410059900810</v>
      </c>
      <c r="C2220" s="10">
        <v>9410059900810</v>
      </c>
      <c r="D2220" s="10" t="str">
        <f t="shared" si="342"/>
        <v>9410059900</v>
      </c>
      <c r="E2220" s="3" t="s">
        <v>3</v>
      </c>
      <c r="F2220" s="3" t="s">
        <v>64</v>
      </c>
      <c r="H2220" s="3">
        <v>0.47</v>
      </c>
      <c r="I2220" s="10">
        <f t="shared" si="343"/>
        <v>113.29353139708547</v>
      </c>
      <c r="J2220" s="3">
        <v>0.124455472665783</v>
      </c>
      <c r="K2220" s="3">
        <v>0</v>
      </c>
      <c r="L2220" s="3">
        <f t="shared" si="344"/>
        <v>0</v>
      </c>
      <c r="N2220" s="11">
        <f t="shared" si="345"/>
        <v>0.34554452733421698</v>
      </c>
      <c r="O2220" s="3">
        <v>0.124455472665783</v>
      </c>
      <c r="P2220" s="11">
        <f t="shared" si="346"/>
        <v>83.293531397085474</v>
      </c>
      <c r="Q2220" s="12">
        <f t="shared" si="347"/>
        <v>34.933052286909984</v>
      </c>
      <c r="R2220" s="13">
        <f t="shared" si="348"/>
        <v>-2.4886755234162909</v>
      </c>
      <c r="S2220" s="3" t="s">
        <v>31</v>
      </c>
      <c r="T2220" s="3" t="s">
        <v>32</v>
      </c>
      <c r="U2220" s="10">
        <v>0</v>
      </c>
      <c r="V2220" s="3">
        <v>0</v>
      </c>
      <c r="W2220" s="3">
        <f t="shared" si="349"/>
        <v>0</v>
      </c>
      <c r="AA2220" s="3">
        <v>48</v>
      </c>
    </row>
    <row r="2221" spans="1:27" x14ac:dyDescent="0.3">
      <c r="A2221" s="3" t="str">
        <f t="shared" si="340"/>
        <v>North9320099901840</v>
      </c>
      <c r="B2221" s="3" t="str">
        <f t="shared" si="341"/>
        <v>Lud9320099901840</v>
      </c>
      <c r="C2221" s="10">
        <v>9320099901840</v>
      </c>
      <c r="D2221" s="10" t="str">
        <f t="shared" si="342"/>
        <v>9320099901</v>
      </c>
      <c r="E2221" s="3" t="s">
        <v>3</v>
      </c>
      <c r="F2221" s="3" t="s">
        <v>64</v>
      </c>
      <c r="H2221" s="3">
        <v>0</v>
      </c>
      <c r="I2221" s="10">
        <f t="shared" si="343"/>
        <v>0</v>
      </c>
      <c r="J2221" s="3">
        <v>9.7499992000000008E-2</v>
      </c>
      <c r="K2221" s="3">
        <v>0</v>
      </c>
      <c r="L2221" s="3">
        <f t="shared" si="344"/>
        <v>0</v>
      </c>
      <c r="N2221" s="11">
        <f t="shared" si="345"/>
        <v>-9.7499992000000008E-2</v>
      </c>
      <c r="O2221" s="3">
        <v>9.7499992000000008E-2</v>
      </c>
      <c r="P2221" s="11">
        <f t="shared" si="346"/>
        <v>-30</v>
      </c>
      <c r="Q2221" s="12">
        <f t="shared" si="347"/>
        <v>-30</v>
      </c>
      <c r="R2221" s="13">
        <f t="shared" si="348"/>
        <v>-29.999999999999996</v>
      </c>
      <c r="S2221" s="3" t="s">
        <v>31</v>
      </c>
      <c r="T2221" s="3" t="s">
        <v>28</v>
      </c>
      <c r="U2221" s="10">
        <v>0</v>
      </c>
      <c r="V2221" s="3">
        <v>0</v>
      </c>
      <c r="W2221" s="3">
        <f t="shared" si="349"/>
        <v>0</v>
      </c>
      <c r="AA2221" s="3">
        <v>48</v>
      </c>
    </row>
    <row r="2222" spans="1:27" x14ac:dyDescent="0.3">
      <c r="A2222" s="3" t="str">
        <f t="shared" si="340"/>
        <v>North9310029902219</v>
      </c>
      <c r="B2222" s="3" t="str">
        <f t="shared" si="341"/>
        <v>Lud9310029902219</v>
      </c>
      <c r="C2222" s="10">
        <v>9310029902219</v>
      </c>
      <c r="D2222" s="10" t="str">
        <f t="shared" si="342"/>
        <v>9310029902</v>
      </c>
      <c r="E2222" s="3" t="s">
        <v>3</v>
      </c>
      <c r="F2222" s="3" t="s">
        <v>64</v>
      </c>
      <c r="H2222" s="3">
        <v>0.74099999999999988</v>
      </c>
      <c r="I2222" s="10">
        <f t="shared" si="343"/>
        <v>233.11924974701179</v>
      </c>
      <c r="J2222" s="3">
        <v>9.5358920484364451E-2</v>
      </c>
      <c r="K2222" s="3">
        <v>0</v>
      </c>
      <c r="L2222" s="3">
        <f t="shared" si="344"/>
        <v>0</v>
      </c>
      <c r="N2222" s="11">
        <f t="shared" si="345"/>
        <v>0.64564107951563543</v>
      </c>
      <c r="O2222" s="3">
        <v>9.5358920484364451E-2</v>
      </c>
      <c r="P2222" s="11">
        <f t="shared" si="346"/>
        <v>203.11924974701179</v>
      </c>
      <c r="Q2222" s="12">
        <f t="shared" si="347"/>
        <v>219.60846541796113</v>
      </c>
      <c r="R2222" s="13">
        <f t="shared" si="348"/>
        <v>448.67095814884334</v>
      </c>
      <c r="S2222" s="3" t="s">
        <v>31</v>
      </c>
      <c r="T2222" s="3" t="s">
        <v>32</v>
      </c>
      <c r="U2222" s="10">
        <v>9310029900999</v>
      </c>
      <c r="V2222" s="3">
        <v>0.1</v>
      </c>
      <c r="W2222" s="3">
        <f t="shared" si="349"/>
        <v>0</v>
      </c>
      <c r="AA2222" s="3">
        <v>48</v>
      </c>
    </row>
    <row r="2223" spans="1:27" x14ac:dyDescent="0.3">
      <c r="A2223" s="3" t="str">
        <f t="shared" si="340"/>
        <v>North9420039902838</v>
      </c>
      <c r="B2223" s="3" t="str">
        <f t="shared" si="341"/>
        <v>Lud9420039902838</v>
      </c>
      <c r="C2223" s="10">
        <v>9420039902838</v>
      </c>
      <c r="D2223" s="10" t="str">
        <f t="shared" si="342"/>
        <v>9420039902</v>
      </c>
      <c r="E2223" s="3" t="s">
        <v>3</v>
      </c>
      <c r="F2223" s="3" t="s">
        <v>64</v>
      </c>
      <c r="H2223" s="3">
        <v>0.437</v>
      </c>
      <c r="I2223" s="10">
        <f t="shared" si="343"/>
        <v>165.77168065337608</v>
      </c>
      <c r="J2223" s="3">
        <v>7.9084678084507337E-2</v>
      </c>
      <c r="K2223" s="3">
        <v>0</v>
      </c>
      <c r="L2223" s="3">
        <f t="shared" si="344"/>
        <v>0</v>
      </c>
      <c r="N2223" s="11">
        <f t="shared" si="345"/>
        <v>0.35791532191549269</v>
      </c>
      <c r="O2223" s="3">
        <v>7.9084678084507337E-2</v>
      </c>
      <c r="P2223" s="11">
        <f t="shared" si="346"/>
        <v>135.77168065337608</v>
      </c>
      <c r="Q2223" s="12">
        <f t="shared" si="347"/>
        <v>29.776108205520728</v>
      </c>
      <c r="R2223" s="13">
        <f t="shared" si="348"/>
        <v>35.173429095369414</v>
      </c>
      <c r="S2223" s="3" t="s">
        <v>31</v>
      </c>
      <c r="T2223" s="3" t="s">
        <v>28</v>
      </c>
      <c r="U2223" s="10">
        <v>0</v>
      </c>
      <c r="V2223" s="3">
        <v>0</v>
      </c>
      <c r="W2223" s="3">
        <f t="shared" si="349"/>
        <v>0</v>
      </c>
      <c r="AA2223" s="3">
        <v>48</v>
      </c>
    </row>
    <row r="2224" spans="1:27" x14ac:dyDescent="0.3">
      <c r="A2224" s="3" t="str">
        <f t="shared" si="340"/>
        <v>North9420069900210</v>
      </c>
      <c r="B2224" s="3" t="str">
        <f t="shared" si="341"/>
        <v>Lud9420069900210</v>
      </c>
      <c r="C2224" s="10">
        <v>9420069900210</v>
      </c>
      <c r="D2224" s="10" t="str">
        <f t="shared" si="342"/>
        <v>9420069900</v>
      </c>
      <c r="E2224" s="3" t="s">
        <v>3</v>
      </c>
      <c r="F2224" s="3" t="s">
        <v>64</v>
      </c>
      <c r="H2224" s="3">
        <v>0.43500000000000005</v>
      </c>
      <c r="I2224" s="10">
        <f t="shared" si="343"/>
        <v>171.45815374972597</v>
      </c>
      <c r="J2224" s="3">
        <v>7.6111865866984818E-2</v>
      </c>
      <c r="K2224" s="3">
        <v>0</v>
      </c>
      <c r="L2224" s="3">
        <f t="shared" si="344"/>
        <v>0</v>
      </c>
      <c r="N2224" s="11">
        <f t="shared" si="345"/>
        <v>0.35888813413301524</v>
      </c>
      <c r="O2224" s="3">
        <v>7.6111865866984818E-2</v>
      </c>
      <c r="P2224" s="11">
        <f t="shared" si="346"/>
        <v>141.45815374972597</v>
      </c>
      <c r="Q2224" s="12">
        <f t="shared" si="347"/>
        <v>255.96538062369234</v>
      </c>
      <c r="R2224" s="13">
        <f t="shared" si="348"/>
        <v>11.072420866839959</v>
      </c>
      <c r="S2224" s="3" t="s">
        <v>31</v>
      </c>
      <c r="T2224" s="3" t="s">
        <v>28</v>
      </c>
      <c r="U2224" s="10">
        <v>0</v>
      </c>
      <c r="V2224" s="3">
        <v>0</v>
      </c>
      <c r="W2224" s="3">
        <f t="shared" si="349"/>
        <v>0</v>
      </c>
      <c r="AA2224" s="3">
        <v>48</v>
      </c>
    </row>
    <row r="2225" spans="1:27" x14ac:dyDescent="0.3">
      <c r="A2225" s="3" t="str">
        <f t="shared" si="340"/>
        <v>North9420039902195</v>
      </c>
      <c r="B2225" s="3" t="str">
        <f t="shared" si="341"/>
        <v>Lud9420039902195</v>
      </c>
      <c r="C2225" s="10">
        <v>9420039902195</v>
      </c>
      <c r="D2225" s="10" t="str">
        <f t="shared" si="342"/>
        <v>9420039902</v>
      </c>
      <c r="E2225" s="3" t="s">
        <v>3</v>
      </c>
      <c r="F2225" s="3" t="s">
        <v>64</v>
      </c>
      <c r="H2225" s="3">
        <v>0.40090000000000003</v>
      </c>
      <c r="I2225" s="10">
        <f t="shared" si="343"/>
        <v>161.21159571707145</v>
      </c>
      <c r="J2225" s="3">
        <v>7.4603814610876687E-2</v>
      </c>
      <c r="K2225" s="3">
        <v>0</v>
      </c>
      <c r="L2225" s="3">
        <f t="shared" si="344"/>
        <v>0</v>
      </c>
      <c r="N2225" s="11">
        <f t="shared" si="345"/>
        <v>0.32629618538912336</v>
      </c>
      <c r="O2225" s="3">
        <v>7.4603814610876687E-2</v>
      </c>
      <c r="P2225" s="11">
        <f t="shared" si="346"/>
        <v>131.21159571707148</v>
      </c>
      <c r="Q2225" s="12">
        <f t="shared" si="347"/>
        <v>7.0230807247001401</v>
      </c>
      <c r="R2225" s="13">
        <f t="shared" si="348"/>
        <v>11.369139800998852</v>
      </c>
      <c r="S2225" s="3" t="s">
        <v>31</v>
      </c>
      <c r="T2225" s="3" t="s">
        <v>28</v>
      </c>
      <c r="U2225" s="10">
        <v>0</v>
      </c>
      <c r="V2225" s="3">
        <v>0</v>
      </c>
      <c r="W2225" s="3">
        <f t="shared" si="349"/>
        <v>0</v>
      </c>
      <c r="AA2225" s="3">
        <v>48</v>
      </c>
    </row>
    <row r="2226" spans="1:27" x14ac:dyDescent="0.3">
      <c r="A2226" s="3" t="str">
        <f t="shared" si="340"/>
        <v>North9320099900840</v>
      </c>
      <c r="B2226" s="3" t="str">
        <f t="shared" si="341"/>
        <v>Lud9320099900840</v>
      </c>
      <c r="C2226" s="10">
        <v>9320099900840</v>
      </c>
      <c r="D2226" s="10" t="str">
        <f t="shared" si="342"/>
        <v>9320099900</v>
      </c>
      <c r="E2226" s="3" t="s">
        <v>3</v>
      </c>
      <c r="F2226" s="3" t="s">
        <v>64</v>
      </c>
      <c r="H2226" s="3">
        <v>0</v>
      </c>
      <c r="I2226" s="10">
        <f t="shared" si="343"/>
        <v>0</v>
      </c>
      <c r="J2226" s="3">
        <v>6.4999988000000009E-2</v>
      </c>
      <c r="K2226" s="3">
        <v>0</v>
      </c>
      <c r="L2226" s="3">
        <f t="shared" si="344"/>
        <v>0</v>
      </c>
      <c r="N2226" s="11">
        <f t="shared" si="345"/>
        <v>-6.4999988000000009E-2</v>
      </c>
      <c r="O2226" s="3">
        <v>6.4999988000000009E-2</v>
      </c>
      <c r="P2226" s="11">
        <f t="shared" si="346"/>
        <v>-30</v>
      </c>
      <c r="Q2226" s="12">
        <f t="shared" si="347"/>
        <v>-30</v>
      </c>
      <c r="R2226" s="13">
        <f t="shared" si="348"/>
        <v>-29.999999999999996</v>
      </c>
      <c r="S2226" s="3" t="s">
        <v>31</v>
      </c>
      <c r="T2226" s="3" t="s">
        <v>28</v>
      </c>
      <c r="U2226" s="10">
        <v>0</v>
      </c>
      <c r="V2226" s="3">
        <v>0</v>
      </c>
      <c r="W2226" s="3">
        <f t="shared" si="349"/>
        <v>0</v>
      </c>
      <c r="AA2226" s="3">
        <v>48</v>
      </c>
    </row>
    <row r="2227" spans="1:27" x14ac:dyDescent="0.3">
      <c r="A2227" s="3" t="str">
        <f t="shared" si="340"/>
        <v>North9420059902295</v>
      </c>
      <c r="B2227" s="3" t="str">
        <f t="shared" si="341"/>
        <v>Lud9420059902295</v>
      </c>
      <c r="C2227" s="10">
        <v>9420059902295</v>
      </c>
      <c r="D2227" s="10" t="str">
        <f t="shared" si="342"/>
        <v>9420059902</v>
      </c>
      <c r="E2227" s="3" t="s">
        <v>3</v>
      </c>
      <c r="F2227" s="3" t="s">
        <v>64</v>
      </c>
      <c r="H2227" s="3">
        <v>0.81700000000000006</v>
      </c>
      <c r="I2227" s="10">
        <f t="shared" si="343"/>
        <v>398.66686659959623</v>
      </c>
      <c r="J2227" s="3">
        <v>6.1479902277950742E-2</v>
      </c>
      <c r="K2227" s="3">
        <v>0</v>
      </c>
      <c r="L2227" s="3">
        <f t="shared" si="344"/>
        <v>0</v>
      </c>
      <c r="N2227" s="11">
        <f t="shared" si="345"/>
        <v>0.75552009772204931</v>
      </c>
      <c r="O2227" s="3">
        <v>6.1479902277950742E-2</v>
      </c>
      <c r="P2227" s="11">
        <f t="shared" si="346"/>
        <v>368.66686659959623</v>
      </c>
      <c r="Q2227" s="12">
        <f t="shared" si="347"/>
        <v>65.085646761891425</v>
      </c>
      <c r="R2227" s="13">
        <f t="shared" si="348"/>
        <v>18.893711823657888</v>
      </c>
      <c r="S2227" s="3" t="s">
        <v>31</v>
      </c>
      <c r="T2227" s="3" t="s">
        <v>28</v>
      </c>
      <c r="U2227" s="10">
        <v>9420059900999</v>
      </c>
      <c r="V2227" s="3">
        <v>0.1</v>
      </c>
      <c r="W2227" s="3">
        <f t="shared" si="349"/>
        <v>0</v>
      </c>
      <c r="AA2227" s="3">
        <v>48</v>
      </c>
    </row>
    <row r="2228" spans="1:27" x14ac:dyDescent="0.3">
      <c r="A2228" s="3" t="str">
        <f t="shared" si="340"/>
        <v>North9420019902319</v>
      </c>
      <c r="B2228" s="3" t="str">
        <f t="shared" si="341"/>
        <v>Lud9420019902319</v>
      </c>
      <c r="C2228" s="10">
        <v>9420019902319</v>
      </c>
      <c r="D2228" s="10" t="str">
        <f t="shared" si="342"/>
        <v>9420019902</v>
      </c>
      <c r="E2228" s="3" t="s">
        <v>3</v>
      </c>
      <c r="F2228" s="3" t="s">
        <v>64</v>
      </c>
      <c r="H2228" s="3">
        <v>1.6149999999999998</v>
      </c>
      <c r="I2228" s="10">
        <f t="shared" si="343"/>
        <v>1011.1021797646915</v>
      </c>
      <c r="J2228" s="3">
        <v>4.7918005686898531E-2</v>
      </c>
      <c r="K2228" s="3">
        <v>0</v>
      </c>
      <c r="L2228" s="3">
        <f t="shared" si="344"/>
        <v>0</v>
      </c>
      <c r="N2228" s="11">
        <f t="shared" si="345"/>
        <v>1.5670819943131011</v>
      </c>
      <c r="O2228" s="3">
        <v>4.7918005686898531E-2</v>
      </c>
      <c r="P2228" s="11">
        <f t="shared" si="346"/>
        <v>981.10217976469153</v>
      </c>
      <c r="Q2228" s="12">
        <f t="shared" si="347"/>
        <v>726.61144319259563</v>
      </c>
      <c r="R2228" s="13">
        <f t="shared" si="348"/>
        <v>129.12664609594353</v>
      </c>
      <c r="S2228" s="3" t="s">
        <v>31</v>
      </c>
      <c r="T2228" s="3" t="s">
        <v>28</v>
      </c>
      <c r="U2228" s="10">
        <v>9420019900999</v>
      </c>
      <c r="V2228" s="3">
        <v>0.1</v>
      </c>
      <c r="W2228" s="3">
        <f t="shared" si="349"/>
        <v>0</v>
      </c>
      <c r="AA2228" s="3">
        <v>48</v>
      </c>
    </row>
    <row r="2229" spans="1:27" x14ac:dyDescent="0.3">
      <c r="A2229" s="3" t="str">
        <f t="shared" si="340"/>
        <v>North9330239900210</v>
      </c>
      <c r="B2229" s="3" t="str">
        <f t="shared" si="341"/>
        <v>Lud9330239900210</v>
      </c>
      <c r="C2229" s="10">
        <v>9330239900210</v>
      </c>
      <c r="D2229" s="10" t="str">
        <f t="shared" si="342"/>
        <v>9330239900</v>
      </c>
      <c r="E2229" s="3" t="s">
        <v>3</v>
      </c>
      <c r="F2229" s="3" t="s">
        <v>64</v>
      </c>
      <c r="H2229" s="3">
        <v>5.3999999999999992E-2</v>
      </c>
      <c r="I2229" s="10">
        <f t="shared" si="343"/>
        <v>35.217137715437708</v>
      </c>
      <c r="J2229" s="3">
        <v>4.6000331233331894E-2</v>
      </c>
      <c r="K2229" s="3">
        <v>0</v>
      </c>
      <c r="L2229" s="3">
        <f t="shared" si="344"/>
        <v>0</v>
      </c>
      <c r="N2229" s="11">
        <f t="shared" si="345"/>
        <v>7.9996687666680985E-3</v>
      </c>
      <c r="O2229" s="3">
        <v>4.6000331233331894E-2</v>
      </c>
      <c r="P2229" s="11">
        <f t="shared" si="346"/>
        <v>5.2171377154377065</v>
      </c>
      <c r="Q2229" s="12">
        <f t="shared" si="347"/>
        <v>22.942502398338291</v>
      </c>
      <c r="R2229" s="13">
        <f t="shared" si="348"/>
        <v>66.324218176236982</v>
      </c>
      <c r="S2229" s="3" t="s">
        <v>31</v>
      </c>
      <c r="T2229" s="3" t="s">
        <v>35</v>
      </c>
      <c r="U2229" s="10">
        <v>0</v>
      </c>
      <c r="V2229" s="3">
        <v>0</v>
      </c>
      <c r="W2229" s="3">
        <f t="shared" si="349"/>
        <v>0</v>
      </c>
      <c r="AA2229" s="3">
        <v>48</v>
      </c>
    </row>
    <row r="2230" spans="1:27" x14ac:dyDescent="0.3">
      <c r="A2230" s="3" t="str">
        <f t="shared" si="340"/>
        <v>North9420039902319</v>
      </c>
      <c r="B2230" s="3" t="str">
        <f t="shared" si="341"/>
        <v>Lud9420039902319</v>
      </c>
      <c r="C2230" s="10">
        <v>9420039902319</v>
      </c>
      <c r="D2230" s="10" t="str">
        <f t="shared" si="342"/>
        <v>9420039902</v>
      </c>
      <c r="E2230" s="3" t="s">
        <v>3</v>
      </c>
      <c r="F2230" s="3" t="s">
        <v>64</v>
      </c>
      <c r="H2230" s="3">
        <v>0.53200000000000003</v>
      </c>
      <c r="I2230" s="10">
        <f t="shared" si="343"/>
        <v>385.10802250470277</v>
      </c>
      <c r="J2230" s="3">
        <v>4.1442917486366061E-2</v>
      </c>
      <c r="K2230" s="3">
        <v>0</v>
      </c>
      <c r="L2230" s="3">
        <f t="shared" si="344"/>
        <v>0</v>
      </c>
      <c r="N2230" s="11">
        <f t="shared" si="345"/>
        <v>0.49055708251363395</v>
      </c>
      <c r="O2230" s="3">
        <v>4.1442917486366061E-2</v>
      </c>
      <c r="P2230" s="11">
        <f t="shared" si="346"/>
        <v>355.10802250470277</v>
      </c>
      <c r="Q2230" s="12">
        <f t="shared" si="347"/>
        <v>333.475802601498</v>
      </c>
      <c r="R2230" s="13">
        <f t="shared" si="348"/>
        <v>30.585208828369929</v>
      </c>
      <c r="S2230" s="3" t="s">
        <v>31</v>
      </c>
      <c r="T2230" s="3" t="s">
        <v>28</v>
      </c>
      <c r="U2230" s="10">
        <v>9420039900999</v>
      </c>
      <c r="V2230" s="3">
        <v>0.1</v>
      </c>
      <c r="W2230" s="3">
        <f t="shared" si="349"/>
        <v>0</v>
      </c>
      <c r="AA2230" s="3">
        <v>48</v>
      </c>
    </row>
    <row r="2231" spans="1:27" x14ac:dyDescent="0.3">
      <c r="A2231" s="3" t="str">
        <f t="shared" si="340"/>
        <v>North9420019902838</v>
      </c>
      <c r="B2231" s="3" t="str">
        <f t="shared" si="341"/>
        <v>Lud9420019902838</v>
      </c>
      <c r="C2231" s="10">
        <v>9420019902838</v>
      </c>
      <c r="D2231" s="10" t="str">
        <f t="shared" si="342"/>
        <v>9420019902</v>
      </c>
      <c r="E2231" s="3" t="s">
        <v>3</v>
      </c>
      <c r="F2231" s="3" t="s">
        <v>64</v>
      </c>
      <c r="H2231" s="3">
        <v>0.8777999999999998</v>
      </c>
      <c r="I2231" s="10">
        <f t="shared" si="343"/>
        <v>736.02283679054722</v>
      </c>
      <c r="J2231" s="3">
        <v>3.577878115145218E-2</v>
      </c>
      <c r="K2231" s="3">
        <v>0</v>
      </c>
      <c r="L2231" s="3">
        <f t="shared" si="344"/>
        <v>0</v>
      </c>
      <c r="N2231" s="11">
        <f t="shared" si="345"/>
        <v>0.84202121884854764</v>
      </c>
      <c r="O2231" s="3">
        <v>3.577878115145218E-2</v>
      </c>
      <c r="P2231" s="11">
        <f t="shared" si="346"/>
        <v>706.02283679054722</v>
      </c>
      <c r="Q2231" s="12">
        <f t="shared" si="347"/>
        <v>558.80304425623399</v>
      </c>
      <c r="R2231" s="13">
        <f t="shared" si="348"/>
        <v>94.982382273186985</v>
      </c>
      <c r="S2231" s="3" t="s">
        <v>31</v>
      </c>
      <c r="T2231" s="3" t="s">
        <v>28</v>
      </c>
      <c r="U2231" s="10">
        <v>0</v>
      </c>
      <c r="V2231" s="3">
        <v>0</v>
      </c>
      <c r="W2231" s="3">
        <f t="shared" si="349"/>
        <v>0</v>
      </c>
      <c r="AA2231" s="3">
        <v>48</v>
      </c>
    </row>
    <row r="2232" spans="1:27" x14ac:dyDescent="0.3">
      <c r="A2232" s="3" t="str">
        <f t="shared" si="340"/>
        <v>North9420019902295</v>
      </c>
      <c r="B2232" s="3" t="str">
        <f t="shared" si="341"/>
        <v>Lud9420019902295</v>
      </c>
      <c r="C2232" s="10">
        <v>9420019902295</v>
      </c>
      <c r="D2232" s="10" t="str">
        <f t="shared" si="342"/>
        <v>9420019902</v>
      </c>
      <c r="E2232" s="3" t="s">
        <v>3</v>
      </c>
      <c r="F2232" s="3" t="s">
        <v>64</v>
      </c>
      <c r="H2232" s="3">
        <v>0.2185</v>
      </c>
      <c r="I2232" s="10">
        <f t="shared" si="343"/>
        <v>271.01588315207681</v>
      </c>
      <c r="J2232" s="3">
        <v>2.4186774309171218E-2</v>
      </c>
      <c r="K2232" s="3">
        <v>0</v>
      </c>
      <c r="L2232" s="3">
        <f t="shared" si="344"/>
        <v>0</v>
      </c>
      <c r="N2232" s="11">
        <f t="shared" si="345"/>
        <v>0.19431322569082879</v>
      </c>
      <c r="O2232" s="3">
        <v>2.4186774309171218E-2</v>
      </c>
      <c r="P2232" s="11">
        <f t="shared" si="346"/>
        <v>241.01588315207681</v>
      </c>
      <c r="Q2232" s="12">
        <f t="shared" si="347"/>
        <v>290.21077215679566</v>
      </c>
      <c r="R2232" s="13">
        <f t="shared" si="348"/>
        <v>39.953658255764203</v>
      </c>
      <c r="S2232" s="3" t="s">
        <v>31</v>
      </c>
      <c r="T2232" s="3" t="s">
        <v>28</v>
      </c>
      <c r="U2232" s="10">
        <v>9420019900999</v>
      </c>
      <c r="V2232" s="3">
        <v>0.1</v>
      </c>
      <c r="W2232" s="3">
        <f t="shared" si="349"/>
        <v>0</v>
      </c>
      <c r="AA2232" s="3">
        <v>48</v>
      </c>
    </row>
    <row r="2233" spans="1:27" x14ac:dyDescent="0.3">
      <c r="A2233" s="3" t="str">
        <f t="shared" si="340"/>
        <v>North9310029902297</v>
      </c>
      <c r="B2233" s="3" t="str">
        <f t="shared" si="341"/>
        <v>Lud9310029902297</v>
      </c>
      <c r="C2233" s="10">
        <v>9310029902297</v>
      </c>
      <c r="D2233" s="10" t="str">
        <f t="shared" si="342"/>
        <v>9310029902</v>
      </c>
      <c r="E2233" s="3" t="s">
        <v>3</v>
      </c>
      <c r="F2233" s="3" t="s">
        <v>64</v>
      </c>
      <c r="H2233" s="3">
        <v>0.29249999999999998</v>
      </c>
      <c r="I2233" s="10">
        <f t="shared" si="343"/>
        <v>709.88288024603457</v>
      </c>
      <c r="J2233" s="3">
        <v>1.2361193999999999E-2</v>
      </c>
      <c r="K2233" s="3">
        <v>0</v>
      </c>
      <c r="L2233" s="3">
        <f t="shared" si="344"/>
        <v>0</v>
      </c>
      <c r="N2233" s="11">
        <f t="shared" si="345"/>
        <v>0.28013880599999996</v>
      </c>
      <c r="O2233" s="3">
        <v>1.2361193999999999E-2</v>
      </c>
      <c r="P2233" s="11">
        <f t="shared" si="346"/>
        <v>679.88288024603446</v>
      </c>
      <c r="Q2233" s="12">
        <f t="shared" si="347"/>
        <v>461.40638625298413</v>
      </c>
      <c r="R2233" s="13">
        <f t="shared" si="348"/>
        <v>963.61422022948886</v>
      </c>
      <c r="S2233" s="3" t="s">
        <v>31</v>
      </c>
      <c r="T2233" s="3" t="s">
        <v>32</v>
      </c>
      <c r="U2233" s="10">
        <v>9310029900999</v>
      </c>
      <c r="V2233" s="3">
        <v>0.1</v>
      </c>
      <c r="W2233" s="3">
        <f t="shared" si="349"/>
        <v>0</v>
      </c>
      <c r="AA2233" s="3">
        <v>48</v>
      </c>
    </row>
    <row r="2234" spans="1:27" x14ac:dyDescent="0.3">
      <c r="A2234" s="3" t="str">
        <f t="shared" si="340"/>
        <v>North9410059900840</v>
      </c>
      <c r="B2234" s="3" t="str">
        <f t="shared" si="341"/>
        <v>Lud9410059900840</v>
      </c>
      <c r="C2234" s="10">
        <v>9410059900840</v>
      </c>
      <c r="D2234" s="10" t="str">
        <f t="shared" si="342"/>
        <v>9410059900</v>
      </c>
      <c r="E2234" s="3" t="s">
        <v>3</v>
      </c>
      <c r="F2234" s="3" t="s">
        <v>64</v>
      </c>
      <c r="H2234" s="3">
        <v>15.712</v>
      </c>
      <c r="I2234" s="10">
        <f t="shared" si="343"/>
        <v>46473.327528111149</v>
      </c>
      <c r="J2234" s="3">
        <v>1.0142592000000001E-2</v>
      </c>
      <c r="K2234" s="3">
        <v>0</v>
      </c>
      <c r="L2234" s="3">
        <f t="shared" si="344"/>
        <v>0</v>
      </c>
      <c r="N2234" s="11">
        <f t="shared" si="345"/>
        <v>15.701857408</v>
      </c>
      <c r="O2234" s="3">
        <v>1.0142592000000001E-2</v>
      </c>
      <c r="P2234" s="11">
        <f t="shared" si="346"/>
        <v>46443.327528111156</v>
      </c>
      <c r="Q2234" s="12">
        <f t="shared" si="347"/>
        <v>5492.781679901188</v>
      </c>
      <c r="R2234" s="13">
        <f t="shared" si="348"/>
        <v>376.09378425700692</v>
      </c>
      <c r="S2234" s="3" t="s">
        <v>31</v>
      </c>
      <c r="T2234" s="3" t="s">
        <v>32</v>
      </c>
      <c r="U2234" s="10">
        <v>0</v>
      </c>
      <c r="V2234" s="3">
        <v>0</v>
      </c>
      <c r="W2234" s="3">
        <f t="shared" si="349"/>
        <v>0</v>
      </c>
      <c r="AA2234" s="3">
        <v>48</v>
      </c>
    </row>
    <row r="2235" spans="1:27" x14ac:dyDescent="0.3">
      <c r="A2235" s="3" t="str">
        <f t="shared" si="340"/>
        <v>North9420039902295</v>
      </c>
      <c r="B2235" s="3" t="str">
        <f t="shared" si="341"/>
        <v>Lud9420039902295</v>
      </c>
      <c r="C2235" s="10">
        <v>9420039902295</v>
      </c>
      <c r="D2235" s="10" t="str">
        <f t="shared" si="342"/>
        <v>9420039902</v>
      </c>
      <c r="E2235" s="3" t="s">
        <v>3</v>
      </c>
      <c r="F2235" s="3" t="s">
        <v>64</v>
      </c>
      <c r="H2235" s="3">
        <v>0.36100000000000004</v>
      </c>
      <c r="I2235" s="10">
        <f t="shared" si="343"/>
        <v>1253.4376536157333</v>
      </c>
      <c r="J2235" s="3">
        <v>8.6402382829007928E-3</v>
      </c>
      <c r="K2235" s="3">
        <v>0</v>
      </c>
      <c r="L2235" s="3">
        <f t="shared" si="344"/>
        <v>0</v>
      </c>
      <c r="N2235" s="11">
        <f t="shared" si="345"/>
        <v>0.35235976171709926</v>
      </c>
      <c r="O2235" s="3">
        <v>8.6402382829007928E-3</v>
      </c>
      <c r="P2235" s="11">
        <f t="shared" si="346"/>
        <v>1223.4376536157333</v>
      </c>
      <c r="Q2235" s="12">
        <f t="shared" si="347"/>
        <v>36.415016390495076</v>
      </c>
      <c r="R2235" s="13">
        <f t="shared" si="348"/>
        <v>60.650053320416951</v>
      </c>
      <c r="S2235" s="3" t="s">
        <v>31</v>
      </c>
      <c r="T2235" s="3" t="s">
        <v>28</v>
      </c>
      <c r="U2235" s="10">
        <v>9420039900999</v>
      </c>
      <c r="V2235" s="3">
        <v>0.1</v>
      </c>
      <c r="W2235" s="3">
        <f t="shared" si="349"/>
        <v>0</v>
      </c>
      <c r="AA2235" s="3">
        <v>48</v>
      </c>
    </row>
    <row r="2236" spans="1:27" x14ac:dyDescent="0.3">
      <c r="A2236" s="3" t="str">
        <f t="shared" si="340"/>
        <v>North9420059902319</v>
      </c>
      <c r="B2236" s="3" t="str">
        <f t="shared" si="341"/>
        <v>Lud9420059902319</v>
      </c>
      <c r="C2236" s="10">
        <v>9420059902319</v>
      </c>
      <c r="D2236" s="10" t="str">
        <f t="shared" si="342"/>
        <v>9420059902</v>
      </c>
      <c r="E2236" s="3" t="s">
        <v>3</v>
      </c>
      <c r="F2236" s="3" t="s">
        <v>64</v>
      </c>
      <c r="H2236" s="3">
        <v>30.418999999999997</v>
      </c>
      <c r="I2236" s="10">
        <f t="shared" si="343"/>
        <v>142833.27422665709</v>
      </c>
      <c r="J2236" s="3">
        <v>6.3890574863660603E-3</v>
      </c>
      <c r="K2236" s="3">
        <v>0</v>
      </c>
      <c r="L2236" s="3">
        <f t="shared" si="344"/>
        <v>0</v>
      </c>
      <c r="N2236" s="11">
        <f t="shared" si="345"/>
        <v>30.412610942513631</v>
      </c>
      <c r="O2236" s="3">
        <v>6.3890574863660603E-3</v>
      </c>
      <c r="P2236" s="11">
        <f t="shared" si="346"/>
        <v>142803.27422665709</v>
      </c>
      <c r="Q2236" s="12">
        <f t="shared" si="347"/>
        <v>1593.5316761422262</v>
      </c>
      <c r="R2236" s="13">
        <f t="shared" si="348"/>
        <v>170.75579655594075</v>
      </c>
      <c r="S2236" s="3" t="s">
        <v>31</v>
      </c>
      <c r="T2236" s="3" t="s">
        <v>28</v>
      </c>
      <c r="U2236" s="10">
        <v>9420059900999</v>
      </c>
      <c r="V2236" s="3">
        <v>0.1</v>
      </c>
      <c r="W2236" s="3">
        <f t="shared" si="349"/>
        <v>0</v>
      </c>
      <c r="AA2236" s="3">
        <v>48</v>
      </c>
    </row>
    <row r="2237" spans="1:27" x14ac:dyDescent="0.3">
      <c r="A2237" s="3" t="str">
        <f t="shared" si="340"/>
        <v>North9161109900210</v>
      </c>
      <c r="B2237" s="3" t="str">
        <f t="shared" si="341"/>
        <v>Lud9161109900210</v>
      </c>
      <c r="C2237" s="10">
        <v>9161109900210</v>
      </c>
      <c r="D2237" s="10" t="str">
        <f t="shared" si="342"/>
        <v>9161109900</v>
      </c>
      <c r="E2237" s="3" t="s">
        <v>3</v>
      </c>
      <c r="F2237" s="3" t="s">
        <v>64</v>
      </c>
      <c r="H2237" s="3">
        <v>6.4000000000000001E-2</v>
      </c>
      <c r="I2237" s="10">
        <f t="shared" si="343"/>
        <v>0</v>
      </c>
      <c r="J2237" s="3">
        <v>0</v>
      </c>
      <c r="K2237" s="3">
        <v>0</v>
      </c>
      <c r="L2237" s="3">
        <f t="shared" si="344"/>
        <v>0</v>
      </c>
      <c r="N2237" s="11">
        <f t="shared" si="345"/>
        <v>6.4000000000000001E-2</v>
      </c>
      <c r="O2237" s="3">
        <v>0</v>
      </c>
      <c r="P2237" s="11">
        <f t="shared" si="346"/>
        <v>9999</v>
      </c>
      <c r="Q2237" s="12">
        <f t="shared" si="347"/>
        <v>9999</v>
      </c>
      <c r="R2237" s="13">
        <f t="shared" si="348"/>
        <v>9999</v>
      </c>
      <c r="S2237" s="3" t="s">
        <v>31</v>
      </c>
      <c r="T2237" s="3" t="s">
        <v>34</v>
      </c>
      <c r="U2237" s="10" t="s">
        <v>72</v>
      </c>
      <c r="V2237" s="3" t="s">
        <v>72</v>
      </c>
      <c r="W2237" s="3">
        <f t="shared" si="349"/>
        <v>0</v>
      </c>
      <c r="AA2237" s="3">
        <v>48</v>
      </c>
    </row>
    <row r="2238" spans="1:27" x14ac:dyDescent="0.3">
      <c r="A2238" s="3" t="str">
        <f t="shared" si="340"/>
        <v>North9101109900210</v>
      </c>
      <c r="B2238" s="3" t="str">
        <f t="shared" si="341"/>
        <v>Lud9101109900210</v>
      </c>
      <c r="C2238" s="10">
        <v>9101109900210</v>
      </c>
      <c r="D2238" s="10" t="str">
        <f t="shared" si="342"/>
        <v>9101109900</v>
      </c>
      <c r="E2238" s="3" t="s">
        <v>3</v>
      </c>
      <c r="F2238" s="3" t="s">
        <v>64</v>
      </c>
      <c r="H2238" s="3">
        <v>0</v>
      </c>
      <c r="I2238" s="10">
        <f t="shared" si="343"/>
        <v>0</v>
      </c>
      <c r="J2238" s="3">
        <v>0</v>
      </c>
      <c r="K2238" s="3">
        <v>0</v>
      </c>
      <c r="L2238" s="3">
        <f t="shared" si="344"/>
        <v>0</v>
      </c>
      <c r="N2238" s="11">
        <f t="shared" si="345"/>
        <v>0</v>
      </c>
      <c r="O2238" s="3">
        <v>0</v>
      </c>
      <c r="P2238" s="11">
        <f t="shared" si="346"/>
        <v>9999</v>
      </c>
      <c r="Q2238" s="12">
        <f t="shared" si="347"/>
        <v>9999</v>
      </c>
      <c r="R2238" s="13">
        <f t="shared" si="348"/>
        <v>9999</v>
      </c>
      <c r="S2238" s="3" t="s">
        <v>31</v>
      </c>
      <c r="T2238" s="3" t="s">
        <v>34</v>
      </c>
      <c r="U2238" s="10" t="s">
        <v>72</v>
      </c>
      <c r="V2238" s="3" t="s">
        <v>72</v>
      </c>
      <c r="W2238" s="3">
        <f t="shared" si="349"/>
        <v>0</v>
      </c>
      <c r="AA2238" s="3">
        <v>48</v>
      </c>
    </row>
    <row r="2239" spans="1:27" x14ac:dyDescent="0.3">
      <c r="A2239" s="3" t="str">
        <f t="shared" si="340"/>
        <v>North9160509901210</v>
      </c>
      <c r="B2239" s="3" t="str">
        <f t="shared" si="341"/>
        <v>Lud9160509901210</v>
      </c>
      <c r="C2239" s="10">
        <v>9160509901210</v>
      </c>
      <c r="D2239" s="10" t="str">
        <f t="shared" si="342"/>
        <v>9160509901</v>
      </c>
      <c r="E2239" s="3" t="s">
        <v>3</v>
      </c>
      <c r="F2239" s="3" t="s">
        <v>64</v>
      </c>
      <c r="H2239" s="3">
        <v>2.1999999999999999E-2</v>
      </c>
      <c r="I2239" s="10">
        <f t="shared" si="343"/>
        <v>0</v>
      </c>
      <c r="J2239" s="3">
        <v>0</v>
      </c>
      <c r="K2239" s="3">
        <v>0</v>
      </c>
      <c r="L2239" s="3">
        <f t="shared" si="344"/>
        <v>0</v>
      </c>
      <c r="N2239" s="11">
        <f t="shared" si="345"/>
        <v>2.1999999999999999E-2</v>
      </c>
      <c r="O2239" s="3">
        <v>0</v>
      </c>
      <c r="P2239" s="11">
        <f t="shared" si="346"/>
        <v>9999</v>
      </c>
      <c r="Q2239" s="12">
        <f t="shared" si="347"/>
        <v>9999</v>
      </c>
      <c r="R2239" s="13">
        <f t="shared" si="348"/>
        <v>9999</v>
      </c>
      <c r="S2239" s="3" t="s">
        <v>31</v>
      </c>
      <c r="T2239" s="3" t="s">
        <v>34</v>
      </c>
      <c r="U2239" s="10" t="s">
        <v>72</v>
      </c>
      <c r="V2239" s="3" t="s">
        <v>72</v>
      </c>
      <c r="W2239" s="3">
        <f t="shared" si="349"/>
        <v>0</v>
      </c>
      <c r="AA2239" s="3">
        <v>48</v>
      </c>
    </row>
    <row r="2240" spans="1:27" x14ac:dyDescent="0.3">
      <c r="A2240" s="3" t="str">
        <f t="shared" si="340"/>
        <v>North9160709902097</v>
      </c>
      <c r="B2240" s="3" t="str">
        <f t="shared" si="341"/>
        <v>Lud9160709902097</v>
      </c>
      <c r="C2240" s="10">
        <v>9160709902097</v>
      </c>
      <c r="D2240" s="10" t="str">
        <f t="shared" si="342"/>
        <v>9160709902</v>
      </c>
      <c r="E2240" s="3" t="s">
        <v>3</v>
      </c>
      <c r="F2240" s="3" t="s">
        <v>64</v>
      </c>
      <c r="H2240" s="3">
        <v>0</v>
      </c>
      <c r="I2240" s="10">
        <f t="shared" si="343"/>
        <v>0</v>
      </c>
      <c r="J2240" s="3">
        <v>0</v>
      </c>
      <c r="K2240" s="3">
        <v>0</v>
      </c>
      <c r="L2240" s="3">
        <f t="shared" si="344"/>
        <v>0</v>
      </c>
      <c r="N2240" s="11">
        <f t="shared" si="345"/>
        <v>0</v>
      </c>
      <c r="O2240" s="3">
        <v>0</v>
      </c>
      <c r="P2240" s="11">
        <f t="shared" si="346"/>
        <v>9999</v>
      </c>
      <c r="Q2240" s="12">
        <f t="shared" si="347"/>
        <v>9999</v>
      </c>
      <c r="R2240" s="13">
        <f t="shared" si="348"/>
        <v>9999</v>
      </c>
      <c r="S2240" s="3" t="s">
        <v>31</v>
      </c>
      <c r="T2240" s="3" t="s">
        <v>34</v>
      </c>
      <c r="U2240" s="10" t="s">
        <v>72</v>
      </c>
      <c r="V2240" s="3" t="s">
        <v>72</v>
      </c>
      <c r="W2240" s="3">
        <f t="shared" si="349"/>
        <v>0</v>
      </c>
      <c r="AA2240" s="3">
        <v>48</v>
      </c>
    </row>
    <row r="2241" spans="1:27" x14ac:dyDescent="0.3">
      <c r="A2241" s="3" t="str">
        <f t="shared" si="340"/>
        <v>North9420049902195</v>
      </c>
      <c r="B2241" s="3" t="str">
        <f t="shared" si="341"/>
        <v>Lud9420049902195</v>
      </c>
      <c r="C2241" s="10">
        <v>9420049902195</v>
      </c>
      <c r="D2241" s="10" t="str">
        <f t="shared" si="342"/>
        <v>9420049902</v>
      </c>
      <c r="E2241" s="3" t="s">
        <v>3</v>
      </c>
      <c r="F2241" s="3" t="s">
        <v>64</v>
      </c>
      <c r="H2241" s="3">
        <v>0</v>
      </c>
      <c r="I2241" s="10">
        <f t="shared" si="343"/>
        <v>0</v>
      </c>
      <c r="J2241" s="3">
        <v>0</v>
      </c>
      <c r="K2241" s="3">
        <v>0</v>
      </c>
      <c r="L2241" s="3">
        <f t="shared" si="344"/>
        <v>0</v>
      </c>
      <c r="N2241" s="11">
        <f t="shared" si="345"/>
        <v>0</v>
      </c>
      <c r="O2241" s="3">
        <v>0</v>
      </c>
      <c r="P2241" s="11">
        <f t="shared" si="346"/>
        <v>9999</v>
      </c>
      <c r="Q2241" s="12">
        <f t="shared" si="347"/>
        <v>-29.999999999999996</v>
      </c>
      <c r="R2241" s="13">
        <f t="shared" si="348"/>
        <v>-30</v>
      </c>
      <c r="S2241" s="3" t="s">
        <v>31</v>
      </c>
      <c r="T2241" s="3" t="s">
        <v>28</v>
      </c>
      <c r="U2241" s="10">
        <v>0</v>
      </c>
      <c r="V2241" s="3">
        <v>0</v>
      </c>
      <c r="W2241" s="3">
        <f t="shared" si="349"/>
        <v>0</v>
      </c>
      <c r="AA2241" s="3">
        <v>48</v>
      </c>
    </row>
    <row r="2242" spans="1:27" x14ac:dyDescent="0.3">
      <c r="A2242" s="3" t="str">
        <f t="shared" si="340"/>
        <v>North9420049902319</v>
      </c>
      <c r="B2242" s="3" t="str">
        <f t="shared" si="341"/>
        <v>Lud9420049902319</v>
      </c>
      <c r="C2242" s="10">
        <v>9420049902319</v>
      </c>
      <c r="D2242" s="10" t="str">
        <f t="shared" si="342"/>
        <v>9420049902</v>
      </c>
      <c r="E2242" s="3" t="s">
        <v>3</v>
      </c>
      <c r="F2242" s="3" t="s">
        <v>64</v>
      </c>
      <c r="H2242" s="3">
        <v>2.9260000000000002</v>
      </c>
      <c r="I2242" s="10">
        <f t="shared" si="343"/>
        <v>0</v>
      </c>
      <c r="J2242" s="3">
        <v>0</v>
      </c>
      <c r="K2242" s="3">
        <v>0</v>
      </c>
      <c r="L2242" s="3">
        <f t="shared" si="344"/>
        <v>0</v>
      </c>
      <c r="N2242" s="11">
        <f t="shared" si="345"/>
        <v>2.9260000000000002</v>
      </c>
      <c r="O2242" s="3">
        <v>0</v>
      </c>
      <c r="P2242" s="11">
        <f t="shared" si="346"/>
        <v>9999</v>
      </c>
      <c r="Q2242" s="12">
        <f t="shared" si="347"/>
        <v>13994.57576617682</v>
      </c>
      <c r="R2242" s="13">
        <f t="shared" si="348"/>
        <v>24424.26870277066</v>
      </c>
      <c r="S2242" s="3" t="s">
        <v>31</v>
      </c>
      <c r="T2242" s="3" t="s">
        <v>28</v>
      </c>
      <c r="U2242" s="10">
        <v>9420049900999</v>
      </c>
      <c r="V2242" s="3">
        <v>0.1</v>
      </c>
      <c r="W2242" s="3">
        <f t="shared" si="349"/>
        <v>0</v>
      </c>
      <c r="AA2242" s="3">
        <v>48</v>
      </c>
    </row>
    <row r="2243" spans="1:27" x14ac:dyDescent="0.3">
      <c r="A2243" s="3" t="str">
        <f t="shared" si="340"/>
        <v>North9160509900210</v>
      </c>
      <c r="B2243" s="3" t="str">
        <f t="shared" si="341"/>
        <v>Lud9160509900210</v>
      </c>
      <c r="C2243" s="10">
        <v>9160509900210</v>
      </c>
      <c r="D2243" s="10" t="str">
        <f t="shared" si="342"/>
        <v>9160509900</v>
      </c>
      <c r="E2243" s="3" t="s">
        <v>3</v>
      </c>
      <c r="F2243" s="3" t="s">
        <v>64</v>
      </c>
      <c r="H2243" s="3">
        <v>0</v>
      </c>
      <c r="I2243" s="10">
        <f t="shared" si="343"/>
        <v>0</v>
      </c>
      <c r="J2243" s="3">
        <v>0</v>
      </c>
      <c r="K2243" s="3">
        <v>0</v>
      </c>
      <c r="L2243" s="3">
        <f t="shared" si="344"/>
        <v>0</v>
      </c>
      <c r="N2243" s="11">
        <f t="shared" si="345"/>
        <v>0</v>
      </c>
      <c r="O2243" s="3">
        <v>0</v>
      </c>
      <c r="P2243" s="11">
        <f t="shared" si="346"/>
        <v>9999</v>
      </c>
      <c r="Q2243" s="12">
        <f t="shared" si="347"/>
        <v>9999</v>
      </c>
      <c r="R2243" s="13">
        <f t="shared" si="348"/>
        <v>9999</v>
      </c>
      <c r="S2243" s="3" t="s">
        <v>31</v>
      </c>
      <c r="T2243" s="3" t="s">
        <v>34</v>
      </c>
      <c r="U2243" s="10" t="s">
        <v>72</v>
      </c>
      <c r="V2243" s="3" t="s">
        <v>72</v>
      </c>
      <c r="W2243" s="3">
        <f t="shared" si="349"/>
        <v>0</v>
      </c>
      <c r="AA2243" s="3">
        <v>48</v>
      </c>
    </row>
    <row r="2244" spans="1:27" x14ac:dyDescent="0.3">
      <c r="A2244" s="3" t="str">
        <f t="shared" ref="A2244:A2307" si="350">_xlfn.CONCAT(F2244,C2244)</f>
        <v>North9100309902195</v>
      </c>
      <c r="B2244" s="3" t="str">
        <f t="shared" ref="B2244:B2307" si="351">_xlfn.CONCAT(E2244,C2244)</f>
        <v>Lud9100309902195</v>
      </c>
      <c r="C2244" s="10">
        <v>9100309902195</v>
      </c>
      <c r="D2244" s="10" t="str">
        <f t="shared" ref="D2244:D2307" si="352">LEFT(C2244,10)</f>
        <v>9100309902</v>
      </c>
      <c r="E2244" s="3" t="s">
        <v>3</v>
      </c>
      <c r="F2244" s="3" t="s">
        <v>64</v>
      </c>
      <c r="H2244" s="3">
        <v>0</v>
      </c>
      <c r="I2244" s="10">
        <f t="shared" ref="I2244:I2307" si="353">IFERROR(H2244/J2244*30,0)</f>
        <v>0</v>
      </c>
      <c r="J2244" s="3">
        <v>0</v>
      </c>
      <c r="K2244" s="3">
        <v>0</v>
      </c>
      <c r="L2244" s="3">
        <f t="shared" ref="L2244:L2307" si="354">M2244*G2244</f>
        <v>0</v>
      </c>
      <c r="N2244" s="11">
        <f t="shared" ref="N2244:N2307" si="355">H2244-J2244+L2244</f>
        <v>0</v>
      </c>
      <c r="O2244" s="3">
        <v>0</v>
      </c>
      <c r="P2244" s="11">
        <f t="shared" ref="P2244:P2307" si="356">IF(O2244=0,9999,N2244/O2244*30)</f>
        <v>9999</v>
      </c>
      <c r="Q2244" s="12">
        <f t="shared" ref="Q2244:Q2307" si="357">IF(SUMIF($A:$A,$A2244,$O:$O)=0,9999,SUMIF($A:$A,$A2244,$N:$N)*30/SUMIF($A:$A,$A2244,$O:$O))</f>
        <v>9999</v>
      </c>
      <c r="R2244" s="13">
        <f t="shared" ref="R2244:R2307" si="358">IF(SUMIF($C:$C,$C2244,$O:$O)=0,9999,SUMIF($C:$C,$C2244,$N:$N)*30/SUMIF($C:$C,$C2244,$O:$O))</f>
        <v>9999</v>
      </c>
      <c r="S2244" s="3" t="s">
        <v>31</v>
      </c>
      <c r="T2244" s="3" t="s">
        <v>34</v>
      </c>
      <c r="U2244" s="10" t="s">
        <v>72</v>
      </c>
      <c r="V2244" s="3" t="s">
        <v>72</v>
      </c>
      <c r="W2244" s="3">
        <f t="shared" ref="W2244:W2307" si="359">IFERROR(K2244*V2244,0)</f>
        <v>0</v>
      </c>
      <c r="AA2244" s="3">
        <v>48</v>
      </c>
    </row>
    <row r="2245" spans="1:27" x14ac:dyDescent="0.3">
      <c r="A2245" s="3" t="str">
        <f t="shared" si="350"/>
        <v>North9420049902838</v>
      </c>
      <c r="B2245" s="3" t="str">
        <f t="shared" si="351"/>
        <v>Lud9420049902838</v>
      </c>
      <c r="C2245" s="10">
        <v>9420049902838</v>
      </c>
      <c r="D2245" s="10" t="str">
        <f t="shared" si="352"/>
        <v>9420049902</v>
      </c>
      <c r="E2245" s="3" t="s">
        <v>3</v>
      </c>
      <c r="F2245" s="3" t="s">
        <v>64</v>
      </c>
      <c r="H2245" s="3">
        <v>0</v>
      </c>
      <c r="I2245" s="10">
        <f t="shared" si="353"/>
        <v>0</v>
      </c>
      <c r="J2245" s="3">
        <v>0</v>
      </c>
      <c r="K2245" s="3">
        <v>0</v>
      </c>
      <c r="L2245" s="3">
        <f t="shared" si="354"/>
        <v>0</v>
      </c>
      <c r="N2245" s="11">
        <f t="shared" si="355"/>
        <v>0</v>
      </c>
      <c r="O2245" s="3">
        <v>0</v>
      </c>
      <c r="P2245" s="11">
        <f t="shared" si="356"/>
        <v>9999</v>
      </c>
      <c r="Q2245" s="12">
        <f t="shared" si="357"/>
        <v>9999</v>
      </c>
      <c r="R2245" s="13">
        <f t="shared" si="358"/>
        <v>-30</v>
      </c>
      <c r="S2245" s="3" t="s">
        <v>31</v>
      </c>
      <c r="T2245" s="3" t="s">
        <v>28</v>
      </c>
      <c r="U2245" s="10">
        <v>0</v>
      </c>
      <c r="V2245" s="3">
        <v>0</v>
      </c>
      <c r="W2245" s="3">
        <f t="shared" si="359"/>
        <v>0</v>
      </c>
      <c r="AA2245" s="3">
        <v>48</v>
      </c>
    </row>
    <row r="2246" spans="1:27" x14ac:dyDescent="0.3">
      <c r="A2246" s="3" t="str">
        <f t="shared" si="350"/>
        <v>North9100309901210</v>
      </c>
      <c r="B2246" s="3" t="str">
        <f t="shared" si="351"/>
        <v>Lud9100309901210</v>
      </c>
      <c r="C2246" s="10">
        <v>9100309901210</v>
      </c>
      <c r="D2246" s="10" t="str">
        <f t="shared" si="352"/>
        <v>9100309901</v>
      </c>
      <c r="E2246" s="3" t="s">
        <v>3</v>
      </c>
      <c r="F2246" s="3" t="s">
        <v>64</v>
      </c>
      <c r="H2246" s="3">
        <v>0</v>
      </c>
      <c r="I2246" s="10">
        <f t="shared" si="353"/>
        <v>0</v>
      </c>
      <c r="J2246" s="3">
        <v>0</v>
      </c>
      <c r="K2246" s="3">
        <v>0</v>
      </c>
      <c r="L2246" s="3">
        <f t="shared" si="354"/>
        <v>0</v>
      </c>
      <c r="N2246" s="11">
        <f t="shared" si="355"/>
        <v>0</v>
      </c>
      <c r="O2246" s="3">
        <v>0</v>
      </c>
      <c r="P2246" s="11">
        <f t="shared" si="356"/>
        <v>9999</v>
      </c>
      <c r="Q2246" s="12">
        <f t="shared" si="357"/>
        <v>9999</v>
      </c>
      <c r="R2246" s="13">
        <f t="shared" si="358"/>
        <v>9999</v>
      </c>
      <c r="S2246" s="3" t="s">
        <v>31</v>
      </c>
      <c r="T2246" s="3" t="s">
        <v>34</v>
      </c>
      <c r="U2246" s="10" t="s">
        <v>72</v>
      </c>
      <c r="V2246" s="3" t="s">
        <v>72</v>
      </c>
      <c r="W2246" s="3">
        <f t="shared" si="359"/>
        <v>0</v>
      </c>
      <c r="AA2246" s="3">
        <v>48</v>
      </c>
    </row>
    <row r="2247" spans="1:27" x14ac:dyDescent="0.3">
      <c r="A2247" s="3" t="str">
        <f t="shared" si="350"/>
        <v>North9410059900210</v>
      </c>
      <c r="B2247" s="3" t="str">
        <f t="shared" si="351"/>
        <v>Lud9410059900210</v>
      </c>
      <c r="C2247" s="10">
        <v>9410059900210</v>
      </c>
      <c r="D2247" s="10" t="str">
        <f t="shared" si="352"/>
        <v>9410059900</v>
      </c>
      <c r="E2247" s="3" t="s">
        <v>3</v>
      </c>
      <c r="F2247" s="3" t="s">
        <v>64</v>
      </c>
      <c r="H2247" s="3">
        <v>0.47700000000000004</v>
      </c>
      <c r="I2247" s="10">
        <f t="shared" si="353"/>
        <v>0</v>
      </c>
      <c r="J2247" s="3">
        <v>0</v>
      </c>
      <c r="K2247" s="3">
        <v>0</v>
      </c>
      <c r="L2247" s="3">
        <f t="shared" si="354"/>
        <v>0</v>
      </c>
      <c r="N2247" s="11">
        <f t="shared" si="355"/>
        <v>0.47700000000000004</v>
      </c>
      <c r="O2247" s="3">
        <v>0</v>
      </c>
      <c r="P2247" s="11">
        <f t="shared" si="356"/>
        <v>9999</v>
      </c>
      <c r="Q2247" s="12">
        <f t="shared" si="357"/>
        <v>9999</v>
      </c>
      <c r="R2247" s="13">
        <f t="shared" si="358"/>
        <v>190.32630093769362</v>
      </c>
      <c r="S2247" s="3" t="s">
        <v>31</v>
      </c>
      <c r="T2247" s="3" t="s">
        <v>32</v>
      </c>
      <c r="U2247" s="10">
        <v>0</v>
      </c>
      <c r="V2247" s="3">
        <v>0</v>
      </c>
      <c r="W2247" s="3">
        <f t="shared" si="359"/>
        <v>0</v>
      </c>
      <c r="AA2247" s="3">
        <v>48</v>
      </c>
    </row>
    <row r="2248" spans="1:27" x14ac:dyDescent="0.3">
      <c r="A2248" s="3" t="str">
        <f t="shared" si="350"/>
        <v>North9100309900210</v>
      </c>
      <c r="B2248" s="3" t="str">
        <f t="shared" si="351"/>
        <v>Lud9100309900210</v>
      </c>
      <c r="C2248" s="10">
        <v>9100309900210</v>
      </c>
      <c r="D2248" s="10" t="str">
        <f t="shared" si="352"/>
        <v>9100309900</v>
      </c>
      <c r="E2248" s="3" t="s">
        <v>3</v>
      </c>
      <c r="F2248" s="3" t="s">
        <v>64</v>
      </c>
      <c r="H2248" s="3">
        <v>0</v>
      </c>
      <c r="I2248" s="10">
        <f t="shared" si="353"/>
        <v>0</v>
      </c>
      <c r="J2248" s="3">
        <v>0</v>
      </c>
      <c r="K2248" s="3">
        <v>0</v>
      </c>
      <c r="L2248" s="3">
        <f t="shared" si="354"/>
        <v>0</v>
      </c>
      <c r="N2248" s="11">
        <f t="shared" si="355"/>
        <v>0</v>
      </c>
      <c r="O2248" s="3">
        <v>0</v>
      </c>
      <c r="P2248" s="11">
        <f t="shared" si="356"/>
        <v>9999</v>
      </c>
      <c r="Q2248" s="12">
        <f t="shared" si="357"/>
        <v>9999</v>
      </c>
      <c r="R2248" s="13">
        <f t="shared" si="358"/>
        <v>9999</v>
      </c>
      <c r="S2248" s="3" t="s">
        <v>31</v>
      </c>
      <c r="T2248" s="3" t="s">
        <v>34</v>
      </c>
      <c r="U2248" s="10" t="s">
        <v>72</v>
      </c>
      <c r="V2248" s="3" t="s">
        <v>72</v>
      </c>
      <c r="W2248" s="3">
        <f t="shared" si="359"/>
        <v>0</v>
      </c>
      <c r="AA2248" s="3">
        <v>48</v>
      </c>
    </row>
    <row r="2249" spans="1:27" x14ac:dyDescent="0.3">
      <c r="A2249" s="3" t="str">
        <f t="shared" si="350"/>
        <v>North9420049902295</v>
      </c>
      <c r="B2249" s="3" t="str">
        <f t="shared" si="351"/>
        <v>Lud9420049902295</v>
      </c>
      <c r="C2249" s="10">
        <v>9420049902295</v>
      </c>
      <c r="D2249" s="10" t="str">
        <f t="shared" si="352"/>
        <v>9420049902</v>
      </c>
      <c r="E2249" s="3" t="s">
        <v>3</v>
      </c>
      <c r="F2249" s="3" t="s">
        <v>64</v>
      </c>
      <c r="H2249" s="3">
        <v>0.95950000000000002</v>
      </c>
      <c r="I2249" s="10">
        <f t="shared" si="353"/>
        <v>0</v>
      </c>
      <c r="J2249" s="3">
        <v>0</v>
      </c>
      <c r="K2249" s="3">
        <v>0</v>
      </c>
      <c r="L2249" s="3">
        <f t="shared" si="354"/>
        <v>0</v>
      </c>
      <c r="N2249" s="11">
        <f t="shared" si="355"/>
        <v>0.95950000000000002</v>
      </c>
      <c r="O2249" s="3">
        <v>0</v>
      </c>
      <c r="P2249" s="11">
        <f t="shared" si="356"/>
        <v>9999</v>
      </c>
      <c r="Q2249" s="12">
        <f t="shared" si="357"/>
        <v>9999</v>
      </c>
      <c r="R2249" s="13">
        <f t="shared" si="358"/>
        <v>15203.553616405226</v>
      </c>
      <c r="S2249" s="3" t="s">
        <v>31</v>
      </c>
      <c r="T2249" s="3" t="s">
        <v>28</v>
      </c>
      <c r="U2249" s="10">
        <v>9420049900999</v>
      </c>
      <c r="V2249" s="3">
        <v>0.1</v>
      </c>
      <c r="W2249" s="3">
        <f t="shared" si="359"/>
        <v>0</v>
      </c>
      <c r="AA2249" s="3">
        <v>48</v>
      </c>
    </row>
    <row r="2250" spans="1:27" x14ac:dyDescent="0.3">
      <c r="A2250" s="3" t="str">
        <f t="shared" si="350"/>
        <v>North9310029902839</v>
      </c>
      <c r="B2250" s="3" t="str">
        <f t="shared" si="351"/>
        <v>Lud9310029902839</v>
      </c>
      <c r="C2250" s="10">
        <v>9310029902839</v>
      </c>
      <c r="D2250" s="10" t="str">
        <f t="shared" si="352"/>
        <v>9310029902</v>
      </c>
      <c r="E2250" s="3" t="s">
        <v>3</v>
      </c>
      <c r="F2250" s="3" t="s">
        <v>64</v>
      </c>
      <c r="H2250" s="3">
        <v>0.43679999999999997</v>
      </c>
      <c r="I2250" s="10">
        <f t="shared" si="353"/>
        <v>0</v>
      </c>
      <c r="J2250" s="3">
        <v>0</v>
      </c>
      <c r="K2250" s="3">
        <v>0</v>
      </c>
      <c r="L2250" s="3">
        <f t="shared" si="354"/>
        <v>0</v>
      </c>
      <c r="N2250" s="11">
        <f t="shared" si="355"/>
        <v>0.43679999999999997</v>
      </c>
      <c r="O2250" s="3">
        <v>0</v>
      </c>
      <c r="P2250" s="11">
        <f t="shared" si="356"/>
        <v>9999</v>
      </c>
      <c r="Q2250" s="12">
        <f t="shared" si="357"/>
        <v>810.99306356598311</v>
      </c>
      <c r="R2250" s="13">
        <f t="shared" si="358"/>
        <v>778.76793913046367</v>
      </c>
      <c r="S2250" s="3" t="s">
        <v>31</v>
      </c>
      <c r="T2250" s="3" t="s">
        <v>32</v>
      </c>
      <c r="U2250" s="10">
        <v>0</v>
      </c>
      <c r="V2250" s="3">
        <v>0</v>
      </c>
      <c r="W2250" s="3">
        <f t="shared" si="359"/>
        <v>0</v>
      </c>
      <c r="AA2250" s="3">
        <v>48</v>
      </c>
    </row>
    <row r="2251" spans="1:27" x14ac:dyDescent="0.3">
      <c r="A2251" s="3" t="str">
        <f t="shared" si="350"/>
        <v>North9310029902097</v>
      </c>
      <c r="B2251" s="3" t="str">
        <f t="shared" si="351"/>
        <v>Lud9310029902097</v>
      </c>
      <c r="C2251" s="10">
        <v>9310029902097</v>
      </c>
      <c r="D2251" s="10" t="str">
        <f t="shared" si="352"/>
        <v>9310029902</v>
      </c>
      <c r="E2251" s="3" t="s">
        <v>3</v>
      </c>
      <c r="F2251" s="3" t="s">
        <v>64</v>
      </c>
      <c r="H2251" s="3">
        <v>0</v>
      </c>
      <c r="I2251" s="10">
        <f t="shared" si="353"/>
        <v>0</v>
      </c>
      <c r="J2251" s="3">
        <v>0</v>
      </c>
      <c r="K2251" s="3">
        <v>0</v>
      </c>
      <c r="L2251" s="3">
        <f t="shared" si="354"/>
        <v>0</v>
      </c>
      <c r="N2251" s="11">
        <f t="shared" si="355"/>
        <v>0</v>
      </c>
      <c r="O2251" s="3">
        <v>0</v>
      </c>
      <c r="P2251" s="11">
        <f t="shared" si="356"/>
        <v>9999</v>
      </c>
      <c r="Q2251" s="12">
        <f t="shared" si="357"/>
        <v>9999</v>
      </c>
      <c r="R2251" s="13">
        <f t="shared" si="358"/>
        <v>9999</v>
      </c>
      <c r="S2251" s="3" t="s">
        <v>31</v>
      </c>
      <c r="T2251" s="3" t="s">
        <v>32</v>
      </c>
      <c r="U2251" s="10">
        <v>0</v>
      </c>
      <c r="V2251" s="3">
        <v>0</v>
      </c>
      <c r="W2251" s="3">
        <f t="shared" si="359"/>
        <v>0</v>
      </c>
      <c r="AA2251" s="3">
        <v>48</v>
      </c>
    </row>
    <row r="2252" spans="1:27" x14ac:dyDescent="0.3">
      <c r="A2252" s="3" t="str">
        <f t="shared" si="350"/>
        <v>North9160509902097</v>
      </c>
      <c r="B2252" s="3" t="str">
        <f t="shared" si="351"/>
        <v>Lud9160509902097</v>
      </c>
      <c r="C2252" s="10">
        <v>9160509902097</v>
      </c>
      <c r="D2252" s="10" t="str">
        <f t="shared" si="352"/>
        <v>9160509902</v>
      </c>
      <c r="E2252" s="3" t="s">
        <v>3</v>
      </c>
      <c r="F2252" s="3" t="s">
        <v>64</v>
      </c>
      <c r="H2252" s="3">
        <v>0</v>
      </c>
      <c r="I2252" s="10">
        <f t="shared" si="353"/>
        <v>0</v>
      </c>
      <c r="J2252" s="3">
        <v>0</v>
      </c>
      <c r="K2252" s="3">
        <v>0</v>
      </c>
      <c r="L2252" s="3">
        <f t="shared" si="354"/>
        <v>0</v>
      </c>
      <c r="N2252" s="11">
        <f t="shared" si="355"/>
        <v>0</v>
      </c>
      <c r="O2252" s="3">
        <v>0</v>
      </c>
      <c r="P2252" s="11">
        <f t="shared" si="356"/>
        <v>9999</v>
      </c>
      <c r="Q2252" s="12">
        <f t="shared" si="357"/>
        <v>9999</v>
      </c>
      <c r="R2252" s="13">
        <f t="shared" si="358"/>
        <v>9999</v>
      </c>
      <c r="S2252" s="3" t="s">
        <v>31</v>
      </c>
      <c r="T2252" s="3" t="s">
        <v>34</v>
      </c>
      <c r="U2252" s="10" t="s">
        <v>72</v>
      </c>
      <c r="V2252" s="3" t="s">
        <v>72</v>
      </c>
      <c r="W2252" s="3">
        <f t="shared" si="359"/>
        <v>0</v>
      </c>
      <c r="AA2252" s="3">
        <v>48</v>
      </c>
    </row>
    <row r="2253" spans="1:27" x14ac:dyDescent="0.3">
      <c r="A2253" s="3" t="str">
        <f t="shared" si="350"/>
        <v>North9181709900210</v>
      </c>
      <c r="B2253" s="3" t="str">
        <f t="shared" si="351"/>
        <v>Lud9181709900210</v>
      </c>
      <c r="C2253" s="10">
        <v>9181709900210</v>
      </c>
      <c r="D2253" s="10" t="str">
        <f t="shared" si="352"/>
        <v>9181709900</v>
      </c>
      <c r="E2253" s="3" t="s">
        <v>3</v>
      </c>
      <c r="F2253" s="3" t="s">
        <v>64</v>
      </c>
      <c r="H2253" s="3">
        <v>0</v>
      </c>
      <c r="I2253" s="10">
        <f t="shared" si="353"/>
        <v>0</v>
      </c>
      <c r="J2253" s="3">
        <v>0</v>
      </c>
      <c r="K2253" s="3">
        <v>0</v>
      </c>
      <c r="L2253" s="3">
        <f t="shared" si="354"/>
        <v>0</v>
      </c>
      <c r="N2253" s="11">
        <f t="shared" si="355"/>
        <v>0</v>
      </c>
      <c r="O2253" s="3">
        <v>0</v>
      </c>
      <c r="P2253" s="11">
        <f t="shared" si="356"/>
        <v>9999</v>
      </c>
      <c r="Q2253" s="12">
        <f t="shared" si="357"/>
        <v>9999</v>
      </c>
      <c r="R2253" s="13">
        <f t="shared" si="358"/>
        <v>9999</v>
      </c>
      <c r="S2253" s="3" t="s">
        <v>31</v>
      </c>
      <c r="T2253" s="3" t="s">
        <v>34</v>
      </c>
      <c r="U2253" s="10" t="s">
        <v>72</v>
      </c>
      <c r="V2253" s="3" t="s">
        <v>72</v>
      </c>
      <c r="W2253" s="3">
        <f t="shared" si="359"/>
        <v>0</v>
      </c>
      <c r="AA2253" s="3">
        <v>48</v>
      </c>
    </row>
    <row r="2254" spans="1:27" x14ac:dyDescent="0.3">
      <c r="A2254" s="3" t="str">
        <f t="shared" si="350"/>
        <v>North9161089900210</v>
      </c>
      <c r="B2254" s="3" t="str">
        <f t="shared" si="351"/>
        <v>Lud9161089900210</v>
      </c>
      <c r="C2254" s="10">
        <v>9161089900210</v>
      </c>
      <c r="D2254" s="10" t="str">
        <f t="shared" si="352"/>
        <v>9161089900</v>
      </c>
      <c r="E2254" s="3" t="s">
        <v>3</v>
      </c>
      <c r="F2254" s="3" t="s">
        <v>64</v>
      </c>
      <c r="H2254" s="3">
        <v>0</v>
      </c>
      <c r="I2254" s="10">
        <f t="shared" si="353"/>
        <v>0</v>
      </c>
      <c r="J2254" s="3">
        <v>0</v>
      </c>
      <c r="K2254" s="3">
        <v>0</v>
      </c>
      <c r="L2254" s="3">
        <f t="shared" si="354"/>
        <v>0</v>
      </c>
      <c r="N2254" s="11">
        <f t="shared" si="355"/>
        <v>0</v>
      </c>
      <c r="O2254" s="3">
        <v>0</v>
      </c>
      <c r="P2254" s="11">
        <f t="shared" si="356"/>
        <v>9999</v>
      </c>
      <c r="Q2254" s="12">
        <f t="shared" si="357"/>
        <v>9999</v>
      </c>
      <c r="R2254" s="13">
        <f t="shared" si="358"/>
        <v>9999</v>
      </c>
      <c r="S2254" s="3" t="s">
        <v>31</v>
      </c>
      <c r="T2254" s="3" t="s">
        <v>34</v>
      </c>
      <c r="U2254" s="10" t="s">
        <v>72</v>
      </c>
      <c r="V2254" s="3" t="s">
        <v>72</v>
      </c>
      <c r="W2254" s="3">
        <f t="shared" si="359"/>
        <v>0</v>
      </c>
      <c r="AA2254" s="3">
        <v>48</v>
      </c>
    </row>
    <row r="2255" spans="1:27" x14ac:dyDescent="0.3">
      <c r="A2255" s="3" t="str">
        <f t="shared" si="350"/>
        <v>North9160709902219</v>
      </c>
      <c r="B2255" s="3" t="str">
        <f t="shared" si="351"/>
        <v>Lud9160709902219</v>
      </c>
      <c r="C2255" s="10">
        <v>9160709902219</v>
      </c>
      <c r="D2255" s="10" t="str">
        <f t="shared" si="352"/>
        <v>9160709902</v>
      </c>
      <c r="E2255" s="3" t="s">
        <v>3</v>
      </c>
      <c r="F2255" s="3" t="s">
        <v>64</v>
      </c>
      <c r="H2255" s="3">
        <v>0.45805499999999999</v>
      </c>
      <c r="I2255" s="10">
        <f t="shared" si="353"/>
        <v>0</v>
      </c>
      <c r="J2255" s="3">
        <v>0</v>
      </c>
      <c r="K2255" s="3">
        <v>0</v>
      </c>
      <c r="L2255" s="3">
        <f t="shared" si="354"/>
        <v>0</v>
      </c>
      <c r="N2255" s="11">
        <f t="shared" si="355"/>
        <v>0.45805499999999999</v>
      </c>
      <c r="O2255" s="3">
        <v>0</v>
      </c>
      <c r="P2255" s="11">
        <f t="shared" si="356"/>
        <v>9999</v>
      </c>
      <c r="Q2255" s="12">
        <f t="shared" si="357"/>
        <v>45.300535078320806</v>
      </c>
      <c r="R2255" s="13">
        <f t="shared" si="358"/>
        <v>76.886003319418222</v>
      </c>
      <c r="S2255" s="3" t="s">
        <v>31</v>
      </c>
      <c r="T2255" s="3" t="s">
        <v>34</v>
      </c>
      <c r="U2255" s="10">
        <v>0</v>
      </c>
      <c r="V2255" s="3">
        <v>0</v>
      </c>
      <c r="W2255" s="3">
        <f t="shared" si="359"/>
        <v>0</v>
      </c>
      <c r="AA2255" s="3">
        <v>48</v>
      </c>
    </row>
    <row r="2256" spans="1:27" x14ac:dyDescent="0.3">
      <c r="A2256" s="3" t="str">
        <f t="shared" si="350"/>
        <v>South9330019900820</v>
      </c>
      <c r="B2256" s="3" t="str">
        <f t="shared" si="351"/>
        <v>CY9330019900820</v>
      </c>
      <c r="C2256" s="10">
        <v>9330019900820</v>
      </c>
      <c r="D2256" s="10" t="str">
        <f t="shared" si="352"/>
        <v>9330019900</v>
      </c>
      <c r="E2256" s="3" t="s">
        <v>4</v>
      </c>
      <c r="F2256" s="3" t="s">
        <v>65</v>
      </c>
      <c r="H2256" s="3">
        <v>302.92</v>
      </c>
      <c r="I2256" s="10">
        <f t="shared" si="353"/>
        <v>19.588918447985414</v>
      </c>
      <c r="J2256" s="3">
        <v>463.91535214822431</v>
      </c>
      <c r="K2256" s="3">
        <v>588</v>
      </c>
      <c r="L2256" s="3">
        <f t="shared" si="354"/>
        <v>0</v>
      </c>
      <c r="N2256" s="11">
        <f t="shared" si="355"/>
        <v>-160.9953521482243</v>
      </c>
      <c r="O2256" s="3">
        <v>463.91535214822431</v>
      </c>
      <c r="P2256" s="11">
        <f t="shared" si="356"/>
        <v>-10.411081552014586</v>
      </c>
      <c r="Q2256" s="12">
        <f t="shared" si="357"/>
        <v>-11.422699086569743</v>
      </c>
      <c r="R2256" s="13">
        <f t="shared" si="358"/>
        <v>-9.2235664855163968</v>
      </c>
      <c r="S2256" s="3" t="s">
        <v>29</v>
      </c>
      <c r="T2256" s="3" t="s">
        <v>35</v>
      </c>
      <c r="U2256" s="10">
        <v>0</v>
      </c>
      <c r="V2256" s="3">
        <v>0</v>
      </c>
      <c r="W2256" s="3">
        <f t="shared" si="359"/>
        <v>0</v>
      </c>
      <c r="AA2256" s="3">
        <v>48</v>
      </c>
    </row>
    <row r="2257" spans="1:27" x14ac:dyDescent="0.3">
      <c r="A2257" s="3" t="str">
        <f t="shared" si="350"/>
        <v>South9360039900320</v>
      </c>
      <c r="B2257" s="3" t="str">
        <f t="shared" si="351"/>
        <v>CY9360039900320</v>
      </c>
      <c r="C2257" s="10">
        <v>9360039900320</v>
      </c>
      <c r="D2257" s="10" t="str">
        <f t="shared" si="352"/>
        <v>9360039900</v>
      </c>
      <c r="E2257" s="3" t="s">
        <v>4</v>
      </c>
      <c r="F2257" s="3" t="s">
        <v>65</v>
      </c>
      <c r="H2257" s="3">
        <v>214.08000000000004</v>
      </c>
      <c r="I2257" s="10">
        <f t="shared" si="353"/>
        <v>20.627708092849257</v>
      </c>
      <c r="J2257" s="3">
        <v>311.34821043091898</v>
      </c>
      <c r="K2257" s="3">
        <v>336</v>
      </c>
      <c r="L2257" s="3">
        <f t="shared" si="354"/>
        <v>0</v>
      </c>
      <c r="N2257" s="11">
        <f t="shared" si="355"/>
        <v>-97.268210430918941</v>
      </c>
      <c r="O2257" s="3">
        <v>311.34821043091898</v>
      </c>
      <c r="P2257" s="11">
        <f t="shared" si="356"/>
        <v>-9.3722919071507409</v>
      </c>
      <c r="Q2257" s="12">
        <f t="shared" si="357"/>
        <v>-12.305361826171442</v>
      </c>
      <c r="R2257" s="13">
        <f t="shared" si="358"/>
        <v>-20.402843801646455</v>
      </c>
      <c r="S2257" s="3" t="s">
        <v>29</v>
      </c>
      <c r="T2257" s="3" t="s">
        <v>33</v>
      </c>
      <c r="U2257" s="10">
        <v>9360039900999</v>
      </c>
      <c r="V2257" s="3">
        <v>0.1</v>
      </c>
      <c r="W2257" s="3">
        <f t="shared" si="359"/>
        <v>33.6</v>
      </c>
      <c r="AA2257" s="3">
        <v>48</v>
      </c>
    </row>
    <row r="2258" spans="1:27" x14ac:dyDescent="0.3">
      <c r="A2258" s="3" t="str">
        <f t="shared" si="350"/>
        <v>South9431009913820</v>
      </c>
      <c r="B2258" s="3" t="str">
        <f t="shared" si="351"/>
        <v>CY9431009913820</v>
      </c>
      <c r="C2258" s="10">
        <v>9431009913820</v>
      </c>
      <c r="D2258" s="10" t="str">
        <f t="shared" si="352"/>
        <v>9431009913</v>
      </c>
      <c r="E2258" s="3" t="s">
        <v>4</v>
      </c>
      <c r="F2258" s="3" t="s">
        <v>65</v>
      </c>
      <c r="H2258" s="3">
        <v>133.80000000000001</v>
      </c>
      <c r="I2258" s="10">
        <f t="shared" si="353"/>
        <v>17.658482256855105</v>
      </c>
      <c r="J2258" s="3">
        <v>227.31285405016882</v>
      </c>
      <c r="K2258" s="3">
        <v>240</v>
      </c>
      <c r="L2258" s="3">
        <f t="shared" si="354"/>
        <v>0</v>
      </c>
      <c r="N2258" s="11">
        <f t="shared" si="355"/>
        <v>-93.512854050168812</v>
      </c>
      <c r="O2258" s="3">
        <v>227.31285405016882</v>
      </c>
      <c r="P2258" s="11">
        <f t="shared" si="356"/>
        <v>-12.341517743144895</v>
      </c>
      <c r="Q2258" s="12">
        <f t="shared" si="357"/>
        <v>-10.994269990652636</v>
      </c>
      <c r="R2258" s="13">
        <f t="shared" si="358"/>
        <v>-2.5561230746082235</v>
      </c>
      <c r="S2258" s="3" t="s">
        <v>29</v>
      </c>
      <c r="T2258" s="3" t="s">
        <v>35</v>
      </c>
      <c r="U2258" s="10">
        <v>0</v>
      </c>
      <c r="V2258" s="3">
        <v>0</v>
      </c>
      <c r="W2258" s="3">
        <f t="shared" si="359"/>
        <v>0</v>
      </c>
      <c r="AA2258" s="3">
        <v>48</v>
      </c>
    </row>
    <row r="2259" spans="1:27" x14ac:dyDescent="0.3">
      <c r="A2259" s="3" t="str">
        <f t="shared" si="350"/>
        <v>South9432009901320</v>
      </c>
      <c r="B2259" s="3" t="str">
        <f t="shared" si="351"/>
        <v>CY9432009901320</v>
      </c>
      <c r="C2259" s="10">
        <v>9432009901320</v>
      </c>
      <c r="D2259" s="10" t="str">
        <f t="shared" si="352"/>
        <v>9432009901</v>
      </c>
      <c r="E2259" s="3" t="s">
        <v>4</v>
      </c>
      <c r="F2259" s="3" t="s">
        <v>65</v>
      </c>
      <c r="H2259" s="3">
        <v>186.44800000000004</v>
      </c>
      <c r="I2259" s="10">
        <f t="shared" si="353"/>
        <v>24.823688125754746</v>
      </c>
      <c r="J2259" s="3">
        <v>225.32671098928162</v>
      </c>
      <c r="K2259" s="3">
        <v>216</v>
      </c>
      <c r="L2259" s="3">
        <f t="shared" si="354"/>
        <v>0</v>
      </c>
      <c r="N2259" s="11">
        <f t="shared" si="355"/>
        <v>-38.878710989281586</v>
      </c>
      <c r="O2259" s="3">
        <v>225.32671098928162</v>
      </c>
      <c r="P2259" s="11">
        <f t="shared" si="356"/>
        <v>-5.1763118742452567</v>
      </c>
      <c r="Q2259" s="12">
        <f t="shared" si="357"/>
        <v>-5.7990526759738286</v>
      </c>
      <c r="R2259" s="13">
        <f t="shared" si="358"/>
        <v>-3.1849715455509404</v>
      </c>
      <c r="S2259" s="3" t="s">
        <v>29</v>
      </c>
      <c r="T2259" s="3" t="s">
        <v>35</v>
      </c>
      <c r="U2259" s="10">
        <v>9432009900999</v>
      </c>
      <c r="V2259" s="3">
        <v>0.1</v>
      </c>
      <c r="W2259" s="3">
        <f t="shared" si="359"/>
        <v>21.6</v>
      </c>
      <c r="AA2259" s="3">
        <v>48</v>
      </c>
    </row>
    <row r="2260" spans="1:27" x14ac:dyDescent="0.3">
      <c r="A2260" s="3" t="str">
        <f t="shared" si="350"/>
        <v>South9437019900320</v>
      </c>
      <c r="B2260" s="3" t="str">
        <f t="shared" si="351"/>
        <v>CY9437019900320</v>
      </c>
      <c r="C2260" s="10">
        <v>9437019900320</v>
      </c>
      <c r="D2260" s="10" t="str">
        <f t="shared" si="352"/>
        <v>9437019900</v>
      </c>
      <c r="E2260" s="3" t="s">
        <v>4</v>
      </c>
      <c r="F2260" s="3" t="s">
        <v>65</v>
      </c>
      <c r="H2260" s="3">
        <v>104.24000000000002</v>
      </c>
      <c r="I2260" s="10">
        <f t="shared" si="353"/>
        <v>15.051144310412894</v>
      </c>
      <c r="J2260" s="3">
        <v>207.77157772891044</v>
      </c>
      <c r="K2260" s="3">
        <v>240</v>
      </c>
      <c r="L2260" s="3">
        <f t="shared" si="354"/>
        <v>0</v>
      </c>
      <c r="N2260" s="11">
        <f t="shared" si="355"/>
        <v>-103.53157772891042</v>
      </c>
      <c r="O2260" s="3">
        <v>207.77157772891044</v>
      </c>
      <c r="P2260" s="11">
        <f t="shared" si="356"/>
        <v>-14.948855689587106</v>
      </c>
      <c r="Q2260" s="12">
        <f t="shared" si="357"/>
        <v>-13.603220875130813</v>
      </c>
      <c r="R2260" s="13">
        <f t="shared" si="358"/>
        <v>-12.572634329089414</v>
      </c>
      <c r="S2260" s="3" t="s">
        <v>29</v>
      </c>
      <c r="T2260" s="3" t="s">
        <v>35</v>
      </c>
      <c r="U2260" s="10">
        <v>0</v>
      </c>
      <c r="V2260" s="3">
        <v>0</v>
      </c>
      <c r="W2260" s="3">
        <f t="shared" si="359"/>
        <v>0</v>
      </c>
      <c r="AA2260" s="3">
        <v>48</v>
      </c>
    </row>
    <row r="2261" spans="1:27" x14ac:dyDescent="0.3">
      <c r="A2261" s="3" t="str">
        <f t="shared" si="350"/>
        <v>South9320029901320</v>
      </c>
      <c r="B2261" s="3" t="str">
        <f t="shared" si="351"/>
        <v>CY9320029901320</v>
      </c>
      <c r="C2261" s="10">
        <v>9320029901320</v>
      </c>
      <c r="D2261" s="10" t="str">
        <f t="shared" si="352"/>
        <v>9320029901</v>
      </c>
      <c r="E2261" s="3" t="s">
        <v>4</v>
      </c>
      <c r="F2261" s="3" t="s">
        <v>65</v>
      </c>
      <c r="H2261" s="3">
        <v>188.82000000000002</v>
      </c>
      <c r="I2261" s="10">
        <f t="shared" si="353"/>
        <v>36.899095517233327</v>
      </c>
      <c r="J2261" s="3">
        <v>153.51595806337338</v>
      </c>
      <c r="K2261" s="3">
        <v>96</v>
      </c>
      <c r="L2261" s="3">
        <f t="shared" si="354"/>
        <v>0</v>
      </c>
      <c r="N2261" s="11">
        <f t="shared" si="355"/>
        <v>35.304041936626646</v>
      </c>
      <c r="O2261" s="3">
        <v>153.51595806337338</v>
      </c>
      <c r="P2261" s="11">
        <f t="shared" si="356"/>
        <v>6.8990955172333317</v>
      </c>
      <c r="Q2261" s="12">
        <f t="shared" si="357"/>
        <v>6.4832968764394616</v>
      </c>
      <c r="R2261" s="13">
        <f t="shared" si="358"/>
        <v>9.4573161093933802</v>
      </c>
      <c r="S2261" s="3" t="s">
        <v>29</v>
      </c>
      <c r="T2261" s="3" t="s">
        <v>28</v>
      </c>
      <c r="U2261" s="10">
        <v>9320029900999</v>
      </c>
      <c r="V2261" s="3">
        <v>0.1</v>
      </c>
      <c r="W2261" s="3">
        <f t="shared" si="359"/>
        <v>9.6000000000000014</v>
      </c>
      <c r="AA2261" s="3">
        <v>48</v>
      </c>
    </row>
    <row r="2262" spans="1:27" x14ac:dyDescent="0.3">
      <c r="A2262" s="3" t="str">
        <f t="shared" si="350"/>
        <v>South9320019900820</v>
      </c>
      <c r="B2262" s="3" t="str">
        <f t="shared" si="351"/>
        <v>CY9320019900820</v>
      </c>
      <c r="C2262" s="10">
        <v>9320019900820</v>
      </c>
      <c r="D2262" s="10" t="str">
        <f t="shared" si="352"/>
        <v>9320019900</v>
      </c>
      <c r="E2262" s="3" t="s">
        <v>4</v>
      </c>
      <c r="F2262" s="3" t="s">
        <v>65</v>
      </c>
      <c r="H2262" s="3">
        <v>122.40000000000003</v>
      </c>
      <c r="I2262" s="10">
        <f t="shared" si="353"/>
        <v>24.921115882422264</v>
      </c>
      <c r="J2262" s="3">
        <v>147.34492698178059</v>
      </c>
      <c r="K2262" s="3">
        <v>156</v>
      </c>
      <c r="L2262" s="3">
        <f t="shared" si="354"/>
        <v>0</v>
      </c>
      <c r="N2262" s="11">
        <f t="shared" si="355"/>
        <v>-24.944926981780554</v>
      </c>
      <c r="O2262" s="3">
        <v>147.34492698178059</v>
      </c>
      <c r="P2262" s="11">
        <f t="shared" si="356"/>
        <v>-5.0788841175777355</v>
      </c>
      <c r="Q2262" s="12">
        <f t="shared" si="357"/>
        <v>-9.5767336522629201</v>
      </c>
      <c r="R2262" s="13">
        <f t="shared" si="358"/>
        <v>-2.0110700955308665</v>
      </c>
      <c r="S2262" s="3" t="s">
        <v>29</v>
      </c>
      <c r="T2262" s="3" t="s">
        <v>28</v>
      </c>
      <c r="U2262" s="10">
        <v>0</v>
      </c>
      <c r="V2262" s="3">
        <v>0</v>
      </c>
      <c r="W2262" s="3">
        <f t="shared" si="359"/>
        <v>0</v>
      </c>
      <c r="AA2262" s="3">
        <v>48</v>
      </c>
    </row>
    <row r="2263" spans="1:27" x14ac:dyDescent="0.3">
      <c r="A2263" s="3" t="str">
        <f t="shared" si="350"/>
        <v>South9360029900320</v>
      </c>
      <c r="B2263" s="3" t="str">
        <f t="shared" si="351"/>
        <v>CY9360029900320</v>
      </c>
      <c r="C2263" s="10">
        <v>9360029900320</v>
      </c>
      <c r="D2263" s="10" t="str">
        <f t="shared" si="352"/>
        <v>9360029900</v>
      </c>
      <c r="E2263" s="3" t="s">
        <v>4</v>
      </c>
      <c r="F2263" s="3" t="s">
        <v>65</v>
      </c>
      <c r="H2263" s="3">
        <v>50.320000000000007</v>
      </c>
      <c r="I2263" s="10">
        <f t="shared" si="353"/>
        <v>10.836770532069433</v>
      </c>
      <c r="J2263" s="3">
        <v>139.3034941113329</v>
      </c>
      <c r="K2263" s="3">
        <v>156</v>
      </c>
      <c r="L2263" s="3">
        <f t="shared" si="354"/>
        <v>0</v>
      </c>
      <c r="N2263" s="11">
        <f t="shared" si="355"/>
        <v>-88.983494111332888</v>
      </c>
      <c r="O2263" s="3">
        <v>139.3034941113329</v>
      </c>
      <c r="P2263" s="11">
        <f t="shared" si="356"/>
        <v>-19.163229467930563</v>
      </c>
      <c r="Q2263" s="12">
        <f t="shared" si="357"/>
        <v>-16.207249636030692</v>
      </c>
      <c r="R2263" s="13">
        <f t="shared" si="358"/>
        <v>-17.132899621612285</v>
      </c>
      <c r="S2263" s="3" t="s">
        <v>29</v>
      </c>
      <c r="T2263" s="3" t="s">
        <v>33</v>
      </c>
      <c r="U2263" s="10">
        <v>9360029900999</v>
      </c>
      <c r="V2263" s="3">
        <v>0.1</v>
      </c>
      <c r="W2263" s="3">
        <f t="shared" si="359"/>
        <v>15.600000000000001</v>
      </c>
      <c r="AA2263" s="3">
        <v>48</v>
      </c>
    </row>
    <row r="2264" spans="1:27" x14ac:dyDescent="0.3">
      <c r="A2264" s="3" t="str">
        <f t="shared" si="350"/>
        <v>South9432009901310</v>
      </c>
      <c r="B2264" s="3" t="str">
        <f t="shared" si="351"/>
        <v>CY9432009901310</v>
      </c>
      <c r="C2264" s="10">
        <v>9432009901310</v>
      </c>
      <c r="D2264" s="10" t="str">
        <f t="shared" si="352"/>
        <v>9432009901</v>
      </c>
      <c r="E2264" s="3" t="s">
        <v>4</v>
      </c>
      <c r="F2264" s="3" t="s">
        <v>65</v>
      </c>
      <c r="H2264" s="3">
        <v>86.030000000000015</v>
      </c>
      <c r="I2264" s="10">
        <f t="shared" si="353"/>
        <v>24.905051891716415</v>
      </c>
      <c r="J2264" s="3">
        <v>103.62957729304811</v>
      </c>
      <c r="K2264" s="3">
        <v>96</v>
      </c>
      <c r="L2264" s="3">
        <f t="shared" si="354"/>
        <v>0</v>
      </c>
      <c r="N2264" s="11">
        <f t="shared" si="355"/>
        <v>-17.5995772930481</v>
      </c>
      <c r="O2264" s="3">
        <v>103.62957729304811</v>
      </c>
      <c r="P2264" s="11">
        <f t="shared" si="356"/>
        <v>-5.0949481082835844</v>
      </c>
      <c r="Q2264" s="12">
        <f t="shared" si="357"/>
        <v>-4.1959182962994017</v>
      </c>
      <c r="R2264" s="13">
        <f t="shared" si="358"/>
        <v>-1.3984884331744118</v>
      </c>
      <c r="S2264" s="3" t="s">
        <v>29</v>
      </c>
      <c r="T2264" s="3" t="s">
        <v>35</v>
      </c>
      <c r="U2264" s="10">
        <v>9432009900999</v>
      </c>
      <c r="V2264" s="3">
        <v>0.1</v>
      </c>
      <c r="W2264" s="3">
        <f t="shared" si="359"/>
        <v>9.6000000000000014</v>
      </c>
      <c r="AA2264" s="3">
        <v>48</v>
      </c>
    </row>
    <row r="2265" spans="1:27" x14ac:dyDescent="0.3">
      <c r="A2265" s="3" t="str">
        <f t="shared" si="350"/>
        <v>South9320039901320</v>
      </c>
      <c r="B2265" s="3" t="str">
        <f t="shared" si="351"/>
        <v>CY9320039901320</v>
      </c>
      <c r="C2265" s="10">
        <v>9320039901320</v>
      </c>
      <c r="D2265" s="10" t="str">
        <f t="shared" si="352"/>
        <v>9320039901</v>
      </c>
      <c r="E2265" s="3" t="s">
        <v>4</v>
      </c>
      <c r="F2265" s="3" t="s">
        <v>65</v>
      </c>
      <c r="H2265" s="3">
        <v>76.359999999999985</v>
      </c>
      <c r="I2265" s="10">
        <f t="shared" si="353"/>
        <v>23.993013951265208</v>
      </c>
      <c r="J2265" s="3">
        <v>95.477792187888099</v>
      </c>
      <c r="K2265" s="3">
        <v>84</v>
      </c>
      <c r="L2265" s="3">
        <f t="shared" si="354"/>
        <v>0</v>
      </c>
      <c r="N2265" s="11">
        <f t="shared" si="355"/>
        <v>-19.117792187888114</v>
      </c>
      <c r="O2265" s="3">
        <v>95.477792187888099</v>
      </c>
      <c r="P2265" s="11">
        <f t="shared" si="356"/>
        <v>-6.0069860487347908</v>
      </c>
      <c r="Q2265" s="12">
        <f t="shared" si="357"/>
        <v>-1.5300572497946161</v>
      </c>
      <c r="R2265" s="13">
        <f t="shared" si="358"/>
        <v>-7.7301793479032082</v>
      </c>
      <c r="S2265" s="3" t="s">
        <v>29</v>
      </c>
      <c r="T2265" s="3" t="s">
        <v>28</v>
      </c>
      <c r="U2265" s="10">
        <v>9320039900999</v>
      </c>
      <c r="V2265" s="3">
        <v>0.1</v>
      </c>
      <c r="W2265" s="3">
        <f t="shared" si="359"/>
        <v>8.4</v>
      </c>
      <c r="AA2265" s="3">
        <v>48</v>
      </c>
    </row>
    <row r="2266" spans="1:27" x14ac:dyDescent="0.3">
      <c r="A2266" s="3" t="str">
        <f t="shared" si="350"/>
        <v>South9431009913810</v>
      </c>
      <c r="B2266" s="3" t="str">
        <f t="shared" si="351"/>
        <v>CY9431009913810</v>
      </c>
      <c r="C2266" s="10">
        <v>9431009913810</v>
      </c>
      <c r="D2266" s="10" t="str">
        <f t="shared" si="352"/>
        <v>9431009913</v>
      </c>
      <c r="E2266" s="3" t="s">
        <v>4</v>
      </c>
      <c r="F2266" s="3" t="s">
        <v>65</v>
      </c>
      <c r="H2266" s="3">
        <v>78.879999999999981</v>
      </c>
      <c r="I2266" s="10">
        <f t="shared" si="353"/>
        <v>26.161779251578697</v>
      </c>
      <c r="J2266" s="3">
        <v>90.452563537214402</v>
      </c>
      <c r="K2266" s="3">
        <v>72</v>
      </c>
      <c r="L2266" s="3">
        <f t="shared" si="354"/>
        <v>0</v>
      </c>
      <c r="N2266" s="11">
        <f t="shared" si="355"/>
        <v>-11.572563537214421</v>
      </c>
      <c r="O2266" s="3">
        <v>90.452563537214402</v>
      </c>
      <c r="P2266" s="11">
        <f t="shared" si="356"/>
        <v>-3.8382207484213042</v>
      </c>
      <c r="Q2266" s="12">
        <f t="shared" si="357"/>
        <v>-9.5533352037400654</v>
      </c>
      <c r="R2266" s="13">
        <f t="shared" si="358"/>
        <v>-1.8048507430937932</v>
      </c>
      <c r="S2266" s="3" t="s">
        <v>29</v>
      </c>
      <c r="T2266" s="3" t="s">
        <v>35</v>
      </c>
      <c r="U2266" s="10">
        <v>0</v>
      </c>
      <c r="V2266" s="3">
        <v>0</v>
      </c>
      <c r="W2266" s="3">
        <f t="shared" si="359"/>
        <v>0</v>
      </c>
      <c r="AA2266" s="3">
        <v>48</v>
      </c>
    </row>
    <row r="2267" spans="1:27" x14ac:dyDescent="0.3">
      <c r="A2267" s="3" t="str">
        <f t="shared" si="350"/>
        <v>South9330019900810</v>
      </c>
      <c r="B2267" s="3" t="str">
        <f t="shared" si="351"/>
        <v>CY9330019900810</v>
      </c>
      <c r="C2267" s="10">
        <v>9330019900810</v>
      </c>
      <c r="D2267" s="10" t="str">
        <f t="shared" si="352"/>
        <v>9330019900</v>
      </c>
      <c r="E2267" s="3" t="s">
        <v>4</v>
      </c>
      <c r="F2267" s="3" t="s">
        <v>65</v>
      </c>
      <c r="H2267" s="3">
        <v>59.179999999999978</v>
      </c>
      <c r="I2267" s="10">
        <f t="shared" si="353"/>
        <v>22.386127291867076</v>
      </c>
      <c r="J2267" s="3">
        <v>79.308045418155274</v>
      </c>
      <c r="K2267" s="3">
        <v>72</v>
      </c>
      <c r="L2267" s="3">
        <f t="shared" si="354"/>
        <v>0</v>
      </c>
      <c r="N2267" s="11">
        <f t="shared" si="355"/>
        <v>-20.128045418155295</v>
      </c>
      <c r="O2267" s="3">
        <v>79.308045418155274</v>
      </c>
      <c r="P2267" s="11">
        <f t="shared" si="356"/>
        <v>-7.6138727081329236</v>
      </c>
      <c r="Q2267" s="12">
        <f t="shared" si="357"/>
        <v>-11.32057206993025</v>
      </c>
      <c r="R2267" s="13">
        <f t="shared" si="358"/>
        <v>-9.2433968520070948</v>
      </c>
      <c r="S2267" s="3" t="s">
        <v>29</v>
      </c>
      <c r="T2267" s="3" t="s">
        <v>35</v>
      </c>
      <c r="U2267" s="10">
        <v>0</v>
      </c>
      <c r="V2267" s="3">
        <v>0</v>
      </c>
      <c r="W2267" s="3">
        <f t="shared" si="359"/>
        <v>0</v>
      </c>
      <c r="AA2267" s="3">
        <v>48</v>
      </c>
    </row>
    <row r="2268" spans="1:27" x14ac:dyDescent="0.3">
      <c r="A2268" s="3" t="str">
        <f t="shared" si="350"/>
        <v>South9360129900320</v>
      </c>
      <c r="B2268" s="3" t="str">
        <f t="shared" si="351"/>
        <v>CY9360129900320</v>
      </c>
      <c r="C2268" s="10">
        <v>9360129900320</v>
      </c>
      <c r="D2268" s="10" t="str">
        <f t="shared" si="352"/>
        <v>9360129900</v>
      </c>
      <c r="E2268" s="3" t="s">
        <v>4</v>
      </c>
      <c r="F2268" s="3" t="s">
        <v>65</v>
      </c>
      <c r="H2268" s="3">
        <v>94.580000000000013</v>
      </c>
      <c r="I2268" s="10">
        <f t="shared" si="353"/>
        <v>35.998778384196548</v>
      </c>
      <c r="J2268" s="3">
        <v>78.819341304248752</v>
      </c>
      <c r="K2268" s="3">
        <v>96</v>
      </c>
      <c r="L2268" s="3">
        <f t="shared" si="354"/>
        <v>0</v>
      </c>
      <c r="N2268" s="11">
        <f t="shared" si="355"/>
        <v>15.76065869575126</v>
      </c>
      <c r="O2268" s="3">
        <v>78.819341304248752</v>
      </c>
      <c r="P2268" s="11">
        <f t="shared" si="356"/>
        <v>5.9987783841965507</v>
      </c>
      <c r="Q2268" s="12">
        <f t="shared" si="357"/>
        <v>5.9987783841965507</v>
      </c>
      <c r="R2268" s="13">
        <f t="shared" si="358"/>
        <v>0.89768962232814453</v>
      </c>
      <c r="S2268" s="3" t="s">
        <v>29</v>
      </c>
      <c r="T2268" s="3" t="s">
        <v>33</v>
      </c>
      <c r="U2268" s="10">
        <v>9360129900999</v>
      </c>
      <c r="V2268" s="3">
        <v>0.1</v>
      </c>
      <c r="W2268" s="3">
        <f t="shared" si="359"/>
        <v>9.6000000000000014</v>
      </c>
      <c r="AA2268" s="3">
        <v>48</v>
      </c>
    </row>
    <row r="2269" spans="1:27" x14ac:dyDescent="0.3">
      <c r="A2269" s="3" t="str">
        <f t="shared" si="350"/>
        <v>South9437009900820</v>
      </c>
      <c r="B2269" s="3" t="str">
        <f t="shared" si="351"/>
        <v>CY9437009900820</v>
      </c>
      <c r="C2269" s="10">
        <v>9437009900820</v>
      </c>
      <c r="D2269" s="10" t="str">
        <f t="shared" si="352"/>
        <v>9437009900</v>
      </c>
      <c r="E2269" s="3" t="s">
        <v>4</v>
      </c>
      <c r="F2269" s="3" t="s">
        <v>65</v>
      </c>
      <c r="H2269" s="3">
        <v>75.78</v>
      </c>
      <c r="I2269" s="10">
        <f t="shared" si="353"/>
        <v>35.138603114923576</v>
      </c>
      <c r="J2269" s="3">
        <v>64.698075577013284</v>
      </c>
      <c r="K2269" s="3">
        <v>36</v>
      </c>
      <c r="L2269" s="3">
        <f t="shared" si="354"/>
        <v>0</v>
      </c>
      <c r="N2269" s="11">
        <f t="shared" si="355"/>
        <v>11.081924422986717</v>
      </c>
      <c r="O2269" s="3">
        <v>64.698075577013284</v>
      </c>
      <c r="P2269" s="11">
        <f t="shared" si="356"/>
        <v>5.1386031149235771</v>
      </c>
      <c r="Q2269" s="12">
        <f t="shared" si="357"/>
        <v>6.3271880443832416</v>
      </c>
      <c r="R2269" s="13">
        <f t="shared" si="358"/>
        <v>5.1370180655364761</v>
      </c>
      <c r="S2269" s="3" t="s">
        <v>29</v>
      </c>
      <c r="T2269" s="3" t="s">
        <v>35</v>
      </c>
      <c r="U2269" s="10">
        <v>0</v>
      </c>
      <c r="V2269" s="3">
        <v>0</v>
      </c>
      <c r="W2269" s="3">
        <f t="shared" si="359"/>
        <v>0</v>
      </c>
      <c r="AA2269" s="3">
        <v>48</v>
      </c>
    </row>
    <row r="2270" spans="1:27" x14ac:dyDescent="0.3">
      <c r="A2270" s="3" t="str">
        <f t="shared" si="350"/>
        <v>South9310019901320</v>
      </c>
      <c r="B2270" s="3" t="str">
        <f t="shared" si="351"/>
        <v>CY9310019901320</v>
      </c>
      <c r="C2270" s="10">
        <v>9310019901320</v>
      </c>
      <c r="D2270" s="10" t="str">
        <f t="shared" si="352"/>
        <v>9310019901</v>
      </c>
      <c r="E2270" s="3" t="s">
        <v>4</v>
      </c>
      <c r="F2270" s="3" t="s">
        <v>65</v>
      </c>
      <c r="H2270" s="3">
        <v>98.146000000000001</v>
      </c>
      <c r="I2270" s="10">
        <f t="shared" si="353"/>
        <v>46.573270136864402</v>
      </c>
      <c r="J2270" s="3">
        <v>63.220383523582946</v>
      </c>
      <c r="K2270" s="3">
        <v>24</v>
      </c>
      <c r="L2270" s="3">
        <f t="shared" si="354"/>
        <v>0</v>
      </c>
      <c r="N2270" s="11">
        <f t="shared" si="355"/>
        <v>34.925616476417055</v>
      </c>
      <c r="O2270" s="3">
        <v>63.220383523582946</v>
      </c>
      <c r="P2270" s="11">
        <f t="shared" si="356"/>
        <v>16.573270136864405</v>
      </c>
      <c r="Q2270" s="12">
        <f t="shared" si="357"/>
        <v>17.855151794738006</v>
      </c>
      <c r="R2270" s="13">
        <f t="shared" si="358"/>
        <v>15.311331395407025</v>
      </c>
      <c r="S2270" s="3" t="s">
        <v>29</v>
      </c>
      <c r="T2270" s="3" t="s">
        <v>32</v>
      </c>
      <c r="U2270" s="10">
        <v>9310019900999</v>
      </c>
      <c r="V2270" s="3">
        <v>0.1</v>
      </c>
      <c r="W2270" s="3">
        <f t="shared" si="359"/>
        <v>2.4000000000000004</v>
      </c>
      <c r="AA2270" s="3">
        <v>48</v>
      </c>
    </row>
    <row r="2271" spans="1:27" x14ac:dyDescent="0.3">
      <c r="A2271" s="3" t="str">
        <f t="shared" si="350"/>
        <v>South9432019901320</v>
      </c>
      <c r="B2271" s="3" t="str">
        <f t="shared" si="351"/>
        <v>CY9432019901320</v>
      </c>
      <c r="C2271" s="10">
        <v>9432019901320</v>
      </c>
      <c r="D2271" s="10" t="str">
        <f t="shared" si="352"/>
        <v>9432019901</v>
      </c>
      <c r="E2271" s="3" t="s">
        <v>4</v>
      </c>
      <c r="F2271" s="3" t="s">
        <v>65</v>
      </c>
      <c r="H2271" s="3">
        <v>62.29999999999999</v>
      </c>
      <c r="I2271" s="10">
        <f t="shared" si="353"/>
        <v>31.150202718880941</v>
      </c>
      <c r="J2271" s="3">
        <v>59.999609532786458</v>
      </c>
      <c r="K2271" s="3">
        <v>12</v>
      </c>
      <c r="L2271" s="3">
        <f t="shared" si="354"/>
        <v>0</v>
      </c>
      <c r="N2271" s="11">
        <f t="shared" si="355"/>
        <v>2.300390467213532</v>
      </c>
      <c r="O2271" s="3">
        <v>59.999609532786458</v>
      </c>
      <c r="P2271" s="11">
        <f t="shared" si="356"/>
        <v>1.1502027188809434</v>
      </c>
      <c r="Q2271" s="12">
        <f t="shared" si="357"/>
        <v>-1.9830891374604698</v>
      </c>
      <c r="R2271" s="13">
        <f t="shared" si="358"/>
        <v>3.7792537227451724</v>
      </c>
      <c r="S2271" s="3" t="s">
        <v>29</v>
      </c>
      <c r="T2271" s="3" t="s">
        <v>35</v>
      </c>
      <c r="U2271" s="10">
        <v>9432019900999</v>
      </c>
      <c r="V2271" s="3">
        <v>0.1</v>
      </c>
      <c r="W2271" s="3">
        <f t="shared" si="359"/>
        <v>1.2000000000000002</v>
      </c>
      <c r="AA2271" s="3">
        <v>48</v>
      </c>
    </row>
    <row r="2272" spans="1:27" x14ac:dyDescent="0.3">
      <c r="A2272" s="3" t="str">
        <f t="shared" si="350"/>
        <v>South9360039900310</v>
      </c>
      <c r="B2272" s="3" t="str">
        <f t="shared" si="351"/>
        <v>CY9360039900310</v>
      </c>
      <c r="C2272" s="10">
        <v>9360039900310</v>
      </c>
      <c r="D2272" s="10" t="str">
        <f t="shared" si="352"/>
        <v>9360039900</v>
      </c>
      <c r="E2272" s="3" t="s">
        <v>4</v>
      </c>
      <c r="F2272" s="3" t="s">
        <v>65</v>
      </c>
      <c r="H2272" s="3">
        <v>45.400000000000006</v>
      </c>
      <c r="I2272" s="10">
        <f t="shared" si="353"/>
        <v>23.998666713098395</v>
      </c>
      <c r="J2272" s="3">
        <v>56.753152843137947</v>
      </c>
      <c r="K2272" s="3">
        <v>48</v>
      </c>
      <c r="L2272" s="3">
        <f t="shared" si="354"/>
        <v>0</v>
      </c>
      <c r="N2272" s="11">
        <f t="shared" si="355"/>
        <v>-11.353152843137941</v>
      </c>
      <c r="O2272" s="3">
        <v>56.753152843137947</v>
      </c>
      <c r="P2272" s="11">
        <f t="shared" si="356"/>
        <v>-6.0013332869016054</v>
      </c>
      <c r="Q2272" s="12">
        <f t="shared" si="357"/>
        <v>-9.2960002524614147</v>
      </c>
      <c r="R2272" s="13">
        <f t="shared" si="358"/>
        <v>-10.711161244724483</v>
      </c>
      <c r="S2272" s="3" t="s">
        <v>29</v>
      </c>
      <c r="T2272" s="3" t="s">
        <v>33</v>
      </c>
      <c r="U2272" s="10">
        <v>9360039900999</v>
      </c>
      <c r="V2272" s="3">
        <v>0.1</v>
      </c>
      <c r="W2272" s="3">
        <f t="shared" si="359"/>
        <v>4.8000000000000007</v>
      </c>
      <c r="AA2272" s="3">
        <v>48</v>
      </c>
    </row>
    <row r="2273" spans="1:27" x14ac:dyDescent="0.3">
      <c r="A2273" s="3" t="str">
        <f t="shared" si="350"/>
        <v>South9432009901840</v>
      </c>
      <c r="B2273" s="3" t="str">
        <f t="shared" si="351"/>
        <v>CY9432009901840</v>
      </c>
      <c r="C2273" s="10">
        <v>9432009901840</v>
      </c>
      <c r="D2273" s="10" t="str">
        <f t="shared" si="352"/>
        <v>9432009901</v>
      </c>
      <c r="E2273" s="3" t="s">
        <v>4</v>
      </c>
      <c r="F2273" s="3" t="s">
        <v>65</v>
      </c>
      <c r="H2273" s="3">
        <v>41.008000000000003</v>
      </c>
      <c r="I2273" s="10">
        <f t="shared" si="353"/>
        <v>25.745187748645858</v>
      </c>
      <c r="J2273" s="3">
        <v>47.785240954970625</v>
      </c>
      <c r="K2273" s="3">
        <v>48</v>
      </c>
      <c r="L2273" s="3">
        <f t="shared" si="354"/>
        <v>0</v>
      </c>
      <c r="N2273" s="11">
        <f t="shared" si="355"/>
        <v>-6.7772409549706225</v>
      </c>
      <c r="O2273" s="3">
        <v>47.785240954970625</v>
      </c>
      <c r="P2273" s="11">
        <f t="shared" si="356"/>
        <v>-4.2548122513541404</v>
      </c>
      <c r="Q2273" s="12">
        <f t="shared" si="357"/>
        <v>-5.2291525418614366</v>
      </c>
      <c r="R2273" s="13">
        <f t="shared" si="358"/>
        <v>-1.9751548200886611</v>
      </c>
      <c r="S2273" s="3" t="s">
        <v>29</v>
      </c>
      <c r="T2273" s="3" t="s">
        <v>35</v>
      </c>
      <c r="U2273" s="10">
        <v>0</v>
      </c>
      <c r="V2273" s="3">
        <v>0</v>
      </c>
      <c r="W2273" s="3">
        <f t="shared" si="359"/>
        <v>0</v>
      </c>
      <c r="AA2273" s="3">
        <v>48</v>
      </c>
    </row>
    <row r="2274" spans="1:27" x14ac:dyDescent="0.3">
      <c r="A2274" s="3" t="str">
        <f t="shared" si="350"/>
        <v>South9437019900310</v>
      </c>
      <c r="B2274" s="3" t="str">
        <f t="shared" si="351"/>
        <v>CY9437019900310</v>
      </c>
      <c r="C2274" s="10">
        <v>9437019900310</v>
      </c>
      <c r="D2274" s="10" t="str">
        <f t="shared" si="352"/>
        <v>9437019900</v>
      </c>
      <c r="E2274" s="3" t="s">
        <v>4</v>
      </c>
      <c r="F2274" s="3" t="s">
        <v>65</v>
      </c>
      <c r="H2274" s="3">
        <v>51.24</v>
      </c>
      <c r="I2274" s="10">
        <f t="shared" si="353"/>
        <v>33.686575742557046</v>
      </c>
      <c r="J2274" s="3">
        <v>45.63242081200967</v>
      </c>
      <c r="K2274" s="3">
        <v>36</v>
      </c>
      <c r="L2274" s="3">
        <f t="shared" si="354"/>
        <v>0</v>
      </c>
      <c r="N2274" s="11">
        <f t="shared" si="355"/>
        <v>5.6075791879903321</v>
      </c>
      <c r="O2274" s="3">
        <v>45.63242081200967</v>
      </c>
      <c r="P2274" s="11">
        <f t="shared" si="356"/>
        <v>3.686575742557042</v>
      </c>
      <c r="Q2274" s="12">
        <f t="shared" si="357"/>
        <v>1.8809276825514381</v>
      </c>
      <c r="R2274" s="13">
        <f t="shared" si="358"/>
        <v>-5.621670159363906</v>
      </c>
      <c r="S2274" s="3" t="s">
        <v>29</v>
      </c>
      <c r="T2274" s="3" t="s">
        <v>35</v>
      </c>
      <c r="U2274" s="10">
        <v>0</v>
      </c>
      <c r="V2274" s="3">
        <v>0</v>
      </c>
      <c r="W2274" s="3">
        <f t="shared" si="359"/>
        <v>0</v>
      </c>
      <c r="AA2274" s="3">
        <v>48</v>
      </c>
    </row>
    <row r="2275" spans="1:27" x14ac:dyDescent="0.3">
      <c r="A2275" s="3" t="str">
        <f t="shared" si="350"/>
        <v>South9310039901320</v>
      </c>
      <c r="B2275" s="3" t="str">
        <f t="shared" si="351"/>
        <v>CY9310039901320</v>
      </c>
      <c r="C2275" s="10">
        <v>9310039901320</v>
      </c>
      <c r="D2275" s="10" t="str">
        <f t="shared" si="352"/>
        <v>9310039901</v>
      </c>
      <c r="E2275" s="3" t="s">
        <v>4</v>
      </c>
      <c r="F2275" s="3" t="s">
        <v>65</v>
      </c>
      <c r="H2275" s="3">
        <v>87.12</v>
      </c>
      <c r="I2275" s="10">
        <f t="shared" si="353"/>
        <v>62.393018724759287</v>
      </c>
      <c r="J2275" s="3">
        <v>41.889301935039263</v>
      </c>
      <c r="K2275" s="3">
        <v>0</v>
      </c>
      <c r="L2275" s="3">
        <f t="shared" si="354"/>
        <v>0</v>
      </c>
      <c r="N2275" s="11">
        <f t="shared" si="355"/>
        <v>45.230698064960741</v>
      </c>
      <c r="O2275" s="3">
        <v>41.889301935039263</v>
      </c>
      <c r="P2275" s="11">
        <f t="shared" si="356"/>
        <v>32.393018724759287</v>
      </c>
      <c r="Q2275" s="12">
        <f t="shared" si="357"/>
        <v>21.154171731005604</v>
      </c>
      <c r="R2275" s="13">
        <f t="shared" si="358"/>
        <v>31.066758628273089</v>
      </c>
      <c r="S2275" s="3" t="s">
        <v>29</v>
      </c>
      <c r="T2275" s="3" t="s">
        <v>32</v>
      </c>
      <c r="U2275" s="10">
        <v>9310039900999</v>
      </c>
      <c r="V2275" s="3">
        <v>0.1</v>
      </c>
      <c r="W2275" s="3">
        <f t="shared" si="359"/>
        <v>0</v>
      </c>
      <c r="AA2275" s="3">
        <v>48</v>
      </c>
    </row>
    <row r="2276" spans="1:27" x14ac:dyDescent="0.3">
      <c r="A2276" s="3" t="str">
        <f t="shared" si="350"/>
        <v>South9432029901320</v>
      </c>
      <c r="B2276" s="3" t="str">
        <f t="shared" si="351"/>
        <v>CY9432029901320</v>
      </c>
      <c r="C2276" s="10">
        <v>9432029901320</v>
      </c>
      <c r="D2276" s="10" t="str">
        <f t="shared" si="352"/>
        <v>9432029901</v>
      </c>
      <c r="E2276" s="3" t="s">
        <v>4</v>
      </c>
      <c r="F2276" s="3" t="s">
        <v>65</v>
      </c>
      <c r="H2276" s="3">
        <v>101.72</v>
      </c>
      <c r="I2276" s="10">
        <f t="shared" si="353"/>
        <v>74.048868425378672</v>
      </c>
      <c r="J2276" s="3">
        <v>41.210622996557895</v>
      </c>
      <c r="K2276" s="3">
        <v>0</v>
      </c>
      <c r="L2276" s="3">
        <f t="shared" si="354"/>
        <v>0</v>
      </c>
      <c r="N2276" s="11">
        <f t="shared" si="355"/>
        <v>60.509377003442104</v>
      </c>
      <c r="O2276" s="3">
        <v>41.210622996557895</v>
      </c>
      <c r="P2276" s="11">
        <f t="shared" si="356"/>
        <v>44.048868425378664</v>
      </c>
      <c r="Q2276" s="12">
        <f t="shared" si="357"/>
        <v>25.528597200539178</v>
      </c>
      <c r="R2276" s="13">
        <f t="shared" si="358"/>
        <v>34.940925816612058</v>
      </c>
      <c r="S2276" s="3" t="s">
        <v>31</v>
      </c>
      <c r="T2276" s="3" t="s">
        <v>35</v>
      </c>
      <c r="U2276" s="10">
        <v>9432029900999</v>
      </c>
      <c r="V2276" s="3">
        <v>0.1</v>
      </c>
      <c r="W2276" s="3">
        <f t="shared" si="359"/>
        <v>0</v>
      </c>
      <c r="AA2276" s="3">
        <v>48</v>
      </c>
    </row>
    <row r="2277" spans="1:27" x14ac:dyDescent="0.3">
      <c r="A2277" s="3" t="str">
        <f t="shared" si="350"/>
        <v>South9330229901320</v>
      </c>
      <c r="B2277" s="3" t="str">
        <f t="shared" si="351"/>
        <v>CY9330229901320</v>
      </c>
      <c r="C2277" s="10">
        <v>9330229901320</v>
      </c>
      <c r="D2277" s="10" t="str">
        <f t="shared" si="352"/>
        <v>9330229901</v>
      </c>
      <c r="E2277" s="3" t="s">
        <v>4</v>
      </c>
      <c r="F2277" s="3" t="s">
        <v>65</v>
      </c>
      <c r="H2277" s="3">
        <v>27.099999999999998</v>
      </c>
      <c r="I2277" s="10">
        <f t="shared" si="353"/>
        <v>21.924159987182545</v>
      </c>
      <c r="J2277" s="3">
        <v>37.082378548382316</v>
      </c>
      <c r="K2277" s="3">
        <v>96</v>
      </c>
      <c r="L2277" s="3">
        <f t="shared" si="354"/>
        <v>0</v>
      </c>
      <c r="N2277" s="11">
        <f t="shared" si="355"/>
        <v>-9.982378548382318</v>
      </c>
      <c r="O2277" s="3">
        <v>37.082378548382316</v>
      </c>
      <c r="P2277" s="11">
        <f t="shared" si="356"/>
        <v>-8.075840012817455</v>
      </c>
      <c r="Q2277" s="12">
        <f t="shared" si="357"/>
        <v>-9.1141617744355301</v>
      </c>
      <c r="R2277" s="13">
        <f t="shared" si="358"/>
        <v>5.2822110886760649</v>
      </c>
      <c r="S2277" s="3" t="s">
        <v>29</v>
      </c>
      <c r="T2277" s="3" t="s">
        <v>35</v>
      </c>
      <c r="U2277" s="10">
        <v>9330229900999</v>
      </c>
      <c r="V2277" s="3">
        <v>0.1</v>
      </c>
      <c r="W2277" s="3">
        <f t="shared" si="359"/>
        <v>9.6000000000000014</v>
      </c>
      <c r="AA2277" s="3">
        <v>48</v>
      </c>
    </row>
    <row r="2278" spans="1:27" x14ac:dyDescent="0.3">
      <c r="A2278" s="3" t="str">
        <f t="shared" si="350"/>
        <v>South9420069900820</v>
      </c>
      <c r="B2278" s="3" t="str">
        <f t="shared" si="351"/>
        <v>CY9420069900820</v>
      </c>
      <c r="C2278" s="10">
        <v>9420069900820</v>
      </c>
      <c r="D2278" s="10" t="str">
        <f t="shared" si="352"/>
        <v>9420069900</v>
      </c>
      <c r="E2278" s="3" t="s">
        <v>4</v>
      </c>
      <c r="F2278" s="3" t="s">
        <v>65</v>
      </c>
      <c r="H2278" s="3">
        <v>33.699999999999996</v>
      </c>
      <c r="I2278" s="10">
        <f t="shared" si="353"/>
        <v>27.413587667743624</v>
      </c>
      <c r="J2278" s="3">
        <v>36.879521653767327</v>
      </c>
      <c r="K2278" s="3">
        <v>36</v>
      </c>
      <c r="L2278" s="3">
        <f t="shared" si="354"/>
        <v>0</v>
      </c>
      <c r="N2278" s="11">
        <f t="shared" si="355"/>
        <v>-3.1795216537673312</v>
      </c>
      <c r="O2278" s="3">
        <v>36.879521653767327</v>
      </c>
      <c r="P2278" s="11">
        <f t="shared" si="356"/>
        <v>-2.5864123322563777</v>
      </c>
      <c r="Q2278" s="12">
        <f t="shared" si="357"/>
        <v>-6.5947037699418765</v>
      </c>
      <c r="R2278" s="13">
        <f t="shared" si="358"/>
        <v>-4.2232707352649248</v>
      </c>
      <c r="S2278" s="3" t="s">
        <v>29</v>
      </c>
      <c r="T2278" s="3" t="s">
        <v>28</v>
      </c>
      <c r="U2278" s="10">
        <v>0</v>
      </c>
      <c r="V2278" s="3">
        <v>0</v>
      </c>
      <c r="W2278" s="3">
        <f t="shared" si="359"/>
        <v>0</v>
      </c>
      <c r="AA2278" s="3">
        <v>48</v>
      </c>
    </row>
    <row r="2279" spans="1:27" x14ac:dyDescent="0.3">
      <c r="A2279" s="3" t="str">
        <f t="shared" si="350"/>
        <v>South9320089901320</v>
      </c>
      <c r="B2279" s="3" t="str">
        <f t="shared" si="351"/>
        <v>CY9320089901320</v>
      </c>
      <c r="C2279" s="10">
        <v>9320089901320</v>
      </c>
      <c r="D2279" s="10" t="str">
        <f t="shared" si="352"/>
        <v>9320089901</v>
      </c>
      <c r="E2279" s="3" t="s">
        <v>4</v>
      </c>
      <c r="F2279" s="3" t="s">
        <v>65</v>
      </c>
      <c r="H2279" s="3">
        <v>71.7</v>
      </c>
      <c r="I2279" s="10">
        <f t="shared" si="353"/>
        <v>59.228946965086877</v>
      </c>
      <c r="J2279" s="3">
        <v>36.316701717961145</v>
      </c>
      <c r="K2279" s="3">
        <v>0</v>
      </c>
      <c r="L2279" s="3">
        <f t="shared" si="354"/>
        <v>0</v>
      </c>
      <c r="N2279" s="11">
        <f t="shared" si="355"/>
        <v>35.383298282038858</v>
      </c>
      <c r="O2279" s="3">
        <v>36.316701717961145</v>
      </c>
      <c r="P2279" s="11">
        <f t="shared" si="356"/>
        <v>29.228946965086877</v>
      </c>
      <c r="Q2279" s="12">
        <f t="shared" si="357"/>
        <v>23.000676806607274</v>
      </c>
      <c r="R2279" s="13">
        <f t="shared" si="358"/>
        <v>31.812152870329982</v>
      </c>
      <c r="S2279" s="3" t="s">
        <v>31</v>
      </c>
      <c r="T2279" s="3" t="s">
        <v>28</v>
      </c>
      <c r="U2279" s="10">
        <v>9320089900999</v>
      </c>
      <c r="V2279" s="3">
        <v>0.1</v>
      </c>
      <c r="W2279" s="3">
        <f t="shared" si="359"/>
        <v>0</v>
      </c>
      <c r="AA2279" s="3">
        <v>48</v>
      </c>
    </row>
    <row r="2280" spans="1:27" x14ac:dyDescent="0.3">
      <c r="A2280" s="3" t="str">
        <f t="shared" si="350"/>
        <v>South9431009913840</v>
      </c>
      <c r="B2280" s="3" t="str">
        <f t="shared" si="351"/>
        <v>CY9431009913840</v>
      </c>
      <c r="C2280" s="10">
        <v>9431009913840</v>
      </c>
      <c r="D2280" s="10" t="str">
        <f t="shared" si="352"/>
        <v>9431009913</v>
      </c>
      <c r="E2280" s="3" t="s">
        <v>4</v>
      </c>
      <c r="F2280" s="3" t="s">
        <v>65</v>
      </c>
      <c r="H2280" s="3">
        <v>20.304000000000002</v>
      </c>
      <c r="I2280" s="10">
        <f t="shared" si="353"/>
        <v>17.207188641327921</v>
      </c>
      <c r="J2280" s="3">
        <v>35.399158613105826</v>
      </c>
      <c r="K2280" s="3">
        <v>48</v>
      </c>
      <c r="L2280" s="3">
        <f t="shared" si="354"/>
        <v>0</v>
      </c>
      <c r="N2280" s="11">
        <f t="shared" si="355"/>
        <v>-15.095158613105824</v>
      </c>
      <c r="O2280" s="3">
        <v>35.399158613105826</v>
      </c>
      <c r="P2280" s="11">
        <f t="shared" si="356"/>
        <v>-12.792811358672077</v>
      </c>
      <c r="Q2280" s="12">
        <f t="shared" si="357"/>
        <v>-11.562356332871174</v>
      </c>
      <c r="R2280" s="13">
        <f t="shared" si="358"/>
        <v>-5.4650966833710344</v>
      </c>
      <c r="S2280" s="3" t="s">
        <v>29</v>
      </c>
      <c r="T2280" s="3" t="s">
        <v>35</v>
      </c>
      <c r="U2280" s="10">
        <v>0</v>
      </c>
      <c r="V2280" s="3">
        <v>0</v>
      </c>
      <c r="W2280" s="3">
        <f t="shared" si="359"/>
        <v>0</v>
      </c>
      <c r="AA2280" s="3">
        <v>48</v>
      </c>
    </row>
    <row r="2281" spans="1:27" x14ac:dyDescent="0.3">
      <c r="A2281" s="3" t="str">
        <f t="shared" si="350"/>
        <v>South9310049901320</v>
      </c>
      <c r="B2281" s="3" t="str">
        <f t="shared" si="351"/>
        <v>CY9310049901320</v>
      </c>
      <c r="C2281" s="10">
        <v>9310049901320</v>
      </c>
      <c r="D2281" s="10" t="str">
        <f t="shared" si="352"/>
        <v>9310049901</v>
      </c>
      <c r="E2281" s="3" t="s">
        <v>4</v>
      </c>
      <c r="F2281" s="3" t="s">
        <v>65</v>
      </c>
      <c r="H2281" s="3">
        <v>71.559999999999988</v>
      </c>
      <c r="I2281" s="10">
        <f t="shared" si="353"/>
        <v>68.328874243689654</v>
      </c>
      <c r="J2281" s="3">
        <v>31.41863558798881</v>
      </c>
      <c r="K2281" s="3">
        <v>36</v>
      </c>
      <c r="L2281" s="3">
        <f t="shared" si="354"/>
        <v>0</v>
      </c>
      <c r="N2281" s="11">
        <f t="shared" si="355"/>
        <v>40.141364412011178</v>
      </c>
      <c r="O2281" s="3">
        <v>31.41863558798881</v>
      </c>
      <c r="P2281" s="11">
        <f t="shared" si="356"/>
        <v>38.328874243689647</v>
      </c>
      <c r="Q2281" s="12">
        <f t="shared" si="357"/>
        <v>38.328874243689654</v>
      </c>
      <c r="R2281" s="13">
        <f t="shared" si="358"/>
        <v>39.933465504377935</v>
      </c>
      <c r="S2281" s="3" t="s">
        <v>30</v>
      </c>
      <c r="T2281" s="3" t="s">
        <v>32</v>
      </c>
      <c r="U2281" s="10">
        <v>9310049900999</v>
      </c>
      <c r="V2281" s="3">
        <v>0.1</v>
      </c>
      <c r="W2281" s="3">
        <f t="shared" si="359"/>
        <v>3.6</v>
      </c>
      <c r="AA2281" s="3">
        <v>48</v>
      </c>
    </row>
    <row r="2282" spans="1:27" x14ac:dyDescent="0.3">
      <c r="A2282" s="3" t="str">
        <f t="shared" si="350"/>
        <v>South9320029901310</v>
      </c>
      <c r="B2282" s="3" t="str">
        <f t="shared" si="351"/>
        <v>CY9320029901310</v>
      </c>
      <c r="C2282" s="10">
        <v>9320029901310</v>
      </c>
      <c r="D2282" s="10" t="str">
        <f t="shared" si="352"/>
        <v>9320029901</v>
      </c>
      <c r="E2282" s="3" t="s">
        <v>4</v>
      </c>
      <c r="F2282" s="3" t="s">
        <v>65</v>
      </c>
      <c r="H2282" s="3">
        <v>33.849999999999987</v>
      </c>
      <c r="I2282" s="10">
        <f t="shared" si="353"/>
        <v>33.750021414450956</v>
      </c>
      <c r="J2282" s="3">
        <v>30.088869797433279</v>
      </c>
      <c r="K2282" s="3">
        <v>24</v>
      </c>
      <c r="L2282" s="3">
        <f t="shared" si="354"/>
        <v>0</v>
      </c>
      <c r="N2282" s="11">
        <f t="shared" si="355"/>
        <v>3.7611302025667079</v>
      </c>
      <c r="O2282" s="3">
        <v>30.088869797433279</v>
      </c>
      <c r="P2282" s="11">
        <f t="shared" si="356"/>
        <v>3.7500214144509507</v>
      </c>
      <c r="Q2282" s="12">
        <f t="shared" si="357"/>
        <v>3.7827226678528829</v>
      </c>
      <c r="R2282" s="13">
        <f t="shared" si="358"/>
        <v>10.117410198257529</v>
      </c>
      <c r="S2282" s="3" t="s">
        <v>29</v>
      </c>
      <c r="T2282" s="3" t="s">
        <v>28</v>
      </c>
      <c r="U2282" s="10">
        <v>9320029900999</v>
      </c>
      <c r="V2282" s="3">
        <v>0.1</v>
      </c>
      <c r="W2282" s="3">
        <f t="shared" si="359"/>
        <v>2.4000000000000004</v>
      </c>
      <c r="AA2282" s="3">
        <v>48</v>
      </c>
    </row>
    <row r="2283" spans="1:27" x14ac:dyDescent="0.3">
      <c r="A2283" s="3" t="str">
        <f t="shared" si="350"/>
        <v>South9330239901320</v>
      </c>
      <c r="B2283" s="3" t="str">
        <f t="shared" si="351"/>
        <v>CY9330239901320</v>
      </c>
      <c r="C2283" s="10">
        <v>9330239901320</v>
      </c>
      <c r="D2283" s="10" t="str">
        <f t="shared" si="352"/>
        <v>9330239901</v>
      </c>
      <c r="E2283" s="3" t="s">
        <v>4</v>
      </c>
      <c r="F2283" s="3" t="s">
        <v>65</v>
      </c>
      <c r="H2283" s="3">
        <v>52.32</v>
      </c>
      <c r="I2283" s="10">
        <f t="shared" si="353"/>
        <v>52.605400722593913</v>
      </c>
      <c r="J2283" s="3">
        <v>29.837240633847312</v>
      </c>
      <c r="K2283" s="3">
        <v>0</v>
      </c>
      <c r="L2283" s="3">
        <f t="shared" si="354"/>
        <v>0</v>
      </c>
      <c r="N2283" s="11">
        <f t="shared" si="355"/>
        <v>22.482759366152688</v>
      </c>
      <c r="O2283" s="3">
        <v>29.837240633847312</v>
      </c>
      <c r="P2283" s="11">
        <f t="shared" si="356"/>
        <v>22.60540072259392</v>
      </c>
      <c r="Q2283" s="12">
        <f t="shared" si="357"/>
        <v>31.238259349180158</v>
      </c>
      <c r="R2283" s="13">
        <f t="shared" si="358"/>
        <v>17.518926818935931</v>
      </c>
      <c r="S2283" s="3" t="s">
        <v>31</v>
      </c>
      <c r="T2283" s="3" t="s">
        <v>35</v>
      </c>
      <c r="U2283" s="10">
        <v>9330239900999</v>
      </c>
      <c r="V2283" s="3">
        <v>0.1</v>
      </c>
      <c r="W2283" s="3">
        <f t="shared" si="359"/>
        <v>0</v>
      </c>
      <c r="AA2283" s="3">
        <v>48</v>
      </c>
    </row>
    <row r="2284" spans="1:27" x14ac:dyDescent="0.3">
      <c r="A2284" s="3" t="str">
        <f t="shared" si="350"/>
        <v>South9320099901320</v>
      </c>
      <c r="B2284" s="3" t="str">
        <f t="shared" si="351"/>
        <v>CY9320099901320</v>
      </c>
      <c r="C2284" s="10">
        <v>9320099901320</v>
      </c>
      <c r="D2284" s="10" t="str">
        <f t="shared" si="352"/>
        <v>9320099901</v>
      </c>
      <c r="E2284" s="3" t="s">
        <v>4</v>
      </c>
      <c r="F2284" s="3" t="s">
        <v>65</v>
      </c>
      <c r="H2284" s="3">
        <v>35.360000000000007</v>
      </c>
      <c r="I2284" s="10">
        <f t="shared" si="353"/>
        <v>36.951822154001526</v>
      </c>
      <c r="J2284" s="3">
        <v>28.707650615414263</v>
      </c>
      <c r="K2284" s="3">
        <v>0</v>
      </c>
      <c r="L2284" s="3">
        <f t="shared" si="354"/>
        <v>0</v>
      </c>
      <c r="N2284" s="11">
        <f t="shared" si="355"/>
        <v>6.6523493845857438</v>
      </c>
      <c r="O2284" s="3">
        <v>28.707650615414263</v>
      </c>
      <c r="P2284" s="11">
        <f t="shared" si="356"/>
        <v>6.9518221540015226</v>
      </c>
      <c r="Q2284" s="12">
        <f t="shared" si="357"/>
        <v>-2.7655988889725833</v>
      </c>
      <c r="R2284" s="13">
        <f t="shared" si="358"/>
        <v>2.6817619389753564</v>
      </c>
      <c r="S2284" s="3" t="s">
        <v>31</v>
      </c>
      <c r="T2284" s="3" t="s">
        <v>28</v>
      </c>
      <c r="U2284" s="10">
        <v>9320099900999</v>
      </c>
      <c r="V2284" s="3">
        <v>0.1</v>
      </c>
      <c r="W2284" s="3">
        <f t="shared" si="359"/>
        <v>0</v>
      </c>
      <c r="AA2284" s="3">
        <v>48</v>
      </c>
    </row>
    <row r="2285" spans="1:27" x14ac:dyDescent="0.3">
      <c r="A2285" s="3" t="str">
        <f t="shared" si="350"/>
        <v>South9432019901310</v>
      </c>
      <c r="B2285" s="3" t="str">
        <f t="shared" si="351"/>
        <v>CY9432019901310</v>
      </c>
      <c r="C2285" s="10">
        <v>9432019901310</v>
      </c>
      <c r="D2285" s="10" t="str">
        <f t="shared" si="352"/>
        <v>9432019901</v>
      </c>
      <c r="E2285" s="3" t="s">
        <v>4</v>
      </c>
      <c r="F2285" s="3" t="s">
        <v>65</v>
      </c>
      <c r="H2285" s="3">
        <v>29.9</v>
      </c>
      <c r="I2285" s="10">
        <f t="shared" si="353"/>
        <v>34.784702075725818</v>
      </c>
      <c r="J2285" s="3">
        <v>25.787198005814261</v>
      </c>
      <c r="K2285" s="3">
        <v>24</v>
      </c>
      <c r="L2285" s="3">
        <f t="shared" si="354"/>
        <v>0</v>
      </c>
      <c r="N2285" s="11">
        <f t="shared" si="355"/>
        <v>4.1128019941857374</v>
      </c>
      <c r="O2285" s="3">
        <v>25.787198005814261</v>
      </c>
      <c r="P2285" s="11">
        <f t="shared" si="356"/>
        <v>4.7847020757258161</v>
      </c>
      <c r="Q2285" s="12">
        <f t="shared" si="357"/>
        <v>9.1874954675189535</v>
      </c>
      <c r="R2285" s="13">
        <f t="shared" si="358"/>
        <v>9.7787517796553676</v>
      </c>
      <c r="S2285" s="3" t="s">
        <v>29</v>
      </c>
      <c r="T2285" s="3" t="s">
        <v>35</v>
      </c>
      <c r="U2285" s="10">
        <v>9432019900999</v>
      </c>
      <c r="V2285" s="3">
        <v>0.1</v>
      </c>
      <c r="W2285" s="3">
        <f t="shared" si="359"/>
        <v>2.4000000000000004</v>
      </c>
      <c r="AA2285" s="3">
        <v>48</v>
      </c>
    </row>
    <row r="2286" spans="1:27" x14ac:dyDescent="0.3">
      <c r="A2286" s="3" t="str">
        <f t="shared" si="350"/>
        <v>South9432009900320</v>
      </c>
      <c r="B2286" s="3" t="str">
        <f t="shared" si="351"/>
        <v>CY9432009900320</v>
      </c>
      <c r="C2286" s="10">
        <v>9432009900320</v>
      </c>
      <c r="D2286" s="10" t="str">
        <f t="shared" si="352"/>
        <v>9432009900</v>
      </c>
      <c r="E2286" s="3" t="s">
        <v>4</v>
      </c>
      <c r="F2286" s="3" t="s">
        <v>65</v>
      </c>
      <c r="H2286" s="3">
        <v>28.187999999999999</v>
      </c>
      <c r="I2286" s="10">
        <f t="shared" si="353"/>
        <v>33.10831035420604</v>
      </c>
      <c r="J2286" s="3">
        <v>25.541623566802492</v>
      </c>
      <c r="K2286" s="3">
        <v>24</v>
      </c>
      <c r="L2286" s="3">
        <f t="shared" si="354"/>
        <v>0</v>
      </c>
      <c r="N2286" s="11">
        <f t="shared" si="355"/>
        <v>2.6463764331975064</v>
      </c>
      <c r="O2286" s="3">
        <v>25.541623566802492</v>
      </c>
      <c r="P2286" s="11">
        <f t="shared" si="356"/>
        <v>3.10831035420604</v>
      </c>
      <c r="Q2286" s="12">
        <f t="shared" si="357"/>
        <v>-4.60959365525457</v>
      </c>
      <c r="R2286" s="13">
        <f t="shared" si="358"/>
        <v>0.17373377487676703</v>
      </c>
      <c r="S2286" s="3" t="s">
        <v>29</v>
      </c>
      <c r="T2286" s="3" t="s">
        <v>35</v>
      </c>
      <c r="U2286" s="10">
        <v>9432009900999</v>
      </c>
      <c r="V2286" s="3">
        <v>0.1</v>
      </c>
      <c r="W2286" s="3">
        <f t="shared" si="359"/>
        <v>2.4000000000000004</v>
      </c>
      <c r="AA2286" s="3">
        <v>48</v>
      </c>
    </row>
    <row r="2287" spans="1:27" x14ac:dyDescent="0.3">
      <c r="A2287" s="3" t="str">
        <f t="shared" si="350"/>
        <v>South9360119922320</v>
      </c>
      <c r="B2287" s="3" t="str">
        <f t="shared" si="351"/>
        <v>CY9360119922320</v>
      </c>
      <c r="C2287" s="10">
        <v>9360119922320</v>
      </c>
      <c r="D2287" s="10" t="str">
        <f t="shared" si="352"/>
        <v>9360119922</v>
      </c>
      <c r="E2287" s="3" t="s">
        <v>4</v>
      </c>
      <c r="F2287" s="3" t="s">
        <v>65</v>
      </c>
      <c r="H2287" s="3">
        <v>23.879999999999995</v>
      </c>
      <c r="I2287" s="10">
        <f t="shared" si="353"/>
        <v>28.540316542194596</v>
      </c>
      <c r="J2287" s="3">
        <v>25.101333369616249</v>
      </c>
      <c r="K2287" s="3">
        <v>12</v>
      </c>
      <c r="L2287" s="3">
        <f t="shared" si="354"/>
        <v>0</v>
      </c>
      <c r="N2287" s="11">
        <f t="shared" si="355"/>
        <v>-1.2213333696162536</v>
      </c>
      <c r="O2287" s="3">
        <v>25.101333369616249</v>
      </c>
      <c r="P2287" s="11">
        <f t="shared" si="356"/>
        <v>-1.4596834578054037</v>
      </c>
      <c r="Q2287" s="12">
        <f t="shared" si="357"/>
        <v>22.766031492088672</v>
      </c>
      <c r="R2287" s="13">
        <f t="shared" si="358"/>
        <v>5.798507580120047</v>
      </c>
      <c r="S2287" s="3" t="s">
        <v>29</v>
      </c>
      <c r="T2287" s="3" t="s">
        <v>33</v>
      </c>
      <c r="U2287" s="10">
        <v>9360119922999</v>
      </c>
      <c r="V2287" s="3">
        <v>0.1</v>
      </c>
      <c r="W2287" s="3">
        <f t="shared" si="359"/>
        <v>1.2000000000000002</v>
      </c>
      <c r="AA2287" s="3">
        <v>48</v>
      </c>
    </row>
    <row r="2288" spans="1:27" x14ac:dyDescent="0.3">
      <c r="A2288" s="3" t="str">
        <f t="shared" si="350"/>
        <v>South9181909900320</v>
      </c>
      <c r="B2288" s="3" t="str">
        <f t="shared" si="351"/>
        <v>CY9181909900320</v>
      </c>
      <c r="C2288" s="10">
        <v>9181909900320</v>
      </c>
      <c r="D2288" s="10" t="str">
        <f t="shared" si="352"/>
        <v>9181909900</v>
      </c>
      <c r="E2288" s="3" t="s">
        <v>4</v>
      </c>
      <c r="F2288" s="3" t="s">
        <v>65</v>
      </c>
      <c r="H2288" s="3">
        <v>74.260000000000005</v>
      </c>
      <c r="I2288" s="10">
        <f t="shared" si="353"/>
        <v>89.480445364441408</v>
      </c>
      <c r="J2288" s="3">
        <v>24.897059809285487</v>
      </c>
      <c r="K2288" s="3">
        <v>0</v>
      </c>
      <c r="L2288" s="3">
        <f t="shared" si="354"/>
        <v>0</v>
      </c>
      <c r="N2288" s="11">
        <f t="shared" si="355"/>
        <v>49.362940190714518</v>
      </c>
      <c r="O2288" s="3">
        <v>24.897059809285487</v>
      </c>
      <c r="P2288" s="11">
        <f t="shared" si="356"/>
        <v>59.480445364441408</v>
      </c>
      <c r="Q2288" s="12">
        <f t="shared" si="357"/>
        <v>59.480445364441408</v>
      </c>
      <c r="R2288" s="13">
        <f t="shared" si="358"/>
        <v>60.235150093965217</v>
      </c>
      <c r="S2288" s="3" t="s">
        <v>30</v>
      </c>
      <c r="T2288" s="3" t="s">
        <v>34</v>
      </c>
      <c r="U2288" s="10">
        <v>0</v>
      </c>
      <c r="V2288" s="3">
        <v>0</v>
      </c>
      <c r="W2288" s="3">
        <f t="shared" si="359"/>
        <v>0</v>
      </c>
      <c r="AA2288" s="3">
        <v>48</v>
      </c>
    </row>
    <row r="2289" spans="1:27" x14ac:dyDescent="0.3">
      <c r="A2289" s="3" t="str">
        <f t="shared" si="350"/>
        <v>South9360029900310</v>
      </c>
      <c r="B2289" s="3" t="str">
        <f t="shared" si="351"/>
        <v>CY9360029900310</v>
      </c>
      <c r="C2289" s="10">
        <v>9360029900310</v>
      </c>
      <c r="D2289" s="10" t="str">
        <f t="shared" si="352"/>
        <v>9360029900</v>
      </c>
      <c r="E2289" s="3" t="s">
        <v>4</v>
      </c>
      <c r="F2289" s="3" t="s">
        <v>65</v>
      </c>
      <c r="H2289" s="3">
        <v>19.470000000000002</v>
      </c>
      <c r="I2289" s="10">
        <f t="shared" si="353"/>
        <v>23.908691162289287</v>
      </c>
      <c r="J2289" s="3">
        <v>24.430446486392768</v>
      </c>
      <c r="K2289" s="3">
        <v>24</v>
      </c>
      <c r="L2289" s="3">
        <f t="shared" si="354"/>
        <v>0</v>
      </c>
      <c r="N2289" s="11">
        <f t="shared" si="355"/>
        <v>-4.9604464863927653</v>
      </c>
      <c r="O2289" s="3">
        <v>24.430446486392768</v>
      </c>
      <c r="P2289" s="11">
        <f t="shared" si="356"/>
        <v>-6.0913088377107156</v>
      </c>
      <c r="Q2289" s="12">
        <f t="shared" si="357"/>
        <v>-5.194050252342727</v>
      </c>
      <c r="R2289" s="13">
        <f t="shared" si="358"/>
        <v>-3.3162661745390394</v>
      </c>
      <c r="S2289" s="3" t="s">
        <v>29</v>
      </c>
      <c r="T2289" s="3" t="s">
        <v>33</v>
      </c>
      <c r="U2289" s="10">
        <v>9360029900999</v>
      </c>
      <c r="V2289" s="3">
        <v>0.1</v>
      </c>
      <c r="W2289" s="3">
        <f t="shared" si="359"/>
        <v>2.4000000000000004</v>
      </c>
      <c r="AA2289" s="3">
        <v>48</v>
      </c>
    </row>
    <row r="2290" spans="1:27" x14ac:dyDescent="0.3">
      <c r="A2290" s="3" t="str">
        <f t="shared" si="350"/>
        <v>South9320019900810</v>
      </c>
      <c r="B2290" s="3" t="str">
        <f t="shared" si="351"/>
        <v>CY9320019900810</v>
      </c>
      <c r="C2290" s="10">
        <v>9320019900810</v>
      </c>
      <c r="D2290" s="10" t="str">
        <f t="shared" si="352"/>
        <v>9320019900</v>
      </c>
      <c r="E2290" s="3" t="s">
        <v>4</v>
      </c>
      <c r="F2290" s="3" t="s">
        <v>65</v>
      </c>
      <c r="H2290" s="3">
        <v>27.009999999999998</v>
      </c>
      <c r="I2290" s="10">
        <f t="shared" si="353"/>
        <v>35.14839586164257</v>
      </c>
      <c r="J2290" s="3">
        <v>23.053683678471369</v>
      </c>
      <c r="K2290" s="3">
        <v>12</v>
      </c>
      <c r="L2290" s="3">
        <f t="shared" si="354"/>
        <v>0</v>
      </c>
      <c r="N2290" s="11">
        <f t="shared" si="355"/>
        <v>3.9563163215286288</v>
      </c>
      <c r="O2290" s="3">
        <v>23.053683678471369</v>
      </c>
      <c r="P2290" s="11">
        <f t="shared" si="356"/>
        <v>5.1483958616425705</v>
      </c>
      <c r="Q2290" s="12">
        <f t="shared" si="357"/>
        <v>1.7785497660751577</v>
      </c>
      <c r="R2290" s="13">
        <f t="shared" si="358"/>
        <v>9.9235296770641845</v>
      </c>
      <c r="S2290" s="3" t="s">
        <v>29</v>
      </c>
      <c r="T2290" s="3" t="s">
        <v>28</v>
      </c>
      <c r="U2290" s="10">
        <v>0</v>
      </c>
      <c r="V2290" s="3">
        <v>0</v>
      </c>
      <c r="W2290" s="3">
        <f t="shared" si="359"/>
        <v>0</v>
      </c>
      <c r="AA2290" s="3">
        <v>48</v>
      </c>
    </row>
    <row r="2291" spans="1:27" x14ac:dyDescent="0.3">
      <c r="A2291" s="3" t="str">
        <f t="shared" si="350"/>
        <v>South9100309901320</v>
      </c>
      <c r="B2291" s="3" t="str">
        <f t="shared" si="351"/>
        <v>CY9100309901320</v>
      </c>
      <c r="C2291" s="10">
        <v>9100309901320</v>
      </c>
      <c r="D2291" s="10" t="str">
        <f t="shared" si="352"/>
        <v>9100309901</v>
      </c>
      <c r="E2291" s="3" t="s">
        <v>4</v>
      </c>
      <c r="F2291" s="3" t="s">
        <v>65</v>
      </c>
      <c r="H2291" s="3">
        <v>56.1</v>
      </c>
      <c r="I2291" s="10">
        <f t="shared" si="353"/>
        <v>86.081317621760533</v>
      </c>
      <c r="J2291" s="3">
        <v>19.551280655287666</v>
      </c>
      <c r="K2291" s="3">
        <v>0</v>
      </c>
      <c r="L2291" s="3">
        <f t="shared" si="354"/>
        <v>0</v>
      </c>
      <c r="N2291" s="11">
        <f t="shared" si="355"/>
        <v>36.548719344712339</v>
      </c>
      <c r="O2291" s="3">
        <v>19.551280655287666</v>
      </c>
      <c r="P2291" s="11">
        <f t="shared" si="356"/>
        <v>56.08131762176054</v>
      </c>
      <c r="Q2291" s="12">
        <f t="shared" si="357"/>
        <v>66.355128993098944</v>
      </c>
      <c r="R2291" s="13">
        <f t="shared" si="358"/>
        <v>38.292230513753402</v>
      </c>
      <c r="S2291" s="3" t="s">
        <v>29</v>
      </c>
      <c r="T2291" s="3" t="s">
        <v>34</v>
      </c>
      <c r="U2291" s="10">
        <v>0</v>
      </c>
      <c r="V2291" s="3">
        <v>0</v>
      </c>
      <c r="W2291" s="3">
        <f t="shared" si="359"/>
        <v>0</v>
      </c>
      <c r="AA2291" s="3">
        <v>48</v>
      </c>
    </row>
    <row r="2292" spans="1:27" x14ac:dyDescent="0.3">
      <c r="A2292" s="3" t="str">
        <f t="shared" si="350"/>
        <v>South9432009901210</v>
      </c>
      <c r="B2292" s="3" t="str">
        <f t="shared" si="351"/>
        <v>CY9432009901210</v>
      </c>
      <c r="C2292" s="10">
        <v>9432009901210</v>
      </c>
      <c r="D2292" s="10" t="str">
        <f t="shared" si="352"/>
        <v>9432009901</v>
      </c>
      <c r="E2292" s="3" t="s">
        <v>4</v>
      </c>
      <c r="F2292" s="3" t="s">
        <v>65</v>
      </c>
      <c r="H2292" s="3">
        <v>27.009</v>
      </c>
      <c r="I2292" s="10">
        <f t="shared" si="353"/>
        <v>42.769821453465298</v>
      </c>
      <c r="J2292" s="3">
        <v>18.944900223200495</v>
      </c>
      <c r="K2292" s="3">
        <v>24</v>
      </c>
      <c r="L2292" s="3">
        <f t="shared" si="354"/>
        <v>0</v>
      </c>
      <c r="N2292" s="11">
        <f t="shared" si="355"/>
        <v>8.0640997767995053</v>
      </c>
      <c r="O2292" s="3">
        <v>18.944900223200495</v>
      </c>
      <c r="P2292" s="11">
        <f t="shared" si="356"/>
        <v>12.769821453465296</v>
      </c>
      <c r="Q2292" s="12">
        <f t="shared" si="357"/>
        <v>6.6723384393672891</v>
      </c>
      <c r="R2292" s="13">
        <f t="shared" si="358"/>
        <v>10.799641646358246</v>
      </c>
      <c r="S2292" s="3" t="s">
        <v>30</v>
      </c>
      <c r="T2292" s="3" t="s">
        <v>35</v>
      </c>
      <c r="U2292" s="10">
        <v>0</v>
      </c>
      <c r="V2292" s="3">
        <v>0</v>
      </c>
      <c r="W2292" s="3">
        <f t="shared" si="359"/>
        <v>0</v>
      </c>
      <c r="AA2292" s="3">
        <v>48</v>
      </c>
    </row>
    <row r="2293" spans="1:27" x14ac:dyDescent="0.3">
      <c r="A2293" s="3" t="str">
        <f t="shared" si="350"/>
        <v>South9330209900320</v>
      </c>
      <c r="B2293" s="3" t="str">
        <f t="shared" si="351"/>
        <v>CY9330209900320</v>
      </c>
      <c r="C2293" s="10">
        <v>9330209900320</v>
      </c>
      <c r="D2293" s="10" t="str">
        <f t="shared" si="352"/>
        <v>9330209900</v>
      </c>
      <c r="E2293" s="3" t="s">
        <v>4</v>
      </c>
      <c r="F2293" s="3" t="s">
        <v>65</v>
      </c>
      <c r="H2293" s="3">
        <v>65.78</v>
      </c>
      <c r="I2293" s="10">
        <f t="shared" si="353"/>
        <v>107.73376152666611</v>
      </c>
      <c r="J2293" s="3">
        <v>18.317377691407785</v>
      </c>
      <c r="K2293" s="3">
        <v>24</v>
      </c>
      <c r="L2293" s="3">
        <f t="shared" si="354"/>
        <v>0</v>
      </c>
      <c r="N2293" s="11">
        <f t="shared" si="355"/>
        <v>47.462622308592216</v>
      </c>
      <c r="O2293" s="3">
        <v>18.317377691407785</v>
      </c>
      <c r="P2293" s="11">
        <f t="shared" si="356"/>
        <v>77.733761526666115</v>
      </c>
      <c r="Q2293" s="12">
        <f t="shared" si="357"/>
        <v>-7.4480479528797696</v>
      </c>
      <c r="R2293" s="13">
        <f t="shared" si="358"/>
        <v>-3.5893160099336039</v>
      </c>
      <c r="S2293" s="3" t="s">
        <v>29</v>
      </c>
      <c r="T2293" s="3" t="s">
        <v>35</v>
      </c>
      <c r="U2293" s="10">
        <v>9330209900999</v>
      </c>
      <c r="V2293" s="3">
        <v>0.1</v>
      </c>
      <c r="W2293" s="3">
        <f t="shared" si="359"/>
        <v>2.4000000000000004</v>
      </c>
      <c r="AA2293" s="3">
        <v>48</v>
      </c>
    </row>
    <row r="2294" spans="1:27" x14ac:dyDescent="0.3">
      <c r="A2294" s="3" t="str">
        <f t="shared" si="350"/>
        <v>South9100309900320</v>
      </c>
      <c r="B2294" s="3" t="str">
        <f t="shared" si="351"/>
        <v>CY9100309900320</v>
      </c>
      <c r="C2294" s="10">
        <v>9100309900320</v>
      </c>
      <c r="D2294" s="10" t="str">
        <f t="shared" si="352"/>
        <v>9100309900</v>
      </c>
      <c r="E2294" s="3" t="s">
        <v>4</v>
      </c>
      <c r="F2294" s="3" t="s">
        <v>65</v>
      </c>
      <c r="H2294" s="3">
        <v>22.364000000000004</v>
      </c>
      <c r="I2294" s="10">
        <f t="shared" si="353"/>
        <v>36.809395174317508</v>
      </c>
      <c r="J2294" s="3">
        <v>18.226868353113055</v>
      </c>
      <c r="K2294" s="3">
        <v>48</v>
      </c>
      <c r="L2294" s="3">
        <f t="shared" si="354"/>
        <v>0</v>
      </c>
      <c r="N2294" s="11">
        <f t="shared" si="355"/>
        <v>4.1371316468869495</v>
      </c>
      <c r="O2294" s="3">
        <v>18.226868353113055</v>
      </c>
      <c r="P2294" s="11">
        <f t="shared" si="356"/>
        <v>6.8093951743175047</v>
      </c>
      <c r="Q2294" s="12">
        <f t="shared" si="357"/>
        <v>14.353732222531852</v>
      </c>
      <c r="R2294" s="13">
        <f t="shared" si="358"/>
        <v>25.384779387632882</v>
      </c>
      <c r="S2294" s="3" t="s">
        <v>29</v>
      </c>
      <c r="T2294" s="3" t="s">
        <v>34</v>
      </c>
      <c r="U2294" s="10">
        <v>0</v>
      </c>
      <c r="V2294" s="3">
        <v>0</v>
      </c>
      <c r="W2294" s="3">
        <f t="shared" si="359"/>
        <v>0</v>
      </c>
      <c r="AA2294" s="3">
        <v>48</v>
      </c>
    </row>
    <row r="2295" spans="1:27" x14ac:dyDescent="0.3">
      <c r="A2295" s="3" t="str">
        <f t="shared" si="350"/>
        <v>South9410049901320</v>
      </c>
      <c r="B2295" s="3" t="str">
        <f t="shared" si="351"/>
        <v>CY9410049901320</v>
      </c>
      <c r="C2295" s="10">
        <v>9410049901320</v>
      </c>
      <c r="D2295" s="10" t="str">
        <f t="shared" si="352"/>
        <v>9410049901</v>
      </c>
      <c r="E2295" s="3" t="s">
        <v>4</v>
      </c>
      <c r="F2295" s="3" t="s">
        <v>65</v>
      </c>
      <c r="H2295" s="3">
        <v>38.419999999999995</v>
      </c>
      <c r="I2295" s="10">
        <f t="shared" si="353"/>
        <v>63.350523189172577</v>
      </c>
      <c r="J2295" s="3">
        <v>18.194009172713418</v>
      </c>
      <c r="K2295" s="3">
        <v>0</v>
      </c>
      <c r="L2295" s="3">
        <f t="shared" si="354"/>
        <v>0</v>
      </c>
      <c r="N2295" s="11">
        <f t="shared" si="355"/>
        <v>20.225990827286576</v>
      </c>
      <c r="O2295" s="3">
        <v>18.194009172713418</v>
      </c>
      <c r="P2295" s="11">
        <f t="shared" si="356"/>
        <v>33.35052318917257</v>
      </c>
      <c r="Q2295" s="12">
        <f t="shared" si="357"/>
        <v>33.35052318917257</v>
      </c>
      <c r="R2295" s="13">
        <f t="shared" si="358"/>
        <v>33.35052318917257</v>
      </c>
      <c r="S2295" s="3" t="s">
        <v>30</v>
      </c>
      <c r="T2295" s="3" t="s">
        <v>32</v>
      </c>
      <c r="U2295" s="10">
        <v>9410049901999</v>
      </c>
      <c r="V2295" s="3">
        <v>0.1</v>
      </c>
      <c r="W2295" s="3">
        <f t="shared" si="359"/>
        <v>0</v>
      </c>
      <c r="AA2295" s="3">
        <v>48</v>
      </c>
    </row>
    <row r="2296" spans="1:27" x14ac:dyDescent="0.3">
      <c r="A2296" s="3" t="str">
        <f t="shared" si="350"/>
        <v>South9410019901320</v>
      </c>
      <c r="B2296" s="3" t="str">
        <f t="shared" si="351"/>
        <v>CY9410019901320</v>
      </c>
      <c r="C2296" s="10">
        <v>9410019901320</v>
      </c>
      <c r="D2296" s="10" t="str">
        <f t="shared" si="352"/>
        <v>9410019901</v>
      </c>
      <c r="E2296" s="3" t="s">
        <v>4</v>
      </c>
      <c r="F2296" s="3" t="s">
        <v>65</v>
      </c>
      <c r="H2296" s="3">
        <v>32.82</v>
      </c>
      <c r="I2296" s="10">
        <f t="shared" si="353"/>
        <v>54.71017286113895</v>
      </c>
      <c r="J2296" s="3">
        <v>17.996653063024205</v>
      </c>
      <c r="K2296" s="3">
        <v>0</v>
      </c>
      <c r="L2296" s="3">
        <f t="shared" si="354"/>
        <v>0</v>
      </c>
      <c r="N2296" s="11">
        <f t="shared" si="355"/>
        <v>14.823346936975796</v>
      </c>
      <c r="O2296" s="3">
        <v>17.996653063024205</v>
      </c>
      <c r="P2296" s="11">
        <f t="shared" si="356"/>
        <v>24.71017286113895</v>
      </c>
      <c r="Q2296" s="12">
        <f t="shared" si="357"/>
        <v>47.783829000558605</v>
      </c>
      <c r="R2296" s="13">
        <f t="shared" si="358"/>
        <v>43.13809711858017</v>
      </c>
      <c r="S2296" s="3" t="s">
        <v>29</v>
      </c>
      <c r="T2296" s="3" t="s">
        <v>32</v>
      </c>
      <c r="U2296" s="10">
        <v>9410019900999</v>
      </c>
      <c r="V2296" s="3">
        <v>0.1</v>
      </c>
      <c r="W2296" s="3">
        <f t="shared" si="359"/>
        <v>0</v>
      </c>
      <c r="AA2296" s="3">
        <v>48</v>
      </c>
    </row>
    <row r="2297" spans="1:27" x14ac:dyDescent="0.3">
      <c r="A2297" s="3" t="str">
        <f t="shared" si="350"/>
        <v>South9437009900810</v>
      </c>
      <c r="B2297" s="3" t="str">
        <f t="shared" si="351"/>
        <v>CY9437009900810</v>
      </c>
      <c r="C2297" s="10">
        <v>9437009900810</v>
      </c>
      <c r="D2297" s="10" t="str">
        <f t="shared" si="352"/>
        <v>9437009900</v>
      </c>
      <c r="E2297" s="3" t="s">
        <v>4</v>
      </c>
      <c r="F2297" s="3" t="s">
        <v>65</v>
      </c>
      <c r="H2297" s="3">
        <v>23.560000000000002</v>
      </c>
      <c r="I2297" s="10">
        <f t="shared" si="353"/>
        <v>39.597915787746345</v>
      </c>
      <c r="J2297" s="3">
        <v>17.84942429264726</v>
      </c>
      <c r="K2297" s="3">
        <v>0</v>
      </c>
      <c r="L2297" s="3">
        <f t="shared" si="354"/>
        <v>0</v>
      </c>
      <c r="N2297" s="11">
        <f t="shared" si="355"/>
        <v>5.7105757073527421</v>
      </c>
      <c r="O2297" s="3">
        <v>17.84942429264726</v>
      </c>
      <c r="P2297" s="11">
        <f t="shared" si="356"/>
        <v>9.597915787746345</v>
      </c>
      <c r="Q2297" s="12">
        <f t="shared" si="357"/>
        <v>9.0021693032899215</v>
      </c>
      <c r="R2297" s="13">
        <f t="shared" si="358"/>
        <v>12.39250820735101</v>
      </c>
      <c r="S2297" s="3" t="s">
        <v>29</v>
      </c>
      <c r="T2297" s="3" t="s">
        <v>35</v>
      </c>
      <c r="U2297" s="10">
        <v>0</v>
      </c>
      <c r="V2297" s="3">
        <v>0</v>
      </c>
      <c r="W2297" s="3">
        <f t="shared" si="359"/>
        <v>0</v>
      </c>
      <c r="AA2297" s="3">
        <v>48</v>
      </c>
    </row>
    <row r="2298" spans="1:27" x14ac:dyDescent="0.3">
      <c r="A2298" s="3" t="str">
        <f t="shared" si="350"/>
        <v>South9160509901320</v>
      </c>
      <c r="B2298" s="3" t="str">
        <f t="shared" si="351"/>
        <v>CY9160509901320</v>
      </c>
      <c r="C2298" s="10">
        <v>9160509901320</v>
      </c>
      <c r="D2298" s="10" t="str">
        <f t="shared" si="352"/>
        <v>9160509901</v>
      </c>
      <c r="E2298" s="3" t="s">
        <v>4</v>
      </c>
      <c r="F2298" s="3" t="s">
        <v>65</v>
      </c>
      <c r="H2298" s="3">
        <v>58.239999999999995</v>
      </c>
      <c r="I2298" s="10">
        <f t="shared" si="353"/>
        <v>98.047948468655719</v>
      </c>
      <c r="J2298" s="3">
        <v>17.819852707663234</v>
      </c>
      <c r="K2298" s="3">
        <v>0</v>
      </c>
      <c r="L2298" s="3">
        <f t="shared" si="354"/>
        <v>0</v>
      </c>
      <c r="N2298" s="11">
        <f t="shared" si="355"/>
        <v>40.420147292336765</v>
      </c>
      <c r="O2298" s="3">
        <v>17.819852707663234</v>
      </c>
      <c r="P2298" s="11">
        <f t="shared" si="356"/>
        <v>68.047948468655719</v>
      </c>
      <c r="Q2298" s="12">
        <f t="shared" si="357"/>
        <v>36.496605072927892</v>
      </c>
      <c r="R2298" s="13">
        <f t="shared" si="358"/>
        <v>20.628605749315501</v>
      </c>
      <c r="S2298" s="3" t="s">
        <v>29</v>
      </c>
      <c r="T2298" s="3" t="s">
        <v>34</v>
      </c>
      <c r="U2298" s="10">
        <v>0</v>
      </c>
      <c r="V2298" s="3">
        <v>0</v>
      </c>
      <c r="W2298" s="3">
        <f t="shared" si="359"/>
        <v>0</v>
      </c>
      <c r="AA2298" s="3">
        <v>48</v>
      </c>
    </row>
    <row r="2299" spans="1:27" x14ac:dyDescent="0.3">
      <c r="A2299" s="3" t="str">
        <f t="shared" si="350"/>
        <v>South9330019900840</v>
      </c>
      <c r="B2299" s="3" t="str">
        <f t="shared" si="351"/>
        <v>CY9330019900840</v>
      </c>
      <c r="C2299" s="10">
        <v>9330019900840</v>
      </c>
      <c r="D2299" s="10" t="str">
        <f t="shared" si="352"/>
        <v>9330019900</v>
      </c>
      <c r="E2299" s="3" t="s">
        <v>4</v>
      </c>
      <c r="F2299" s="3" t="s">
        <v>65</v>
      </c>
      <c r="H2299" s="3">
        <v>21.54</v>
      </c>
      <c r="I2299" s="10">
        <f t="shared" si="353"/>
        <v>36.470951901721591</v>
      </c>
      <c r="J2299" s="3">
        <v>17.71821041965994</v>
      </c>
      <c r="K2299" s="3">
        <v>24</v>
      </c>
      <c r="L2299" s="3">
        <f t="shared" si="354"/>
        <v>0</v>
      </c>
      <c r="N2299" s="11">
        <f t="shared" si="355"/>
        <v>3.8217895803400594</v>
      </c>
      <c r="O2299" s="3">
        <v>17.71821041965994</v>
      </c>
      <c r="P2299" s="11">
        <f t="shared" si="356"/>
        <v>6.4709519017215902</v>
      </c>
      <c r="Q2299" s="12">
        <f t="shared" si="357"/>
        <v>3.0975456617129535</v>
      </c>
      <c r="R2299" s="13">
        <f t="shared" si="358"/>
        <v>9.4476303331844651</v>
      </c>
      <c r="S2299" s="3" t="s">
        <v>29</v>
      </c>
      <c r="T2299" s="3" t="s">
        <v>35</v>
      </c>
      <c r="U2299" s="10">
        <v>0</v>
      </c>
      <c r="V2299" s="3">
        <v>0</v>
      </c>
      <c r="W2299" s="3">
        <f t="shared" si="359"/>
        <v>0</v>
      </c>
      <c r="AA2299" s="3">
        <v>48</v>
      </c>
    </row>
    <row r="2300" spans="1:27" x14ac:dyDescent="0.3">
      <c r="A2300" s="3" t="str">
        <f t="shared" si="350"/>
        <v>South9310099901320</v>
      </c>
      <c r="B2300" s="3" t="str">
        <f t="shared" si="351"/>
        <v>CY9310099901320</v>
      </c>
      <c r="C2300" s="10">
        <v>9310099901320</v>
      </c>
      <c r="D2300" s="10" t="str">
        <f t="shared" si="352"/>
        <v>9310099901</v>
      </c>
      <c r="E2300" s="3" t="s">
        <v>4</v>
      </c>
      <c r="F2300" s="3" t="s">
        <v>65</v>
      </c>
      <c r="H2300" s="3">
        <v>0</v>
      </c>
      <c r="I2300" s="10">
        <f t="shared" si="353"/>
        <v>0</v>
      </c>
      <c r="J2300" s="3">
        <v>17.591672420000009</v>
      </c>
      <c r="K2300" s="3">
        <v>0</v>
      </c>
      <c r="L2300" s="3">
        <f t="shared" si="354"/>
        <v>0</v>
      </c>
      <c r="N2300" s="11">
        <f t="shared" si="355"/>
        <v>-17.591672420000009</v>
      </c>
      <c r="O2300" s="3">
        <v>17.591672420000009</v>
      </c>
      <c r="P2300" s="11">
        <f t="shared" si="356"/>
        <v>-30</v>
      </c>
      <c r="Q2300" s="12">
        <f t="shared" si="357"/>
        <v>-29.999999999999996</v>
      </c>
      <c r="R2300" s="13">
        <f t="shared" si="358"/>
        <v>-30</v>
      </c>
      <c r="S2300" s="3">
        <v>0</v>
      </c>
      <c r="T2300" s="3" t="s">
        <v>32</v>
      </c>
      <c r="U2300" s="10">
        <v>9310099900999</v>
      </c>
      <c r="V2300" s="3">
        <v>0.1</v>
      </c>
      <c r="W2300" s="3">
        <f t="shared" si="359"/>
        <v>0</v>
      </c>
      <c r="AA2300" s="3">
        <v>48</v>
      </c>
    </row>
    <row r="2301" spans="1:27" x14ac:dyDescent="0.3">
      <c r="A2301" s="3" t="str">
        <f t="shared" si="350"/>
        <v>South9320039901310</v>
      </c>
      <c r="B2301" s="3" t="str">
        <f t="shared" si="351"/>
        <v>CY9320039901310</v>
      </c>
      <c r="C2301" s="10">
        <v>9320039901310</v>
      </c>
      <c r="D2301" s="10" t="str">
        <f t="shared" si="352"/>
        <v>9320039901</v>
      </c>
      <c r="E2301" s="3" t="s">
        <v>4</v>
      </c>
      <c r="F2301" s="3" t="s">
        <v>65</v>
      </c>
      <c r="H2301" s="3">
        <v>16.150000000000006</v>
      </c>
      <c r="I2301" s="10">
        <f t="shared" si="353"/>
        <v>27.626286699794051</v>
      </c>
      <c r="J2301" s="3">
        <v>17.537644681129443</v>
      </c>
      <c r="K2301" s="3">
        <v>0</v>
      </c>
      <c r="L2301" s="3">
        <f t="shared" si="354"/>
        <v>0</v>
      </c>
      <c r="N2301" s="11">
        <f t="shared" si="355"/>
        <v>-1.3876446811294372</v>
      </c>
      <c r="O2301" s="3">
        <v>17.537644681129443</v>
      </c>
      <c r="P2301" s="11">
        <f t="shared" si="356"/>
        <v>-2.3737133002059512</v>
      </c>
      <c r="Q2301" s="12">
        <f t="shared" si="357"/>
        <v>1.5111996547868929</v>
      </c>
      <c r="R2301" s="13">
        <f t="shared" si="358"/>
        <v>5.5999242697400797</v>
      </c>
      <c r="S2301" s="3" t="s">
        <v>29</v>
      </c>
      <c r="T2301" s="3" t="s">
        <v>28</v>
      </c>
      <c r="U2301" s="10">
        <v>9320039900999</v>
      </c>
      <c r="V2301" s="3">
        <v>0.1</v>
      </c>
      <c r="W2301" s="3">
        <f t="shared" si="359"/>
        <v>0</v>
      </c>
      <c r="AA2301" s="3">
        <v>48</v>
      </c>
    </row>
    <row r="2302" spans="1:27" x14ac:dyDescent="0.3">
      <c r="A2302" s="3" t="str">
        <f t="shared" si="350"/>
        <v>South9320029902219</v>
      </c>
      <c r="B2302" s="3" t="str">
        <f t="shared" si="351"/>
        <v>CY9320029902219</v>
      </c>
      <c r="C2302" s="10">
        <v>9320029902219</v>
      </c>
      <c r="D2302" s="10" t="str">
        <f t="shared" si="352"/>
        <v>9320029902</v>
      </c>
      <c r="E2302" s="3" t="s">
        <v>4</v>
      </c>
      <c r="F2302" s="3" t="s">
        <v>65</v>
      </c>
      <c r="H2302" s="3">
        <v>30.790499999999998</v>
      </c>
      <c r="I2302" s="10">
        <f t="shared" si="353"/>
        <v>52.806418470535135</v>
      </c>
      <c r="J2302" s="3">
        <v>17.492475853392961</v>
      </c>
      <c r="K2302" s="3">
        <v>0</v>
      </c>
      <c r="L2302" s="3">
        <f t="shared" si="354"/>
        <v>0</v>
      </c>
      <c r="N2302" s="11">
        <f t="shared" si="355"/>
        <v>13.298024146607037</v>
      </c>
      <c r="O2302" s="3">
        <v>17.492475853392961</v>
      </c>
      <c r="P2302" s="11">
        <f t="shared" si="356"/>
        <v>22.806418470535135</v>
      </c>
      <c r="Q2302" s="12">
        <f t="shared" si="357"/>
        <v>17.350040587828875</v>
      </c>
      <c r="R2302" s="13">
        <f t="shared" si="358"/>
        <v>24.165952135270057</v>
      </c>
      <c r="S2302" s="3" t="s">
        <v>29</v>
      </c>
      <c r="T2302" s="3" t="s">
        <v>28</v>
      </c>
      <c r="U2302" s="10">
        <v>9320029900999</v>
      </c>
      <c r="V2302" s="3">
        <v>0.1</v>
      </c>
      <c r="W2302" s="3">
        <f t="shared" si="359"/>
        <v>0</v>
      </c>
      <c r="AA2302" s="3">
        <v>48</v>
      </c>
    </row>
    <row r="2303" spans="1:27" x14ac:dyDescent="0.3">
      <c r="A2303" s="3" t="str">
        <f t="shared" si="350"/>
        <v>South9432009900310</v>
      </c>
      <c r="B2303" s="3" t="str">
        <f t="shared" si="351"/>
        <v>CY9432009900310</v>
      </c>
      <c r="C2303" s="10">
        <v>9432009900310</v>
      </c>
      <c r="D2303" s="10" t="str">
        <f t="shared" si="352"/>
        <v>9432009900</v>
      </c>
      <c r="E2303" s="3" t="s">
        <v>4</v>
      </c>
      <c r="F2303" s="3" t="s">
        <v>65</v>
      </c>
      <c r="H2303" s="3">
        <v>26.22</v>
      </c>
      <c r="I2303" s="10">
        <f t="shared" si="353"/>
        <v>49.936730830701762</v>
      </c>
      <c r="J2303" s="3">
        <v>15.751932233344917</v>
      </c>
      <c r="K2303" s="3">
        <v>0</v>
      </c>
      <c r="L2303" s="3">
        <f t="shared" si="354"/>
        <v>0</v>
      </c>
      <c r="N2303" s="11">
        <f t="shared" si="355"/>
        <v>10.468067766655082</v>
      </c>
      <c r="O2303" s="3">
        <v>15.751932233344917</v>
      </c>
      <c r="P2303" s="11">
        <f t="shared" si="356"/>
        <v>19.936730830701762</v>
      </c>
      <c r="Q2303" s="12">
        <f t="shared" si="357"/>
        <v>9.6475398645274328</v>
      </c>
      <c r="R2303" s="13">
        <f t="shared" si="358"/>
        <v>13.907087089372547</v>
      </c>
      <c r="S2303" s="3" t="s">
        <v>30</v>
      </c>
      <c r="T2303" s="3" t="s">
        <v>35</v>
      </c>
      <c r="U2303" s="10">
        <v>9432009900999</v>
      </c>
      <c r="V2303" s="3">
        <v>0.1</v>
      </c>
      <c r="W2303" s="3">
        <f t="shared" si="359"/>
        <v>0</v>
      </c>
      <c r="AA2303" s="3">
        <v>48</v>
      </c>
    </row>
    <row r="2304" spans="1:27" x14ac:dyDescent="0.3">
      <c r="A2304" s="3" t="str">
        <f t="shared" si="350"/>
        <v>South9101109900320</v>
      </c>
      <c r="B2304" s="3" t="str">
        <f t="shared" si="351"/>
        <v>CY9101109900320</v>
      </c>
      <c r="C2304" s="10">
        <v>9101109900320</v>
      </c>
      <c r="D2304" s="10" t="str">
        <f t="shared" si="352"/>
        <v>9101109900</v>
      </c>
      <c r="E2304" s="3" t="s">
        <v>4</v>
      </c>
      <c r="F2304" s="3" t="s">
        <v>65</v>
      </c>
      <c r="H2304" s="3">
        <v>20.179999999999996</v>
      </c>
      <c r="I2304" s="10">
        <f t="shared" si="353"/>
        <v>39.304792536155944</v>
      </c>
      <c r="J2304" s="3">
        <v>15.402701831922931</v>
      </c>
      <c r="K2304" s="3">
        <v>48</v>
      </c>
      <c r="L2304" s="3">
        <f t="shared" si="354"/>
        <v>0</v>
      </c>
      <c r="N2304" s="11">
        <f t="shared" si="355"/>
        <v>4.7772981680770652</v>
      </c>
      <c r="O2304" s="3">
        <v>15.402701831922931</v>
      </c>
      <c r="P2304" s="11">
        <f t="shared" si="356"/>
        <v>9.3047925361559436</v>
      </c>
      <c r="Q2304" s="12">
        <f t="shared" si="357"/>
        <v>17.984320918051871</v>
      </c>
      <c r="R2304" s="13">
        <f t="shared" si="358"/>
        <v>45.040599103158151</v>
      </c>
      <c r="S2304" s="3" t="s">
        <v>29</v>
      </c>
      <c r="T2304" s="3" t="s">
        <v>34</v>
      </c>
      <c r="U2304" s="10">
        <v>0</v>
      </c>
      <c r="V2304" s="3">
        <v>0</v>
      </c>
      <c r="W2304" s="3">
        <f t="shared" si="359"/>
        <v>0</v>
      </c>
      <c r="AA2304" s="3">
        <v>48</v>
      </c>
    </row>
    <row r="2305" spans="1:27" x14ac:dyDescent="0.3">
      <c r="A2305" s="3" t="str">
        <f t="shared" si="350"/>
        <v>South9360019900320</v>
      </c>
      <c r="B2305" s="3" t="str">
        <f t="shared" si="351"/>
        <v>CY9360019900320</v>
      </c>
      <c r="C2305" s="10">
        <v>9360019900320</v>
      </c>
      <c r="D2305" s="10" t="str">
        <f t="shared" si="352"/>
        <v>9360019900</v>
      </c>
      <c r="E2305" s="3" t="s">
        <v>4</v>
      </c>
      <c r="F2305" s="3" t="s">
        <v>65</v>
      </c>
      <c r="H2305" s="3">
        <v>22</v>
      </c>
      <c r="I2305" s="10">
        <f t="shared" si="353"/>
        <v>46.561709225615665</v>
      </c>
      <c r="J2305" s="3">
        <v>14.174737374909439</v>
      </c>
      <c r="K2305" s="3">
        <v>0</v>
      </c>
      <c r="L2305" s="3">
        <f t="shared" si="354"/>
        <v>0</v>
      </c>
      <c r="N2305" s="11">
        <f t="shared" si="355"/>
        <v>7.825262625090561</v>
      </c>
      <c r="O2305" s="3">
        <v>14.174737374909439</v>
      </c>
      <c r="P2305" s="11">
        <f t="shared" si="356"/>
        <v>16.561709225615665</v>
      </c>
      <c r="Q2305" s="12">
        <f t="shared" si="357"/>
        <v>34.374535101994987</v>
      </c>
      <c r="R2305" s="13">
        <f t="shared" si="358"/>
        <v>8.1280544165909951</v>
      </c>
      <c r="S2305" s="3" t="s">
        <v>29</v>
      </c>
      <c r="T2305" s="3" t="s">
        <v>33</v>
      </c>
      <c r="U2305" s="10">
        <v>9360019900999</v>
      </c>
      <c r="V2305" s="3">
        <v>0.1</v>
      </c>
      <c r="W2305" s="3">
        <f t="shared" si="359"/>
        <v>0</v>
      </c>
      <c r="AA2305" s="3">
        <v>48</v>
      </c>
    </row>
    <row r="2306" spans="1:27" x14ac:dyDescent="0.3">
      <c r="A2306" s="3" t="str">
        <f t="shared" si="350"/>
        <v>South9161109900320</v>
      </c>
      <c r="B2306" s="3" t="str">
        <f t="shared" si="351"/>
        <v>CY9161109900320</v>
      </c>
      <c r="C2306" s="10">
        <v>9161109900320</v>
      </c>
      <c r="D2306" s="10" t="str">
        <f t="shared" si="352"/>
        <v>9161109900</v>
      </c>
      <c r="E2306" s="3" t="s">
        <v>4</v>
      </c>
      <c r="F2306" s="3" t="s">
        <v>65</v>
      </c>
      <c r="H2306" s="3">
        <v>17.800000000000004</v>
      </c>
      <c r="I2306" s="10">
        <f t="shared" si="353"/>
        <v>38.698163616376583</v>
      </c>
      <c r="J2306" s="3">
        <v>13.799104404375869</v>
      </c>
      <c r="K2306" s="3">
        <v>48</v>
      </c>
      <c r="L2306" s="3">
        <f t="shared" si="354"/>
        <v>0</v>
      </c>
      <c r="N2306" s="11">
        <f t="shared" si="355"/>
        <v>4.0008955956241348</v>
      </c>
      <c r="O2306" s="3">
        <v>13.799104404375869</v>
      </c>
      <c r="P2306" s="11">
        <f t="shared" si="356"/>
        <v>8.6981636163765828</v>
      </c>
      <c r="Q2306" s="12">
        <f t="shared" si="357"/>
        <v>23.60322884417506</v>
      </c>
      <c r="R2306" s="13">
        <f t="shared" si="358"/>
        <v>29.817154882232217</v>
      </c>
      <c r="S2306" s="3" t="s">
        <v>29</v>
      </c>
      <c r="T2306" s="3" t="s">
        <v>34</v>
      </c>
      <c r="U2306" s="10">
        <v>0</v>
      </c>
      <c r="V2306" s="3">
        <v>0</v>
      </c>
      <c r="W2306" s="3">
        <f t="shared" si="359"/>
        <v>0</v>
      </c>
      <c r="AA2306" s="3">
        <v>48</v>
      </c>
    </row>
    <row r="2307" spans="1:27" x14ac:dyDescent="0.3">
      <c r="A2307" s="3" t="str">
        <f t="shared" si="350"/>
        <v>South9181709900320</v>
      </c>
      <c r="B2307" s="3" t="str">
        <f t="shared" si="351"/>
        <v>CY9181709900320</v>
      </c>
      <c r="C2307" s="10">
        <v>9181709900320</v>
      </c>
      <c r="D2307" s="10" t="str">
        <f t="shared" si="352"/>
        <v>9181709900</v>
      </c>
      <c r="E2307" s="3" t="s">
        <v>4</v>
      </c>
      <c r="F2307" s="3" t="s">
        <v>65</v>
      </c>
      <c r="H2307" s="3">
        <v>59.36</v>
      </c>
      <c r="I2307" s="10">
        <f t="shared" si="353"/>
        <v>133.33373617010363</v>
      </c>
      <c r="J2307" s="3">
        <v>13.355959647962635</v>
      </c>
      <c r="K2307" s="3">
        <v>0</v>
      </c>
      <c r="L2307" s="3">
        <f t="shared" si="354"/>
        <v>0</v>
      </c>
      <c r="N2307" s="11">
        <f t="shared" si="355"/>
        <v>46.004040352037364</v>
      </c>
      <c r="O2307" s="3">
        <v>13.355959647962635</v>
      </c>
      <c r="P2307" s="11">
        <f t="shared" si="356"/>
        <v>103.33373617010362</v>
      </c>
      <c r="Q2307" s="12">
        <f t="shared" si="357"/>
        <v>76.713631515220129</v>
      </c>
      <c r="R2307" s="13">
        <f t="shared" si="358"/>
        <v>36.002851558501796</v>
      </c>
      <c r="S2307" s="3" t="s">
        <v>29</v>
      </c>
      <c r="T2307" s="3" t="s">
        <v>34</v>
      </c>
      <c r="U2307" s="10">
        <v>0</v>
      </c>
      <c r="V2307" s="3">
        <v>0</v>
      </c>
      <c r="W2307" s="3">
        <f t="shared" si="359"/>
        <v>0</v>
      </c>
      <c r="AA2307" s="3">
        <v>48</v>
      </c>
    </row>
    <row r="2308" spans="1:27" x14ac:dyDescent="0.3">
      <c r="A2308" s="3" t="str">
        <f t="shared" ref="A2308:A2371" si="360">_xlfn.CONCAT(F2308,C2308)</f>
        <v>South9100509901320</v>
      </c>
      <c r="B2308" s="3" t="str">
        <f t="shared" ref="B2308:B2371" si="361">_xlfn.CONCAT(E2308,C2308)</f>
        <v>CY9100509901320</v>
      </c>
      <c r="C2308" s="10">
        <v>9100509901320</v>
      </c>
      <c r="D2308" s="10" t="str">
        <f t="shared" ref="D2308:D2371" si="362">LEFT(C2308,10)</f>
        <v>9100509901</v>
      </c>
      <c r="E2308" s="3" t="s">
        <v>4</v>
      </c>
      <c r="F2308" s="3" t="s">
        <v>65</v>
      </c>
      <c r="H2308" s="3">
        <v>26.740000000000002</v>
      </c>
      <c r="I2308" s="10">
        <f t="shared" ref="I2308:I2371" si="363">IFERROR(H2308/J2308*30,0)</f>
        <v>60.242492350411297</v>
      </c>
      <c r="J2308" s="3">
        <v>13.316182128286783</v>
      </c>
      <c r="K2308" s="3">
        <v>0</v>
      </c>
      <c r="L2308" s="3">
        <f t="shared" ref="L2308:L2371" si="364">M2308*G2308</f>
        <v>0</v>
      </c>
      <c r="N2308" s="11">
        <f t="shared" ref="N2308:N2371" si="365">H2308-J2308+L2308</f>
        <v>13.423817871713219</v>
      </c>
      <c r="O2308" s="3">
        <v>13.316182128286783</v>
      </c>
      <c r="P2308" s="11">
        <f t="shared" ref="P2308:P2371" si="366">IF(O2308=0,9999,N2308/O2308*30)</f>
        <v>30.242492350411286</v>
      </c>
      <c r="Q2308" s="12">
        <f t="shared" ref="Q2308:Q2371" si="367">IF(SUMIF($A:$A,$A2308,$O:$O)=0,9999,SUMIF($A:$A,$A2308,$N:$N)*30/SUMIF($A:$A,$A2308,$O:$O))</f>
        <v>46.169553680661949</v>
      </c>
      <c r="R2308" s="13">
        <f t="shared" ref="R2308:R2371" si="368">IF(SUMIF($C:$C,$C2308,$O:$O)=0,9999,SUMIF($C:$C,$C2308,$N:$N)*30/SUMIF($C:$C,$C2308,$O:$O))</f>
        <v>43.827287758389929</v>
      </c>
      <c r="S2308" s="3" t="s">
        <v>30</v>
      </c>
      <c r="T2308" s="3" t="s">
        <v>34</v>
      </c>
      <c r="U2308" s="10">
        <v>0</v>
      </c>
      <c r="V2308" s="3">
        <v>0</v>
      </c>
      <c r="W2308" s="3">
        <f t="shared" ref="W2308:W2371" si="369">IFERROR(K2308*V2308,0)</f>
        <v>0</v>
      </c>
      <c r="AA2308" s="3">
        <v>48</v>
      </c>
    </row>
    <row r="2309" spans="1:27" x14ac:dyDescent="0.3">
      <c r="A2309" s="3" t="str">
        <f t="shared" si="360"/>
        <v>South9420139901320</v>
      </c>
      <c r="B2309" s="3" t="str">
        <f t="shared" si="361"/>
        <v>CY9420139901320</v>
      </c>
      <c r="C2309" s="10">
        <v>9420139901320</v>
      </c>
      <c r="D2309" s="10" t="str">
        <f t="shared" si="362"/>
        <v>9420139901</v>
      </c>
      <c r="E2309" s="3" t="s">
        <v>4</v>
      </c>
      <c r="F2309" s="3" t="s">
        <v>65</v>
      </c>
      <c r="H2309" s="3">
        <v>18.32</v>
      </c>
      <c r="I2309" s="10">
        <f t="shared" si="363"/>
        <v>41.42690746964589</v>
      </c>
      <c r="J2309" s="3">
        <v>13.266739748862502</v>
      </c>
      <c r="K2309" s="3">
        <v>0</v>
      </c>
      <c r="L2309" s="3">
        <f t="shared" si="364"/>
        <v>0</v>
      </c>
      <c r="N2309" s="11">
        <f t="shared" si="365"/>
        <v>5.0532602511374982</v>
      </c>
      <c r="O2309" s="3">
        <v>13.266739748862502</v>
      </c>
      <c r="P2309" s="11">
        <f t="shared" si="366"/>
        <v>11.426907469645888</v>
      </c>
      <c r="Q2309" s="12">
        <f t="shared" si="367"/>
        <v>9.2750945634044353</v>
      </c>
      <c r="R2309" s="13">
        <f t="shared" si="368"/>
        <v>3.4542911269476986</v>
      </c>
      <c r="S2309" s="3" t="s">
        <v>31</v>
      </c>
      <c r="T2309" s="3" t="s">
        <v>28</v>
      </c>
      <c r="U2309" s="10">
        <v>9420139900999</v>
      </c>
      <c r="V2309" s="3">
        <v>0.1</v>
      </c>
      <c r="W2309" s="3">
        <f t="shared" si="369"/>
        <v>0</v>
      </c>
      <c r="AA2309" s="3">
        <v>48</v>
      </c>
    </row>
    <row r="2310" spans="1:27" x14ac:dyDescent="0.3">
      <c r="A2310" s="3" t="str">
        <f t="shared" si="360"/>
        <v>South9431009913210</v>
      </c>
      <c r="B2310" s="3" t="str">
        <f t="shared" si="361"/>
        <v>CY9431009913210</v>
      </c>
      <c r="C2310" s="10">
        <v>9431009913210</v>
      </c>
      <c r="D2310" s="10" t="str">
        <f t="shared" si="362"/>
        <v>9431009913</v>
      </c>
      <c r="E2310" s="3" t="s">
        <v>4</v>
      </c>
      <c r="F2310" s="3" t="s">
        <v>65</v>
      </c>
      <c r="H2310" s="3">
        <v>22.824000000000002</v>
      </c>
      <c r="I2310" s="10">
        <f t="shared" si="363"/>
        <v>51.635967900971956</v>
      </c>
      <c r="J2310" s="3">
        <v>13.260524162404854</v>
      </c>
      <c r="K2310" s="3">
        <v>0</v>
      </c>
      <c r="L2310" s="3">
        <f t="shared" si="364"/>
        <v>0</v>
      </c>
      <c r="N2310" s="11">
        <f t="shared" si="365"/>
        <v>9.5634758375951474</v>
      </c>
      <c r="O2310" s="3">
        <v>13.260524162404854</v>
      </c>
      <c r="P2310" s="11">
        <f t="shared" si="366"/>
        <v>21.635967900971952</v>
      </c>
      <c r="Q2310" s="12">
        <f t="shared" si="367"/>
        <v>11.229733569022715</v>
      </c>
      <c r="R2310" s="13">
        <f t="shared" si="368"/>
        <v>26.053752707382994</v>
      </c>
      <c r="S2310" s="3" t="s">
        <v>30</v>
      </c>
      <c r="T2310" s="3" t="s">
        <v>35</v>
      </c>
      <c r="U2310" s="10">
        <v>0</v>
      </c>
      <c r="V2310" s="3">
        <v>0</v>
      </c>
      <c r="W2310" s="3">
        <f t="shared" si="369"/>
        <v>0</v>
      </c>
      <c r="AA2310" s="3">
        <v>48</v>
      </c>
    </row>
    <row r="2311" spans="1:27" x14ac:dyDescent="0.3">
      <c r="A2311" s="3" t="str">
        <f t="shared" si="360"/>
        <v>South9420039901320</v>
      </c>
      <c r="B2311" s="3" t="str">
        <f t="shared" si="361"/>
        <v>CY9420039901320</v>
      </c>
      <c r="C2311" s="10">
        <v>9420039901320</v>
      </c>
      <c r="D2311" s="10" t="str">
        <f t="shared" si="362"/>
        <v>9420039901</v>
      </c>
      <c r="E2311" s="3" t="s">
        <v>4</v>
      </c>
      <c r="F2311" s="3" t="s">
        <v>65</v>
      </c>
      <c r="H2311" s="3">
        <v>29.259999999999998</v>
      </c>
      <c r="I2311" s="10">
        <f t="shared" si="363"/>
        <v>66.266045607784122</v>
      </c>
      <c r="J2311" s="3">
        <v>13.246603021938686</v>
      </c>
      <c r="K2311" s="3">
        <v>0</v>
      </c>
      <c r="L2311" s="3">
        <f t="shared" si="364"/>
        <v>0</v>
      </c>
      <c r="N2311" s="11">
        <f t="shared" si="365"/>
        <v>16.013396978061312</v>
      </c>
      <c r="O2311" s="3">
        <v>13.246603021938686</v>
      </c>
      <c r="P2311" s="11">
        <f t="shared" si="366"/>
        <v>36.266045607784122</v>
      </c>
      <c r="Q2311" s="12">
        <f t="shared" si="367"/>
        <v>11.908656445346045</v>
      </c>
      <c r="R2311" s="13">
        <f t="shared" si="368"/>
        <v>12.411220962330324</v>
      </c>
      <c r="S2311" s="3" t="s">
        <v>29</v>
      </c>
      <c r="T2311" s="3" t="s">
        <v>28</v>
      </c>
      <c r="U2311" s="10">
        <v>9420039900999</v>
      </c>
      <c r="V2311" s="3">
        <v>0.1</v>
      </c>
      <c r="W2311" s="3">
        <f t="shared" si="369"/>
        <v>0</v>
      </c>
      <c r="AA2311" s="3">
        <v>48</v>
      </c>
    </row>
    <row r="2312" spans="1:27" x14ac:dyDescent="0.3">
      <c r="A2312" s="3" t="str">
        <f t="shared" si="360"/>
        <v>South9160709901320</v>
      </c>
      <c r="B2312" s="3" t="str">
        <f t="shared" si="361"/>
        <v>CY9160709901320</v>
      </c>
      <c r="C2312" s="10">
        <v>9160709901320</v>
      </c>
      <c r="D2312" s="10" t="str">
        <f t="shared" si="362"/>
        <v>9160709901</v>
      </c>
      <c r="E2312" s="3" t="s">
        <v>4</v>
      </c>
      <c r="F2312" s="3" t="s">
        <v>65</v>
      </c>
      <c r="H2312" s="3">
        <v>41.38</v>
      </c>
      <c r="I2312" s="10">
        <f t="shared" si="363"/>
        <v>95.836323180805664</v>
      </c>
      <c r="J2312" s="3">
        <v>12.953335006999003</v>
      </c>
      <c r="K2312" s="3">
        <v>0</v>
      </c>
      <c r="L2312" s="3">
        <f t="shared" si="364"/>
        <v>0</v>
      </c>
      <c r="N2312" s="11">
        <f t="shared" si="365"/>
        <v>28.426664993000998</v>
      </c>
      <c r="O2312" s="3">
        <v>12.953335006999003</v>
      </c>
      <c r="P2312" s="11">
        <f t="shared" si="366"/>
        <v>65.836323180805664</v>
      </c>
      <c r="Q2312" s="12">
        <f t="shared" si="367"/>
        <v>57.101637316668636</v>
      </c>
      <c r="R2312" s="13">
        <f t="shared" si="368"/>
        <v>51.151619002309836</v>
      </c>
      <c r="S2312" s="3" t="s">
        <v>29</v>
      </c>
      <c r="T2312" s="3" t="s">
        <v>34</v>
      </c>
      <c r="U2312" s="10">
        <v>0</v>
      </c>
      <c r="V2312" s="3">
        <v>0</v>
      </c>
      <c r="W2312" s="3">
        <f t="shared" si="369"/>
        <v>0</v>
      </c>
      <c r="AA2312" s="3">
        <v>48</v>
      </c>
    </row>
    <row r="2313" spans="1:27" x14ac:dyDescent="0.3">
      <c r="A2313" s="3" t="str">
        <f t="shared" si="360"/>
        <v>South9432029901310</v>
      </c>
      <c r="B2313" s="3" t="str">
        <f t="shared" si="361"/>
        <v>CY9432029901310</v>
      </c>
      <c r="C2313" s="10">
        <v>9432029901310</v>
      </c>
      <c r="D2313" s="10" t="str">
        <f t="shared" si="362"/>
        <v>9432029901</v>
      </c>
      <c r="E2313" s="3" t="s">
        <v>4</v>
      </c>
      <c r="F2313" s="3" t="s">
        <v>65</v>
      </c>
      <c r="H2313" s="3">
        <v>31.949999999999996</v>
      </c>
      <c r="I2313" s="10">
        <f t="shared" si="363"/>
        <v>75.904689110217745</v>
      </c>
      <c r="J2313" s="3">
        <v>12.627678358687506</v>
      </c>
      <c r="K2313" s="3">
        <v>0</v>
      </c>
      <c r="L2313" s="3">
        <f t="shared" si="364"/>
        <v>0</v>
      </c>
      <c r="N2313" s="11">
        <f t="shared" si="365"/>
        <v>19.322321641312492</v>
      </c>
      <c r="O2313" s="3">
        <v>12.627678358687506</v>
      </c>
      <c r="P2313" s="11">
        <f t="shared" si="366"/>
        <v>45.904689110217753</v>
      </c>
      <c r="Q2313" s="12">
        <f t="shared" si="367"/>
        <v>26.075910130304269</v>
      </c>
      <c r="R2313" s="13">
        <f t="shared" si="368"/>
        <v>43.777640765882907</v>
      </c>
      <c r="S2313" s="3" t="s">
        <v>31</v>
      </c>
      <c r="T2313" s="3" t="s">
        <v>35</v>
      </c>
      <c r="U2313" s="10">
        <v>9432029900999</v>
      </c>
      <c r="V2313" s="3">
        <v>0.1</v>
      </c>
      <c r="W2313" s="3">
        <f t="shared" si="369"/>
        <v>0</v>
      </c>
      <c r="AA2313" s="3">
        <v>48</v>
      </c>
    </row>
    <row r="2314" spans="1:27" x14ac:dyDescent="0.3">
      <c r="A2314" s="3" t="str">
        <f t="shared" si="360"/>
        <v>South9330209905097</v>
      </c>
      <c r="B2314" s="3" t="str">
        <f t="shared" si="361"/>
        <v>CY9330209905097</v>
      </c>
      <c r="C2314" s="10">
        <v>9330209905097</v>
      </c>
      <c r="D2314" s="10" t="str">
        <f t="shared" si="362"/>
        <v>9330209905</v>
      </c>
      <c r="E2314" s="3" t="s">
        <v>4</v>
      </c>
      <c r="F2314" s="3" t="s">
        <v>65</v>
      </c>
      <c r="H2314" s="3">
        <v>19.405424999999997</v>
      </c>
      <c r="I2314" s="10">
        <f t="shared" si="363"/>
        <v>48.920821968445829</v>
      </c>
      <c r="J2314" s="3">
        <v>11.900101563614319</v>
      </c>
      <c r="K2314" s="3">
        <v>0</v>
      </c>
      <c r="L2314" s="3">
        <f t="shared" si="364"/>
        <v>0</v>
      </c>
      <c r="N2314" s="11">
        <f t="shared" si="365"/>
        <v>7.5053234363856784</v>
      </c>
      <c r="O2314" s="3">
        <v>11.900101563614319</v>
      </c>
      <c r="P2314" s="11">
        <f t="shared" si="366"/>
        <v>18.920821968445829</v>
      </c>
      <c r="Q2314" s="12">
        <f t="shared" si="367"/>
        <v>18.920821968445829</v>
      </c>
      <c r="R2314" s="13">
        <f t="shared" si="368"/>
        <v>48.121719198428629</v>
      </c>
      <c r="S2314" s="3" t="s">
        <v>30</v>
      </c>
      <c r="T2314" s="3" t="s">
        <v>35</v>
      </c>
      <c r="U2314" s="10">
        <v>0</v>
      </c>
      <c r="V2314" s="3">
        <v>0</v>
      </c>
      <c r="W2314" s="3">
        <f t="shared" si="369"/>
        <v>0</v>
      </c>
      <c r="AA2314" s="3">
        <v>48</v>
      </c>
    </row>
    <row r="2315" spans="1:27" x14ac:dyDescent="0.3">
      <c r="A2315" s="3" t="str">
        <f t="shared" si="360"/>
        <v>South9410019901310</v>
      </c>
      <c r="B2315" s="3" t="str">
        <f t="shared" si="361"/>
        <v>CY9410019901310</v>
      </c>
      <c r="C2315" s="10">
        <v>9410019901310</v>
      </c>
      <c r="D2315" s="10" t="str">
        <f t="shared" si="362"/>
        <v>9410019901</v>
      </c>
      <c r="E2315" s="3" t="s">
        <v>4</v>
      </c>
      <c r="F2315" s="3" t="s">
        <v>65</v>
      </c>
      <c r="H2315" s="3">
        <v>23.939999999999998</v>
      </c>
      <c r="I2315" s="10">
        <f t="shared" si="363"/>
        <v>61.93195463257333</v>
      </c>
      <c r="J2315" s="3">
        <v>11.596598303103777</v>
      </c>
      <c r="K2315" s="3">
        <v>24</v>
      </c>
      <c r="L2315" s="3">
        <f t="shared" si="364"/>
        <v>0</v>
      </c>
      <c r="N2315" s="11">
        <f t="shared" si="365"/>
        <v>12.343401696896221</v>
      </c>
      <c r="O2315" s="3">
        <v>11.596598303103777</v>
      </c>
      <c r="P2315" s="11">
        <f t="shared" si="366"/>
        <v>31.931954632573326</v>
      </c>
      <c r="Q2315" s="12">
        <f t="shared" si="367"/>
        <v>19.789186155359399</v>
      </c>
      <c r="R2315" s="13">
        <f t="shared" si="368"/>
        <v>32.120956447684101</v>
      </c>
      <c r="S2315" s="3" t="s">
        <v>30</v>
      </c>
      <c r="T2315" s="3" t="s">
        <v>32</v>
      </c>
      <c r="U2315" s="10">
        <v>9410019900999</v>
      </c>
      <c r="V2315" s="3">
        <v>0.1</v>
      </c>
      <c r="W2315" s="3">
        <f t="shared" si="369"/>
        <v>2.4000000000000004</v>
      </c>
      <c r="AA2315" s="3">
        <v>48</v>
      </c>
    </row>
    <row r="2316" spans="1:27" x14ac:dyDescent="0.3">
      <c r="A2316" s="3" t="str">
        <f t="shared" si="360"/>
        <v>South9320029997210</v>
      </c>
      <c r="B2316" s="3" t="str">
        <f t="shared" si="361"/>
        <v>CY9320029997210</v>
      </c>
      <c r="C2316" s="10">
        <v>9320029997210</v>
      </c>
      <c r="D2316" s="10" t="str">
        <f t="shared" si="362"/>
        <v>9320029997</v>
      </c>
      <c r="E2316" s="3" t="s">
        <v>4</v>
      </c>
      <c r="F2316" s="3" t="s">
        <v>65</v>
      </c>
      <c r="H2316" s="3">
        <v>86.438000000000002</v>
      </c>
      <c r="I2316" s="10">
        <f t="shared" si="363"/>
        <v>224.44819889530729</v>
      </c>
      <c r="J2316" s="3">
        <v>11.553400796989941</v>
      </c>
      <c r="K2316" s="3">
        <v>0</v>
      </c>
      <c r="L2316" s="3">
        <f t="shared" si="364"/>
        <v>0</v>
      </c>
      <c r="N2316" s="11">
        <f t="shared" si="365"/>
        <v>74.884599203010055</v>
      </c>
      <c r="O2316" s="3">
        <v>11.553400796989941</v>
      </c>
      <c r="P2316" s="11">
        <f t="shared" si="366"/>
        <v>194.44819889530726</v>
      </c>
      <c r="Q2316" s="12">
        <f t="shared" si="367"/>
        <v>194.44819889530729</v>
      </c>
      <c r="R2316" s="13">
        <f t="shared" si="368"/>
        <v>157.52568978357704</v>
      </c>
      <c r="S2316" s="3" t="s">
        <v>31</v>
      </c>
      <c r="T2316" s="3" t="s">
        <v>28</v>
      </c>
      <c r="U2316" s="10">
        <v>0</v>
      </c>
      <c r="V2316" s="3">
        <v>0</v>
      </c>
      <c r="W2316" s="3">
        <f t="shared" si="369"/>
        <v>0</v>
      </c>
      <c r="AA2316" s="3">
        <v>48</v>
      </c>
    </row>
    <row r="2317" spans="1:27" x14ac:dyDescent="0.3">
      <c r="A2317" s="3" t="str">
        <f t="shared" si="360"/>
        <v>South9437019900240</v>
      </c>
      <c r="B2317" s="3" t="str">
        <f t="shared" si="361"/>
        <v>CY9437019900240</v>
      </c>
      <c r="C2317" s="10">
        <v>9437019900240</v>
      </c>
      <c r="D2317" s="10" t="str">
        <f t="shared" si="362"/>
        <v>9437019900</v>
      </c>
      <c r="E2317" s="3" t="s">
        <v>4</v>
      </c>
      <c r="F2317" s="3" t="s">
        <v>65</v>
      </c>
      <c r="H2317" s="3">
        <v>23.758000000000003</v>
      </c>
      <c r="I2317" s="10">
        <f t="shared" si="363"/>
        <v>61.935068428089998</v>
      </c>
      <c r="J2317" s="3">
        <v>11.507858440933671</v>
      </c>
      <c r="K2317" s="3">
        <v>0</v>
      </c>
      <c r="L2317" s="3">
        <f t="shared" si="364"/>
        <v>0</v>
      </c>
      <c r="N2317" s="11">
        <f t="shared" si="365"/>
        <v>12.250141559066332</v>
      </c>
      <c r="O2317" s="3">
        <v>11.507858440933671</v>
      </c>
      <c r="P2317" s="11">
        <f t="shared" si="366"/>
        <v>31.935068428090009</v>
      </c>
      <c r="Q2317" s="12">
        <f t="shared" si="367"/>
        <v>26.021499641017726</v>
      </c>
      <c r="R2317" s="13">
        <f t="shared" si="368"/>
        <v>10.080966563011508</v>
      </c>
      <c r="S2317" s="3" t="s">
        <v>29</v>
      </c>
      <c r="T2317" s="3" t="s">
        <v>35</v>
      </c>
      <c r="U2317" s="10">
        <v>0</v>
      </c>
      <c r="V2317" s="3">
        <v>0</v>
      </c>
      <c r="W2317" s="3">
        <f t="shared" si="369"/>
        <v>0</v>
      </c>
      <c r="AA2317" s="3">
        <v>48</v>
      </c>
    </row>
    <row r="2318" spans="1:27" x14ac:dyDescent="0.3">
      <c r="A2318" s="3" t="str">
        <f t="shared" si="360"/>
        <v>South9432019901840</v>
      </c>
      <c r="B2318" s="3" t="str">
        <f t="shared" si="361"/>
        <v>CY9432019901840</v>
      </c>
      <c r="C2318" s="10">
        <v>9432019901840</v>
      </c>
      <c r="D2318" s="10" t="str">
        <f t="shared" si="362"/>
        <v>9432019901</v>
      </c>
      <c r="E2318" s="3" t="s">
        <v>4</v>
      </c>
      <c r="F2318" s="3" t="s">
        <v>65</v>
      </c>
      <c r="H2318" s="3">
        <v>8.34</v>
      </c>
      <c r="I2318" s="10">
        <f t="shared" si="363"/>
        <v>21.765650976150301</v>
      </c>
      <c r="J2318" s="3">
        <v>11.495176517998772</v>
      </c>
      <c r="K2318" s="3">
        <v>24</v>
      </c>
      <c r="L2318" s="3">
        <f t="shared" si="364"/>
        <v>0</v>
      </c>
      <c r="N2318" s="11">
        <f t="shared" si="365"/>
        <v>-3.1551765179987719</v>
      </c>
      <c r="O2318" s="3">
        <v>11.495176517998772</v>
      </c>
      <c r="P2318" s="11">
        <f t="shared" si="366"/>
        <v>-8.2343490238496972</v>
      </c>
      <c r="Q2318" s="12">
        <f t="shared" si="367"/>
        <v>-7.19097875873788</v>
      </c>
      <c r="R2318" s="13">
        <f t="shared" si="368"/>
        <v>4.9551947325973327</v>
      </c>
      <c r="S2318" s="3" t="s">
        <v>30</v>
      </c>
      <c r="T2318" s="3" t="s">
        <v>35</v>
      </c>
      <c r="U2318" s="10">
        <v>0</v>
      </c>
      <c r="V2318" s="3">
        <v>0</v>
      </c>
      <c r="W2318" s="3">
        <f t="shared" si="369"/>
        <v>0</v>
      </c>
      <c r="AA2318" s="3">
        <v>48</v>
      </c>
    </row>
    <row r="2319" spans="1:27" x14ac:dyDescent="0.3">
      <c r="A2319" s="3" t="str">
        <f t="shared" si="360"/>
        <v>South9320029901840</v>
      </c>
      <c r="B2319" s="3" t="str">
        <f t="shared" si="361"/>
        <v>CY9320029901840</v>
      </c>
      <c r="C2319" s="10">
        <v>9320029901840</v>
      </c>
      <c r="D2319" s="10" t="str">
        <f t="shared" si="362"/>
        <v>9320029901</v>
      </c>
      <c r="E2319" s="3" t="s">
        <v>4</v>
      </c>
      <c r="F2319" s="3" t="s">
        <v>65</v>
      </c>
      <c r="H2319" s="3">
        <v>11.764000000000001</v>
      </c>
      <c r="I2319" s="10">
        <f t="shared" si="363"/>
        <v>31.373425983939818</v>
      </c>
      <c r="J2319" s="3">
        <v>11.249010553729809</v>
      </c>
      <c r="K2319" s="3">
        <v>24</v>
      </c>
      <c r="L2319" s="3">
        <f t="shared" si="364"/>
        <v>0</v>
      </c>
      <c r="N2319" s="11">
        <f t="shared" si="365"/>
        <v>0.51498944627019227</v>
      </c>
      <c r="O2319" s="3">
        <v>11.249010553729809</v>
      </c>
      <c r="P2319" s="11">
        <f t="shared" si="366"/>
        <v>1.3734259839398189</v>
      </c>
      <c r="Q2319" s="12">
        <f t="shared" si="367"/>
        <v>0.53561527875549786</v>
      </c>
      <c r="R2319" s="13">
        <f t="shared" si="368"/>
        <v>12.080184680245301</v>
      </c>
      <c r="S2319" s="3" t="s">
        <v>30</v>
      </c>
      <c r="T2319" s="3" t="s">
        <v>28</v>
      </c>
      <c r="U2319" s="10">
        <v>0</v>
      </c>
      <c r="V2319" s="3">
        <v>0</v>
      </c>
      <c r="W2319" s="3">
        <f t="shared" si="369"/>
        <v>0</v>
      </c>
      <c r="AA2319" s="3">
        <v>48</v>
      </c>
    </row>
    <row r="2320" spans="1:27" x14ac:dyDescent="0.3">
      <c r="A2320" s="3" t="str">
        <f t="shared" si="360"/>
        <v>South9420019901320</v>
      </c>
      <c r="B2320" s="3" t="str">
        <f t="shared" si="361"/>
        <v>CY9420019901320</v>
      </c>
      <c r="C2320" s="10">
        <v>9420019901320</v>
      </c>
      <c r="D2320" s="10" t="str">
        <f t="shared" si="362"/>
        <v>9420019901</v>
      </c>
      <c r="E2320" s="3" t="s">
        <v>4</v>
      </c>
      <c r="F2320" s="3" t="s">
        <v>65</v>
      </c>
      <c r="H2320" s="3">
        <v>11.486000000000001</v>
      </c>
      <c r="I2320" s="10">
        <f t="shared" si="363"/>
        <v>30.721852696239598</v>
      </c>
      <c r="J2320" s="3">
        <v>11.216120440619688</v>
      </c>
      <c r="K2320" s="3">
        <v>0</v>
      </c>
      <c r="L2320" s="3">
        <f t="shared" si="364"/>
        <v>0</v>
      </c>
      <c r="N2320" s="11">
        <f t="shared" si="365"/>
        <v>0.26987955938031227</v>
      </c>
      <c r="O2320" s="3">
        <v>11.216120440619688</v>
      </c>
      <c r="P2320" s="11">
        <f t="shared" si="366"/>
        <v>0.72185269623959603</v>
      </c>
      <c r="Q2320" s="12">
        <f t="shared" si="367"/>
        <v>15.934514503376121</v>
      </c>
      <c r="R2320" s="13">
        <f t="shared" si="368"/>
        <v>9.1596073909749496</v>
      </c>
      <c r="S2320" s="3" t="s">
        <v>30</v>
      </c>
      <c r="T2320" s="3" t="s">
        <v>28</v>
      </c>
      <c r="U2320" s="10">
        <v>9420019900999</v>
      </c>
      <c r="V2320" s="3">
        <v>0.1</v>
      </c>
      <c r="W2320" s="3">
        <f t="shared" si="369"/>
        <v>0</v>
      </c>
      <c r="AA2320" s="3">
        <v>48</v>
      </c>
    </row>
    <row r="2321" spans="1:27" x14ac:dyDescent="0.3">
      <c r="A2321" s="3" t="str">
        <f t="shared" si="360"/>
        <v>South9360039900840</v>
      </c>
      <c r="B2321" s="3" t="str">
        <f t="shared" si="361"/>
        <v>CY9360039900840</v>
      </c>
      <c r="C2321" s="10">
        <v>9360039900840</v>
      </c>
      <c r="D2321" s="10" t="str">
        <f t="shared" si="362"/>
        <v>9360039900</v>
      </c>
      <c r="E2321" s="3" t="s">
        <v>4</v>
      </c>
      <c r="F2321" s="3" t="s">
        <v>65</v>
      </c>
      <c r="H2321" s="3">
        <v>7.1680000000000019</v>
      </c>
      <c r="I2321" s="10">
        <f t="shared" si="363"/>
        <v>19.269854412401429</v>
      </c>
      <c r="J2321" s="3">
        <v>11.159399308258788</v>
      </c>
      <c r="K2321" s="3">
        <v>0</v>
      </c>
      <c r="L2321" s="3">
        <f t="shared" si="364"/>
        <v>0</v>
      </c>
      <c r="N2321" s="11">
        <f t="shared" si="365"/>
        <v>-3.991399308258786</v>
      </c>
      <c r="O2321" s="3">
        <v>11.159399308258788</v>
      </c>
      <c r="P2321" s="11">
        <f t="shared" si="366"/>
        <v>-10.730145587598571</v>
      </c>
      <c r="Q2321" s="12">
        <f t="shared" si="367"/>
        <v>-18.178119473509245</v>
      </c>
      <c r="R2321" s="13">
        <f t="shared" si="368"/>
        <v>-18.707730516871298</v>
      </c>
      <c r="S2321" s="3" t="s">
        <v>30</v>
      </c>
      <c r="T2321" s="3" t="s">
        <v>33</v>
      </c>
      <c r="U2321" s="10">
        <v>0</v>
      </c>
      <c r="V2321" s="3">
        <v>0</v>
      </c>
      <c r="W2321" s="3">
        <f t="shared" si="369"/>
        <v>0</v>
      </c>
      <c r="AA2321" s="3">
        <v>48</v>
      </c>
    </row>
    <row r="2322" spans="1:27" x14ac:dyDescent="0.3">
      <c r="A2322" s="3" t="str">
        <f t="shared" si="360"/>
        <v>South9320029905097</v>
      </c>
      <c r="B2322" s="3" t="str">
        <f t="shared" si="361"/>
        <v>CY9320029905097</v>
      </c>
      <c r="C2322" s="10">
        <v>9320029905097</v>
      </c>
      <c r="D2322" s="10" t="str">
        <f t="shared" si="362"/>
        <v>9320029905</v>
      </c>
      <c r="E2322" s="3" t="s">
        <v>4</v>
      </c>
      <c r="F2322" s="3" t="s">
        <v>65</v>
      </c>
      <c r="H2322" s="3">
        <v>26.742299999999997</v>
      </c>
      <c r="I2322" s="10">
        <f t="shared" si="363"/>
        <v>74.52553292540118</v>
      </c>
      <c r="J2322" s="3">
        <v>10.76502197982345</v>
      </c>
      <c r="K2322" s="3">
        <v>0</v>
      </c>
      <c r="L2322" s="3">
        <f t="shared" si="364"/>
        <v>0</v>
      </c>
      <c r="N2322" s="11">
        <f t="shared" si="365"/>
        <v>15.977278020176547</v>
      </c>
      <c r="O2322" s="3">
        <v>10.76502197982345</v>
      </c>
      <c r="P2322" s="11">
        <f t="shared" si="366"/>
        <v>44.52553292540118</v>
      </c>
      <c r="Q2322" s="12">
        <f t="shared" si="367"/>
        <v>44.52553292540118</v>
      </c>
      <c r="R2322" s="13">
        <f t="shared" si="368"/>
        <v>53.829655755962165</v>
      </c>
      <c r="S2322" s="3" t="s">
        <v>30</v>
      </c>
      <c r="T2322" s="3" t="s">
        <v>28</v>
      </c>
      <c r="U2322" s="10">
        <v>0</v>
      </c>
      <c r="V2322" s="3">
        <v>0</v>
      </c>
      <c r="W2322" s="3">
        <f t="shared" si="369"/>
        <v>0</v>
      </c>
      <c r="AA2322" s="3">
        <v>48</v>
      </c>
    </row>
    <row r="2323" spans="1:27" x14ac:dyDescent="0.3">
      <c r="A2323" s="3" t="str">
        <f t="shared" si="360"/>
        <v>South9310019901310</v>
      </c>
      <c r="B2323" s="3" t="str">
        <f t="shared" si="361"/>
        <v>CY9310019901310</v>
      </c>
      <c r="C2323" s="10">
        <v>9310019901310</v>
      </c>
      <c r="D2323" s="10" t="str">
        <f t="shared" si="362"/>
        <v>9310019901</v>
      </c>
      <c r="E2323" s="3" t="s">
        <v>4</v>
      </c>
      <c r="F2323" s="3" t="s">
        <v>65</v>
      </c>
      <c r="H2323" s="3">
        <v>22.46</v>
      </c>
      <c r="I2323" s="10">
        <f t="shared" si="363"/>
        <v>64.342718946461204</v>
      </c>
      <c r="J2323" s="3">
        <v>10.4720473587798</v>
      </c>
      <c r="K2323" s="3">
        <v>24</v>
      </c>
      <c r="L2323" s="3">
        <f t="shared" si="364"/>
        <v>0</v>
      </c>
      <c r="N2323" s="11">
        <f t="shared" si="365"/>
        <v>11.9879526412202</v>
      </c>
      <c r="O2323" s="3">
        <v>10.4720473587798</v>
      </c>
      <c r="P2323" s="11">
        <f t="shared" si="366"/>
        <v>34.342718946461197</v>
      </c>
      <c r="Q2323" s="12">
        <f t="shared" si="367"/>
        <v>26.554958232547058</v>
      </c>
      <c r="R2323" s="13">
        <f t="shared" si="368"/>
        <v>34.329351227139078</v>
      </c>
      <c r="S2323" s="3" t="s">
        <v>30</v>
      </c>
      <c r="T2323" s="3" t="s">
        <v>32</v>
      </c>
      <c r="U2323" s="10">
        <v>9310019900999</v>
      </c>
      <c r="V2323" s="3">
        <v>0.1</v>
      </c>
      <c r="W2323" s="3">
        <f t="shared" si="369"/>
        <v>2.4000000000000004</v>
      </c>
      <c r="AA2323" s="3">
        <v>48</v>
      </c>
    </row>
    <row r="2324" spans="1:27" x14ac:dyDescent="0.3">
      <c r="A2324" s="3" t="str">
        <f t="shared" si="360"/>
        <v>South9330209905219</v>
      </c>
      <c r="B2324" s="3" t="str">
        <f t="shared" si="361"/>
        <v>CY9330209905219</v>
      </c>
      <c r="C2324" s="10">
        <v>9330209905219</v>
      </c>
      <c r="D2324" s="10" t="str">
        <f t="shared" si="362"/>
        <v>9330209905</v>
      </c>
      <c r="E2324" s="3" t="s">
        <v>4</v>
      </c>
      <c r="F2324" s="3" t="s">
        <v>65</v>
      </c>
      <c r="H2324" s="3">
        <v>26.324999999999996</v>
      </c>
      <c r="I2324" s="10">
        <f t="shared" si="363"/>
        <v>75.484083267570199</v>
      </c>
      <c r="J2324" s="3">
        <v>10.462470574101754</v>
      </c>
      <c r="K2324" s="3">
        <v>0</v>
      </c>
      <c r="L2324" s="3">
        <f t="shared" si="364"/>
        <v>0</v>
      </c>
      <c r="N2324" s="11">
        <f t="shared" si="365"/>
        <v>15.862529425898241</v>
      </c>
      <c r="O2324" s="3">
        <v>10.462470574101754</v>
      </c>
      <c r="P2324" s="11">
        <f t="shared" si="366"/>
        <v>45.484083267570206</v>
      </c>
      <c r="Q2324" s="12">
        <f t="shared" si="367"/>
        <v>45.484083267570206</v>
      </c>
      <c r="R2324" s="13">
        <f t="shared" si="368"/>
        <v>59.056908514868326</v>
      </c>
      <c r="S2324" s="3" t="s">
        <v>30</v>
      </c>
      <c r="T2324" s="3" t="s">
        <v>35</v>
      </c>
      <c r="U2324" s="10">
        <v>9330209900999</v>
      </c>
      <c r="V2324" s="3">
        <v>0.1</v>
      </c>
      <c r="W2324" s="3">
        <f t="shared" si="369"/>
        <v>0</v>
      </c>
      <c r="AA2324" s="3">
        <v>48</v>
      </c>
    </row>
    <row r="2325" spans="1:27" x14ac:dyDescent="0.3">
      <c r="A2325" s="3" t="str">
        <f t="shared" si="360"/>
        <v>South9181309900320</v>
      </c>
      <c r="B2325" s="3" t="str">
        <f t="shared" si="361"/>
        <v>CY9181309900320</v>
      </c>
      <c r="C2325" s="10">
        <v>9181309900320</v>
      </c>
      <c r="D2325" s="10" t="str">
        <f t="shared" si="362"/>
        <v>9181309900</v>
      </c>
      <c r="E2325" s="3" t="s">
        <v>4</v>
      </c>
      <c r="F2325" s="3" t="s">
        <v>65</v>
      </c>
      <c r="H2325" s="3">
        <v>27.45999999999999</v>
      </c>
      <c r="I2325" s="10">
        <f t="shared" si="363"/>
        <v>79.64095970100314</v>
      </c>
      <c r="J2325" s="3">
        <v>10.343923567631535</v>
      </c>
      <c r="K2325" s="3">
        <v>0</v>
      </c>
      <c r="L2325" s="3">
        <f t="shared" si="364"/>
        <v>0</v>
      </c>
      <c r="N2325" s="11">
        <f t="shared" si="365"/>
        <v>17.116076432368455</v>
      </c>
      <c r="O2325" s="3">
        <v>10.343923567631535</v>
      </c>
      <c r="P2325" s="11">
        <f t="shared" si="366"/>
        <v>49.64095970100314</v>
      </c>
      <c r="Q2325" s="12">
        <f t="shared" si="367"/>
        <v>60.613361759163702</v>
      </c>
      <c r="R2325" s="13">
        <f t="shared" si="368"/>
        <v>61.057190306933194</v>
      </c>
      <c r="S2325" s="3" t="s">
        <v>29</v>
      </c>
      <c r="T2325" s="3" t="s">
        <v>34</v>
      </c>
      <c r="U2325" s="10">
        <v>0</v>
      </c>
      <c r="V2325" s="3">
        <v>0</v>
      </c>
      <c r="W2325" s="3">
        <f t="shared" si="369"/>
        <v>0</v>
      </c>
      <c r="AA2325" s="3">
        <v>48</v>
      </c>
    </row>
    <row r="2326" spans="1:27" x14ac:dyDescent="0.3">
      <c r="A2326" s="3" t="str">
        <f t="shared" si="360"/>
        <v>South9420059901320</v>
      </c>
      <c r="B2326" s="3" t="str">
        <f t="shared" si="361"/>
        <v>CY9420059901320</v>
      </c>
      <c r="C2326" s="10">
        <v>9420059901320</v>
      </c>
      <c r="D2326" s="10" t="str">
        <f t="shared" si="362"/>
        <v>9420059901</v>
      </c>
      <c r="E2326" s="3" t="s">
        <v>4</v>
      </c>
      <c r="F2326" s="3" t="s">
        <v>65</v>
      </c>
      <c r="H2326" s="3">
        <v>7.3999999999999986</v>
      </c>
      <c r="I2326" s="10">
        <f t="shared" si="363"/>
        <v>22.75432423725881</v>
      </c>
      <c r="J2326" s="3">
        <v>9.7563872996275833</v>
      </c>
      <c r="K2326" s="3">
        <v>24</v>
      </c>
      <c r="L2326" s="3">
        <f t="shared" si="364"/>
        <v>0</v>
      </c>
      <c r="N2326" s="11">
        <f t="shared" si="365"/>
        <v>-2.3563872996275848</v>
      </c>
      <c r="O2326" s="3">
        <v>9.7563872996275833</v>
      </c>
      <c r="P2326" s="11">
        <f t="shared" si="366"/>
        <v>-7.2456757627411896</v>
      </c>
      <c r="Q2326" s="12">
        <f t="shared" si="367"/>
        <v>0.76026271028611458</v>
      </c>
      <c r="R2326" s="13">
        <f t="shared" si="368"/>
        <v>-2.9292804868373241</v>
      </c>
      <c r="S2326" s="3" t="s">
        <v>29</v>
      </c>
      <c r="T2326" s="3" t="s">
        <v>28</v>
      </c>
      <c r="U2326" s="10">
        <v>9420059900999</v>
      </c>
      <c r="V2326" s="3">
        <v>0.1</v>
      </c>
      <c r="W2326" s="3">
        <f t="shared" si="369"/>
        <v>2.4000000000000004</v>
      </c>
      <c r="AA2326" s="3">
        <v>48</v>
      </c>
    </row>
    <row r="2327" spans="1:27" x14ac:dyDescent="0.3">
      <c r="A2327" s="3" t="str">
        <f t="shared" si="360"/>
        <v>South9410019901840</v>
      </c>
      <c r="B2327" s="3" t="str">
        <f t="shared" si="361"/>
        <v>CY9410019901840</v>
      </c>
      <c r="C2327" s="10">
        <v>9410019901840</v>
      </c>
      <c r="D2327" s="10" t="str">
        <f t="shared" si="362"/>
        <v>9410019901</v>
      </c>
      <c r="E2327" s="3" t="s">
        <v>4</v>
      </c>
      <c r="F2327" s="3" t="s">
        <v>65</v>
      </c>
      <c r="H2327" s="3">
        <v>16.768000000000001</v>
      </c>
      <c r="I2327" s="10">
        <f t="shared" si="363"/>
        <v>53.277205356346563</v>
      </c>
      <c r="J2327" s="3">
        <v>9.4419366900984834</v>
      </c>
      <c r="K2327" s="3">
        <v>24</v>
      </c>
      <c r="L2327" s="3">
        <f t="shared" si="364"/>
        <v>0</v>
      </c>
      <c r="N2327" s="11">
        <f t="shared" si="365"/>
        <v>7.3260633099015173</v>
      </c>
      <c r="O2327" s="3">
        <v>9.4419366900984834</v>
      </c>
      <c r="P2327" s="11">
        <f t="shared" si="366"/>
        <v>23.27720535634656</v>
      </c>
      <c r="Q2327" s="12">
        <f t="shared" si="367"/>
        <v>8.6973864016508617</v>
      </c>
      <c r="R2327" s="13">
        <f t="shared" si="368"/>
        <v>37.852173480378191</v>
      </c>
      <c r="S2327" s="3" t="s">
        <v>30</v>
      </c>
      <c r="T2327" s="3" t="s">
        <v>32</v>
      </c>
      <c r="U2327" s="10">
        <v>0</v>
      </c>
      <c r="V2327" s="3">
        <v>0</v>
      </c>
      <c r="W2327" s="3">
        <f t="shared" si="369"/>
        <v>0</v>
      </c>
      <c r="AA2327" s="3">
        <v>48</v>
      </c>
    </row>
    <row r="2328" spans="1:27" x14ac:dyDescent="0.3">
      <c r="A2328" s="3" t="str">
        <f t="shared" si="360"/>
        <v>South9330209905839</v>
      </c>
      <c r="B2328" s="3" t="str">
        <f t="shared" si="361"/>
        <v>CY9330209905839</v>
      </c>
      <c r="C2328" s="10">
        <v>9330209905839</v>
      </c>
      <c r="D2328" s="10" t="str">
        <f t="shared" si="362"/>
        <v>9330209905</v>
      </c>
      <c r="E2328" s="3" t="s">
        <v>4</v>
      </c>
      <c r="F2328" s="3" t="s">
        <v>65</v>
      </c>
      <c r="H2328" s="3">
        <v>34.333650000000006</v>
      </c>
      <c r="I2328" s="10">
        <f t="shared" si="363"/>
        <v>109.81472215656204</v>
      </c>
      <c r="J2328" s="3">
        <v>9.3795210675989615</v>
      </c>
      <c r="K2328" s="3">
        <v>0</v>
      </c>
      <c r="L2328" s="3">
        <f t="shared" si="364"/>
        <v>0</v>
      </c>
      <c r="N2328" s="11">
        <f t="shared" si="365"/>
        <v>24.954128932401044</v>
      </c>
      <c r="O2328" s="3">
        <v>9.3795210675989615</v>
      </c>
      <c r="P2328" s="11">
        <f t="shared" si="366"/>
        <v>79.814722156562041</v>
      </c>
      <c r="Q2328" s="12">
        <f t="shared" si="367"/>
        <v>79.814722156562041</v>
      </c>
      <c r="R2328" s="13">
        <f t="shared" si="368"/>
        <v>74.319799473626375</v>
      </c>
      <c r="S2328" s="3" t="s">
        <v>30</v>
      </c>
      <c r="T2328" s="3" t="s">
        <v>35</v>
      </c>
      <c r="U2328" s="10">
        <v>0</v>
      </c>
      <c r="V2328" s="3">
        <v>0</v>
      </c>
      <c r="W2328" s="3">
        <f t="shared" si="369"/>
        <v>0</v>
      </c>
      <c r="AA2328" s="3">
        <v>48</v>
      </c>
    </row>
    <row r="2329" spans="1:27" x14ac:dyDescent="0.3">
      <c r="A2329" s="3" t="str">
        <f t="shared" si="360"/>
        <v>South9330229901310</v>
      </c>
      <c r="B2329" s="3" t="str">
        <f t="shared" si="361"/>
        <v>CY9330229901310</v>
      </c>
      <c r="C2329" s="10">
        <v>9330229901310</v>
      </c>
      <c r="D2329" s="10" t="str">
        <f t="shared" si="362"/>
        <v>9330229901</v>
      </c>
      <c r="E2329" s="3" t="s">
        <v>4</v>
      </c>
      <c r="F2329" s="3" t="s">
        <v>65</v>
      </c>
      <c r="H2329" s="3">
        <v>10.050000000000001</v>
      </c>
      <c r="I2329" s="10">
        <f t="shared" si="363"/>
        <v>33.581903555764278</v>
      </c>
      <c r="J2329" s="3">
        <v>8.978049725482224</v>
      </c>
      <c r="K2329" s="3">
        <v>0</v>
      </c>
      <c r="L2329" s="3">
        <f t="shared" si="364"/>
        <v>0</v>
      </c>
      <c r="N2329" s="11">
        <f t="shared" si="365"/>
        <v>1.0719502745177767</v>
      </c>
      <c r="O2329" s="3">
        <v>8.978049725482224</v>
      </c>
      <c r="P2329" s="11">
        <f t="shared" si="366"/>
        <v>3.5819035557642804</v>
      </c>
      <c r="Q2329" s="12">
        <f t="shared" si="367"/>
        <v>11.825524546816492</v>
      </c>
      <c r="R2329" s="13">
        <f t="shared" si="368"/>
        <v>9.6850554515557317</v>
      </c>
      <c r="S2329" s="3" t="s">
        <v>30</v>
      </c>
      <c r="T2329" s="3" t="s">
        <v>35</v>
      </c>
      <c r="U2329" s="10">
        <v>9330229900999</v>
      </c>
      <c r="V2329" s="3">
        <v>0.1</v>
      </c>
      <c r="W2329" s="3">
        <f t="shared" si="369"/>
        <v>0</v>
      </c>
      <c r="AA2329" s="3">
        <v>48</v>
      </c>
    </row>
    <row r="2330" spans="1:27" x14ac:dyDescent="0.3">
      <c r="A2330" s="3" t="str">
        <f t="shared" si="360"/>
        <v>South9330209900310</v>
      </c>
      <c r="B2330" s="3" t="str">
        <f t="shared" si="361"/>
        <v>CY9330209900310</v>
      </c>
      <c r="C2330" s="10">
        <v>9330209900310</v>
      </c>
      <c r="D2330" s="10" t="str">
        <f t="shared" si="362"/>
        <v>9330209900</v>
      </c>
      <c r="E2330" s="3" t="s">
        <v>4</v>
      </c>
      <c r="F2330" s="3" t="s">
        <v>65</v>
      </c>
      <c r="H2330" s="3">
        <v>12.739999999999997</v>
      </c>
      <c r="I2330" s="10">
        <f t="shared" si="363"/>
        <v>42.805517310438574</v>
      </c>
      <c r="J2330" s="3">
        <v>8.9287555440148001</v>
      </c>
      <c r="K2330" s="3">
        <v>0</v>
      </c>
      <c r="L2330" s="3">
        <f t="shared" si="364"/>
        <v>0</v>
      </c>
      <c r="N2330" s="11">
        <f t="shared" si="365"/>
        <v>3.8112444559851966</v>
      </c>
      <c r="O2330" s="3">
        <v>8.9287555440148001</v>
      </c>
      <c r="P2330" s="11">
        <f t="shared" si="366"/>
        <v>12.805517310438573</v>
      </c>
      <c r="Q2330" s="12">
        <f t="shared" si="367"/>
        <v>-11.408766564673487</v>
      </c>
      <c r="R2330" s="13">
        <f t="shared" si="368"/>
        <v>0.53923356032125813</v>
      </c>
      <c r="S2330" s="3" t="s">
        <v>29</v>
      </c>
      <c r="T2330" s="3" t="s">
        <v>35</v>
      </c>
      <c r="U2330" s="10">
        <v>9330209900999</v>
      </c>
      <c r="V2330" s="3">
        <v>0.1</v>
      </c>
      <c r="W2330" s="3">
        <f t="shared" si="369"/>
        <v>0</v>
      </c>
      <c r="AA2330" s="3">
        <v>48</v>
      </c>
    </row>
    <row r="2331" spans="1:27" x14ac:dyDescent="0.3">
      <c r="A2331" s="3" t="str">
        <f t="shared" si="360"/>
        <v>South9432029900320</v>
      </c>
      <c r="B2331" s="3" t="str">
        <f t="shared" si="361"/>
        <v>CY9432029900320</v>
      </c>
      <c r="C2331" s="10">
        <v>9432029900320</v>
      </c>
      <c r="D2331" s="10" t="str">
        <f t="shared" si="362"/>
        <v>9432029900</v>
      </c>
      <c r="E2331" s="3" t="s">
        <v>4</v>
      </c>
      <c r="F2331" s="3" t="s">
        <v>65</v>
      </c>
      <c r="H2331" s="3">
        <v>46.459999999999994</v>
      </c>
      <c r="I2331" s="10">
        <f t="shared" si="363"/>
        <v>159.91944162769346</v>
      </c>
      <c r="J2331" s="3">
        <v>8.7156382351864945</v>
      </c>
      <c r="K2331" s="3">
        <v>0</v>
      </c>
      <c r="L2331" s="3">
        <f t="shared" si="364"/>
        <v>0</v>
      </c>
      <c r="N2331" s="11">
        <f t="shared" si="365"/>
        <v>37.744361764813497</v>
      </c>
      <c r="O2331" s="3">
        <v>8.7156382351864945</v>
      </c>
      <c r="P2331" s="11">
        <f t="shared" si="366"/>
        <v>129.91944162769346</v>
      </c>
      <c r="Q2331" s="12">
        <f t="shared" si="367"/>
        <v>49.784725359943224</v>
      </c>
      <c r="R2331" s="13">
        <f t="shared" si="368"/>
        <v>44.067510562075888</v>
      </c>
      <c r="S2331" s="3" t="s">
        <v>31</v>
      </c>
      <c r="T2331" s="3" t="s">
        <v>35</v>
      </c>
      <c r="U2331" s="10">
        <v>9432029900999</v>
      </c>
      <c r="V2331" s="3">
        <v>0.1</v>
      </c>
      <c r="W2331" s="3">
        <f t="shared" si="369"/>
        <v>0</v>
      </c>
      <c r="AA2331" s="3">
        <v>48</v>
      </c>
    </row>
    <row r="2332" spans="1:27" x14ac:dyDescent="0.3">
      <c r="A2332" s="3" t="str">
        <f t="shared" si="360"/>
        <v>South9320029900320</v>
      </c>
      <c r="B2332" s="3" t="str">
        <f t="shared" si="361"/>
        <v>CY9320029900320</v>
      </c>
      <c r="C2332" s="10">
        <v>9320029900320</v>
      </c>
      <c r="D2332" s="10" t="str">
        <f t="shared" si="362"/>
        <v>9320029900</v>
      </c>
      <c r="E2332" s="3" t="s">
        <v>4</v>
      </c>
      <c r="F2332" s="3" t="s">
        <v>65</v>
      </c>
      <c r="H2332" s="3">
        <v>12.779999999999998</v>
      </c>
      <c r="I2332" s="10">
        <f t="shared" si="363"/>
        <v>46.817351774396158</v>
      </c>
      <c r="J2332" s="3">
        <v>8.1892714019265984</v>
      </c>
      <c r="K2332" s="3">
        <v>24</v>
      </c>
      <c r="L2332" s="3">
        <f t="shared" si="364"/>
        <v>0</v>
      </c>
      <c r="N2332" s="11">
        <f t="shared" si="365"/>
        <v>4.5907285980733992</v>
      </c>
      <c r="O2332" s="3">
        <v>8.1892714019265984</v>
      </c>
      <c r="P2332" s="11">
        <f t="shared" si="366"/>
        <v>16.817351774396155</v>
      </c>
      <c r="Q2332" s="12">
        <f t="shared" si="367"/>
        <v>-3.3382991197858849</v>
      </c>
      <c r="R2332" s="13">
        <f t="shared" si="368"/>
        <v>-2.4182637214499976</v>
      </c>
      <c r="S2332" s="3" t="s">
        <v>29</v>
      </c>
      <c r="T2332" s="3" t="s">
        <v>28</v>
      </c>
      <c r="U2332" s="10">
        <v>9320029900999</v>
      </c>
      <c r="V2332" s="3">
        <v>0.1</v>
      </c>
      <c r="W2332" s="3">
        <f t="shared" si="369"/>
        <v>2.4000000000000004</v>
      </c>
      <c r="AA2332" s="3">
        <v>48</v>
      </c>
    </row>
    <row r="2333" spans="1:27" x14ac:dyDescent="0.3">
      <c r="A2333" s="3" t="str">
        <f t="shared" si="360"/>
        <v>South9410029901320</v>
      </c>
      <c r="B2333" s="3" t="str">
        <f t="shared" si="361"/>
        <v>CY9410029901320</v>
      </c>
      <c r="C2333" s="10">
        <v>9410029901320</v>
      </c>
      <c r="D2333" s="10" t="str">
        <f t="shared" si="362"/>
        <v>9410029901</v>
      </c>
      <c r="E2333" s="3" t="s">
        <v>4</v>
      </c>
      <c r="F2333" s="3" t="s">
        <v>65</v>
      </c>
      <c r="H2333" s="3">
        <v>11.299999999999997</v>
      </c>
      <c r="I2333" s="10">
        <f t="shared" si="363"/>
        <v>42.563111098320789</v>
      </c>
      <c r="J2333" s="3">
        <v>7.9646433555317389</v>
      </c>
      <c r="K2333" s="3">
        <v>0</v>
      </c>
      <c r="L2333" s="3">
        <f t="shared" si="364"/>
        <v>0</v>
      </c>
      <c r="N2333" s="11">
        <f t="shared" si="365"/>
        <v>3.3353566444682583</v>
      </c>
      <c r="O2333" s="3">
        <v>7.9646433555317389</v>
      </c>
      <c r="P2333" s="11">
        <f t="shared" si="366"/>
        <v>12.563111098320793</v>
      </c>
      <c r="Q2333" s="12">
        <f t="shared" si="367"/>
        <v>4.9012839133193244</v>
      </c>
      <c r="R2333" s="13">
        <f t="shared" si="368"/>
        <v>21.860453380312943</v>
      </c>
      <c r="S2333" s="3" t="s">
        <v>30</v>
      </c>
      <c r="T2333" s="3" t="s">
        <v>32</v>
      </c>
      <c r="U2333" s="10">
        <v>9410029900999</v>
      </c>
      <c r="V2333" s="3">
        <v>0.1</v>
      </c>
      <c r="W2333" s="3">
        <f t="shared" si="369"/>
        <v>0</v>
      </c>
      <c r="AA2333" s="3">
        <v>48</v>
      </c>
    </row>
    <row r="2334" spans="1:27" x14ac:dyDescent="0.3">
      <c r="A2334" s="3" t="str">
        <f t="shared" si="360"/>
        <v>South9432009902838</v>
      </c>
      <c r="B2334" s="3" t="str">
        <f t="shared" si="361"/>
        <v>CY9432009902838</v>
      </c>
      <c r="C2334" s="10">
        <v>9432009902838</v>
      </c>
      <c r="D2334" s="10" t="str">
        <f t="shared" si="362"/>
        <v>9432009902</v>
      </c>
      <c r="E2334" s="3" t="s">
        <v>4</v>
      </c>
      <c r="F2334" s="3" t="s">
        <v>65</v>
      </c>
      <c r="H2334" s="3">
        <v>10.446200000000001</v>
      </c>
      <c r="I2334" s="10">
        <f t="shared" si="363"/>
        <v>39.581095191967172</v>
      </c>
      <c r="J2334" s="3">
        <v>7.9175676792187515</v>
      </c>
      <c r="K2334" s="3">
        <v>12</v>
      </c>
      <c r="L2334" s="3">
        <f t="shared" si="364"/>
        <v>0</v>
      </c>
      <c r="N2334" s="11">
        <f t="shared" si="365"/>
        <v>2.5286323207812496</v>
      </c>
      <c r="O2334" s="3">
        <v>7.9175676792187515</v>
      </c>
      <c r="P2334" s="11">
        <f t="shared" si="366"/>
        <v>9.5810951919671759</v>
      </c>
      <c r="Q2334" s="12">
        <f t="shared" si="367"/>
        <v>5.4538940412850421</v>
      </c>
      <c r="R2334" s="13">
        <f t="shared" si="368"/>
        <v>19.801120837885417</v>
      </c>
      <c r="S2334" s="3" t="s">
        <v>30</v>
      </c>
      <c r="T2334" s="3" t="s">
        <v>35</v>
      </c>
      <c r="U2334" s="10">
        <v>0</v>
      </c>
      <c r="V2334" s="3">
        <v>0</v>
      </c>
      <c r="W2334" s="3">
        <f t="shared" si="369"/>
        <v>0</v>
      </c>
      <c r="AA2334" s="3">
        <v>48</v>
      </c>
    </row>
    <row r="2335" spans="1:27" x14ac:dyDescent="0.3">
      <c r="A2335" s="3" t="str">
        <f t="shared" si="360"/>
        <v>South9420069900810</v>
      </c>
      <c r="B2335" s="3" t="str">
        <f t="shared" si="361"/>
        <v>CY9420069900810</v>
      </c>
      <c r="C2335" s="10">
        <v>9420069900810</v>
      </c>
      <c r="D2335" s="10" t="str">
        <f t="shared" si="362"/>
        <v>9420069900</v>
      </c>
      <c r="E2335" s="3" t="s">
        <v>4</v>
      </c>
      <c r="F2335" s="3" t="s">
        <v>65</v>
      </c>
      <c r="H2335" s="3">
        <v>26.550000000000004</v>
      </c>
      <c r="I2335" s="10">
        <f t="shared" si="363"/>
        <v>100.70585554637671</v>
      </c>
      <c r="J2335" s="3">
        <v>7.9091726660640767</v>
      </c>
      <c r="K2335" s="3">
        <v>0</v>
      </c>
      <c r="L2335" s="3">
        <f t="shared" si="364"/>
        <v>0</v>
      </c>
      <c r="N2335" s="11">
        <f t="shared" si="365"/>
        <v>18.640827333935928</v>
      </c>
      <c r="O2335" s="3">
        <v>7.9091726660640767</v>
      </c>
      <c r="P2335" s="11">
        <f t="shared" si="366"/>
        <v>70.705855546376711</v>
      </c>
      <c r="Q2335" s="12">
        <f t="shared" si="367"/>
        <v>30.87798196575347</v>
      </c>
      <c r="R2335" s="13">
        <f t="shared" si="368"/>
        <v>28.11286676931412</v>
      </c>
      <c r="S2335" s="3" t="s">
        <v>30</v>
      </c>
      <c r="T2335" s="3" t="s">
        <v>28</v>
      </c>
      <c r="U2335" s="10">
        <v>0</v>
      </c>
      <c r="V2335" s="3">
        <v>0</v>
      </c>
      <c r="W2335" s="3">
        <f t="shared" si="369"/>
        <v>0</v>
      </c>
      <c r="AA2335" s="3">
        <v>48</v>
      </c>
    </row>
    <row r="2336" spans="1:27" x14ac:dyDescent="0.3">
      <c r="A2336" s="3" t="str">
        <f t="shared" si="360"/>
        <v>South9320029905219</v>
      </c>
      <c r="B2336" s="3" t="str">
        <f t="shared" si="361"/>
        <v>CY9320029905219</v>
      </c>
      <c r="C2336" s="10">
        <v>9320029905219</v>
      </c>
      <c r="D2336" s="10" t="str">
        <f t="shared" si="362"/>
        <v>9320029905</v>
      </c>
      <c r="E2336" s="3" t="s">
        <v>4</v>
      </c>
      <c r="F2336" s="3" t="s">
        <v>65</v>
      </c>
      <c r="H2336" s="3">
        <v>21.079500000000014</v>
      </c>
      <c r="I2336" s="10">
        <f t="shared" si="363"/>
        <v>83.300323534435933</v>
      </c>
      <c r="J2336" s="3">
        <v>7.5916271770370214</v>
      </c>
      <c r="K2336" s="3">
        <v>0</v>
      </c>
      <c r="L2336" s="3">
        <f t="shared" si="364"/>
        <v>0</v>
      </c>
      <c r="N2336" s="11">
        <f t="shared" si="365"/>
        <v>13.487872822962991</v>
      </c>
      <c r="O2336" s="3">
        <v>7.5916271770370214</v>
      </c>
      <c r="P2336" s="11">
        <f t="shared" si="366"/>
        <v>53.300323534435925</v>
      </c>
      <c r="Q2336" s="12">
        <f t="shared" si="367"/>
        <v>53.300323534435925</v>
      </c>
      <c r="R2336" s="13">
        <f t="shared" si="368"/>
        <v>59.568123641449816</v>
      </c>
      <c r="S2336" s="3" t="s">
        <v>30</v>
      </c>
      <c r="T2336" s="3" t="s">
        <v>28</v>
      </c>
      <c r="U2336" s="10">
        <v>9320029900999</v>
      </c>
      <c r="V2336" s="3">
        <v>0.1</v>
      </c>
      <c r="W2336" s="3">
        <f t="shared" si="369"/>
        <v>0</v>
      </c>
      <c r="AA2336" s="3">
        <v>48</v>
      </c>
    </row>
    <row r="2337" spans="1:27" x14ac:dyDescent="0.3">
      <c r="A2337" s="3" t="str">
        <f t="shared" si="360"/>
        <v>South9432009900840</v>
      </c>
      <c r="B2337" s="3" t="str">
        <f t="shared" si="361"/>
        <v>CY9432009900840</v>
      </c>
      <c r="C2337" s="10">
        <v>9432009900840</v>
      </c>
      <c r="D2337" s="10" t="str">
        <f t="shared" si="362"/>
        <v>9432009900</v>
      </c>
      <c r="E2337" s="3" t="s">
        <v>4</v>
      </c>
      <c r="F2337" s="3" t="s">
        <v>65</v>
      </c>
      <c r="H2337" s="3">
        <v>9.3360000000000021</v>
      </c>
      <c r="I2337" s="10">
        <f t="shared" si="363"/>
        <v>37.707832154559249</v>
      </c>
      <c r="J2337" s="3">
        <v>7.4276346317653701</v>
      </c>
      <c r="K2337" s="3">
        <v>0</v>
      </c>
      <c r="L2337" s="3">
        <f t="shared" si="364"/>
        <v>0</v>
      </c>
      <c r="N2337" s="11">
        <f t="shared" si="365"/>
        <v>1.908365368234632</v>
      </c>
      <c r="O2337" s="3">
        <v>7.4276346317653701</v>
      </c>
      <c r="P2337" s="11">
        <f t="shared" si="366"/>
        <v>7.7078321545592479</v>
      </c>
      <c r="Q2337" s="12">
        <f t="shared" si="367"/>
        <v>-3.0540852092689437</v>
      </c>
      <c r="R2337" s="13">
        <f t="shared" si="368"/>
        <v>16.28600824867836</v>
      </c>
      <c r="S2337" s="3" t="s">
        <v>30</v>
      </c>
      <c r="T2337" s="3" t="s">
        <v>35</v>
      </c>
      <c r="U2337" s="10">
        <v>0</v>
      </c>
      <c r="V2337" s="3">
        <v>0</v>
      </c>
      <c r="W2337" s="3">
        <f t="shared" si="369"/>
        <v>0</v>
      </c>
      <c r="AA2337" s="3">
        <v>48</v>
      </c>
    </row>
    <row r="2338" spans="1:27" x14ac:dyDescent="0.3">
      <c r="A2338" s="3" t="str">
        <f t="shared" si="360"/>
        <v>South9320029905839</v>
      </c>
      <c r="B2338" s="3" t="str">
        <f t="shared" si="361"/>
        <v>CY9320029905839</v>
      </c>
      <c r="C2338" s="10">
        <v>9320029905839</v>
      </c>
      <c r="D2338" s="10" t="str">
        <f t="shared" si="362"/>
        <v>9320029905</v>
      </c>
      <c r="E2338" s="3" t="s">
        <v>4</v>
      </c>
      <c r="F2338" s="3" t="s">
        <v>65</v>
      </c>
      <c r="H2338" s="3">
        <v>38.929799999999993</v>
      </c>
      <c r="I2338" s="10">
        <f t="shared" si="363"/>
        <v>157.95904642613536</v>
      </c>
      <c r="J2338" s="3">
        <v>7.393650610230349</v>
      </c>
      <c r="K2338" s="3">
        <v>0</v>
      </c>
      <c r="L2338" s="3">
        <f t="shared" si="364"/>
        <v>0</v>
      </c>
      <c r="N2338" s="11">
        <f t="shared" si="365"/>
        <v>31.536149389769644</v>
      </c>
      <c r="O2338" s="3">
        <v>7.393650610230349</v>
      </c>
      <c r="P2338" s="11">
        <f t="shared" si="366"/>
        <v>127.95904642613536</v>
      </c>
      <c r="Q2338" s="12">
        <f t="shared" si="367"/>
        <v>127.95904642613536</v>
      </c>
      <c r="R2338" s="13">
        <f t="shared" si="368"/>
        <v>73.358821186652634</v>
      </c>
      <c r="S2338" s="3" t="s">
        <v>30</v>
      </c>
      <c r="T2338" s="3" t="s">
        <v>28</v>
      </c>
      <c r="U2338" s="10">
        <v>0</v>
      </c>
      <c r="V2338" s="3">
        <v>0</v>
      </c>
      <c r="W2338" s="3">
        <f t="shared" si="369"/>
        <v>0</v>
      </c>
      <c r="AA2338" s="3">
        <v>48</v>
      </c>
    </row>
    <row r="2339" spans="1:27" x14ac:dyDescent="0.3">
      <c r="A2339" s="3" t="str">
        <f t="shared" si="360"/>
        <v>South9160509900320</v>
      </c>
      <c r="B2339" s="3" t="str">
        <f t="shared" si="361"/>
        <v>CY9160509900320</v>
      </c>
      <c r="C2339" s="10">
        <v>9160509900320</v>
      </c>
      <c r="D2339" s="10" t="str">
        <f t="shared" si="362"/>
        <v>9160509900</v>
      </c>
      <c r="E2339" s="3" t="s">
        <v>4</v>
      </c>
      <c r="F2339" s="3" t="s">
        <v>65</v>
      </c>
      <c r="H2339" s="3">
        <v>15.000000000000002</v>
      </c>
      <c r="I2339" s="10">
        <f t="shared" si="363"/>
        <v>62.10263010667714</v>
      </c>
      <c r="J2339" s="3">
        <v>7.246069920501113</v>
      </c>
      <c r="K2339" s="3">
        <v>0</v>
      </c>
      <c r="L2339" s="3">
        <f t="shared" si="364"/>
        <v>0</v>
      </c>
      <c r="N2339" s="11">
        <f t="shared" si="365"/>
        <v>7.7539300794988888</v>
      </c>
      <c r="O2339" s="3">
        <v>7.246069920501113</v>
      </c>
      <c r="P2339" s="11">
        <f t="shared" si="366"/>
        <v>32.102630106677147</v>
      </c>
      <c r="Q2339" s="12">
        <f t="shared" si="367"/>
        <v>25.676490927616605</v>
      </c>
      <c r="R2339" s="13">
        <f t="shared" si="368"/>
        <v>28.106886654104677</v>
      </c>
      <c r="S2339" s="3" t="s">
        <v>30</v>
      </c>
      <c r="T2339" s="3" t="s">
        <v>34</v>
      </c>
      <c r="U2339" s="10">
        <v>0</v>
      </c>
      <c r="V2339" s="3">
        <v>0</v>
      </c>
      <c r="W2339" s="3">
        <f t="shared" si="369"/>
        <v>0</v>
      </c>
      <c r="AA2339" s="3">
        <v>48</v>
      </c>
    </row>
    <row r="2340" spans="1:27" x14ac:dyDescent="0.3">
      <c r="A2340" s="3" t="str">
        <f t="shared" si="360"/>
        <v>South9330239901310</v>
      </c>
      <c r="B2340" s="3" t="str">
        <f t="shared" si="361"/>
        <v>CY9330239901310</v>
      </c>
      <c r="C2340" s="10">
        <v>9330239901310</v>
      </c>
      <c r="D2340" s="10" t="str">
        <f t="shared" si="362"/>
        <v>9330239901</v>
      </c>
      <c r="E2340" s="3" t="s">
        <v>4</v>
      </c>
      <c r="F2340" s="3" t="s">
        <v>65</v>
      </c>
      <c r="H2340" s="3">
        <v>13.899999999999999</v>
      </c>
      <c r="I2340" s="10">
        <f t="shared" si="363"/>
        <v>61.541871848025799</v>
      </c>
      <c r="J2340" s="3">
        <v>6.7758744977689025</v>
      </c>
      <c r="K2340" s="3">
        <v>0</v>
      </c>
      <c r="L2340" s="3">
        <f t="shared" si="364"/>
        <v>0</v>
      </c>
      <c r="N2340" s="11">
        <f t="shared" si="365"/>
        <v>7.1241255022310961</v>
      </c>
      <c r="O2340" s="3">
        <v>6.7758744977689025</v>
      </c>
      <c r="P2340" s="11">
        <f t="shared" si="366"/>
        <v>31.541871848025799</v>
      </c>
      <c r="Q2340" s="12">
        <f t="shared" si="367"/>
        <v>24.800792057934071</v>
      </c>
      <c r="R2340" s="13">
        <f t="shared" si="368"/>
        <v>36.938343606674806</v>
      </c>
      <c r="S2340" s="3" t="s">
        <v>31</v>
      </c>
      <c r="T2340" s="3" t="s">
        <v>35</v>
      </c>
      <c r="U2340" s="10">
        <v>9330239900999</v>
      </c>
      <c r="V2340" s="3">
        <v>0.1</v>
      </c>
      <c r="W2340" s="3">
        <f t="shared" si="369"/>
        <v>0</v>
      </c>
      <c r="AA2340" s="3">
        <v>48</v>
      </c>
    </row>
    <row r="2341" spans="1:27" x14ac:dyDescent="0.3">
      <c r="A2341" s="3" t="str">
        <f t="shared" si="360"/>
        <v>South9410049901310</v>
      </c>
      <c r="B2341" s="3" t="str">
        <f t="shared" si="361"/>
        <v>CY9410049901310</v>
      </c>
      <c r="C2341" s="10">
        <v>9410049901310</v>
      </c>
      <c r="D2341" s="10" t="str">
        <f t="shared" si="362"/>
        <v>9410049901</v>
      </c>
      <c r="E2341" s="3" t="s">
        <v>4</v>
      </c>
      <c r="F2341" s="3" t="s">
        <v>65</v>
      </c>
      <c r="H2341" s="3">
        <v>26.519999999999982</v>
      </c>
      <c r="I2341" s="10">
        <f t="shared" si="363"/>
        <v>119.61482763545524</v>
      </c>
      <c r="J2341" s="3">
        <v>6.6513492994757639</v>
      </c>
      <c r="K2341" s="3">
        <v>0</v>
      </c>
      <c r="L2341" s="3">
        <f t="shared" si="364"/>
        <v>0</v>
      </c>
      <c r="N2341" s="11">
        <f t="shared" si="365"/>
        <v>19.868650700524217</v>
      </c>
      <c r="O2341" s="3">
        <v>6.6513492994757639</v>
      </c>
      <c r="P2341" s="11">
        <f t="shared" si="366"/>
        <v>89.614827635455242</v>
      </c>
      <c r="Q2341" s="12">
        <f t="shared" si="367"/>
        <v>89.614827635455242</v>
      </c>
      <c r="R2341" s="13">
        <f t="shared" si="368"/>
        <v>89.614827635455242</v>
      </c>
      <c r="S2341" s="3" t="s">
        <v>31</v>
      </c>
      <c r="T2341" s="3" t="s">
        <v>32</v>
      </c>
      <c r="U2341" s="10">
        <v>9410049901999</v>
      </c>
      <c r="V2341" s="3">
        <v>0.1</v>
      </c>
      <c r="W2341" s="3">
        <f t="shared" si="369"/>
        <v>0</v>
      </c>
      <c r="AA2341" s="3">
        <v>48</v>
      </c>
    </row>
    <row r="2342" spans="1:27" x14ac:dyDescent="0.3">
      <c r="A2342" s="3" t="str">
        <f t="shared" si="360"/>
        <v>South9432009902295</v>
      </c>
      <c r="B2342" s="3" t="str">
        <f t="shared" si="361"/>
        <v>CY9432009902295</v>
      </c>
      <c r="C2342" s="10">
        <v>9432009902295</v>
      </c>
      <c r="D2342" s="10" t="str">
        <f t="shared" si="362"/>
        <v>9432009902</v>
      </c>
      <c r="E2342" s="3" t="s">
        <v>4</v>
      </c>
      <c r="F2342" s="3" t="s">
        <v>65</v>
      </c>
      <c r="H2342" s="3">
        <v>15.294999999999998</v>
      </c>
      <c r="I2342" s="10">
        <f t="shared" si="363"/>
        <v>70.58485092230228</v>
      </c>
      <c r="J2342" s="3">
        <v>6.5006866771609175</v>
      </c>
      <c r="K2342" s="3">
        <v>0</v>
      </c>
      <c r="L2342" s="3">
        <f t="shared" si="364"/>
        <v>0</v>
      </c>
      <c r="N2342" s="11">
        <f t="shared" si="365"/>
        <v>8.7943133228390806</v>
      </c>
      <c r="O2342" s="3">
        <v>6.5006866771609175</v>
      </c>
      <c r="P2342" s="11">
        <f t="shared" si="366"/>
        <v>40.58485092230228</v>
      </c>
      <c r="Q2342" s="12">
        <f t="shared" si="367"/>
        <v>33.854365863811488</v>
      </c>
      <c r="R2342" s="13">
        <f t="shared" si="368"/>
        <v>36.662124742386482</v>
      </c>
      <c r="S2342" s="3" t="s">
        <v>30</v>
      </c>
      <c r="T2342" s="3" t="s">
        <v>35</v>
      </c>
      <c r="U2342" s="10">
        <v>9432009900999</v>
      </c>
      <c r="V2342" s="3">
        <v>0.1</v>
      </c>
      <c r="W2342" s="3">
        <f t="shared" si="369"/>
        <v>0</v>
      </c>
      <c r="AA2342" s="3">
        <v>48</v>
      </c>
    </row>
    <row r="2343" spans="1:27" x14ac:dyDescent="0.3">
      <c r="A2343" s="3" t="str">
        <f t="shared" si="360"/>
        <v>South9310019902219</v>
      </c>
      <c r="B2343" s="3" t="str">
        <f t="shared" si="361"/>
        <v>CY9310019902219</v>
      </c>
      <c r="C2343" s="10">
        <v>9310019902219</v>
      </c>
      <c r="D2343" s="10" t="str">
        <f t="shared" si="362"/>
        <v>9310019902</v>
      </c>
      <c r="E2343" s="3" t="s">
        <v>4</v>
      </c>
      <c r="F2343" s="3" t="s">
        <v>65</v>
      </c>
      <c r="H2343" s="3">
        <v>7.741500000000002</v>
      </c>
      <c r="I2343" s="10">
        <f t="shared" si="363"/>
        <v>36.298442147061195</v>
      </c>
      <c r="J2343" s="3">
        <v>6.3982084701892123</v>
      </c>
      <c r="K2343" s="3">
        <v>36</v>
      </c>
      <c r="L2343" s="3">
        <f t="shared" si="364"/>
        <v>0</v>
      </c>
      <c r="N2343" s="11">
        <f t="shared" si="365"/>
        <v>1.3432915298107897</v>
      </c>
      <c r="O2343" s="3">
        <v>6.3982084701892123</v>
      </c>
      <c r="P2343" s="11">
        <f t="shared" si="366"/>
        <v>6.2984421470611984</v>
      </c>
      <c r="Q2343" s="12">
        <f t="shared" si="367"/>
        <v>10.197359069175858</v>
      </c>
      <c r="R2343" s="13">
        <f t="shared" si="368"/>
        <v>23.550066035894439</v>
      </c>
      <c r="S2343" s="3" t="s">
        <v>30</v>
      </c>
      <c r="T2343" s="3" t="s">
        <v>32</v>
      </c>
      <c r="U2343" s="10">
        <v>9310019900999</v>
      </c>
      <c r="V2343" s="3">
        <v>0.1</v>
      </c>
      <c r="W2343" s="3">
        <f t="shared" si="369"/>
        <v>3.6</v>
      </c>
      <c r="AA2343" s="3">
        <v>48</v>
      </c>
    </row>
    <row r="2344" spans="1:27" x14ac:dyDescent="0.3">
      <c r="A2344" s="3" t="str">
        <f t="shared" si="360"/>
        <v>South9432009902195</v>
      </c>
      <c r="B2344" s="3" t="str">
        <f t="shared" si="361"/>
        <v>CY9432009902195</v>
      </c>
      <c r="C2344" s="10">
        <v>9432009902195</v>
      </c>
      <c r="D2344" s="10" t="str">
        <f t="shared" si="362"/>
        <v>9432009902</v>
      </c>
      <c r="E2344" s="3" t="s">
        <v>4</v>
      </c>
      <c r="F2344" s="3" t="s">
        <v>65</v>
      </c>
      <c r="H2344" s="3">
        <v>9.9274999999999984</v>
      </c>
      <c r="I2344" s="10">
        <f t="shared" si="363"/>
        <v>47.325641158267764</v>
      </c>
      <c r="J2344" s="3">
        <v>6.2931001611579882</v>
      </c>
      <c r="K2344" s="3">
        <v>0</v>
      </c>
      <c r="L2344" s="3">
        <f t="shared" si="364"/>
        <v>0</v>
      </c>
      <c r="N2344" s="11">
        <f t="shared" si="365"/>
        <v>3.6343998388420102</v>
      </c>
      <c r="O2344" s="3">
        <v>6.2931001611579882</v>
      </c>
      <c r="P2344" s="11">
        <f t="shared" si="366"/>
        <v>17.325641158267757</v>
      </c>
      <c r="Q2344" s="12">
        <f t="shared" si="367"/>
        <v>11.284169797860137</v>
      </c>
      <c r="R2344" s="13">
        <f t="shared" si="368"/>
        <v>34.173467301071753</v>
      </c>
      <c r="S2344" s="3" t="s">
        <v>30</v>
      </c>
      <c r="T2344" s="3" t="s">
        <v>35</v>
      </c>
      <c r="U2344" s="10">
        <v>0</v>
      </c>
      <c r="V2344" s="3">
        <v>0</v>
      </c>
      <c r="W2344" s="3">
        <f t="shared" si="369"/>
        <v>0</v>
      </c>
      <c r="AA2344" s="3">
        <v>48</v>
      </c>
    </row>
    <row r="2345" spans="1:27" x14ac:dyDescent="0.3">
      <c r="A2345" s="3" t="str">
        <f t="shared" si="360"/>
        <v>South9432009902319</v>
      </c>
      <c r="B2345" s="3" t="str">
        <f t="shared" si="361"/>
        <v>CY9432009902319</v>
      </c>
      <c r="C2345" s="10">
        <v>9432009902319</v>
      </c>
      <c r="D2345" s="10" t="str">
        <f t="shared" si="362"/>
        <v>9432009902</v>
      </c>
      <c r="E2345" s="3" t="s">
        <v>4</v>
      </c>
      <c r="F2345" s="3" t="s">
        <v>65</v>
      </c>
      <c r="H2345" s="3">
        <v>7.7330000000000005</v>
      </c>
      <c r="I2345" s="10">
        <f t="shared" si="363"/>
        <v>37.301412482248843</v>
      </c>
      <c r="J2345" s="3">
        <v>6.2193355308033018</v>
      </c>
      <c r="K2345" s="3">
        <v>36</v>
      </c>
      <c r="L2345" s="3">
        <f t="shared" si="364"/>
        <v>0</v>
      </c>
      <c r="N2345" s="11">
        <f t="shared" si="365"/>
        <v>1.5136644691966987</v>
      </c>
      <c r="O2345" s="3">
        <v>6.2193355308033018</v>
      </c>
      <c r="P2345" s="11">
        <f t="shared" si="366"/>
        <v>7.3014124822488435</v>
      </c>
      <c r="Q2345" s="12">
        <f t="shared" si="367"/>
        <v>5.5914419500024772</v>
      </c>
      <c r="R2345" s="13">
        <f t="shared" si="368"/>
        <v>18.627692690008107</v>
      </c>
      <c r="S2345" s="3" t="s">
        <v>30</v>
      </c>
      <c r="T2345" s="3" t="s">
        <v>35</v>
      </c>
      <c r="U2345" s="10">
        <v>9432009900999</v>
      </c>
      <c r="V2345" s="3">
        <v>0.1</v>
      </c>
      <c r="W2345" s="3">
        <f t="shared" si="369"/>
        <v>3.6</v>
      </c>
      <c r="AA2345" s="3">
        <v>48</v>
      </c>
    </row>
    <row r="2346" spans="1:27" x14ac:dyDescent="0.3">
      <c r="A2346" s="3" t="str">
        <f t="shared" si="360"/>
        <v>South9320029902097</v>
      </c>
      <c r="B2346" s="3" t="str">
        <f t="shared" si="361"/>
        <v>CY9320029902097</v>
      </c>
      <c r="C2346" s="10">
        <v>9320029902097</v>
      </c>
      <c r="D2346" s="10" t="str">
        <f t="shared" si="362"/>
        <v>9320029902</v>
      </c>
      <c r="E2346" s="3" t="s">
        <v>4</v>
      </c>
      <c r="F2346" s="3" t="s">
        <v>65</v>
      </c>
      <c r="H2346" s="3">
        <v>26.579475000000002</v>
      </c>
      <c r="I2346" s="10">
        <f t="shared" si="363"/>
        <v>129.24605880130358</v>
      </c>
      <c r="J2346" s="3">
        <v>6.1695053403977198</v>
      </c>
      <c r="K2346" s="3">
        <v>0</v>
      </c>
      <c r="L2346" s="3">
        <f t="shared" si="364"/>
        <v>0</v>
      </c>
      <c r="N2346" s="11">
        <f t="shared" si="365"/>
        <v>20.409969659602282</v>
      </c>
      <c r="O2346" s="3">
        <v>6.1695053403977198</v>
      </c>
      <c r="P2346" s="11">
        <f t="shared" si="366"/>
        <v>99.246058801303562</v>
      </c>
      <c r="Q2346" s="12">
        <f t="shared" si="367"/>
        <v>47.427443692319891</v>
      </c>
      <c r="R2346" s="13">
        <f t="shared" si="368"/>
        <v>32.356577789682831</v>
      </c>
      <c r="S2346" s="3" t="s">
        <v>30</v>
      </c>
      <c r="T2346" s="3" t="s">
        <v>28</v>
      </c>
      <c r="U2346" s="10">
        <v>0</v>
      </c>
      <c r="V2346" s="3">
        <v>0</v>
      </c>
      <c r="W2346" s="3">
        <f t="shared" si="369"/>
        <v>0</v>
      </c>
      <c r="AA2346" s="3">
        <v>48</v>
      </c>
    </row>
    <row r="2347" spans="1:27" x14ac:dyDescent="0.3">
      <c r="A2347" s="3" t="str">
        <f t="shared" si="360"/>
        <v>South9420039901310</v>
      </c>
      <c r="B2347" s="3" t="str">
        <f t="shared" si="361"/>
        <v>CY9420039901310</v>
      </c>
      <c r="C2347" s="10">
        <v>9420039901310</v>
      </c>
      <c r="D2347" s="10" t="str">
        <f t="shared" si="362"/>
        <v>9420039901</v>
      </c>
      <c r="E2347" s="3" t="s">
        <v>4</v>
      </c>
      <c r="F2347" s="3" t="s">
        <v>65</v>
      </c>
      <c r="H2347" s="3">
        <v>5.0699999999999994</v>
      </c>
      <c r="I2347" s="10">
        <f t="shared" si="363"/>
        <v>24.936695753538707</v>
      </c>
      <c r="J2347" s="3">
        <v>6.0994448303527076</v>
      </c>
      <c r="K2347" s="3">
        <v>0</v>
      </c>
      <c r="L2347" s="3">
        <f t="shared" si="364"/>
        <v>0</v>
      </c>
      <c r="N2347" s="11">
        <f t="shared" si="365"/>
        <v>-1.0294448303527082</v>
      </c>
      <c r="O2347" s="3">
        <v>6.0994448303527076</v>
      </c>
      <c r="P2347" s="11">
        <f t="shared" si="366"/>
        <v>-5.0633042464612927</v>
      </c>
      <c r="Q2347" s="12">
        <f t="shared" si="367"/>
        <v>-10.979969900531877</v>
      </c>
      <c r="R2347" s="13">
        <f t="shared" si="368"/>
        <v>-0.5574194861834727</v>
      </c>
      <c r="S2347" s="3" t="s">
        <v>30</v>
      </c>
      <c r="T2347" s="3" t="s">
        <v>28</v>
      </c>
      <c r="U2347" s="10">
        <v>9420039900999</v>
      </c>
      <c r="V2347" s="3">
        <v>0.1</v>
      </c>
      <c r="W2347" s="3">
        <f t="shared" si="369"/>
        <v>0</v>
      </c>
      <c r="AA2347" s="3">
        <v>48</v>
      </c>
    </row>
    <row r="2348" spans="1:27" x14ac:dyDescent="0.3">
      <c r="A2348" s="3" t="str">
        <f t="shared" si="360"/>
        <v>South9320029902297</v>
      </c>
      <c r="B2348" s="3" t="str">
        <f t="shared" si="361"/>
        <v>CY9320029902297</v>
      </c>
      <c r="C2348" s="10">
        <v>9320029902297</v>
      </c>
      <c r="D2348" s="10" t="str">
        <f t="shared" si="362"/>
        <v>9320029902</v>
      </c>
      <c r="E2348" s="3" t="s">
        <v>4</v>
      </c>
      <c r="F2348" s="3" t="s">
        <v>65</v>
      </c>
      <c r="H2348" s="3">
        <v>9.1942500000000003</v>
      </c>
      <c r="I2348" s="10">
        <f t="shared" si="363"/>
        <v>45.276317324942724</v>
      </c>
      <c r="J2348" s="3">
        <v>6.0920922083927227</v>
      </c>
      <c r="K2348" s="3">
        <v>0</v>
      </c>
      <c r="L2348" s="3">
        <f t="shared" si="364"/>
        <v>0</v>
      </c>
      <c r="N2348" s="11">
        <f t="shared" si="365"/>
        <v>3.1021577916072776</v>
      </c>
      <c r="O2348" s="3">
        <v>6.0920922083927227</v>
      </c>
      <c r="P2348" s="11">
        <f t="shared" si="366"/>
        <v>15.276317324942722</v>
      </c>
      <c r="Q2348" s="12">
        <f t="shared" si="367"/>
        <v>24.724246668720696</v>
      </c>
      <c r="R2348" s="13">
        <f t="shared" si="368"/>
        <v>18.208892829292608</v>
      </c>
      <c r="S2348" s="3" t="s">
        <v>30</v>
      </c>
      <c r="T2348" s="3" t="s">
        <v>28</v>
      </c>
      <c r="U2348" s="10">
        <v>9320029900999</v>
      </c>
      <c r="V2348" s="3">
        <v>0.1</v>
      </c>
      <c r="W2348" s="3">
        <f t="shared" si="369"/>
        <v>0</v>
      </c>
      <c r="AA2348" s="3">
        <v>48</v>
      </c>
    </row>
    <row r="2349" spans="1:27" x14ac:dyDescent="0.3">
      <c r="A2349" s="3" t="str">
        <f t="shared" si="360"/>
        <v>South9420139900320</v>
      </c>
      <c r="B2349" s="3" t="str">
        <f t="shared" si="361"/>
        <v>CY9420139900320</v>
      </c>
      <c r="C2349" s="10">
        <v>9420139900320</v>
      </c>
      <c r="D2349" s="10" t="str">
        <f t="shared" si="362"/>
        <v>9420139900</v>
      </c>
      <c r="E2349" s="3" t="s">
        <v>4</v>
      </c>
      <c r="F2349" s="3" t="s">
        <v>65</v>
      </c>
      <c r="H2349" s="3">
        <v>7.78</v>
      </c>
      <c r="I2349" s="10">
        <f t="shared" si="363"/>
        <v>38.457156397588037</v>
      </c>
      <c r="J2349" s="3">
        <v>6.0690914738209409</v>
      </c>
      <c r="K2349" s="3">
        <v>0</v>
      </c>
      <c r="L2349" s="3">
        <f t="shared" si="364"/>
        <v>0</v>
      </c>
      <c r="N2349" s="11">
        <f t="shared" si="365"/>
        <v>1.7109085261790593</v>
      </c>
      <c r="O2349" s="3">
        <v>6.0690914738209409</v>
      </c>
      <c r="P2349" s="11">
        <f t="shared" si="366"/>
        <v>8.4571563975880366</v>
      </c>
      <c r="Q2349" s="12">
        <f t="shared" si="367"/>
        <v>18.036897661544888</v>
      </c>
      <c r="R2349" s="13">
        <f t="shared" si="368"/>
        <v>20.904234494707751</v>
      </c>
      <c r="S2349" s="3" t="s">
        <v>31</v>
      </c>
      <c r="T2349" s="3" t="s">
        <v>28</v>
      </c>
      <c r="U2349" s="10">
        <v>9420139900999</v>
      </c>
      <c r="V2349" s="3">
        <v>0.1</v>
      </c>
      <c r="W2349" s="3">
        <f t="shared" si="369"/>
        <v>0</v>
      </c>
      <c r="AA2349" s="3">
        <v>48</v>
      </c>
    </row>
    <row r="2350" spans="1:27" x14ac:dyDescent="0.3">
      <c r="A2350" s="3" t="str">
        <f t="shared" si="360"/>
        <v>South9330209905297</v>
      </c>
      <c r="B2350" s="3" t="str">
        <f t="shared" si="361"/>
        <v>CY9330209905297</v>
      </c>
      <c r="C2350" s="10">
        <v>9330209905297</v>
      </c>
      <c r="D2350" s="10" t="str">
        <f t="shared" si="362"/>
        <v>9330209905</v>
      </c>
      <c r="E2350" s="3" t="s">
        <v>4</v>
      </c>
      <c r="F2350" s="3" t="s">
        <v>65</v>
      </c>
      <c r="H2350" s="3">
        <v>18.544499999999999</v>
      </c>
      <c r="I2350" s="10">
        <f t="shared" si="363"/>
        <v>91.696906203407522</v>
      </c>
      <c r="J2350" s="3">
        <v>6.0671076379164264</v>
      </c>
      <c r="K2350" s="3">
        <v>0</v>
      </c>
      <c r="L2350" s="3">
        <f t="shared" si="364"/>
        <v>0</v>
      </c>
      <c r="N2350" s="11">
        <f t="shared" si="365"/>
        <v>12.477392362083574</v>
      </c>
      <c r="O2350" s="3">
        <v>6.0671076379164264</v>
      </c>
      <c r="P2350" s="11">
        <f t="shared" si="366"/>
        <v>61.696906203407536</v>
      </c>
      <c r="Q2350" s="12">
        <f t="shared" si="367"/>
        <v>61.696906203407536</v>
      </c>
      <c r="R2350" s="13">
        <f t="shared" si="368"/>
        <v>74.369067441379258</v>
      </c>
      <c r="S2350" s="3" t="s">
        <v>30</v>
      </c>
      <c r="T2350" s="3" t="s">
        <v>35</v>
      </c>
      <c r="U2350" s="10">
        <v>9330209900999</v>
      </c>
      <c r="V2350" s="3">
        <v>0.1</v>
      </c>
      <c r="W2350" s="3">
        <f t="shared" si="369"/>
        <v>0</v>
      </c>
      <c r="AA2350" s="3">
        <v>48</v>
      </c>
    </row>
    <row r="2351" spans="1:27" x14ac:dyDescent="0.3">
      <c r="A2351" s="3" t="str">
        <f t="shared" si="360"/>
        <v>South9160309900320</v>
      </c>
      <c r="B2351" s="3" t="str">
        <f t="shared" si="361"/>
        <v>CY9160309900320</v>
      </c>
      <c r="C2351" s="10">
        <v>9160309900320</v>
      </c>
      <c r="D2351" s="10" t="str">
        <f t="shared" si="362"/>
        <v>9160309900</v>
      </c>
      <c r="E2351" s="3" t="s">
        <v>4</v>
      </c>
      <c r="F2351" s="3" t="s">
        <v>65</v>
      </c>
      <c r="H2351" s="3">
        <v>8.2399999999999967</v>
      </c>
      <c r="I2351" s="10">
        <f t="shared" si="363"/>
        <v>42.429882676441885</v>
      </c>
      <c r="J2351" s="3">
        <v>5.8260825721597245</v>
      </c>
      <c r="K2351" s="3">
        <v>0</v>
      </c>
      <c r="L2351" s="3">
        <f t="shared" si="364"/>
        <v>0</v>
      </c>
      <c r="N2351" s="11">
        <f t="shared" si="365"/>
        <v>2.4139174278402722</v>
      </c>
      <c r="O2351" s="3">
        <v>5.8260825721597245</v>
      </c>
      <c r="P2351" s="11">
        <f t="shared" si="366"/>
        <v>12.42988267644189</v>
      </c>
      <c r="Q2351" s="12">
        <f t="shared" si="367"/>
        <v>19.832986097236372</v>
      </c>
      <c r="R2351" s="13">
        <f t="shared" si="368"/>
        <v>41.189863366756896</v>
      </c>
      <c r="S2351" s="3" t="s">
        <v>30</v>
      </c>
      <c r="T2351" s="3" t="s">
        <v>34</v>
      </c>
      <c r="U2351" s="10">
        <v>0</v>
      </c>
      <c r="V2351" s="3">
        <v>0</v>
      </c>
      <c r="W2351" s="3">
        <f t="shared" si="369"/>
        <v>0</v>
      </c>
      <c r="AA2351" s="3">
        <v>48</v>
      </c>
    </row>
    <row r="2352" spans="1:27" x14ac:dyDescent="0.3">
      <c r="A2352" s="3" t="str">
        <f t="shared" si="360"/>
        <v>South9320039901840</v>
      </c>
      <c r="B2352" s="3" t="str">
        <f t="shared" si="361"/>
        <v>CY9320039901840</v>
      </c>
      <c r="C2352" s="10">
        <v>9320039901840</v>
      </c>
      <c r="D2352" s="10" t="str">
        <f t="shared" si="362"/>
        <v>9320039901</v>
      </c>
      <c r="E2352" s="3" t="s">
        <v>4</v>
      </c>
      <c r="F2352" s="3" t="s">
        <v>65</v>
      </c>
      <c r="H2352" s="3">
        <v>5.8680000000000003</v>
      </c>
      <c r="I2352" s="10">
        <f t="shared" si="363"/>
        <v>30.312789597885395</v>
      </c>
      <c r="J2352" s="3">
        <v>5.8074496717478112</v>
      </c>
      <c r="K2352" s="3">
        <v>0</v>
      </c>
      <c r="L2352" s="3">
        <f t="shared" si="364"/>
        <v>0</v>
      </c>
      <c r="N2352" s="11">
        <f t="shared" si="365"/>
        <v>6.055032825218909E-2</v>
      </c>
      <c r="O2352" s="3">
        <v>5.8074496717478112</v>
      </c>
      <c r="P2352" s="11">
        <f t="shared" si="366"/>
        <v>0.31278959788539595</v>
      </c>
      <c r="Q2352" s="12">
        <f t="shared" si="367"/>
        <v>-2.9524430051329733</v>
      </c>
      <c r="R2352" s="13">
        <f t="shared" si="368"/>
        <v>11.907427871935532</v>
      </c>
      <c r="S2352" s="3" t="s">
        <v>30</v>
      </c>
      <c r="T2352" s="3" t="s">
        <v>28</v>
      </c>
      <c r="U2352" s="10">
        <v>0</v>
      </c>
      <c r="V2352" s="3">
        <v>0</v>
      </c>
      <c r="W2352" s="3">
        <f t="shared" si="369"/>
        <v>0</v>
      </c>
      <c r="AA2352" s="3">
        <v>48</v>
      </c>
    </row>
    <row r="2353" spans="1:27" x14ac:dyDescent="0.3">
      <c r="A2353" s="3" t="str">
        <f t="shared" si="360"/>
        <v>South9320029997840</v>
      </c>
      <c r="B2353" s="3" t="str">
        <f t="shared" si="361"/>
        <v>CY9320029997840</v>
      </c>
      <c r="C2353" s="10">
        <v>9320029997840</v>
      </c>
      <c r="D2353" s="10" t="str">
        <f t="shared" si="362"/>
        <v>9320029997</v>
      </c>
      <c r="E2353" s="3" t="s">
        <v>4</v>
      </c>
      <c r="F2353" s="3" t="s">
        <v>65</v>
      </c>
      <c r="H2353" s="3">
        <v>44.291999999999973</v>
      </c>
      <c r="I2353" s="10">
        <f t="shared" si="363"/>
        <v>231.14587072920557</v>
      </c>
      <c r="J2353" s="3">
        <v>5.7485777089943433</v>
      </c>
      <c r="K2353" s="3">
        <v>0</v>
      </c>
      <c r="L2353" s="3">
        <f t="shared" si="364"/>
        <v>0</v>
      </c>
      <c r="N2353" s="11">
        <f t="shared" si="365"/>
        <v>38.543422291005626</v>
      </c>
      <c r="O2353" s="3">
        <v>5.7485777089943433</v>
      </c>
      <c r="P2353" s="11">
        <f t="shared" si="366"/>
        <v>201.14587072920557</v>
      </c>
      <c r="Q2353" s="12">
        <f t="shared" si="367"/>
        <v>201.14587072920554</v>
      </c>
      <c r="R2353" s="13">
        <f t="shared" si="368"/>
        <v>139.85257005555709</v>
      </c>
      <c r="S2353" s="3" t="s">
        <v>31</v>
      </c>
      <c r="T2353" s="3" t="s">
        <v>28</v>
      </c>
      <c r="U2353" s="10">
        <v>0</v>
      </c>
      <c r="V2353" s="3">
        <v>0</v>
      </c>
      <c r="W2353" s="3">
        <f t="shared" si="369"/>
        <v>0</v>
      </c>
      <c r="AA2353" s="3">
        <v>48</v>
      </c>
    </row>
    <row r="2354" spans="1:27" x14ac:dyDescent="0.3">
      <c r="A2354" s="3" t="str">
        <f t="shared" si="360"/>
        <v>South9360119922310</v>
      </c>
      <c r="B2354" s="3" t="str">
        <f t="shared" si="361"/>
        <v>CY9360119922310</v>
      </c>
      <c r="C2354" s="10">
        <v>9360119922310</v>
      </c>
      <c r="D2354" s="10" t="str">
        <f t="shared" si="362"/>
        <v>9360119922</v>
      </c>
      <c r="E2354" s="3" t="s">
        <v>4</v>
      </c>
      <c r="F2354" s="3" t="s">
        <v>65</v>
      </c>
      <c r="H2354" s="3">
        <v>3.0499999999999989</v>
      </c>
      <c r="I2354" s="10">
        <f t="shared" si="363"/>
        <v>15.932063285413474</v>
      </c>
      <c r="J2354" s="3">
        <v>5.7431356102992863</v>
      </c>
      <c r="K2354" s="3">
        <v>0</v>
      </c>
      <c r="L2354" s="3">
        <f t="shared" si="364"/>
        <v>0</v>
      </c>
      <c r="N2354" s="11">
        <f t="shared" si="365"/>
        <v>-2.6931356102992874</v>
      </c>
      <c r="O2354" s="3">
        <v>5.7431356102992863</v>
      </c>
      <c r="P2354" s="11">
        <f t="shared" si="366"/>
        <v>-14.067936714586525</v>
      </c>
      <c r="Q2354" s="12">
        <f t="shared" si="367"/>
        <v>19.044494463801296</v>
      </c>
      <c r="R2354" s="13">
        <f t="shared" si="368"/>
        <v>13.901872457836575</v>
      </c>
      <c r="S2354" s="3" t="s">
        <v>30</v>
      </c>
      <c r="T2354" s="3" t="s">
        <v>33</v>
      </c>
      <c r="U2354" s="10">
        <v>9360119922999</v>
      </c>
      <c r="V2354" s="3">
        <v>0.1</v>
      </c>
      <c r="W2354" s="3">
        <f t="shared" si="369"/>
        <v>0</v>
      </c>
      <c r="AA2354" s="3">
        <v>48</v>
      </c>
    </row>
    <row r="2355" spans="1:27" x14ac:dyDescent="0.3">
      <c r="A2355" s="3" t="str">
        <f t="shared" si="360"/>
        <v>South9320029902839</v>
      </c>
      <c r="B2355" s="3" t="str">
        <f t="shared" si="361"/>
        <v>CY9320029902839</v>
      </c>
      <c r="C2355" s="10">
        <v>9320029902839</v>
      </c>
      <c r="D2355" s="10" t="str">
        <f t="shared" si="362"/>
        <v>9320029902</v>
      </c>
      <c r="E2355" s="3" t="s">
        <v>4</v>
      </c>
      <c r="F2355" s="3" t="s">
        <v>65</v>
      </c>
      <c r="H2355" s="3">
        <v>5.5692000000000004</v>
      </c>
      <c r="I2355" s="10">
        <f t="shared" si="363"/>
        <v>30.759158842549876</v>
      </c>
      <c r="J2355" s="3">
        <v>5.4317480154522233</v>
      </c>
      <c r="K2355" s="3">
        <v>0</v>
      </c>
      <c r="L2355" s="3">
        <f t="shared" si="364"/>
        <v>0</v>
      </c>
      <c r="N2355" s="11">
        <f t="shared" si="365"/>
        <v>0.13745198454777707</v>
      </c>
      <c r="O2355" s="3">
        <v>5.4317480154522233</v>
      </c>
      <c r="P2355" s="11">
        <f t="shared" si="366"/>
        <v>0.75915884254987898</v>
      </c>
      <c r="Q2355" s="12">
        <f t="shared" si="367"/>
        <v>3.8296277518276853</v>
      </c>
      <c r="R2355" s="13">
        <f t="shared" si="368"/>
        <v>29.839396520491132</v>
      </c>
      <c r="S2355" s="3" t="s">
        <v>30</v>
      </c>
      <c r="T2355" s="3" t="s">
        <v>28</v>
      </c>
      <c r="U2355" s="10">
        <v>0</v>
      </c>
      <c r="V2355" s="3">
        <v>0</v>
      </c>
      <c r="W2355" s="3">
        <f t="shared" si="369"/>
        <v>0</v>
      </c>
      <c r="AA2355" s="3">
        <v>48</v>
      </c>
    </row>
    <row r="2356" spans="1:27" x14ac:dyDescent="0.3">
      <c r="A2356" s="3" t="str">
        <f t="shared" si="360"/>
        <v>South9320039902219</v>
      </c>
      <c r="B2356" s="3" t="str">
        <f t="shared" si="361"/>
        <v>CY9320039902219</v>
      </c>
      <c r="C2356" s="10">
        <v>9320039902219</v>
      </c>
      <c r="D2356" s="10" t="str">
        <f t="shared" si="362"/>
        <v>9320039902</v>
      </c>
      <c r="E2356" s="3" t="s">
        <v>4</v>
      </c>
      <c r="F2356" s="3" t="s">
        <v>65</v>
      </c>
      <c r="H2356" s="3">
        <v>27.962999999999997</v>
      </c>
      <c r="I2356" s="10">
        <f t="shared" si="363"/>
        <v>154.44525491254251</v>
      </c>
      <c r="J2356" s="3">
        <v>5.4316333672733226</v>
      </c>
      <c r="K2356" s="3">
        <v>0</v>
      </c>
      <c r="L2356" s="3">
        <f t="shared" si="364"/>
        <v>0</v>
      </c>
      <c r="N2356" s="11">
        <f t="shared" si="365"/>
        <v>22.531366632726673</v>
      </c>
      <c r="O2356" s="3">
        <v>5.4316333672733226</v>
      </c>
      <c r="P2356" s="11">
        <f t="shared" si="366"/>
        <v>124.44525491254248</v>
      </c>
      <c r="Q2356" s="12">
        <f t="shared" si="367"/>
        <v>88.352927753379888</v>
      </c>
      <c r="R2356" s="13">
        <f t="shared" si="368"/>
        <v>37.449963075784481</v>
      </c>
      <c r="S2356" s="3" t="s">
        <v>30</v>
      </c>
      <c r="T2356" s="3" t="s">
        <v>28</v>
      </c>
      <c r="U2356" s="10">
        <v>9320039900999</v>
      </c>
      <c r="V2356" s="3">
        <v>0.1</v>
      </c>
      <c r="W2356" s="3">
        <f t="shared" si="369"/>
        <v>0</v>
      </c>
      <c r="AA2356" s="3">
        <v>48</v>
      </c>
    </row>
    <row r="2357" spans="1:27" x14ac:dyDescent="0.3">
      <c r="A2357" s="3" t="str">
        <f t="shared" si="360"/>
        <v>South9310039901310</v>
      </c>
      <c r="B2357" s="3" t="str">
        <f t="shared" si="361"/>
        <v>CY9310039901310</v>
      </c>
      <c r="C2357" s="10">
        <v>9310039901310</v>
      </c>
      <c r="D2357" s="10" t="str">
        <f t="shared" si="362"/>
        <v>9310039901</v>
      </c>
      <c r="E2357" s="3" t="s">
        <v>4</v>
      </c>
      <c r="F2357" s="3" t="s">
        <v>65</v>
      </c>
      <c r="H2357" s="3">
        <v>9.7600000000000016</v>
      </c>
      <c r="I2357" s="10">
        <f t="shared" si="363"/>
        <v>54.530823178598354</v>
      </c>
      <c r="J2357" s="3">
        <v>5.3694403079342274</v>
      </c>
      <c r="K2357" s="3">
        <v>0</v>
      </c>
      <c r="L2357" s="3">
        <f t="shared" si="364"/>
        <v>0</v>
      </c>
      <c r="N2357" s="11">
        <f t="shared" si="365"/>
        <v>4.3905596920657741</v>
      </c>
      <c r="O2357" s="3">
        <v>5.3694403079342274</v>
      </c>
      <c r="P2357" s="11">
        <f t="shared" si="366"/>
        <v>24.530823178598354</v>
      </c>
      <c r="Q2357" s="12">
        <f t="shared" si="367"/>
        <v>25.444610175543183</v>
      </c>
      <c r="R2357" s="13">
        <f t="shared" si="368"/>
        <v>26.606476274762038</v>
      </c>
      <c r="S2357" s="3" t="s">
        <v>30</v>
      </c>
      <c r="T2357" s="3" t="s">
        <v>32</v>
      </c>
      <c r="U2357" s="10">
        <v>9310039900999</v>
      </c>
      <c r="V2357" s="3">
        <v>0.1</v>
      </c>
      <c r="W2357" s="3">
        <f t="shared" si="369"/>
        <v>0</v>
      </c>
      <c r="AA2357" s="3">
        <v>48</v>
      </c>
    </row>
    <row r="2358" spans="1:27" x14ac:dyDescent="0.3">
      <c r="A2358" s="3" t="str">
        <f t="shared" si="360"/>
        <v>South9431009905195</v>
      </c>
      <c r="B2358" s="3" t="str">
        <f t="shared" si="361"/>
        <v>CY9431009905195</v>
      </c>
      <c r="C2358" s="10">
        <v>9431009905195</v>
      </c>
      <c r="D2358" s="10" t="str">
        <f t="shared" si="362"/>
        <v>9431009905</v>
      </c>
      <c r="E2358" s="3" t="s">
        <v>4</v>
      </c>
      <c r="F2358" s="3" t="s">
        <v>65</v>
      </c>
      <c r="H2358" s="3">
        <v>8.0854500000000016</v>
      </c>
      <c r="I2358" s="10">
        <f t="shared" si="363"/>
        <v>46.588776413842957</v>
      </c>
      <c r="J2358" s="3">
        <v>5.2064792997638589</v>
      </c>
      <c r="K2358" s="3">
        <v>0</v>
      </c>
      <c r="L2358" s="3">
        <f t="shared" si="364"/>
        <v>0</v>
      </c>
      <c r="N2358" s="11">
        <f t="shared" si="365"/>
        <v>2.8789707002361427</v>
      </c>
      <c r="O2358" s="3">
        <v>5.2064792997638589</v>
      </c>
      <c r="P2358" s="11">
        <f t="shared" si="366"/>
        <v>16.588776413842954</v>
      </c>
      <c r="Q2358" s="12">
        <f t="shared" si="367"/>
        <v>16.588776413842954</v>
      </c>
      <c r="R2358" s="13">
        <f t="shared" si="368"/>
        <v>34.81959784078208</v>
      </c>
      <c r="S2358" s="3" t="s">
        <v>31</v>
      </c>
      <c r="T2358" s="3" t="s">
        <v>35</v>
      </c>
      <c r="U2358" s="10">
        <v>0</v>
      </c>
      <c r="V2358" s="3">
        <v>0</v>
      </c>
      <c r="W2358" s="3">
        <f t="shared" si="369"/>
        <v>0</v>
      </c>
      <c r="AA2358" s="3">
        <v>48</v>
      </c>
    </row>
    <row r="2359" spans="1:27" x14ac:dyDescent="0.3">
      <c r="A2359" s="3" t="str">
        <f t="shared" si="360"/>
        <v>South9320029901210</v>
      </c>
      <c r="B2359" s="3" t="str">
        <f t="shared" si="361"/>
        <v>CY9320029901210</v>
      </c>
      <c r="C2359" s="10">
        <v>9320029901210</v>
      </c>
      <c r="D2359" s="10" t="str">
        <f t="shared" si="362"/>
        <v>9320029901</v>
      </c>
      <c r="E2359" s="3" t="s">
        <v>4</v>
      </c>
      <c r="F2359" s="3" t="s">
        <v>65</v>
      </c>
      <c r="H2359" s="3">
        <v>19.570999999999998</v>
      </c>
      <c r="I2359" s="10">
        <f t="shared" si="363"/>
        <v>114.96385979757466</v>
      </c>
      <c r="J2359" s="3">
        <v>5.1070832262747876</v>
      </c>
      <c r="K2359" s="3">
        <v>0</v>
      </c>
      <c r="L2359" s="3">
        <f t="shared" si="364"/>
        <v>0</v>
      </c>
      <c r="N2359" s="11">
        <f t="shared" si="365"/>
        <v>14.463916773725209</v>
      </c>
      <c r="O2359" s="3">
        <v>5.1070832262747876</v>
      </c>
      <c r="P2359" s="11">
        <f t="shared" si="366"/>
        <v>84.963859797574656</v>
      </c>
      <c r="Q2359" s="12">
        <f t="shared" si="367"/>
        <v>40.917220555407773</v>
      </c>
      <c r="R2359" s="13">
        <f t="shared" si="368"/>
        <v>31.098176860777059</v>
      </c>
      <c r="S2359" s="3" t="s">
        <v>30</v>
      </c>
      <c r="T2359" s="3" t="s">
        <v>28</v>
      </c>
      <c r="U2359" s="10">
        <v>0</v>
      </c>
      <c r="V2359" s="3">
        <v>0</v>
      </c>
      <c r="W2359" s="3">
        <f t="shared" si="369"/>
        <v>0</v>
      </c>
      <c r="AA2359" s="3">
        <v>48</v>
      </c>
    </row>
    <row r="2360" spans="1:27" x14ac:dyDescent="0.3">
      <c r="A2360" s="3" t="str">
        <f t="shared" si="360"/>
        <v>South9330019900210</v>
      </c>
      <c r="B2360" s="3" t="str">
        <f t="shared" si="361"/>
        <v>CY9330019900210</v>
      </c>
      <c r="C2360" s="10">
        <v>9330019900210</v>
      </c>
      <c r="D2360" s="10" t="str">
        <f t="shared" si="362"/>
        <v>9330019900</v>
      </c>
      <c r="E2360" s="3" t="s">
        <v>4</v>
      </c>
      <c r="F2360" s="3" t="s">
        <v>65</v>
      </c>
      <c r="H2360" s="3">
        <v>4.4629999999999983</v>
      </c>
      <c r="I2360" s="10">
        <f t="shared" si="363"/>
        <v>26.455819842058826</v>
      </c>
      <c r="J2360" s="3">
        <v>5.0608902237512536</v>
      </c>
      <c r="K2360" s="3">
        <v>0</v>
      </c>
      <c r="L2360" s="3">
        <f t="shared" si="364"/>
        <v>0</v>
      </c>
      <c r="N2360" s="11">
        <f t="shared" si="365"/>
        <v>-0.59789022375125533</v>
      </c>
      <c r="O2360" s="3">
        <v>5.0608902237512536</v>
      </c>
      <c r="P2360" s="11">
        <f t="shared" si="366"/>
        <v>-3.5441801579411738</v>
      </c>
      <c r="Q2360" s="12">
        <f t="shared" si="367"/>
        <v>45.192664907333445</v>
      </c>
      <c r="R2360" s="13">
        <f t="shared" si="368"/>
        <v>31.282836342770231</v>
      </c>
      <c r="S2360" s="3" t="s">
        <v>30</v>
      </c>
      <c r="T2360" s="3" t="s">
        <v>35</v>
      </c>
      <c r="U2360" s="10">
        <v>0</v>
      </c>
      <c r="V2360" s="3">
        <v>0</v>
      </c>
      <c r="W2360" s="3">
        <f t="shared" si="369"/>
        <v>0</v>
      </c>
      <c r="AA2360" s="3">
        <v>48</v>
      </c>
    </row>
    <row r="2361" spans="1:27" x14ac:dyDescent="0.3">
      <c r="A2361" s="3" t="str">
        <f t="shared" si="360"/>
        <v>South9410019901210</v>
      </c>
      <c r="B2361" s="3" t="str">
        <f t="shared" si="361"/>
        <v>CY9410019901210</v>
      </c>
      <c r="C2361" s="10">
        <v>9410019901210</v>
      </c>
      <c r="D2361" s="10" t="str">
        <f t="shared" si="362"/>
        <v>9410019901</v>
      </c>
      <c r="E2361" s="3" t="s">
        <v>4</v>
      </c>
      <c r="F2361" s="3" t="s">
        <v>65</v>
      </c>
      <c r="H2361" s="3">
        <v>3.4339999999999993</v>
      </c>
      <c r="I2361" s="10">
        <f t="shared" si="363"/>
        <v>20.909664400692616</v>
      </c>
      <c r="J2361" s="3">
        <v>4.9269083437124666</v>
      </c>
      <c r="K2361" s="3">
        <v>0</v>
      </c>
      <c r="L2361" s="3">
        <f t="shared" si="364"/>
        <v>0</v>
      </c>
      <c r="N2361" s="11">
        <f t="shared" si="365"/>
        <v>-1.4929083437124673</v>
      </c>
      <c r="O2361" s="3">
        <v>4.9269083437124666</v>
      </c>
      <c r="P2361" s="11">
        <f t="shared" si="366"/>
        <v>-9.0903355993073856</v>
      </c>
      <c r="Q2361" s="12">
        <f t="shared" si="367"/>
        <v>11.478821645013801</v>
      </c>
      <c r="R2361" s="13">
        <f t="shared" si="368"/>
        <v>39.024678852944916</v>
      </c>
      <c r="S2361" s="3" t="s">
        <v>30</v>
      </c>
      <c r="T2361" s="3" t="s">
        <v>32</v>
      </c>
      <c r="U2361" s="10">
        <v>0</v>
      </c>
      <c r="V2361" s="3">
        <v>0</v>
      </c>
      <c r="W2361" s="3">
        <f t="shared" si="369"/>
        <v>0</v>
      </c>
      <c r="AA2361" s="3">
        <v>48</v>
      </c>
    </row>
    <row r="2362" spans="1:27" x14ac:dyDescent="0.3">
      <c r="A2362" s="3" t="str">
        <f t="shared" si="360"/>
        <v>South9320019900840</v>
      </c>
      <c r="B2362" s="3" t="str">
        <f t="shared" si="361"/>
        <v>CY9320019900840</v>
      </c>
      <c r="C2362" s="10">
        <v>9320019900840</v>
      </c>
      <c r="D2362" s="10" t="str">
        <f t="shared" si="362"/>
        <v>9320019900</v>
      </c>
      <c r="E2362" s="3" t="s">
        <v>4</v>
      </c>
      <c r="F2362" s="3" t="s">
        <v>65</v>
      </c>
      <c r="H2362" s="3">
        <v>7.1240000000000006</v>
      </c>
      <c r="I2362" s="10">
        <f t="shared" si="363"/>
        <v>44.070638281741552</v>
      </c>
      <c r="J2362" s="3">
        <v>4.8494872852464255</v>
      </c>
      <c r="K2362" s="3">
        <v>0</v>
      </c>
      <c r="L2362" s="3">
        <f t="shared" si="364"/>
        <v>0</v>
      </c>
      <c r="N2362" s="11">
        <f t="shared" si="365"/>
        <v>2.2745127147535751</v>
      </c>
      <c r="O2362" s="3">
        <v>4.8494872852464255</v>
      </c>
      <c r="P2362" s="11">
        <f t="shared" si="366"/>
        <v>14.070638281741548</v>
      </c>
      <c r="Q2362" s="12">
        <f t="shared" si="367"/>
        <v>24.276608575949112</v>
      </c>
      <c r="R2362" s="13">
        <f t="shared" si="368"/>
        <v>30.390251247234943</v>
      </c>
      <c r="S2362" s="3" t="s">
        <v>30</v>
      </c>
      <c r="T2362" s="3" t="s">
        <v>28</v>
      </c>
      <c r="U2362" s="10">
        <v>0</v>
      </c>
      <c r="V2362" s="3">
        <v>0</v>
      </c>
      <c r="W2362" s="3">
        <f t="shared" si="369"/>
        <v>0</v>
      </c>
      <c r="AA2362" s="3">
        <v>48</v>
      </c>
    </row>
    <row r="2363" spans="1:27" x14ac:dyDescent="0.3">
      <c r="A2363" s="3" t="str">
        <f t="shared" si="360"/>
        <v>South9420019901310</v>
      </c>
      <c r="B2363" s="3" t="str">
        <f t="shared" si="361"/>
        <v>CY9420019901310</v>
      </c>
      <c r="C2363" s="10">
        <v>9420019901310</v>
      </c>
      <c r="D2363" s="10" t="str">
        <f t="shared" si="362"/>
        <v>9420019901</v>
      </c>
      <c r="E2363" s="3" t="s">
        <v>4</v>
      </c>
      <c r="F2363" s="3" t="s">
        <v>65</v>
      </c>
      <c r="H2363" s="3">
        <v>2.8899999999999997</v>
      </c>
      <c r="I2363" s="10">
        <f t="shared" si="363"/>
        <v>18.060215263976044</v>
      </c>
      <c r="J2363" s="3">
        <v>4.8006072315725303</v>
      </c>
      <c r="K2363" s="3">
        <v>0</v>
      </c>
      <c r="L2363" s="3">
        <f t="shared" si="364"/>
        <v>0</v>
      </c>
      <c r="N2363" s="11">
        <f t="shared" si="365"/>
        <v>-1.9106072315725307</v>
      </c>
      <c r="O2363" s="3">
        <v>4.8006072315725303</v>
      </c>
      <c r="P2363" s="11">
        <f t="shared" si="366"/>
        <v>-11.939784736023956</v>
      </c>
      <c r="Q2363" s="12">
        <f t="shared" si="367"/>
        <v>4.331069593542928</v>
      </c>
      <c r="R2363" s="13">
        <f t="shared" si="368"/>
        <v>38.280373310321046</v>
      </c>
      <c r="S2363" s="3" t="s">
        <v>30</v>
      </c>
      <c r="T2363" s="3" t="s">
        <v>28</v>
      </c>
      <c r="U2363" s="10">
        <v>9420019900999</v>
      </c>
      <c r="V2363" s="3">
        <v>0.1</v>
      </c>
      <c r="W2363" s="3">
        <f t="shared" si="369"/>
        <v>0</v>
      </c>
      <c r="AA2363" s="3">
        <v>48</v>
      </c>
    </row>
    <row r="2364" spans="1:27" x14ac:dyDescent="0.3">
      <c r="A2364" s="3" t="str">
        <f t="shared" si="360"/>
        <v>South9431009905838</v>
      </c>
      <c r="B2364" s="3" t="str">
        <f t="shared" si="361"/>
        <v>CY9431009905838</v>
      </c>
      <c r="C2364" s="10">
        <v>9431009905838</v>
      </c>
      <c r="D2364" s="10" t="str">
        <f t="shared" si="362"/>
        <v>9431009905</v>
      </c>
      <c r="E2364" s="3" t="s">
        <v>4</v>
      </c>
      <c r="F2364" s="3" t="s">
        <v>65</v>
      </c>
      <c r="H2364" s="3">
        <v>13.421600000000005</v>
      </c>
      <c r="I2364" s="10">
        <f t="shared" si="363"/>
        <v>86.61525727527571</v>
      </c>
      <c r="J2364" s="3">
        <v>4.6486959996011681</v>
      </c>
      <c r="K2364" s="3">
        <v>0</v>
      </c>
      <c r="L2364" s="3">
        <f t="shared" si="364"/>
        <v>0</v>
      </c>
      <c r="N2364" s="11">
        <f t="shared" si="365"/>
        <v>8.772904000398837</v>
      </c>
      <c r="O2364" s="3">
        <v>4.6486959996011681</v>
      </c>
      <c r="P2364" s="11">
        <f t="shared" si="366"/>
        <v>56.61525727527571</v>
      </c>
      <c r="Q2364" s="12">
        <f t="shared" si="367"/>
        <v>56.615257275275717</v>
      </c>
      <c r="R2364" s="13">
        <f t="shared" si="368"/>
        <v>39.554596088203759</v>
      </c>
      <c r="S2364" s="3" t="s">
        <v>31</v>
      </c>
      <c r="T2364" s="3" t="s">
        <v>35</v>
      </c>
      <c r="U2364" s="10">
        <v>0</v>
      </c>
      <c r="V2364" s="3">
        <v>0</v>
      </c>
      <c r="W2364" s="3">
        <f t="shared" si="369"/>
        <v>0</v>
      </c>
      <c r="AA2364" s="3">
        <v>48</v>
      </c>
    </row>
    <row r="2365" spans="1:27" x14ac:dyDescent="0.3">
      <c r="A2365" s="3" t="str">
        <f t="shared" si="360"/>
        <v>South9432019900320</v>
      </c>
      <c r="B2365" s="3" t="str">
        <f t="shared" si="361"/>
        <v>CY9432019900320</v>
      </c>
      <c r="C2365" s="10">
        <v>9432019900320</v>
      </c>
      <c r="D2365" s="10" t="str">
        <f t="shared" si="362"/>
        <v>9432019900</v>
      </c>
      <c r="E2365" s="3" t="s">
        <v>4</v>
      </c>
      <c r="F2365" s="3" t="s">
        <v>65</v>
      </c>
      <c r="H2365" s="3">
        <v>8.5520000000000014</v>
      </c>
      <c r="I2365" s="10">
        <f t="shared" si="363"/>
        <v>55.685869451951042</v>
      </c>
      <c r="J2365" s="3">
        <v>4.6072729495832814</v>
      </c>
      <c r="K2365" s="3">
        <v>0</v>
      </c>
      <c r="L2365" s="3">
        <f t="shared" si="364"/>
        <v>0</v>
      </c>
      <c r="N2365" s="11">
        <f t="shared" si="365"/>
        <v>3.94472705041672</v>
      </c>
      <c r="O2365" s="3">
        <v>4.6072729495832814</v>
      </c>
      <c r="P2365" s="11">
        <f t="shared" si="366"/>
        <v>25.685869451951049</v>
      </c>
      <c r="Q2365" s="12">
        <f t="shared" si="367"/>
        <v>30.00519582231772</v>
      </c>
      <c r="R2365" s="13">
        <f t="shared" si="368"/>
        <v>27.973265276899198</v>
      </c>
      <c r="S2365" s="3" t="s">
        <v>29</v>
      </c>
      <c r="T2365" s="3" t="s">
        <v>35</v>
      </c>
      <c r="U2365" s="10">
        <v>9432019900999</v>
      </c>
      <c r="V2365" s="3">
        <v>0.1</v>
      </c>
      <c r="W2365" s="3">
        <f t="shared" si="369"/>
        <v>0</v>
      </c>
      <c r="AA2365" s="3">
        <v>48</v>
      </c>
    </row>
    <row r="2366" spans="1:27" x14ac:dyDescent="0.3">
      <c r="A2366" s="3" t="str">
        <f t="shared" si="360"/>
        <v>South9310019901840</v>
      </c>
      <c r="B2366" s="3" t="str">
        <f t="shared" si="361"/>
        <v>CY9310019901840</v>
      </c>
      <c r="C2366" s="10">
        <v>9310019901840</v>
      </c>
      <c r="D2366" s="10" t="str">
        <f t="shared" si="362"/>
        <v>9310019901</v>
      </c>
      <c r="E2366" s="3" t="s">
        <v>4</v>
      </c>
      <c r="F2366" s="3" t="s">
        <v>65</v>
      </c>
      <c r="H2366" s="3">
        <v>14.608000000000001</v>
      </c>
      <c r="I2366" s="10">
        <f t="shared" si="363"/>
        <v>97.386180066441526</v>
      </c>
      <c r="J2366" s="3">
        <v>4.5000224847202306</v>
      </c>
      <c r="K2366" s="3">
        <v>0</v>
      </c>
      <c r="L2366" s="3">
        <f t="shared" si="364"/>
        <v>0</v>
      </c>
      <c r="N2366" s="11">
        <f t="shared" si="365"/>
        <v>10.107977515279771</v>
      </c>
      <c r="O2366" s="3">
        <v>4.5000224847202306</v>
      </c>
      <c r="P2366" s="11">
        <f t="shared" si="366"/>
        <v>67.38618006644154</v>
      </c>
      <c r="Q2366" s="12">
        <f t="shared" si="367"/>
        <v>36.943421508203841</v>
      </c>
      <c r="R2366" s="13">
        <f t="shared" si="368"/>
        <v>45.841224370308467</v>
      </c>
      <c r="S2366" s="3" t="s">
        <v>30</v>
      </c>
      <c r="T2366" s="3" t="s">
        <v>32</v>
      </c>
      <c r="U2366" s="10">
        <v>0</v>
      </c>
      <c r="V2366" s="3">
        <v>0</v>
      </c>
      <c r="W2366" s="3">
        <f t="shared" si="369"/>
        <v>0</v>
      </c>
      <c r="AA2366" s="3">
        <v>48</v>
      </c>
    </row>
    <row r="2367" spans="1:27" x14ac:dyDescent="0.3">
      <c r="A2367" s="3" t="str">
        <f t="shared" si="360"/>
        <v>South9432019901210</v>
      </c>
      <c r="B2367" s="3" t="str">
        <f t="shared" si="361"/>
        <v>CY9432019901210</v>
      </c>
      <c r="C2367" s="10">
        <v>9432019901210</v>
      </c>
      <c r="D2367" s="10" t="str">
        <f t="shared" si="362"/>
        <v>9432019901</v>
      </c>
      <c r="E2367" s="3" t="s">
        <v>4</v>
      </c>
      <c r="F2367" s="3" t="s">
        <v>65</v>
      </c>
      <c r="H2367" s="3">
        <v>4.4740000000000002</v>
      </c>
      <c r="I2367" s="10">
        <f t="shared" si="363"/>
        <v>30.150511700233928</v>
      </c>
      <c r="J2367" s="3">
        <v>4.4516657406832216</v>
      </c>
      <c r="K2367" s="3">
        <v>12</v>
      </c>
      <c r="L2367" s="3">
        <f t="shared" si="364"/>
        <v>0</v>
      </c>
      <c r="N2367" s="11">
        <f t="shared" si="365"/>
        <v>2.2334259316778571E-2</v>
      </c>
      <c r="O2367" s="3">
        <v>4.4516657406832216</v>
      </c>
      <c r="P2367" s="11">
        <f t="shared" si="366"/>
        <v>0.15051170023392735</v>
      </c>
      <c r="Q2367" s="12">
        <f t="shared" si="367"/>
        <v>30.706278515346867</v>
      </c>
      <c r="R2367" s="13">
        <f t="shared" si="368"/>
        <v>24.563491916296034</v>
      </c>
      <c r="S2367" s="3" t="s">
        <v>30</v>
      </c>
      <c r="T2367" s="3" t="s">
        <v>35</v>
      </c>
      <c r="U2367" s="10">
        <v>0</v>
      </c>
      <c r="V2367" s="3">
        <v>0</v>
      </c>
      <c r="W2367" s="3">
        <f t="shared" si="369"/>
        <v>0</v>
      </c>
      <c r="AA2367" s="3">
        <v>48</v>
      </c>
    </row>
    <row r="2368" spans="1:27" x14ac:dyDescent="0.3">
      <c r="A2368" s="3" t="str">
        <f t="shared" si="360"/>
        <v>South9437009900840</v>
      </c>
      <c r="B2368" s="3" t="str">
        <f t="shared" si="361"/>
        <v>CY9437009900840</v>
      </c>
      <c r="C2368" s="10">
        <v>9437009900840</v>
      </c>
      <c r="D2368" s="10" t="str">
        <f t="shared" si="362"/>
        <v>9437009900</v>
      </c>
      <c r="E2368" s="3" t="s">
        <v>4</v>
      </c>
      <c r="F2368" s="3" t="s">
        <v>65</v>
      </c>
      <c r="H2368" s="3">
        <v>5.080000000000001</v>
      </c>
      <c r="I2368" s="10">
        <f t="shared" si="363"/>
        <v>34.873893820528025</v>
      </c>
      <c r="J2368" s="3">
        <v>4.370031083546281</v>
      </c>
      <c r="K2368" s="3">
        <v>12</v>
      </c>
      <c r="L2368" s="3">
        <f t="shared" si="364"/>
        <v>0</v>
      </c>
      <c r="N2368" s="11">
        <f t="shared" si="365"/>
        <v>0.70996891645371996</v>
      </c>
      <c r="O2368" s="3">
        <v>4.370031083546281</v>
      </c>
      <c r="P2368" s="11">
        <f t="shared" si="366"/>
        <v>4.8738938205280231</v>
      </c>
      <c r="Q2368" s="12">
        <f t="shared" si="367"/>
        <v>25.430967017625093</v>
      </c>
      <c r="R2368" s="13">
        <f t="shared" si="368"/>
        <v>20.229042425225856</v>
      </c>
      <c r="S2368" s="3" t="s">
        <v>30</v>
      </c>
      <c r="T2368" s="3" t="s">
        <v>35</v>
      </c>
      <c r="U2368" s="10">
        <v>0</v>
      </c>
      <c r="V2368" s="3">
        <v>0</v>
      </c>
      <c r="W2368" s="3">
        <f t="shared" si="369"/>
        <v>0</v>
      </c>
      <c r="AA2368" s="3">
        <v>48</v>
      </c>
    </row>
    <row r="2369" spans="1:27" x14ac:dyDescent="0.3">
      <c r="A2369" s="3" t="str">
        <f t="shared" si="360"/>
        <v>South9420039901840</v>
      </c>
      <c r="B2369" s="3" t="str">
        <f t="shared" si="361"/>
        <v>CY9420039901840</v>
      </c>
      <c r="C2369" s="10">
        <v>9420039901840</v>
      </c>
      <c r="D2369" s="10" t="str">
        <f t="shared" si="362"/>
        <v>9420039901</v>
      </c>
      <c r="E2369" s="3" t="s">
        <v>4</v>
      </c>
      <c r="F2369" s="3" t="s">
        <v>65</v>
      </c>
      <c r="H2369" s="3">
        <v>5.2640000000000002</v>
      </c>
      <c r="I2369" s="10">
        <f t="shared" si="363"/>
        <v>36.316430284555786</v>
      </c>
      <c r="J2369" s="3">
        <v>4.3484450085711845</v>
      </c>
      <c r="K2369" s="3">
        <v>0</v>
      </c>
      <c r="L2369" s="3">
        <f t="shared" si="364"/>
        <v>0</v>
      </c>
      <c r="N2369" s="11">
        <f t="shared" si="365"/>
        <v>0.91555499142881569</v>
      </c>
      <c r="O2369" s="3">
        <v>4.3484450085711845</v>
      </c>
      <c r="P2369" s="11">
        <f t="shared" si="366"/>
        <v>6.3164302845557856</v>
      </c>
      <c r="Q2369" s="12">
        <f t="shared" si="367"/>
        <v>2.7933321281896744</v>
      </c>
      <c r="R2369" s="13">
        <f t="shared" si="368"/>
        <v>8.7861449633385647</v>
      </c>
      <c r="S2369" s="3" t="s">
        <v>30</v>
      </c>
      <c r="T2369" s="3" t="s">
        <v>28</v>
      </c>
      <c r="U2369" s="10">
        <v>0</v>
      </c>
      <c r="V2369" s="3">
        <v>0</v>
      </c>
      <c r="W2369" s="3">
        <f t="shared" si="369"/>
        <v>0</v>
      </c>
      <c r="AA2369" s="3">
        <v>48</v>
      </c>
    </row>
    <row r="2370" spans="1:27" x14ac:dyDescent="0.3">
      <c r="A2370" s="3" t="str">
        <f t="shared" si="360"/>
        <v>South9310019900320</v>
      </c>
      <c r="B2370" s="3" t="str">
        <f t="shared" si="361"/>
        <v>CY9310019900320</v>
      </c>
      <c r="C2370" s="10">
        <v>9310019900320</v>
      </c>
      <c r="D2370" s="10" t="str">
        <f t="shared" si="362"/>
        <v>9310019900</v>
      </c>
      <c r="E2370" s="3" t="s">
        <v>4</v>
      </c>
      <c r="F2370" s="3" t="s">
        <v>65</v>
      </c>
      <c r="H2370" s="3">
        <v>6.8800000000000008</v>
      </c>
      <c r="I2370" s="10">
        <f t="shared" si="363"/>
        <v>47.786548077117033</v>
      </c>
      <c r="J2370" s="3">
        <v>4.3192071473109044</v>
      </c>
      <c r="K2370" s="3">
        <v>0</v>
      </c>
      <c r="L2370" s="3">
        <f t="shared" si="364"/>
        <v>0</v>
      </c>
      <c r="N2370" s="11">
        <f t="shared" si="365"/>
        <v>2.5607928526890964</v>
      </c>
      <c r="O2370" s="3">
        <v>4.3192071473109044</v>
      </c>
      <c r="P2370" s="11">
        <f t="shared" si="366"/>
        <v>17.786548077117025</v>
      </c>
      <c r="Q2370" s="12">
        <f t="shared" si="367"/>
        <v>70.092413586710762</v>
      </c>
      <c r="R2370" s="13">
        <f t="shared" si="368"/>
        <v>58.026355506911308</v>
      </c>
      <c r="S2370" s="3" t="s">
        <v>29</v>
      </c>
      <c r="T2370" s="3" t="s">
        <v>32</v>
      </c>
      <c r="U2370" s="10">
        <v>9310019900999</v>
      </c>
      <c r="V2370" s="3">
        <v>0.1</v>
      </c>
      <c r="W2370" s="3">
        <f t="shared" si="369"/>
        <v>0</v>
      </c>
      <c r="AA2370" s="3">
        <v>48</v>
      </c>
    </row>
    <row r="2371" spans="1:27" x14ac:dyDescent="0.3">
      <c r="A2371" s="3" t="str">
        <f t="shared" si="360"/>
        <v>South9320089905839</v>
      </c>
      <c r="B2371" s="3" t="str">
        <f t="shared" si="361"/>
        <v>CY9320089905839</v>
      </c>
      <c r="C2371" s="10">
        <v>9320089905839</v>
      </c>
      <c r="D2371" s="10" t="str">
        <f t="shared" si="362"/>
        <v>9320089905</v>
      </c>
      <c r="E2371" s="3" t="s">
        <v>4</v>
      </c>
      <c r="F2371" s="3" t="s">
        <v>65</v>
      </c>
      <c r="H2371" s="3">
        <v>0</v>
      </c>
      <c r="I2371" s="10">
        <f t="shared" si="363"/>
        <v>0</v>
      </c>
      <c r="J2371" s="3">
        <v>4.2157467013581655</v>
      </c>
      <c r="K2371" s="3">
        <v>24</v>
      </c>
      <c r="L2371" s="3">
        <f t="shared" si="364"/>
        <v>0</v>
      </c>
      <c r="N2371" s="11">
        <f t="shared" si="365"/>
        <v>-4.2157467013581655</v>
      </c>
      <c r="O2371" s="3">
        <v>4.2157467013581655</v>
      </c>
      <c r="P2371" s="11">
        <f t="shared" si="366"/>
        <v>-30</v>
      </c>
      <c r="Q2371" s="12">
        <f t="shared" si="367"/>
        <v>-30</v>
      </c>
      <c r="R2371" s="13">
        <f t="shared" si="368"/>
        <v>-30.000000000000004</v>
      </c>
      <c r="S2371" s="3" t="s">
        <v>31</v>
      </c>
      <c r="T2371" s="3" t="s">
        <v>28</v>
      </c>
      <c r="U2371" s="10">
        <v>0</v>
      </c>
      <c r="V2371" s="3">
        <v>0</v>
      </c>
      <c r="W2371" s="3">
        <f t="shared" si="369"/>
        <v>0</v>
      </c>
      <c r="AA2371" s="3">
        <v>48</v>
      </c>
    </row>
    <row r="2372" spans="1:27" x14ac:dyDescent="0.3">
      <c r="A2372" s="3" t="str">
        <f t="shared" ref="A2372:A2435" si="370">_xlfn.CONCAT(F2372,C2372)</f>
        <v>South9310049901310</v>
      </c>
      <c r="B2372" s="3" t="str">
        <f t="shared" ref="B2372:B2435" si="371">_xlfn.CONCAT(E2372,C2372)</f>
        <v>CY9310049901310</v>
      </c>
      <c r="C2372" s="10">
        <v>9310049901310</v>
      </c>
      <c r="D2372" s="10" t="str">
        <f t="shared" ref="D2372:D2435" si="372">LEFT(C2372,10)</f>
        <v>9310049901</v>
      </c>
      <c r="E2372" s="3" t="s">
        <v>4</v>
      </c>
      <c r="F2372" s="3" t="s">
        <v>65</v>
      </c>
      <c r="H2372" s="3">
        <v>8.5277999999999992</v>
      </c>
      <c r="I2372" s="10">
        <f t="shared" ref="I2372:I2435" si="373">IFERROR(H2372/J2372*30,0)</f>
        <v>60.755550456698103</v>
      </c>
      <c r="J2372" s="3">
        <v>4.210874530423995</v>
      </c>
      <c r="K2372" s="3">
        <v>12</v>
      </c>
      <c r="L2372" s="3">
        <f t="shared" ref="L2372:L2435" si="374">M2372*G2372</f>
        <v>0</v>
      </c>
      <c r="N2372" s="11">
        <f t="shared" ref="N2372:N2435" si="375">H2372-J2372+L2372</f>
        <v>4.3169254695760042</v>
      </c>
      <c r="O2372" s="3">
        <v>4.210874530423995</v>
      </c>
      <c r="P2372" s="11">
        <f t="shared" ref="P2372:P2435" si="376">IF(O2372=0,9999,N2372/O2372*30)</f>
        <v>30.755550456698106</v>
      </c>
      <c r="Q2372" s="12">
        <f t="shared" ref="Q2372:Q2435" si="377">IF(SUMIF($A:$A,$A2372,$O:$O)=0,9999,SUMIF($A:$A,$A2372,$N:$N)*30/SUMIF($A:$A,$A2372,$O:$O))</f>
        <v>30.755550456698106</v>
      </c>
      <c r="R2372" s="13">
        <f t="shared" ref="R2372:R2435" si="378">IF(SUMIF($C:$C,$C2372,$O:$O)=0,9999,SUMIF($C:$C,$C2372,$N:$N)*30/SUMIF($C:$C,$C2372,$O:$O))</f>
        <v>35.993952980959477</v>
      </c>
      <c r="S2372" s="3" t="s">
        <v>31</v>
      </c>
      <c r="T2372" s="3" t="s">
        <v>32</v>
      </c>
      <c r="U2372" s="10">
        <v>9310049900999</v>
      </c>
      <c r="V2372" s="3">
        <v>0.1</v>
      </c>
      <c r="W2372" s="3">
        <f t="shared" ref="W2372:W2435" si="379">IFERROR(K2372*V2372,0)</f>
        <v>1.2000000000000002</v>
      </c>
      <c r="AA2372" s="3">
        <v>48</v>
      </c>
    </row>
    <row r="2373" spans="1:27" x14ac:dyDescent="0.3">
      <c r="A2373" s="3" t="str">
        <f t="shared" si="370"/>
        <v>South9420139901310</v>
      </c>
      <c r="B2373" s="3" t="str">
        <f t="shared" si="371"/>
        <v>CY9420139901310</v>
      </c>
      <c r="C2373" s="10">
        <v>9420139901310</v>
      </c>
      <c r="D2373" s="10" t="str">
        <f t="shared" si="372"/>
        <v>9420139901</v>
      </c>
      <c r="E2373" s="3" t="s">
        <v>4</v>
      </c>
      <c r="F2373" s="3" t="s">
        <v>65</v>
      </c>
      <c r="H2373" s="3">
        <v>1.66</v>
      </c>
      <c r="I2373" s="10">
        <f t="shared" si="373"/>
        <v>11.845576018044975</v>
      </c>
      <c r="J2373" s="3">
        <v>4.2041011702712554</v>
      </c>
      <c r="K2373" s="3">
        <v>0</v>
      </c>
      <c r="L2373" s="3">
        <f t="shared" si="374"/>
        <v>0</v>
      </c>
      <c r="N2373" s="11">
        <f t="shared" si="375"/>
        <v>-2.5441011702712553</v>
      </c>
      <c r="O2373" s="3">
        <v>4.2041011702712554</v>
      </c>
      <c r="P2373" s="11">
        <f t="shared" si="376"/>
        <v>-18.154423981955023</v>
      </c>
      <c r="Q2373" s="12">
        <f t="shared" si="377"/>
        <v>-14.176734874405097</v>
      </c>
      <c r="R2373" s="13">
        <f t="shared" si="378"/>
        <v>7.9243561134415827</v>
      </c>
      <c r="S2373" s="3" t="s">
        <v>31</v>
      </c>
      <c r="T2373" s="3" t="s">
        <v>28</v>
      </c>
      <c r="U2373" s="10">
        <v>9420139900999</v>
      </c>
      <c r="V2373" s="3">
        <v>0.1</v>
      </c>
      <c r="W2373" s="3">
        <f t="shared" si="379"/>
        <v>0</v>
      </c>
      <c r="AA2373" s="3">
        <v>48</v>
      </c>
    </row>
    <row r="2374" spans="1:27" x14ac:dyDescent="0.3">
      <c r="A2374" s="3" t="str">
        <f t="shared" si="370"/>
        <v>South9360039900210</v>
      </c>
      <c r="B2374" s="3" t="str">
        <f t="shared" si="371"/>
        <v>CY9360039900210</v>
      </c>
      <c r="C2374" s="10">
        <v>9360039900210</v>
      </c>
      <c r="D2374" s="10" t="str">
        <f t="shared" si="372"/>
        <v>9360039900</v>
      </c>
      <c r="E2374" s="3" t="s">
        <v>4</v>
      </c>
      <c r="F2374" s="3" t="s">
        <v>65</v>
      </c>
      <c r="H2374" s="3">
        <v>1.3630000000000002</v>
      </c>
      <c r="I2374" s="10">
        <f t="shared" si="373"/>
        <v>9.8949039455111887</v>
      </c>
      <c r="J2374" s="3">
        <v>4.1324302110633129</v>
      </c>
      <c r="K2374" s="3">
        <v>0</v>
      </c>
      <c r="L2374" s="3">
        <f t="shared" si="374"/>
        <v>0</v>
      </c>
      <c r="N2374" s="11">
        <f t="shared" si="375"/>
        <v>-2.7694302110633124</v>
      </c>
      <c r="O2374" s="3">
        <v>4.1324302110633129</v>
      </c>
      <c r="P2374" s="11">
        <f t="shared" si="376"/>
        <v>-20.105096054488811</v>
      </c>
      <c r="Q2374" s="12">
        <f t="shared" si="377"/>
        <v>22.045668820633136</v>
      </c>
      <c r="R2374" s="13">
        <f t="shared" si="378"/>
        <v>-6.5668161431774514</v>
      </c>
      <c r="S2374" s="3" t="s">
        <v>30</v>
      </c>
      <c r="T2374" s="3" t="s">
        <v>33</v>
      </c>
      <c r="U2374" s="10">
        <v>0</v>
      </c>
      <c r="V2374" s="3">
        <v>0</v>
      </c>
      <c r="W2374" s="3">
        <f t="shared" si="379"/>
        <v>0</v>
      </c>
      <c r="AA2374" s="3">
        <v>48</v>
      </c>
    </row>
    <row r="2375" spans="1:27" x14ac:dyDescent="0.3">
      <c r="A2375" s="3" t="str">
        <f t="shared" si="370"/>
        <v>South9360029900840</v>
      </c>
      <c r="B2375" s="3" t="str">
        <f t="shared" si="371"/>
        <v>CY9360029900840</v>
      </c>
      <c r="C2375" s="10">
        <v>9360029900840</v>
      </c>
      <c r="D2375" s="10" t="str">
        <f t="shared" si="372"/>
        <v>9360029900</v>
      </c>
      <c r="E2375" s="3" t="s">
        <v>4</v>
      </c>
      <c r="F2375" s="3" t="s">
        <v>65</v>
      </c>
      <c r="H2375" s="3">
        <v>5.6840000000000011</v>
      </c>
      <c r="I2375" s="10">
        <f t="shared" si="373"/>
        <v>41.526611428086902</v>
      </c>
      <c r="J2375" s="3">
        <v>4.1062825531838909</v>
      </c>
      <c r="K2375" s="3">
        <v>0</v>
      </c>
      <c r="L2375" s="3">
        <f t="shared" si="374"/>
        <v>0</v>
      </c>
      <c r="N2375" s="11">
        <f t="shared" si="375"/>
        <v>1.5777174468161101</v>
      </c>
      <c r="O2375" s="3">
        <v>4.1062825531838909</v>
      </c>
      <c r="P2375" s="11">
        <f t="shared" si="376"/>
        <v>11.526611428086904</v>
      </c>
      <c r="Q2375" s="12">
        <f t="shared" si="377"/>
        <v>-3.5958657648513799</v>
      </c>
      <c r="R2375" s="13">
        <f t="shared" si="378"/>
        <v>-5.4655961298356379</v>
      </c>
      <c r="S2375" s="3" t="s">
        <v>30</v>
      </c>
      <c r="T2375" s="3" t="s">
        <v>33</v>
      </c>
      <c r="U2375" s="10">
        <v>0</v>
      </c>
      <c r="V2375" s="3">
        <v>0</v>
      </c>
      <c r="W2375" s="3">
        <f t="shared" si="379"/>
        <v>0</v>
      </c>
      <c r="AA2375" s="3">
        <v>48</v>
      </c>
    </row>
    <row r="2376" spans="1:27" x14ac:dyDescent="0.3">
      <c r="A2376" s="3" t="str">
        <f t="shared" si="370"/>
        <v>South9420059901310</v>
      </c>
      <c r="B2376" s="3" t="str">
        <f t="shared" si="371"/>
        <v>CY9420059901310</v>
      </c>
      <c r="C2376" s="10">
        <v>9420059901310</v>
      </c>
      <c r="D2376" s="10" t="str">
        <f t="shared" si="372"/>
        <v>9420059901</v>
      </c>
      <c r="E2376" s="3" t="s">
        <v>4</v>
      </c>
      <c r="F2376" s="3" t="s">
        <v>65</v>
      </c>
      <c r="H2376" s="3">
        <v>5.7299999999999986</v>
      </c>
      <c r="I2376" s="10">
        <f t="shared" si="373"/>
        <v>41.984278853244291</v>
      </c>
      <c r="J2376" s="3">
        <v>4.094389726232408</v>
      </c>
      <c r="K2376" s="3">
        <v>0</v>
      </c>
      <c r="L2376" s="3">
        <f t="shared" si="374"/>
        <v>0</v>
      </c>
      <c r="N2376" s="11">
        <f t="shared" si="375"/>
        <v>1.6356102737675906</v>
      </c>
      <c r="O2376" s="3">
        <v>4.094389726232408</v>
      </c>
      <c r="P2376" s="11">
        <f t="shared" si="376"/>
        <v>11.984278853244287</v>
      </c>
      <c r="Q2376" s="12">
        <f t="shared" si="377"/>
        <v>36.704227587291037</v>
      </c>
      <c r="R2376" s="13">
        <f t="shared" si="378"/>
        <v>11.425874448246407</v>
      </c>
      <c r="S2376" s="3" t="s">
        <v>30</v>
      </c>
      <c r="T2376" s="3" t="s">
        <v>28</v>
      </c>
      <c r="U2376" s="10">
        <v>9420059900999</v>
      </c>
      <c r="V2376" s="3">
        <v>0.1</v>
      </c>
      <c r="W2376" s="3">
        <f t="shared" si="379"/>
        <v>0</v>
      </c>
      <c r="AA2376" s="3">
        <v>48</v>
      </c>
    </row>
    <row r="2377" spans="1:27" x14ac:dyDescent="0.3">
      <c r="A2377" s="3" t="str">
        <f t="shared" si="370"/>
        <v>South9320089901310</v>
      </c>
      <c r="B2377" s="3" t="str">
        <f t="shared" si="371"/>
        <v>CY9320089901310</v>
      </c>
      <c r="C2377" s="10">
        <v>9320089901310</v>
      </c>
      <c r="D2377" s="10" t="str">
        <f t="shared" si="372"/>
        <v>9320089901</v>
      </c>
      <c r="E2377" s="3" t="s">
        <v>4</v>
      </c>
      <c r="F2377" s="3" t="s">
        <v>65</v>
      </c>
      <c r="H2377" s="3">
        <v>10.18</v>
      </c>
      <c r="I2377" s="10">
        <f t="shared" si="373"/>
        <v>75.221685252252158</v>
      </c>
      <c r="J2377" s="3">
        <v>4.0599994399999995</v>
      </c>
      <c r="K2377" s="3">
        <v>0</v>
      </c>
      <c r="L2377" s="3">
        <f t="shared" si="374"/>
        <v>0</v>
      </c>
      <c r="N2377" s="11">
        <f t="shared" si="375"/>
        <v>6.1200005600000003</v>
      </c>
      <c r="O2377" s="3">
        <v>4.0599994399999995</v>
      </c>
      <c r="P2377" s="11">
        <f t="shared" si="376"/>
        <v>45.221685252252165</v>
      </c>
      <c r="Q2377" s="12">
        <f t="shared" si="377"/>
        <v>76.032898960037244</v>
      </c>
      <c r="R2377" s="13">
        <f t="shared" si="378"/>
        <v>65.473015604420794</v>
      </c>
      <c r="S2377" s="3" t="s">
        <v>31</v>
      </c>
      <c r="T2377" s="3" t="s">
        <v>28</v>
      </c>
      <c r="U2377" s="10">
        <v>9320089900999</v>
      </c>
      <c r="V2377" s="3">
        <v>0.1</v>
      </c>
      <c r="W2377" s="3">
        <f t="shared" si="379"/>
        <v>0</v>
      </c>
      <c r="AA2377" s="3">
        <v>48</v>
      </c>
    </row>
    <row r="2378" spans="1:27" x14ac:dyDescent="0.3">
      <c r="A2378" s="3" t="str">
        <f t="shared" si="370"/>
        <v>South9432029901840</v>
      </c>
      <c r="B2378" s="3" t="str">
        <f t="shared" si="371"/>
        <v>CY9432029901840</v>
      </c>
      <c r="C2378" s="10">
        <v>9432029901840</v>
      </c>
      <c r="D2378" s="10" t="str">
        <f t="shared" si="372"/>
        <v>9432029901</v>
      </c>
      <c r="E2378" s="3" t="s">
        <v>4</v>
      </c>
      <c r="F2378" s="3" t="s">
        <v>65</v>
      </c>
      <c r="H2378" s="3">
        <v>4.2080000000000002</v>
      </c>
      <c r="I2378" s="10">
        <f t="shared" si="373"/>
        <v>31.514173437607404</v>
      </c>
      <c r="J2378" s="3">
        <v>4.0058166288236405</v>
      </c>
      <c r="K2378" s="3">
        <v>0</v>
      </c>
      <c r="L2378" s="3">
        <f t="shared" si="374"/>
        <v>0</v>
      </c>
      <c r="N2378" s="11">
        <f t="shared" si="375"/>
        <v>0.20218337117635965</v>
      </c>
      <c r="O2378" s="3">
        <v>4.0058166288236405</v>
      </c>
      <c r="P2378" s="11">
        <f t="shared" si="376"/>
        <v>1.514173437607403</v>
      </c>
      <c r="Q2378" s="12">
        <f t="shared" si="377"/>
        <v>67.505422851470854</v>
      </c>
      <c r="R2378" s="13">
        <f t="shared" si="378"/>
        <v>45.487316805056096</v>
      </c>
      <c r="S2378" s="3" t="s">
        <v>31</v>
      </c>
      <c r="T2378" s="3" t="s">
        <v>35</v>
      </c>
      <c r="U2378" s="10">
        <v>0</v>
      </c>
      <c r="V2378" s="3">
        <v>0</v>
      </c>
      <c r="W2378" s="3">
        <f t="shared" si="379"/>
        <v>0</v>
      </c>
      <c r="AA2378" s="3">
        <v>48</v>
      </c>
    </row>
    <row r="2379" spans="1:27" x14ac:dyDescent="0.3">
      <c r="A2379" s="3" t="str">
        <f t="shared" si="370"/>
        <v>South9320089902219</v>
      </c>
      <c r="B2379" s="3" t="str">
        <f t="shared" si="371"/>
        <v>CY9320089902219</v>
      </c>
      <c r="C2379" s="10">
        <v>9320089902219</v>
      </c>
      <c r="D2379" s="10" t="str">
        <f t="shared" si="372"/>
        <v>9320089902</v>
      </c>
      <c r="E2379" s="3" t="s">
        <v>4</v>
      </c>
      <c r="F2379" s="3" t="s">
        <v>65</v>
      </c>
      <c r="H2379" s="3">
        <v>3.9585000000000008</v>
      </c>
      <c r="I2379" s="10">
        <f t="shared" si="373"/>
        <v>29.703337343509919</v>
      </c>
      <c r="J2379" s="3">
        <v>3.9980355953486013</v>
      </c>
      <c r="K2379" s="3">
        <v>24</v>
      </c>
      <c r="L2379" s="3">
        <f t="shared" si="374"/>
        <v>0</v>
      </c>
      <c r="N2379" s="11">
        <f t="shared" si="375"/>
        <v>-3.9535595348600516E-2</v>
      </c>
      <c r="O2379" s="3">
        <v>3.9980355953486013</v>
      </c>
      <c r="P2379" s="11">
        <f t="shared" si="376"/>
        <v>-0.29666265649008022</v>
      </c>
      <c r="Q2379" s="12">
        <f t="shared" si="377"/>
        <v>2.3978000187044062</v>
      </c>
      <c r="R2379" s="13">
        <f t="shared" si="378"/>
        <v>61.197046460796265</v>
      </c>
      <c r="S2379" s="3" t="s">
        <v>31</v>
      </c>
      <c r="T2379" s="3" t="s">
        <v>28</v>
      </c>
      <c r="U2379" s="10">
        <v>9320089900999</v>
      </c>
      <c r="V2379" s="3">
        <v>0.1</v>
      </c>
      <c r="W2379" s="3">
        <f t="shared" si="379"/>
        <v>2.4000000000000004</v>
      </c>
      <c r="AA2379" s="3">
        <v>48</v>
      </c>
    </row>
    <row r="2380" spans="1:27" x14ac:dyDescent="0.3">
      <c r="A2380" s="3" t="str">
        <f t="shared" si="370"/>
        <v>South9320029905297</v>
      </c>
      <c r="B2380" s="3" t="str">
        <f t="shared" si="371"/>
        <v>CY9320029905297</v>
      </c>
      <c r="C2380" s="10">
        <v>9320029905297</v>
      </c>
      <c r="D2380" s="10" t="str">
        <f t="shared" si="372"/>
        <v>9320029905</v>
      </c>
      <c r="E2380" s="3" t="s">
        <v>4</v>
      </c>
      <c r="F2380" s="3" t="s">
        <v>65</v>
      </c>
      <c r="H2380" s="3">
        <v>8.3947499999999984</v>
      </c>
      <c r="I2380" s="10">
        <f t="shared" si="373"/>
        <v>66.660038608160534</v>
      </c>
      <c r="J2380" s="3">
        <v>3.7780131133792851</v>
      </c>
      <c r="K2380" s="3">
        <v>0</v>
      </c>
      <c r="L2380" s="3">
        <f t="shared" si="374"/>
        <v>0</v>
      </c>
      <c r="N2380" s="11">
        <f t="shared" si="375"/>
        <v>4.6167368866207132</v>
      </c>
      <c r="O2380" s="3">
        <v>3.7780131133792851</v>
      </c>
      <c r="P2380" s="11">
        <f t="shared" si="376"/>
        <v>36.660038608160541</v>
      </c>
      <c r="Q2380" s="12">
        <f t="shared" si="377"/>
        <v>36.660038608160541</v>
      </c>
      <c r="R2380" s="13">
        <f t="shared" si="378"/>
        <v>46.691532983691296</v>
      </c>
      <c r="S2380" s="3" t="s">
        <v>31</v>
      </c>
      <c r="T2380" s="3" t="s">
        <v>28</v>
      </c>
      <c r="U2380" s="10">
        <v>9320029900999</v>
      </c>
      <c r="V2380" s="3">
        <v>0.1</v>
      </c>
      <c r="W2380" s="3">
        <f t="shared" si="379"/>
        <v>0</v>
      </c>
      <c r="AA2380" s="3">
        <v>48</v>
      </c>
    </row>
    <row r="2381" spans="1:27" x14ac:dyDescent="0.3">
      <c r="A2381" s="3" t="str">
        <f t="shared" si="370"/>
        <v>South9360129900840</v>
      </c>
      <c r="B2381" s="3" t="str">
        <f t="shared" si="371"/>
        <v>CY9360129900840</v>
      </c>
      <c r="C2381" s="10">
        <v>9360129900840</v>
      </c>
      <c r="D2381" s="10" t="str">
        <f t="shared" si="372"/>
        <v>9360129900</v>
      </c>
      <c r="E2381" s="3" t="s">
        <v>4</v>
      </c>
      <c r="F2381" s="3" t="s">
        <v>65</v>
      </c>
      <c r="H2381" s="3">
        <v>8.9720000000000013</v>
      </c>
      <c r="I2381" s="10">
        <f t="shared" si="373"/>
        <v>71.782342812827906</v>
      </c>
      <c r="J2381" s="3">
        <v>3.749668643468957</v>
      </c>
      <c r="K2381" s="3">
        <v>0</v>
      </c>
      <c r="L2381" s="3">
        <f t="shared" si="374"/>
        <v>0</v>
      </c>
      <c r="N2381" s="11">
        <f t="shared" si="375"/>
        <v>5.2223313565310443</v>
      </c>
      <c r="O2381" s="3">
        <v>3.749668643468957</v>
      </c>
      <c r="P2381" s="11">
        <f t="shared" si="376"/>
        <v>41.782342812827906</v>
      </c>
      <c r="Q2381" s="12">
        <f t="shared" si="377"/>
        <v>41.782342812827906</v>
      </c>
      <c r="R2381" s="13">
        <f t="shared" si="378"/>
        <v>35.229006862127264</v>
      </c>
      <c r="S2381" s="3" t="s">
        <v>31</v>
      </c>
      <c r="T2381" s="3" t="s">
        <v>33</v>
      </c>
      <c r="U2381" s="10">
        <v>0</v>
      </c>
      <c r="V2381" s="3">
        <v>0</v>
      </c>
      <c r="W2381" s="3">
        <f t="shared" si="379"/>
        <v>0</v>
      </c>
      <c r="AA2381" s="3">
        <v>48</v>
      </c>
    </row>
    <row r="2382" spans="1:27" x14ac:dyDescent="0.3">
      <c r="A2382" s="3" t="str">
        <f t="shared" si="370"/>
        <v>South9410029901310</v>
      </c>
      <c r="B2382" s="3" t="str">
        <f t="shared" si="371"/>
        <v>CY9410029901310</v>
      </c>
      <c r="C2382" s="10">
        <v>9410029901310</v>
      </c>
      <c r="D2382" s="10" t="str">
        <f t="shared" si="372"/>
        <v>9410029901</v>
      </c>
      <c r="E2382" s="3" t="s">
        <v>4</v>
      </c>
      <c r="F2382" s="3" t="s">
        <v>65</v>
      </c>
      <c r="H2382" s="3">
        <v>23.06</v>
      </c>
      <c r="I2382" s="10">
        <f t="shared" si="373"/>
        <v>184.50490917304342</v>
      </c>
      <c r="J2382" s="3">
        <v>3.7494937294658905</v>
      </c>
      <c r="K2382" s="3">
        <v>0</v>
      </c>
      <c r="L2382" s="3">
        <f t="shared" si="374"/>
        <v>0</v>
      </c>
      <c r="N2382" s="11">
        <f t="shared" si="375"/>
        <v>19.310506270534109</v>
      </c>
      <c r="O2382" s="3">
        <v>3.7494937294658905</v>
      </c>
      <c r="P2382" s="11">
        <f t="shared" si="376"/>
        <v>154.50490917304342</v>
      </c>
      <c r="Q2382" s="12">
        <f t="shared" si="377"/>
        <v>101.03288947762503</v>
      </c>
      <c r="R2382" s="13">
        <f t="shared" si="378"/>
        <v>12.577858451329639</v>
      </c>
      <c r="S2382" s="3" t="s">
        <v>30</v>
      </c>
      <c r="T2382" s="3" t="s">
        <v>32</v>
      </c>
      <c r="U2382" s="10">
        <v>9410029900999</v>
      </c>
      <c r="V2382" s="3">
        <v>0.1</v>
      </c>
      <c r="W2382" s="3">
        <f t="shared" si="379"/>
        <v>0</v>
      </c>
      <c r="AA2382" s="3">
        <v>48</v>
      </c>
    </row>
    <row r="2383" spans="1:27" x14ac:dyDescent="0.3">
      <c r="A2383" s="3" t="str">
        <f t="shared" si="370"/>
        <v>South9410049901840</v>
      </c>
      <c r="B2383" s="3" t="str">
        <f t="shared" si="371"/>
        <v>CY9410049901840</v>
      </c>
      <c r="C2383" s="10">
        <v>9410049901840</v>
      </c>
      <c r="D2383" s="10" t="str">
        <f t="shared" si="372"/>
        <v>9410049901</v>
      </c>
      <c r="E2383" s="3" t="s">
        <v>4</v>
      </c>
      <c r="F2383" s="3" t="s">
        <v>65</v>
      </c>
      <c r="H2383" s="3">
        <v>7.8800000000000008</v>
      </c>
      <c r="I2383" s="10">
        <f t="shared" si="373"/>
        <v>63.377980043141847</v>
      </c>
      <c r="J2383" s="3">
        <v>3.7300021212269754</v>
      </c>
      <c r="K2383" s="3">
        <v>0</v>
      </c>
      <c r="L2383" s="3">
        <f t="shared" si="374"/>
        <v>0</v>
      </c>
      <c r="N2383" s="11">
        <f t="shared" si="375"/>
        <v>4.149997878773025</v>
      </c>
      <c r="O2383" s="3">
        <v>3.7300021212269754</v>
      </c>
      <c r="P2383" s="11">
        <f t="shared" si="376"/>
        <v>33.377980043141847</v>
      </c>
      <c r="Q2383" s="12">
        <f t="shared" si="377"/>
        <v>33.377980043141854</v>
      </c>
      <c r="R2383" s="13">
        <f t="shared" si="378"/>
        <v>33.377980043141854</v>
      </c>
      <c r="S2383" s="3" t="s">
        <v>31</v>
      </c>
      <c r="T2383" s="3" t="s">
        <v>32</v>
      </c>
      <c r="U2383" s="10">
        <v>0</v>
      </c>
      <c r="V2383" s="3">
        <v>0</v>
      </c>
      <c r="W2383" s="3">
        <f t="shared" si="379"/>
        <v>0</v>
      </c>
      <c r="AA2383" s="3">
        <v>48</v>
      </c>
    </row>
    <row r="2384" spans="1:27" x14ac:dyDescent="0.3">
      <c r="A2384" s="3" t="str">
        <f t="shared" si="370"/>
        <v>South9320039900320</v>
      </c>
      <c r="B2384" s="3" t="str">
        <f t="shared" si="371"/>
        <v>CY9320039900320</v>
      </c>
      <c r="C2384" s="10">
        <v>9320039900320</v>
      </c>
      <c r="D2384" s="10" t="str">
        <f t="shared" si="372"/>
        <v>9320039900</v>
      </c>
      <c r="E2384" s="3" t="s">
        <v>4</v>
      </c>
      <c r="F2384" s="3" t="s">
        <v>65</v>
      </c>
      <c r="H2384" s="3">
        <v>5.2980000000000009</v>
      </c>
      <c r="I2384" s="10">
        <f t="shared" si="373"/>
        <v>43.674854565065942</v>
      </c>
      <c r="J2384" s="3">
        <v>3.6391649516133895</v>
      </c>
      <c r="K2384" s="3">
        <v>24</v>
      </c>
      <c r="L2384" s="3">
        <f t="shared" si="374"/>
        <v>0</v>
      </c>
      <c r="N2384" s="11">
        <f t="shared" si="375"/>
        <v>1.6588350483866114</v>
      </c>
      <c r="O2384" s="3">
        <v>3.6391649516133895</v>
      </c>
      <c r="P2384" s="11">
        <f t="shared" si="376"/>
        <v>13.674854565065944</v>
      </c>
      <c r="Q2384" s="12">
        <f t="shared" si="377"/>
        <v>-1.8778314965372009</v>
      </c>
      <c r="R2384" s="13">
        <f t="shared" si="378"/>
        <v>-10.513995057186442</v>
      </c>
      <c r="S2384" s="3" t="s">
        <v>29</v>
      </c>
      <c r="T2384" s="3" t="s">
        <v>28</v>
      </c>
      <c r="U2384" s="10">
        <v>9320039900999</v>
      </c>
      <c r="V2384" s="3">
        <v>0.1</v>
      </c>
      <c r="W2384" s="3">
        <f t="shared" si="379"/>
        <v>2.4000000000000004</v>
      </c>
      <c r="AA2384" s="3">
        <v>48</v>
      </c>
    </row>
    <row r="2385" spans="1:27" x14ac:dyDescent="0.3">
      <c r="A2385" s="3" t="str">
        <f t="shared" si="370"/>
        <v>South9330209900840</v>
      </c>
      <c r="B2385" s="3" t="str">
        <f t="shared" si="371"/>
        <v>CY9330209900840</v>
      </c>
      <c r="C2385" s="10">
        <v>9330209900840</v>
      </c>
      <c r="D2385" s="10" t="str">
        <f t="shared" si="372"/>
        <v>9330209900</v>
      </c>
      <c r="E2385" s="3" t="s">
        <v>4</v>
      </c>
      <c r="F2385" s="3" t="s">
        <v>65</v>
      </c>
      <c r="H2385" s="3">
        <v>4.5280000000000014</v>
      </c>
      <c r="I2385" s="10">
        <f t="shared" si="373"/>
        <v>37.666356995624092</v>
      </c>
      <c r="J2385" s="3">
        <v>3.6064013309219507</v>
      </c>
      <c r="K2385" s="3">
        <v>0</v>
      </c>
      <c r="L2385" s="3">
        <f t="shared" si="374"/>
        <v>0</v>
      </c>
      <c r="N2385" s="11">
        <f t="shared" si="375"/>
        <v>0.92159866907805066</v>
      </c>
      <c r="O2385" s="3">
        <v>3.6064013309219507</v>
      </c>
      <c r="P2385" s="11">
        <f t="shared" si="376"/>
        <v>7.6663569956240893</v>
      </c>
      <c r="Q2385" s="12">
        <f t="shared" si="377"/>
        <v>11.137300952205578</v>
      </c>
      <c r="R2385" s="13">
        <f t="shared" si="378"/>
        <v>16.369417439210231</v>
      </c>
      <c r="S2385" s="3" t="s">
        <v>30</v>
      </c>
      <c r="T2385" s="3" t="s">
        <v>35</v>
      </c>
      <c r="U2385" s="10">
        <v>0</v>
      </c>
      <c r="V2385" s="3">
        <v>0</v>
      </c>
      <c r="W2385" s="3">
        <f t="shared" si="379"/>
        <v>0</v>
      </c>
      <c r="AA2385" s="3">
        <v>48</v>
      </c>
    </row>
    <row r="2386" spans="1:27" x14ac:dyDescent="0.3">
      <c r="A2386" s="3" t="str">
        <f t="shared" si="370"/>
        <v>South9437019900210</v>
      </c>
      <c r="B2386" s="3" t="str">
        <f t="shared" si="371"/>
        <v>CY9437019900210</v>
      </c>
      <c r="C2386" s="10">
        <v>9437019900210</v>
      </c>
      <c r="D2386" s="10" t="str">
        <f t="shared" si="372"/>
        <v>9437019900</v>
      </c>
      <c r="E2386" s="3" t="s">
        <v>4</v>
      </c>
      <c r="F2386" s="3" t="s">
        <v>65</v>
      </c>
      <c r="H2386" s="3">
        <v>9.5120000000000005</v>
      </c>
      <c r="I2386" s="10">
        <f t="shared" si="373"/>
        <v>85.031496165788667</v>
      </c>
      <c r="J2386" s="3">
        <v>3.3559329526981907</v>
      </c>
      <c r="K2386" s="3">
        <v>0</v>
      </c>
      <c r="L2386" s="3">
        <f t="shared" si="374"/>
        <v>0</v>
      </c>
      <c r="N2386" s="11">
        <f t="shared" si="375"/>
        <v>6.1560670473018098</v>
      </c>
      <c r="O2386" s="3">
        <v>3.3559329526981907</v>
      </c>
      <c r="P2386" s="11">
        <f t="shared" si="376"/>
        <v>55.031496165788653</v>
      </c>
      <c r="Q2386" s="12">
        <f t="shared" si="377"/>
        <v>25.817339791881153</v>
      </c>
      <c r="R2386" s="13">
        <f t="shared" si="378"/>
        <v>21.676130298195474</v>
      </c>
      <c r="S2386" s="3" t="s">
        <v>30</v>
      </c>
      <c r="T2386" s="3" t="s">
        <v>35</v>
      </c>
      <c r="U2386" s="10">
        <v>0</v>
      </c>
      <c r="V2386" s="3">
        <v>0</v>
      </c>
      <c r="W2386" s="3">
        <f t="shared" si="379"/>
        <v>0</v>
      </c>
      <c r="AA2386" s="3">
        <v>48</v>
      </c>
    </row>
    <row r="2387" spans="1:27" x14ac:dyDescent="0.3">
      <c r="A2387" s="3" t="str">
        <f t="shared" si="370"/>
        <v>South9320029906097</v>
      </c>
      <c r="B2387" s="3" t="str">
        <f t="shared" si="371"/>
        <v>CY9320029906097</v>
      </c>
      <c r="C2387" s="10">
        <v>9320029906097</v>
      </c>
      <c r="D2387" s="10" t="str">
        <f t="shared" si="372"/>
        <v>9320029906</v>
      </c>
      <c r="E2387" s="3" t="s">
        <v>4</v>
      </c>
      <c r="F2387" s="3" t="s">
        <v>65</v>
      </c>
      <c r="H2387" s="3">
        <v>5.7544500000000003</v>
      </c>
      <c r="I2387" s="10">
        <f t="shared" si="373"/>
        <v>52.013631723689869</v>
      </c>
      <c r="J2387" s="3">
        <v>3.319004927728844</v>
      </c>
      <c r="K2387" s="3">
        <v>0</v>
      </c>
      <c r="L2387" s="3">
        <f t="shared" si="374"/>
        <v>0</v>
      </c>
      <c r="N2387" s="11">
        <f t="shared" si="375"/>
        <v>2.4354450722711563</v>
      </c>
      <c r="O2387" s="3">
        <v>3.319004927728844</v>
      </c>
      <c r="P2387" s="11">
        <f t="shared" si="376"/>
        <v>22.013631723689869</v>
      </c>
      <c r="Q2387" s="12">
        <f t="shared" si="377"/>
        <v>22.013631723689869</v>
      </c>
      <c r="R2387" s="13">
        <f t="shared" si="378"/>
        <v>77.044110717229671</v>
      </c>
      <c r="S2387" s="3" t="s">
        <v>31</v>
      </c>
      <c r="T2387" s="3" t="s">
        <v>28</v>
      </c>
      <c r="U2387" s="10">
        <v>0</v>
      </c>
      <c r="V2387" s="3">
        <v>0</v>
      </c>
      <c r="W2387" s="3">
        <f t="shared" si="379"/>
        <v>0</v>
      </c>
      <c r="AA2387" s="3">
        <v>48</v>
      </c>
    </row>
    <row r="2388" spans="1:27" x14ac:dyDescent="0.3">
      <c r="A2388" s="3" t="str">
        <f t="shared" si="370"/>
        <v>South9330239900320</v>
      </c>
      <c r="B2388" s="3" t="str">
        <f t="shared" si="371"/>
        <v>CY9330239900320</v>
      </c>
      <c r="C2388" s="10">
        <v>9330239900320</v>
      </c>
      <c r="D2388" s="10" t="str">
        <f t="shared" si="372"/>
        <v>9330239900</v>
      </c>
      <c r="E2388" s="3" t="s">
        <v>4</v>
      </c>
      <c r="F2388" s="3" t="s">
        <v>65</v>
      </c>
      <c r="H2388" s="3">
        <v>4.7200000000000006</v>
      </c>
      <c r="I2388" s="10">
        <f t="shared" si="373"/>
        <v>42.988155908581938</v>
      </c>
      <c r="J2388" s="3">
        <v>3.2939305491755628</v>
      </c>
      <c r="K2388" s="3">
        <v>0</v>
      </c>
      <c r="L2388" s="3">
        <f t="shared" si="374"/>
        <v>0</v>
      </c>
      <c r="N2388" s="11">
        <f t="shared" si="375"/>
        <v>1.4260694508244378</v>
      </c>
      <c r="O2388" s="3">
        <v>3.2939305491755628</v>
      </c>
      <c r="P2388" s="11">
        <f t="shared" si="376"/>
        <v>12.988155908581938</v>
      </c>
      <c r="Q2388" s="12">
        <f t="shared" si="377"/>
        <v>40.852153626770018</v>
      </c>
      <c r="R2388" s="13">
        <f t="shared" si="378"/>
        <v>49.457242370391903</v>
      </c>
      <c r="S2388" s="3" t="s">
        <v>31</v>
      </c>
      <c r="T2388" s="3" t="s">
        <v>35</v>
      </c>
      <c r="U2388" s="10">
        <v>9330239900999</v>
      </c>
      <c r="V2388" s="3">
        <v>0.1</v>
      </c>
      <c r="W2388" s="3">
        <f t="shared" si="379"/>
        <v>0</v>
      </c>
      <c r="AA2388" s="3">
        <v>48</v>
      </c>
    </row>
    <row r="2389" spans="1:27" x14ac:dyDescent="0.3">
      <c r="A2389" s="3" t="str">
        <f t="shared" si="370"/>
        <v>South9310099901310</v>
      </c>
      <c r="B2389" s="3" t="str">
        <f t="shared" si="371"/>
        <v>CY9310099901310</v>
      </c>
      <c r="C2389" s="10">
        <v>9310099901310</v>
      </c>
      <c r="D2389" s="10" t="str">
        <f t="shared" si="372"/>
        <v>9310099901</v>
      </c>
      <c r="E2389" s="3" t="s">
        <v>4</v>
      </c>
      <c r="F2389" s="3" t="s">
        <v>65</v>
      </c>
      <c r="H2389" s="3">
        <v>0</v>
      </c>
      <c r="I2389" s="10">
        <f t="shared" si="373"/>
        <v>0</v>
      </c>
      <c r="J2389" s="3">
        <v>3.0672175625000007</v>
      </c>
      <c r="K2389" s="3">
        <v>0</v>
      </c>
      <c r="L2389" s="3">
        <f t="shared" si="374"/>
        <v>0</v>
      </c>
      <c r="N2389" s="11">
        <f t="shared" si="375"/>
        <v>-3.0672175625000007</v>
      </c>
      <c r="O2389" s="3">
        <v>3.0672175625000007</v>
      </c>
      <c r="P2389" s="11">
        <f t="shared" si="376"/>
        <v>-30</v>
      </c>
      <c r="Q2389" s="12">
        <f t="shared" si="377"/>
        <v>-30.000000000000004</v>
      </c>
      <c r="R2389" s="13">
        <f t="shared" si="378"/>
        <v>-30.000000000000004</v>
      </c>
      <c r="S2389" s="3">
        <v>0</v>
      </c>
      <c r="T2389" s="3" t="s">
        <v>32</v>
      </c>
      <c r="U2389" s="10">
        <v>9310099900999</v>
      </c>
      <c r="V2389" s="3">
        <v>0.1</v>
      </c>
      <c r="W2389" s="3">
        <f t="shared" si="379"/>
        <v>0</v>
      </c>
      <c r="AA2389" s="3">
        <v>48</v>
      </c>
    </row>
    <row r="2390" spans="1:27" x14ac:dyDescent="0.3">
      <c r="A2390" s="3" t="str">
        <f t="shared" si="370"/>
        <v>South9310039902219</v>
      </c>
      <c r="B2390" s="3" t="str">
        <f t="shared" si="371"/>
        <v>CY9310039902219</v>
      </c>
      <c r="C2390" s="10">
        <v>9310039902219</v>
      </c>
      <c r="D2390" s="10" t="str">
        <f t="shared" si="372"/>
        <v>9310039902</v>
      </c>
      <c r="E2390" s="3" t="s">
        <v>4</v>
      </c>
      <c r="F2390" s="3" t="s">
        <v>65</v>
      </c>
      <c r="H2390" s="3">
        <v>17.042999999999999</v>
      </c>
      <c r="I2390" s="10">
        <f t="shared" si="373"/>
        <v>167.3024363956649</v>
      </c>
      <c r="J2390" s="3">
        <v>3.056082212639244</v>
      </c>
      <c r="K2390" s="3">
        <v>0</v>
      </c>
      <c r="L2390" s="3">
        <f t="shared" si="374"/>
        <v>0</v>
      </c>
      <c r="N2390" s="11">
        <f t="shared" si="375"/>
        <v>13.986917787360756</v>
      </c>
      <c r="O2390" s="3">
        <v>3.056082212639244</v>
      </c>
      <c r="P2390" s="11">
        <f t="shared" si="376"/>
        <v>137.3024363956649</v>
      </c>
      <c r="Q2390" s="12">
        <f t="shared" si="377"/>
        <v>114.44970559225817</v>
      </c>
      <c r="R2390" s="13">
        <f t="shared" si="378"/>
        <v>50.261699549000284</v>
      </c>
      <c r="S2390" s="3" t="s">
        <v>30</v>
      </c>
      <c r="T2390" s="3" t="s">
        <v>32</v>
      </c>
      <c r="U2390" s="10">
        <v>9310039900999</v>
      </c>
      <c r="V2390" s="3">
        <v>0.1</v>
      </c>
      <c r="W2390" s="3">
        <f t="shared" si="379"/>
        <v>0</v>
      </c>
      <c r="AA2390" s="3">
        <v>48</v>
      </c>
    </row>
    <row r="2391" spans="1:27" x14ac:dyDescent="0.3">
      <c r="A2391" s="3" t="str">
        <f t="shared" si="370"/>
        <v>South9320099901310</v>
      </c>
      <c r="B2391" s="3" t="str">
        <f t="shared" si="371"/>
        <v>CY9320099901310</v>
      </c>
      <c r="C2391" s="10">
        <v>9320099901310</v>
      </c>
      <c r="D2391" s="10" t="str">
        <f t="shared" si="372"/>
        <v>9320099901</v>
      </c>
      <c r="E2391" s="3" t="s">
        <v>4</v>
      </c>
      <c r="F2391" s="3" t="s">
        <v>65</v>
      </c>
      <c r="H2391" s="3">
        <v>1.8800000000000003</v>
      </c>
      <c r="I2391" s="10">
        <f t="shared" si="373"/>
        <v>18.82510268457667</v>
      </c>
      <c r="J2391" s="3">
        <v>2.9959995939999997</v>
      </c>
      <c r="K2391" s="3">
        <v>0</v>
      </c>
      <c r="L2391" s="3">
        <f t="shared" si="374"/>
        <v>0</v>
      </c>
      <c r="N2391" s="11">
        <f t="shared" si="375"/>
        <v>-1.1159995939999994</v>
      </c>
      <c r="O2391" s="3">
        <v>2.9959995939999997</v>
      </c>
      <c r="P2391" s="11">
        <f t="shared" si="376"/>
        <v>-11.17489731542333</v>
      </c>
      <c r="Q2391" s="12">
        <f t="shared" si="377"/>
        <v>36.519982533524903</v>
      </c>
      <c r="R2391" s="13">
        <f t="shared" si="378"/>
        <v>10.747191543098038</v>
      </c>
      <c r="S2391" s="3" t="s">
        <v>31</v>
      </c>
      <c r="T2391" s="3" t="s">
        <v>28</v>
      </c>
      <c r="U2391" s="10">
        <v>9320099900999</v>
      </c>
      <c r="V2391" s="3">
        <v>0.1</v>
      </c>
      <c r="W2391" s="3">
        <f t="shared" si="379"/>
        <v>0</v>
      </c>
      <c r="AA2391" s="3">
        <v>48</v>
      </c>
    </row>
    <row r="2392" spans="1:27" x14ac:dyDescent="0.3">
      <c r="A2392" s="3" t="str">
        <f t="shared" si="370"/>
        <v>South9410029901840</v>
      </c>
      <c r="B2392" s="3" t="str">
        <f t="shared" si="371"/>
        <v>CY9410029901840</v>
      </c>
      <c r="C2392" s="10">
        <v>9410029901840</v>
      </c>
      <c r="D2392" s="10" t="str">
        <f t="shared" si="372"/>
        <v>9410029901</v>
      </c>
      <c r="E2392" s="3" t="s">
        <v>4</v>
      </c>
      <c r="F2392" s="3" t="s">
        <v>65</v>
      </c>
      <c r="H2392" s="3">
        <v>9.4600000000000009</v>
      </c>
      <c r="I2392" s="10">
        <f t="shared" si="373"/>
        <v>96.396694827939299</v>
      </c>
      <c r="J2392" s="3">
        <v>2.9440843434161437</v>
      </c>
      <c r="K2392" s="3">
        <v>0</v>
      </c>
      <c r="L2392" s="3">
        <f t="shared" si="374"/>
        <v>0</v>
      </c>
      <c r="N2392" s="11">
        <f t="shared" si="375"/>
        <v>6.5159156565838572</v>
      </c>
      <c r="O2392" s="3">
        <v>2.9440843434161437</v>
      </c>
      <c r="P2392" s="11">
        <f t="shared" si="376"/>
        <v>66.396694827939299</v>
      </c>
      <c r="Q2392" s="12">
        <f t="shared" si="377"/>
        <v>40.933335352874089</v>
      </c>
      <c r="R2392" s="13">
        <f t="shared" si="378"/>
        <v>36.570428032612334</v>
      </c>
      <c r="S2392" s="3" t="s">
        <v>30</v>
      </c>
      <c r="T2392" s="3" t="s">
        <v>32</v>
      </c>
      <c r="U2392" s="10">
        <v>0</v>
      </c>
      <c r="V2392" s="3">
        <v>0</v>
      </c>
      <c r="W2392" s="3">
        <f t="shared" si="379"/>
        <v>0</v>
      </c>
      <c r="AA2392" s="3">
        <v>48</v>
      </c>
    </row>
    <row r="2393" spans="1:27" x14ac:dyDescent="0.3">
      <c r="A2393" s="3" t="str">
        <f t="shared" si="370"/>
        <v>South9320039905097</v>
      </c>
      <c r="B2393" s="3" t="str">
        <f t="shared" si="371"/>
        <v>CY9320039905097</v>
      </c>
      <c r="C2393" s="10">
        <v>9320039905097</v>
      </c>
      <c r="D2393" s="10" t="str">
        <f t="shared" si="372"/>
        <v>9320039905</v>
      </c>
      <c r="E2393" s="3" t="s">
        <v>4</v>
      </c>
      <c r="F2393" s="3" t="s">
        <v>65</v>
      </c>
      <c r="H2393" s="3">
        <v>5.3654249999999983</v>
      </c>
      <c r="I2393" s="10">
        <f t="shared" si="373"/>
        <v>56.412378098094251</v>
      </c>
      <c r="J2393" s="3">
        <v>2.8533232497326271</v>
      </c>
      <c r="K2393" s="3">
        <v>24</v>
      </c>
      <c r="L2393" s="3">
        <f t="shared" si="374"/>
        <v>0</v>
      </c>
      <c r="N2393" s="11">
        <f t="shared" si="375"/>
        <v>2.5121017502673713</v>
      </c>
      <c r="O2393" s="3">
        <v>2.8533232497326271</v>
      </c>
      <c r="P2393" s="11">
        <f t="shared" si="376"/>
        <v>26.412378098094244</v>
      </c>
      <c r="Q2393" s="12">
        <f t="shared" si="377"/>
        <v>26.412378098094248</v>
      </c>
      <c r="R2393" s="13">
        <f t="shared" si="378"/>
        <v>23.696298298325985</v>
      </c>
      <c r="S2393" s="3" t="s">
        <v>31</v>
      </c>
      <c r="T2393" s="3" t="s">
        <v>28</v>
      </c>
      <c r="U2393" s="10">
        <v>0</v>
      </c>
      <c r="V2393" s="3">
        <v>0</v>
      </c>
      <c r="W2393" s="3">
        <f t="shared" si="379"/>
        <v>0</v>
      </c>
      <c r="AA2393" s="3">
        <v>48</v>
      </c>
    </row>
    <row r="2394" spans="1:27" x14ac:dyDescent="0.3">
      <c r="A2394" s="3" t="str">
        <f t="shared" si="370"/>
        <v>South9432009906190</v>
      </c>
      <c r="B2394" s="3" t="str">
        <f t="shared" si="371"/>
        <v>CY9432009906190</v>
      </c>
      <c r="C2394" s="10">
        <v>9432009906190</v>
      </c>
      <c r="D2394" s="10" t="str">
        <f t="shared" si="372"/>
        <v>9432009906</v>
      </c>
      <c r="E2394" s="3" t="s">
        <v>4</v>
      </c>
      <c r="F2394" s="3" t="s">
        <v>65</v>
      </c>
      <c r="H2394" s="3">
        <v>11.561399999999999</v>
      </c>
      <c r="I2394" s="10">
        <f t="shared" si="373"/>
        <v>122.95900296894726</v>
      </c>
      <c r="J2394" s="3">
        <v>2.8207938550672318</v>
      </c>
      <c r="K2394" s="3">
        <v>0</v>
      </c>
      <c r="L2394" s="3">
        <f t="shared" si="374"/>
        <v>0</v>
      </c>
      <c r="N2394" s="11">
        <f t="shared" si="375"/>
        <v>8.7406061449327677</v>
      </c>
      <c r="O2394" s="3">
        <v>2.8207938550672318</v>
      </c>
      <c r="P2394" s="11">
        <f t="shared" si="376"/>
        <v>92.959002968947274</v>
      </c>
      <c r="Q2394" s="12">
        <f t="shared" si="377"/>
        <v>92.959002968947274</v>
      </c>
      <c r="R2394" s="13">
        <f t="shared" si="378"/>
        <v>63.279963920153016</v>
      </c>
      <c r="S2394" s="3" t="s">
        <v>31</v>
      </c>
      <c r="T2394" s="3" t="s">
        <v>35</v>
      </c>
      <c r="U2394" s="10">
        <v>0</v>
      </c>
      <c r="V2394" s="3">
        <v>0</v>
      </c>
      <c r="W2394" s="3">
        <f t="shared" si="379"/>
        <v>0</v>
      </c>
      <c r="AA2394" s="3">
        <v>48</v>
      </c>
    </row>
    <row r="2395" spans="1:27" x14ac:dyDescent="0.3">
      <c r="A2395" s="3" t="str">
        <f t="shared" si="370"/>
        <v>South9310019902839</v>
      </c>
      <c r="B2395" s="3" t="str">
        <f t="shared" si="371"/>
        <v>CY9310019902839</v>
      </c>
      <c r="C2395" s="10">
        <v>9310019902839</v>
      </c>
      <c r="D2395" s="10" t="str">
        <f t="shared" si="372"/>
        <v>9310019902</v>
      </c>
      <c r="E2395" s="3" t="s">
        <v>4</v>
      </c>
      <c r="F2395" s="3" t="s">
        <v>65</v>
      </c>
      <c r="H2395" s="3">
        <v>2.7456</v>
      </c>
      <c r="I2395" s="10">
        <f t="shared" si="373"/>
        <v>29.890382664324893</v>
      </c>
      <c r="J2395" s="3">
        <v>2.7556689696819703</v>
      </c>
      <c r="K2395" s="3">
        <v>24</v>
      </c>
      <c r="L2395" s="3">
        <f t="shared" si="374"/>
        <v>0</v>
      </c>
      <c r="N2395" s="11">
        <f t="shared" si="375"/>
        <v>-1.0068969681970241E-2</v>
      </c>
      <c r="O2395" s="3">
        <v>2.7556689696819703</v>
      </c>
      <c r="P2395" s="11">
        <f t="shared" si="376"/>
        <v>-0.10961733567510788</v>
      </c>
      <c r="Q2395" s="12">
        <f t="shared" si="377"/>
        <v>6.0860327361260502</v>
      </c>
      <c r="R2395" s="13">
        <f t="shared" si="378"/>
        <v>34.250706408111796</v>
      </c>
      <c r="S2395" s="3" t="s">
        <v>31</v>
      </c>
      <c r="T2395" s="3" t="s">
        <v>32</v>
      </c>
      <c r="U2395" s="10">
        <v>0</v>
      </c>
      <c r="V2395" s="3">
        <v>0</v>
      </c>
      <c r="W2395" s="3">
        <f t="shared" si="379"/>
        <v>0</v>
      </c>
      <c r="AA2395" s="3">
        <v>48</v>
      </c>
    </row>
    <row r="2396" spans="1:27" x14ac:dyDescent="0.3">
      <c r="A2396" s="3" t="str">
        <f t="shared" si="370"/>
        <v>South9410049901210</v>
      </c>
      <c r="B2396" s="3" t="str">
        <f t="shared" si="371"/>
        <v>CY9410049901210</v>
      </c>
      <c r="C2396" s="10">
        <v>9410049901210</v>
      </c>
      <c r="D2396" s="10" t="str">
        <f t="shared" si="372"/>
        <v>9410049901</v>
      </c>
      <c r="E2396" s="3" t="s">
        <v>4</v>
      </c>
      <c r="F2396" s="3" t="s">
        <v>65</v>
      </c>
      <c r="H2396" s="3">
        <v>8.2799999999999976</v>
      </c>
      <c r="I2396" s="10">
        <f t="shared" si="373"/>
        <v>90.506159800910083</v>
      </c>
      <c r="J2396" s="3">
        <v>2.7445645749020291</v>
      </c>
      <c r="K2396" s="3">
        <v>0</v>
      </c>
      <c r="L2396" s="3">
        <f t="shared" si="374"/>
        <v>0</v>
      </c>
      <c r="N2396" s="11">
        <f t="shared" si="375"/>
        <v>5.5354354250979689</v>
      </c>
      <c r="O2396" s="3">
        <v>2.7445645749020291</v>
      </c>
      <c r="P2396" s="11">
        <f t="shared" si="376"/>
        <v>60.506159800910105</v>
      </c>
      <c r="Q2396" s="12">
        <f t="shared" si="377"/>
        <v>60.506159800910098</v>
      </c>
      <c r="R2396" s="13">
        <f t="shared" si="378"/>
        <v>60.506159800910098</v>
      </c>
      <c r="S2396" s="3" t="s">
        <v>31</v>
      </c>
      <c r="T2396" s="3" t="s">
        <v>32</v>
      </c>
      <c r="U2396" s="10">
        <v>0</v>
      </c>
      <c r="V2396" s="3">
        <v>0</v>
      </c>
      <c r="W2396" s="3">
        <f t="shared" si="379"/>
        <v>0</v>
      </c>
      <c r="AA2396" s="3">
        <v>48</v>
      </c>
    </row>
    <row r="2397" spans="1:27" x14ac:dyDescent="0.3">
      <c r="A2397" s="3" t="str">
        <f t="shared" si="370"/>
        <v>South9310019905097</v>
      </c>
      <c r="B2397" s="3" t="str">
        <f t="shared" si="371"/>
        <v>CY9310019905097</v>
      </c>
      <c r="C2397" s="10">
        <v>9310019905097</v>
      </c>
      <c r="D2397" s="10" t="str">
        <f t="shared" si="372"/>
        <v>9310019905</v>
      </c>
      <c r="E2397" s="3" t="s">
        <v>4</v>
      </c>
      <c r="F2397" s="3" t="s">
        <v>65</v>
      </c>
      <c r="H2397" s="3">
        <v>3.4544249999999996</v>
      </c>
      <c r="I2397" s="10">
        <f t="shared" si="373"/>
        <v>37.762007101271067</v>
      </c>
      <c r="J2397" s="3">
        <v>2.7443655132545035</v>
      </c>
      <c r="K2397" s="3">
        <v>0</v>
      </c>
      <c r="L2397" s="3">
        <f t="shared" si="374"/>
        <v>0</v>
      </c>
      <c r="N2397" s="11">
        <f t="shared" si="375"/>
        <v>0.71005948674549613</v>
      </c>
      <c r="O2397" s="3">
        <v>2.7443655132545035</v>
      </c>
      <c r="P2397" s="11">
        <f t="shared" si="376"/>
        <v>7.7620071012710703</v>
      </c>
      <c r="Q2397" s="12">
        <f t="shared" si="377"/>
        <v>7.7620071012710703</v>
      </c>
      <c r="R2397" s="13">
        <f t="shared" si="378"/>
        <v>121.40272958123445</v>
      </c>
      <c r="S2397" s="3" t="s">
        <v>31</v>
      </c>
      <c r="T2397" s="3" t="s">
        <v>32</v>
      </c>
      <c r="U2397" s="10">
        <v>0</v>
      </c>
      <c r="V2397" s="3">
        <v>0</v>
      </c>
      <c r="W2397" s="3">
        <f t="shared" si="379"/>
        <v>0</v>
      </c>
      <c r="AA2397" s="3">
        <v>48</v>
      </c>
    </row>
    <row r="2398" spans="1:27" x14ac:dyDescent="0.3">
      <c r="A2398" s="3" t="str">
        <f t="shared" si="370"/>
        <v>South9320039901210</v>
      </c>
      <c r="B2398" s="3" t="str">
        <f t="shared" si="371"/>
        <v>CY9320039901210</v>
      </c>
      <c r="C2398" s="10">
        <v>9320039901210</v>
      </c>
      <c r="D2398" s="10" t="str">
        <f t="shared" si="372"/>
        <v>9320039901</v>
      </c>
      <c r="E2398" s="3" t="s">
        <v>4</v>
      </c>
      <c r="F2398" s="3" t="s">
        <v>65</v>
      </c>
      <c r="H2398" s="3">
        <v>3.1769999999999996</v>
      </c>
      <c r="I2398" s="10">
        <f t="shared" si="373"/>
        <v>35.280703949885847</v>
      </c>
      <c r="J2398" s="3">
        <v>2.701476709064031</v>
      </c>
      <c r="K2398" s="3">
        <v>12</v>
      </c>
      <c r="L2398" s="3">
        <f t="shared" si="374"/>
        <v>0</v>
      </c>
      <c r="N2398" s="11">
        <f t="shared" si="375"/>
        <v>0.47552329093596857</v>
      </c>
      <c r="O2398" s="3">
        <v>2.701476709064031</v>
      </c>
      <c r="P2398" s="11">
        <f t="shared" si="376"/>
        <v>5.2807039498858499</v>
      </c>
      <c r="Q2398" s="12">
        <f t="shared" si="377"/>
        <v>0.59203134919868672</v>
      </c>
      <c r="R2398" s="13">
        <f t="shared" si="378"/>
        <v>17.999842974581782</v>
      </c>
      <c r="S2398" s="3" t="s">
        <v>30</v>
      </c>
      <c r="T2398" s="3" t="s">
        <v>28</v>
      </c>
      <c r="U2398" s="10">
        <v>0</v>
      </c>
      <c r="V2398" s="3">
        <v>0</v>
      </c>
      <c r="W2398" s="3">
        <f t="shared" si="379"/>
        <v>0</v>
      </c>
      <c r="AA2398" s="3">
        <v>48</v>
      </c>
    </row>
    <row r="2399" spans="1:27" x14ac:dyDescent="0.3">
      <c r="A2399" s="3" t="str">
        <f t="shared" si="370"/>
        <v>South9432019905190</v>
      </c>
      <c r="B2399" s="3" t="str">
        <f t="shared" si="371"/>
        <v>CY9432019905190</v>
      </c>
      <c r="C2399" s="10">
        <v>9432019905190</v>
      </c>
      <c r="D2399" s="10" t="str">
        <f t="shared" si="372"/>
        <v>9432019905</v>
      </c>
      <c r="E2399" s="3" t="s">
        <v>4</v>
      </c>
      <c r="F2399" s="3" t="s">
        <v>65</v>
      </c>
      <c r="H2399" s="3">
        <v>3.7457999999999991</v>
      </c>
      <c r="I2399" s="10">
        <f t="shared" si="373"/>
        <v>41.855614059163791</v>
      </c>
      <c r="J2399" s="3">
        <v>2.6848011318423608</v>
      </c>
      <c r="K2399" s="3">
        <v>0</v>
      </c>
      <c r="L2399" s="3">
        <f t="shared" si="374"/>
        <v>0</v>
      </c>
      <c r="N2399" s="11">
        <f t="shared" si="375"/>
        <v>1.0609988681576383</v>
      </c>
      <c r="O2399" s="3">
        <v>2.6848011318423608</v>
      </c>
      <c r="P2399" s="11">
        <f t="shared" si="376"/>
        <v>11.855614059163791</v>
      </c>
      <c r="Q2399" s="12">
        <f t="shared" si="377"/>
        <v>11.855614059163791</v>
      </c>
      <c r="R2399" s="13">
        <f t="shared" si="378"/>
        <v>142.64339705839231</v>
      </c>
      <c r="S2399" s="3" t="s">
        <v>31</v>
      </c>
      <c r="T2399" s="3" t="s">
        <v>35</v>
      </c>
      <c r="U2399" s="10">
        <v>0</v>
      </c>
      <c r="V2399" s="3">
        <v>0</v>
      </c>
      <c r="W2399" s="3">
        <f t="shared" si="379"/>
        <v>0</v>
      </c>
      <c r="AA2399" s="3">
        <v>48</v>
      </c>
    </row>
    <row r="2400" spans="1:27" x14ac:dyDescent="0.3">
      <c r="A2400" s="3" t="str">
        <f t="shared" si="370"/>
        <v>South9320039905839</v>
      </c>
      <c r="B2400" s="3" t="str">
        <f t="shared" si="371"/>
        <v>CY9320039905839</v>
      </c>
      <c r="C2400" s="10">
        <v>9320039905839</v>
      </c>
      <c r="D2400" s="10" t="str">
        <f t="shared" si="372"/>
        <v>9320039905</v>
      </c>
      <c r="E2400" s="3" t="s">
        <v>4</v>
      </c>
      <c r="F2400" s="3" t="s">
        <v>65</v>
      </c>
      <c r="H2400" s="3">
        <v>25.845300000000005</v>
      </c>
      <c r="I2400" s="10">
        <f t="shared" si="373"/>
        <v>298.04988901468369</v>
      </c>
      <c r="J2400" s="3">
        <v>2.6014403245149387</v>
      </c>
      <c r="K2400" s="3">
        <v>0</v>
      </c>
      <c r="L2400" s="3">
        <f t="shared" si="374"/>
        <v>0</v>
      </c>
      <c r="N2400" s="11">
        <f t="shared" si="375"/>
        <v>23.243859675485066</v>
      </c>
      <c r="O2400" s="3">
        <v>2.6014403245149387</v>
      </c>
      <c r="P2400" s="11">
        <f t="shared" si="376"/>
        <v>268.04988901468369</v>
      </c>
      <c r="Q2400" s="12">
        <f t="shared" si="377"/>
        <v>268.04988901468369</v>
      </c>
      <c r="R2400" s="13">
        <f t="shared" si="378"/>
        <v>150.12750312719902</v>
      </c>
      <c r="S2400" s="3" t="s">
        <v>31</v>
      </c>
      <c r="T2400" s="3" t="s">
        <v>28</v>
      </c>
      <c r="U2400" s="10">
        <v>0</v>
      </c>
      <c r="V2400" s="3">
        <v>0</v>
      </c>
      <c r="W2400" s="3">
        <f t="shared" si="379"/>
        <v>0</v>
      </c>
      <c r="AA2400" s="3">
        <v>48</v>
      </c>
    </row>
    <row r="2401" spans="1:27" x14ac:dyDescent="0.3">
      <c r="A2401" s="3" t="str">
        <f t="shared" si="370"/>
        <v>South9320089901210</v>
      </c>
      <c r="B2401" s="3" t="str">
        <f t="shared" si="371"/>
        <v>CY9320089901210</v>
      </c>
      <c r="C2401" s="10">
        <v>9320089901210</v>
      </c>
      <c r="D2401" s="10" t="str">
        <f t="shared" si="372"/>
        <v>9320089901</v>
      </c>
      <c r="E2401" s="3" t="s">
        <v>4</v>
      </c>
      <c r="F2401" s="3" t="s">
        <v>65</v>
      </c>
      <c r="H2401" s="3">
        <v>3.4749999999999996</v>
      </c>
      <c r="I2401" s="10">
        <f t="shared" si="373"/>
        <v>40.69343251403631</v>
      </c>
      <c r="J2401" s="3">
        <v>2.561838448109317</v>
      </c>
      <c r="K2401" s="3">
        <v>0</v>
      </c>
      <c r="L2401" s="3">
        <f t="shared" si="374"/>
        <v>0</v>
      </c>
      <c r="N2401" s="11">
        <f t="shared" si="375"/>
        <v>0.9131615518906826</v>
      </c>
      <c r="O2401" s="3">
        <v>2.561838448109317</v>
      </c>
      <c r="P2401" s="11">
        <f t="shared" si="376"/>
        <v>10.693432514036305</v>
      </c>
      <c r="Q2401" s="12">
        <f t="shared" si="377"/>
        <v>89.25174553693455</v>
      </c>
      <c r="R2401" s="13">
        <f t="shared" si="378"/>
        <v>56.5397382176292</v>
      </c>
      <c r="S2401" s="3" t="s">
        <v>31</v>
      </c>
      <c r="T2401" s="3" t="s">
        <v>28</v>
      </c>
      <c r="U2401" s="10">
        <v>0</v>
      </c>
      <c r="V2401" s="3">
        <v>0</v>
      </c>
      <c r="W2401" s="3">
        <f t="shared" si="379"/>
        <v>0</v>
      </c>
      <c r="AA2401" s="3">
        <v>48</v>
      </c>
    </row>
    <row r="2402" spans="1:27" x14ac:dyDescent="0.3">
      <c r="A2402" s="3" t="str">
        <f t="shared" si="370"/>
        <v>South9432029900310</v>
      </c>
      <c r="B2402" s="3" t="str">
        <f t="shared" si="371"/>
        <v>CY9432029900310</v>
      </c>
      <c r="C2402" s="10">
        <v>9432029900310</v>
      </c>
      <c r="D2402" s="10" t="str">
        <f t="shared" si="372"/>
        <v>9432029900</v>
      </c>
      <c r="E2402" s="3" t="s">
        <v>4</v>
      </c>
      <c r="F2402" s="3" t="s">
        <v>65</v>
      </c>
      <c r="H2402" s="3">
        <v>2.3200000000000003</v>
      </c>
      <c r="I2402" s="10">
        <f t="shared" si="373"/>
        <v>27.789328687659555</v>
      </c>
      <c r="J2402" s="3">
        <v>2.5045585225276557</v>
      </c>
      <c r="K2402" s="3">
        <v>0</v>
      </c>
      <c r="L2402" s="3">
        <f t="shared" si="374"/>
        <v>0</v>
      </c>
      <c r="N2402" s="11">
        <f t="shared" si="375"/>
        <v>-0.18455852252765537</v>
      </c>
      <c r="O2402" s="3">
        <v>2.5045585225276557</v>
      </c>
      <c r="P2402" s="11">
        <f t="shared" si="376"/>
        <v>-2.210671312340446</v>
      </c>
      <c r="Q2402" s="12">
        <f t="shared" si="377"/>
        <v>-8.6758455690912193</v>
      </c>
      <c r="R2402" s="13">
        <f t="shared" si="378"/>
        <v>63.07750694482106</v>
      </c>
      <c r="S2402" s="3" t="s">
        <v>31</v>
      </c>
      <c r="T2402" s="3" t="s">
        <v>35</v>
      </c>
      <c r="U2402" s="10">
        <v>9432029900999</v>
      </c>
      <c r="V2402" s="3">
        <v>0.1</v>
      </c>
      <c r="W2402" s="3">
        <f t="shared" si="379"/>
        <v>0</v>
      </c>
      <c r="AA2402" s="3">
        <v>48</v>
      </c>
    </row>
    <row r="2403" spans="1:27" x14ac:dyDescent="0.3">
      <c r="A2403" s="3" t="str">
        <f t="shared" si="370"/>
        <v>South9330229901840</v>
      </c>
      <c r="B2403" s="3" t="str">
        <f t="shared" si="371"/>
        <v>CY9330229901840</v>
      </c>
      <c r="C2403" s="10">
        <v>9330229901840</v>
      </c>
      <c r="D2403" s="10" t="str">
        <f t="shared" si="372"/>
        <v>9330229901</v>
      </c>
      <c r="E2403" s="3" t="s">
        <v>4</v>
      </c>
      <c r="F2403" s="3" t="s">
        <v>65</v>
      </c>
      <c r="H2403" s="3">
        <v>7.2600000000000016</v>
      </c>
      <c r="I2403" s="10">
        <f t="shared" si="373"/>
        <v>88.988143122489575</v>
      </c>
      <c r="J2403" s="3">
        <v>2.4475170776426332</v>
      </c>
      <c r="K2403" s="3">
        <v>0</v>
      </c>
      <c r="L2403" s="3">
        <f t="shared" si="374"/>
        <v>0</v>
      </c>
      <c r="N2403" s="11">
        <f t="shared" si="375"/>
        <v>4.8124829223573684</v>
      </c>
      <c r="O2403" s="3">
        <v>2.4475170776426332</v>
      </c>
      <c r="P2403" s="11">
        <f t="shared" si="376"/>
        <v>58.988143122489568</v>
      </c>
      <c r="Q2403" s="12">
        <f t="shared" si="377"/>
        <v>33.975478678314502</v>
      </c>
      <c r="R2403" s="13">
        <f t="shared" si="378"/>
        <v>20.316513479669023</v>
      </c>
      <c r="S2403" s="3" t="s">
        <v>31</v>
      </c>
      <c r="T2403" s="3" t="s">
        <v>35</v>
      </c>
      <c r="U2403" s="10">
        <v>0</v>
      </c>
      <c r="V2403" s="3">
        <v>0</v>
      </c>
      <c r="W2403" s="3">
        <f t="shared" si="379"/>
        <v>0</v>
      </c>
      <c r="AA2403" s="3">
        <v>48</v>
      </c>
    </row>
    <row r="2404" spans="1:27" x14ac:dyDescent="0.3">
      <c r="A2404" s="3" t="str">
        <f t="shared" si="370"/>
        <v>South9420019901840</v>
      </c>
      <c r="B2404" s="3" t="str">
        <f t="shared" si="371"/>
        <v>CY9420019901840</v>
      </c>
      <c r="C2404" s="10">
        <v>9420019901840</v>
      </c>
      <c r="D2404" s="10" t="str">
        <f t="shared" si="372"/>
        <v>9420019901</v>
      </c>
      <c r="E2404" s="3" t="s">
        <v>4</v>
      </c>
      <c r="F2404" s="3" t="s">
        <v>65</v>
      </c>
      <c r="H2404" s="3">
        <v>1.7680000000000005</v>
      </c>
      <c r="I2404" s="10">
        <f t="shared" si="373"/>
        <v>21.709478632096474</v>
      </c>
      <c r="J2404" s="3">
        <v>2.4431724454949735</v>
      </c>
      <c r="K2404" s="3">
        <v>0</v>
      </c>
      <c r="L2404" s="3">
        <f t="shared" si="374"/>
        <v>0</v>
      </c>
      <c r="N2404" s="11">
        <f t="shared" si="375"/>
        <v>-0.67517244549497302</v>
      </c>
      <c r="O2404" s="3">
        <v>2.4431724454949735</v>
      </c>
      <c r="P2404" s="11">
        <f t="shared" si="376"/>
        <v>-8.2905213679035263</v>
      </c>
      <c r="Q2404" s="12">
        <f t="shared" si="377"/>
        <v>22.656482180821961</v>
      </c>
      <c r="R2404" s="13">
        <f t="shared" si="378"/>
        <v>13.508670420487539</v>
      </c>
      <c r="S2404" s="3" t="s">
        <v>31</v>
      </c>
      <c r="T2404" s="3" t="s">
        <v>28</v>
      </c>
      <c r="U2404" s="10">
        <v>0</v>
      </c>
      <c r="V2404" s="3">
        <v>0</v>
      </c>
      <c r="W2404" s="3">
        <f t="shared" si="379"/>
        <v>0</v>
      </c>
      <c r="AA2404" s="3">
        <v>48</v>
      </c>
    </row>
    <row r="2405" spans="1:27" x14ac:dyDescent="0.3">
      <c r="A2405" s="3" t="str">
        <f t="shared" si="370"/>
        <v>South9330239901840</v>
      </c>
      <c r="B2405" s="3" t="str">
        <f t="shared" si="371"/>
        <v>CY9330239901840</v>
      </c>
      <c r="C2405" s="10">
        <v>9330239901840</v>
      </c>
      <c r="D2405" s="10" t="str">
        <f t="shared" si="372"/>
        <v>9330239901</v>
      </c>
      <c r="E2405" s="3" t="s">
        <v>4</v>
      </c>
      <c r="F2405" s="3" t="s">
        <v>65</v>
      </c>
      <c r="H2405" s="3">
        <v>2.8160000000000007</v>
      </c>
      <c r="I2405" s="10">
        <f t="shared" si="373"/>
        <v>34.929431638827175</v>
      </c>
      <c r="J2405" s="3">
        <v>2.4185907424297444</v>
      </c>
      <c r="K2405" s="3">
        <v>0</v>
      </c>
      <c r="L2405" s="3">
        <f t="shared" si="374"/>
        <v>0</v>
      </c>
      <c r="N2405" s="11">
        <f t="shared" si="375"/>
        <v>0.39740925757025636</v>
      </c>
      <c r="O2405" s="3">
        <v>2.4185907424297444</v>
      </c>
      <c r="P2405" s="11">
        <f t="shared" si="376"/>
        <v>4.9294316388271762</v>
      </c>
      <c r="Q2405" s="12">
        <f t="shared" si="377"/>
        <v>18.013186092638961</v>
      </c>
      <c r="R2405" s="13">
        <f t="shared" si="378"/>
        <v>21.476269672649831</v>
      </c>
      <c r="S2405" s="3" t="s">
        <v>31</v>
      </c>
      <c r="T2405" s="3" t="s">
        <v>35</v>
      </c>
      <c r="U2405" s="10">
        <v>0</v>
      </c>
      <c r="V2405" s="3">
        <v>0</v>
      </c>
      <c r="W2405" s="3">
        <f t="shared" si="379"/>
        <v>0</v>
      </c>
      <c r="AA2405" s="3">
        <v>48</v>
      </c>
    </row>
    <row r="2406" spans="1:27" x14ac:dyDescent="0.3">
      <c r="A2406" s="3" t="str">
        <f t="shared" si="370"/>
        <v>South9310019901210</v>
      </c>
      <c r="B2406" s="3" t="str">
        <f t="shared" si="371"/>
        <v>CY9310019901210</v>
      </c>
      <c r="C2406" s="10">
        <v>9310019901210</v>
      </c>
      <c r="D2406" s="10" t="str">
        <f t="shared" si="372"/>
        <v>9310019901</v>
      </c>
      <c r="E2406" s="3" t="s">
        <v>4</v>
      </c>
      <c r="F2406" s="3" t="s">
        <v>65</v>
      </c>
      <c r="H2406" s="3">
        <v>2.0330000000000004</v>
      </c>
      <c r="I2406" s="10">
        <f t="shared" si="373"/>
        <v>25.427338425146456</v>
      </c>
      <c r="J2406" s="3">
        <v>2.3985994515133262</v>
      </c>
      <c r="K2406" s="3">
        <v>0</v>
      </c>
      <c r="L2406" s="3">
        <f t="shared" si="374"/>
        <v>0</v>
      </c>
      <c r="N2406" s="11">
        <f t="shared" si="375"/>
        <v>-0.36559945151332585</v>
      </c>
      <c r="O2406" s="3">
        <v>2.3985994515133262</v>
      </c>
      <c r="P2406" s="11">
        <f t="shared" si="376"/>
        <v>-4.5726615748535453</v>
      </c>
      <c r="Q2406" s="12">
        <f t="shared" si="377"/>
        <v>37.292731056188479</v>
      </c>
      <c r="R2406" s="13">
        <f t="shared" si="378"/>
        <v>38.257893326302671</v>
      </c>
      <c r="S2406" s="3" t="s">
        <v>31</v>
      </c>
      <c r="T2406" s="3" t="s">
        <v>32</v>
      </c>
      <c r="U2406" s="10">
        <v>0</v>
      </c>
      <c r="V2406" s="3">
        <v>0</v>
      </c>
      <c r="W2406" s="3">
        <f t="shared" si="379"/>
        <v>0</v>
      </c>
      <c r="AA2406" s="3">
        <v>48</v>
      </c>
    </row>
    <row r="2407" spans="1:27" x14ac:dyDescent="0.3">
      <c r="A2407" s="3" t="str">
        <f t="shared" si="370"/>
        <v>South9320039902297</v>
      </c>
      <c r="B2407" s="3" t="str">
        <f t="shared" si="371"/>
        <v>CY9320039902297</v>
      </c>
      <c r="C2407" s="10">
        <v>9320039902297</v>
      </c>
      <c r="D2407" s="10" t="str">
        <f t="shared" si="372"/>
        <v>9320039902</v>
      </c>
      <c r="E2407" s="3" t="s">
        <v>4</v>
      </c>
      <c r="F2407" s="3" t="s">
        <v>65</v>
      </c>
      <c r="H2407" s="3">
        <v>2.847</v>
      </c>
      <c r="I2407" s="10">
        <f t="shared" si="373"/>
        <v>36.42672119647461</v>
      </c>
      <c r="J2407" s="3">
        <v>2.3447073245852827</v>
      </c>
      <c r="K2407" s="3">
        <v>0</v>
      </c>
      <c r="L2407" s="3">
        <f t="shared" si="374"/>
        <v>0</v>
      </c>
      <c r="N2407" s="11">
        <f t="shared" si="375"/>
        <v>0.50229267541471723</v>
      </c>
      <c r="O2407" s="3">
        <v>2.3447073245852827</v>
      </c>
      <c r="P2407" s="11">
        <f t="shared" si="376"/>
        <v>6.4267211964746123</v>
      </c>
      <c r="Q2407" s="12">
        <f t="shared" si="377"/>
        <v>-0.45208929013644295</v>
      </c>
      <c r="R2407" s="13">
        <f t="shared" si="378"/>
        <v>2.7993874025720751</v>
      </c>
      <c r="S2407" s="3" t="s">
        <v>30</v>
      </c>
      <c r="T2407" s="3" t="s">
        <v>28</v>
      </c>
      <c r="U2407" s="10">
        <v>9320039900999</v>
      </c>
      <c r="V2407" s="3">
        <v>0.1</v>
      </c>
      <c r="W2407" s="3">
        <f t="shared" si="379"/>
        <v>0</v>
      </c>
      <c r="AA2407" s="3">
        <v>48</v>
      </c>
    </row>
    <row r="2408" spans="1:27" x14ac:dyDescent="0.3">
      <c r="A2408" s="3" t="str">
        <f t="shared" si="370"/>
        <v>South9310019902097</v>
      </c>
      <c r="B2408" s="3" t="str">
        <f t="shared" si="371"/>
        <v>CY9310019902097</v>
      </c>
      <c r="C2408" s="10">
        <v>9310019902097</v>
      </c>
      <c r="D2408" s="10" t="str">
        <f t="shared" si="372"/>
        <v>9310019902</v>
      </c>
      <c r="E2408" s="3" t="s">
        <v>4</v>
      </c>
      <c r="F2408" s="3" t="s">
        <v>65</v>
      </c>
      <c r="H2408" s="3">
        <v>0.76050000000000006</v>
      </c>
      <c r="I2408" s="10">
        <f t="shared" si="373"/>
        <v>9.8858173895219572</v>
      </c>
      <c r="J2408" s="3">
        <v>2.3078516526293282</v>
      </c>
      <c r="K2408" s="3">
        <v>12</v>
      </c>
      <c r="L2408" s="3">
        <f t="shared" si="374"/>
        <v>0</v>
      </c>
      <c r="N2408" s="11">
        <f t="shared" si="375"/>
        <v>-1.5473516526293283</v>
      </c>
      <c r="O2408" s="3">
        <v>2.3078516526293282</v>
      </c>
      <c r="P2408" s="11">
        <f t="shared" si="376"/>
        <v>-20.114182610478046</v>
      </c>
      <c r="Q2408" s="12">
        <f t="shared" si="377"/>
        <v>-15.709991105526244</v>
      </c>
      <c r="R2408" s="13">
        <f t="shared" si="378"/>
        <v>-5.8812893016433128</v>
      </c>
      <c r="S2408" s="3" t="s">
        <v>31</v>
      </c>
      <c r="T2408" s="3" t="s">
        <v>32</v>
      </c>
      <c r="U2408" s="10">
        <v>0</v>
      </c>
      <c r="V2408" s="3">
        <v>0</v>
      </c>
      <c r="W2408" s="3">
        <f t="shared" si="379"/>
        <v>0</v>
      </c>
      <c r="AA2408" s="3">
        <v>48</v>
      </c>
    </row>
    <row r="2409" spans="1:27" x14ac:dyDescent="0.3">
      <c r="A2409" s="3" t="str">
        <f t="shared" si="370"/>
        <v>South9420059901840</v>
      </c>
      <c r="B2409" s="3" t="str">
        <f t="shared" si="371"/>
        <v>CY9420059901840</v>
      </c>
      <c r="C2409" s="10">
        <v>9420059901840</v>
      </c>
      <c r="D2409" s="10" t="str">
        <f t="shared" si="372"/>
        <v>9420059901</v>
      </c>
      <c r="E2409" s="3" t="s">
        <v>4</v>
      </c>
      <c r="F2409" s="3" t="s">
        <v>65</v>
      </c>
      <c r="H2409" s="3">
        <v>2.8520000000000003</v>
      </c>
      <c r="I2409" s="10">
        <f t="shared" si="373"/>
        <v>38.198175210548456</v>
      </c>
      <c r="J2409" s="3">
        <v>2.2398975743839338</v>
      </c>
      <c r="K2409" s="3">
        <v>0</v>
      </c>
      <c r="L2409" s="3">
        <f t="shared" si="374"/>
        <v>0</v>
      </c>
      <c r="N2409" s="11">
        <f t="shared" si="375"/>
        <v>0.61210242561606654</v>
      </c>
      <c r="O2409" s="3">
        <v>2.2398975743839338</v>
      </c>
      <c r="P2409" s="11">
        <f t="shared" si="376"/>
        <v>8.1981752105484631</v>
      </c>
      <c r="Q2409" s="12">
        <f t="shared" si="377"/>
        <v>5.2574304506964307</v>
      </c>
      <c r="R2409" s="13">
        <f t="shared" si="378"/>
        <v>10.165483682719454</v>
      </c>
      <c r="S2409" s="3" t="s">
        <v>30</v>
      </c>
      <c r="T2409" s="3" t="s">
        <v>28</v>
      </c>
      <c r="U2409" s="10">
        <v>0</v>
      </c>
      <c r="V2409" s="3">
        <v>0</v>
      </c>
      <c r="W2409" s="3">
        <f t="shared" si="379"/>
        <v>0</v>
      </c>
      <c r="AA2409" s="3">
        <v>48</v>
      </c>
    </row>
    <row r="2410" spans="1:27" x14ac:dyDescent="0.3">
      <c r="A2410" s="3" t="str">
        <f t="shared" si="370"/>
        <v>South9310019902297</v>
      </c>
      <c r="B2410" s="3" t="str">
        <f t="shared" si="371"/>
        <v>CY9310019902297</v>
      </c>
      <c r="C2410" s="10">
        <v>9310019902297</v>
      </c>
      <c r="D2410" s="10" t="str">
        <f t="shared" si="372"/>
        <v>9310019902</v>
      </c>
      <c r="E2410" s="3" t="s">
        <v>4</v>
      </c>
      <c r="F2410" s="3" t="s">
        <v>65</v>
      </c>
      <c r="H2410" s="3">
        <v>3.3150000000000004</v>
      </c>
      <c r="I2410" s="10">
        <f t="shared" si="373"/>
        <v>46.111632142643366</v>
      </c>
      <c r="J2410" s="3">
        <v>2.1567226181098476</v>
      </c>
      <c r="K2410" s="3">
        <v>12</v>
      </c>
      <c r="L2410" s="3">
        <f t="shared" si="374"/>
        <v>0</v>
      </c>
      <c r="N2410" s="11">
        <f t="shared" si="375"/>
        <v>1.1582773818901528</v>
      </c>
      <c r="O2410" s="3">
        <v>2.1567226181098476</v>
      </c>
      <c r="P2410" s="11">
        <f t="shared" si="376"/>
        <v>16.111632142643373</v>
      </c>
      <c r="Q2410" s="12">
        <f t="shared" si="377"/>
        <v>6.7815200372676792</v>
      </c>
      <c r="R2410" s="13">
        <f t="shared" si="378"/>
        <v>54.023302349984483</v>
      </c>
      <c r="S2410" s="3" t="s">
        <v>31</v>
      </c>
      <c r="T2410" s="3" t="s">
        <v>32</v>
      </c>
      <c r="U2410" s="10">
        <v>9310019900999</v>
      </c>
      <c r="V2410" s="3">
        <v>0.1</v>
      </c>
      <c r="W2410" s="3">
        <f t="shared" si="379"/>
        <v>1.2000000000000002</v>
      </c>
      <c r="AA2410" s="3">
        <v>48</v>
      </c>
    </row>
    <row r="2411" spans="1:27" x14ac:dyDescent="0.3">
      <c r="A2411" s="3" t="str">
        <f t="shared" si="370"/>
        <v>South9432009900210</v>
      </c>
      <c r="B2411" s="3" t="str">
        <f t="shared" si="371"/>
        <v>CY9432009900210</v>
      </c>
      <c r="C2411" s="10">
        <v>9432009900210</v>
      </c>
      <c r="D2411" s="10" t="str">
        <f t="shared" si="372"/>
        <v>9432009900</v>
      </c>
      <c r="E2411" s="3" t="s">
        <v>4</v>
      </c>
      <c r="F2411" s="3" t="s">
        <v>65</v>
      </c>
      <c r="H2411" s="3">
        <v>1.9520000000000002</v>
      </c>
      <c r="I2411" s="10">
        <f t="shared" si="373"/>
        <v>27.235877648005985</v>
      </c>
      <c r="J2411" s="3">
        <v>2.1501051207831132</v>
      </c>
      <c r="K2411" s="3">
        <v>0</v>
      </c>
      <c r="L2411" s="3">
        <f t="shared" si="374"/>
        <v>0</v>
      </c>
      <c r="N2411" s="11">
        <f t="shared" si="375"/>
        <v>-0.19810512078311304</v>
      </c>
      <c r="O2411" s="3">
        <v>2.1501051207831132</v>
      </c>
      <c r="P2411" s="11">
        <f t="shared" si="376"/>
        <v>-2.7641223519940135</v>
      </c>
      <c r="Q2411" s="12">
        <f t="shared" si="377"/>
        <v>0.55172086610308757</v>
      </c>
      <c r="R2411" s="13">
        <f t="shared" si="378"/>
        <v>7.3143711344841078</v>
      </c>
      <c r="S2411" s="3" t="s">
        <v>31</v>
      </c>
      <c r="T2411" s="3" t="s">
        <v>35</v>
      </c>
      <c r="U2411" s="10">
        <v>0</v>
      </c>
      <c r="V2411" s="3">
        <v>0</v>
      </c>
      <c r="W2411" s="3">
        <f t="shared" si="379"/>
        <v>0</v>
      </c>
      <c r="AA2411" s="3">
        <v>48</v>
      </c>
    </row>
    <row r="2412" spans="1:27" x14ac:dyDescent="0.3">
      <c r="A2412" s="3" t="str">
        <f t="shared" si="370"/>
        <v>South9410019905190</v>
      </c>
      <c r="B2412" s="3" t="str">
        <f t="shared" si="371"/>
        <v>CY9410019905190</v>
      </c>
      <c r="C2412" s="10">
        <v>9410019905190</v>
      </c>
      <c r="D2412" s="10" t="str">
        <f t="shared" si="372"/>
        <v>9410019905</v>
      </c>
      <c r="E2412" s="3" t="s">
        <v>4</v>
      </c>
      <c r="F2412" s="3" t="s">
        <v>65</v>
      </c>
      <c r="H2412" s="3">
        <v>3.5037000000000003</v>
      </c>
      <c r="I2412" s="10">
        <f t="shared" si="373"/>
        <v>49.603017328091433</v>
      </c>
      <c r="J2412" s="3">
        <v>2.1190444787815963</v>
      </c>
      <c r="K2412" s="3">
        <v>0</v>
      </c>
      <c r="L2412" s="3">
        <f t="shared" si="374"/>
        <v>0</v>
      </c>
      <c r="N2412" s="11">
        <f t="shared" si="375"/>
        <v>1.384655521218404</v>
      </c>
      <c r="O2412" s="3">
        <v>2.1190444787815963</v>
      </c>
      <c r="P2412" s="11">
        <f t="shared" si="376"/>
        <v>19.603017328091436</v>
      </c>
      <c r="Q2412" s="12">
        <f t="shared" si="377"/>
        <v>19.603017328091436</v>
      </c>
      <c r="R2412" s="13">
        <f t="shared" si="378"/>
        <v>50.454071810588317</v>
      </c>
      <c r="S2412" s="3" t="s">
        <v>31</v>
      </c>
      <c r="T2412" s="3" t="s">
        <v>32</v>
      </c>
      <c r="U2412" s="10">
        <v>0</v>
      </c>
      <c r="V2412" s="3">
        <v>0</v>
      </c>
      <c r="W2412" s="3">
        <f t="shared" si="379"/>
        <v>0</v>
      </c>
      <c r="AA2412" s="3">
        <v>48</v>
      </c>
    </row>
    <row r="2413" spans="1:27" x14ac:dyDescent="0.3">
      <c r="A2413" s="3" t="str">
        <f t="shared" si="370"/>
        <v>South9320039902839</v>
      </c>
      <c r="B2413" s="3" t="str">
        <f t="shared" si="371"/>
        <v>CY9320039902839</v>
      </c>
      <c r="C2413" s="10">
        <v>9320039902839</v>
      </c>
      <c r="D2413" s="10" t="str">
        <f t="shared" si="372"/>
        <v>9320039902</v>
      </c>
      <c r="E2413" s="3" t="s">
        <v>4</v>
      </c>
      <c r="F2413" s="3" t="s">
        <v>65</v>
      </c>
      <c r="H2413" s="3">
        <v>3.6776999999999997</v>
      </c>
      <c r="I2413" s="10">
        <f t="shared" si="373"/>
        <v>52.34924577942008</v>
      </c>
      <c r="J2413" s="3">
        <v>2.1075948346016884</v>
      </c>
      <c r="K2413" s="3">
        <v>0</v>
      </c>
      <c r="L2413" s="3">
        <f t="shared" si="374"/>
        <v>0</v>
      </c>
      <c r="N2413" s="11">
        <f t="shared" si="375"/>
        <v>1.5701051653983114</v>
      </c>
      <c r="O2413" s="3">
        <v>2.1075948346016884</v>
      </c>
      <c r="P2413" s="11">
        <f t="shared" si="376"/>
        <v>22.349245779420077</v>
      </c>
      <c r="Q2413" s="12">
        <f t="shared" si="377"/>
        <v>18.685681994303057</v>
      </c>
      <c r="R2413" s="13">
        <f t="shared" si="378"/>
        <v>25.893509310912197</v>
      </c>
      <c r="S2413" s="3" t="s">
        <v>30</v>
      </c>
      <c r="T2413" s="3" t="s">
        <v>28</v>
      </c>
      <c r="U2413" s="10">
        <v>0</v>
      </c>
      <c r="V2413" s="3">
        <v>0</v>
      </c>
      <c r="W2413" s="3">
        <f t="shared" si="379"/>
        <v>0</v>
      </c>
      <c r="AA2413" s="3">
        <v>48</v>
      </c>
    </row>
    <row r="2414" spans="1:27" x14ac:dyDescent="0.3">
      <c r="A2414" s="3" t="str">
        <f t="shared" si="370"/>
        <v>South9420069900840</v>
      </c>
      <c r="B2414" s="3" t="str">
        <f t="shared" si="371"/>
        <v>CY9420069900840</v>
      </c>
      <c r="C2414" s="10">
        <v>9420069900840</v>
      </c>
      <c r="D2414" s="10" t="str">
        <f t="shared" si="372"/>
        <v>9420069900</v>
      </c>
      <c r="E2414" s="3" t="s">
        <v>4</v>
      </c>
      <c r="F2414" s="3" t="s">
        <v>65</v>
      </c>
      <c r="H2414" s="3">
        <v>2.7600000000000007</v>
      </c>
      <c r="I2414" s="10">
        <f t="shared" si="373"/>
        <v>39.755853703236596</v>
      </c>
      <c r="J2414" s="3">
        <v>2.0827121615365822</v>
      </c>
      <c r="K2414" s="3">
        <v>0</v>
      </c>
      <c r="L2414" s="3">
        <f t="shared" si="374"/>
        <v>0</v>
      </c>
      <c r="N2414" s="11">
        <f t="shared" si="375"/>
        <v>0.67728783846341845</v>
      </c>
      <c r="O2414" s="3">
        <v>2.0827121615365822</v>
      </c>
      <c r="P2414" s="11">
        <f t="shared" si="376"/>
        <v>9.7558537032365926</v>
      </c>
      <c r="Q2414" s="12">
        <f t="shared" si="377"/>
        <v>7.5561151991717761</v>
      </c>
      <c r="R2414" s="13">
        <f t="shared" si="378"/>
        <v>25.660583345540346</v>
      </c>
      <c r="S2414" s="3" t="s">
        <v>30</v>
      </c>
      <c r="T2414" s="3" t="s">
        <v>28</v>
      </c>
      <c r="U2414" s="10">
        <v>0</v>
      </c>
      <c r="V2414" s="3">
        <v>0</v>
      </c>
      <c r="W2414" s="3">
        <f t="shared" si="379"/>
        <v>0</v>
      </c>
      <c r="AA2414" s="3">
        <v>48</v>
      </c>
    </row>
    <row r="2415" spans="1:27" x14ac:dyDescent="0.3">
      <c r="A2415" s="3" t="str">
        <f t="shared" si="370"/>
        <v>South9320039902097</v>
      </c>
      <c r="B2415" s="3" t="str">
        <f t="shared" si="371"/>
        <v>CY9320039902097</v>
      </c>
      <c r="C2415" s="10">
        <v>9320039902097</v>
      </c>
      <c r="D2415" s="10" t="str">
        <f t="shared" si="372"/>
        <v>9320039902</v>
      </c>
      <c r="E2415" s="3" t="s">
        <v>4</v>
      </c>
      <c r="F2415" s="3" t="s">
        <v>65</v>
      </c>
      <c r="H2415" s="3">
        <v>11.092575</v>
      </c>
      <c r="I2415" s="10">
        <f t="shared" si="373"/>
        <v>162.78768756582932</v>
      </c>
      <c r="J2415" s="3">
        <v>2.0442409065208267</v>
      </c>
      <c r="K2415" s="3">
        <v>0</v>
      </c>
      <c r="L2415" s="3">
        <f t="shared" si="374"/>
        <v>0</v>
      </c>
      <c r="N2415" s="11">
        <f t="shared" si="375"/>
        <v>9.0483340934791734</v>
      </c>
      <c r="O2415" s="3">
        <v>2.0442409065208267</v>
      </c>
      <c r="P2415" s="11">
        <f t="shared" si="376"/>
        <v>132.78768756582932</v>
      </c>
      <c r="Q2415" s="12">
        <f t="shared" si="377"/>
        <v>68.153281934647396</v>
      </c>
      <c r="R2415" s="13">
        <f t="shared" si="378"/>
        <v>14.813342582695007</v>
      </c>
      <c r="S2415" s="3" t="s">
        <v>30</v>
      </c>
      <c r="T2415" s="3" t="s">
        <v>28</v>
      </c>
      <c r="U2415" s="10">
        <v>0</v>
      </c>
      <c r="V2415" s="3">
        <v>0</v>
      </c>
      <c r="W2415" s="3">
        <f t="shared" si="379"/>
        <v>0</v>
      </c>
      <c r="AA2415" s="3">
        <v>48</v>
      </c>
    </row>
    <row r="2416" spans="1:27" x14ac:dyDescent="0.3">
      <c r="A2416" s="3" t="str">
        <f t="shared" si="370"/>
        <v>South9420039901210</v>
      </c>
      <c r="B2416" s="3" t="str">
        <f t="shared" si="371"/>
        <v>CY9420039901210</v>
      </c>
      <c r="C2416" s="10">
        <v>9420039901210</v>
      </c>
      <c r="D2416" s="10" t="str">
        <f t="shared" si="372"/>
        <v>9420039901</v>
      </c>
      <c r="E2416" s="3" t="s">
        <v>4</v>
      </c>
      <c r="F2416" s="3" t="s">
        <v>65</v>
      </c>
      <c r="H2416" s="3">
        <v>2.3119999999999998</v>
      </c>
      <c r="I2416" s="10">
        <f t="shared" si="373"/>
        <v>34.038301024027362</v>
      </c>
      <c r="J2416" s="3">
        <v>2.037704524413229</v>
      </c>
      <c r="K2416" s="3">
        <v>0</v>
      </c>
      <c r="L2416" s="3">
        <f t="shared" si="374"/>
        <v>0</v>
      </c>
      <c r="N2416" s="11">
        <f t="shared" si="375"/>
        <v>0.27429547558677081</v>
      </c>
      <c r="O2416" s="3">
        <v>2.037704524413229</v>
      </c>
      <c r="P2416" s="11">
        <f t="shared" si="376"/>
        <v>4.0383010240273585</v>
      </c>
      <c r="Q2416" s="12">
        <f t="shared" si="377"/>
        <v>-2.2921373667115859</v>
      </c>
      <c r="R2416" s="13">
        <f t="shared" si="378"/>
        <v>-10.289621700239787</v>
      </c>
      <c r="S2416" s="3" t="s">
        <v>31</v>
      </c>
      <c r="T2416" s="3" t="s">
        <v>28</v>
      </c>
      <c r="U2416" s="10">
        <v>0</v>
      </c>
      <c r="V2416" s="3">
        <v>0</v>
      </c>
      <c r="W2416" s="3">
        <f t="shared" si="379"/>
        <v>0</v>
      </c>
      <c r="AA2416" s="3">
        <v>48</v>
      </c>
    </row>
    <row r="2417" spans="1:27" x14ac:dyDescent="0.3">
      <c r="A2417" s="3" t="str">
        <f t="shared" si="370"/>
        <v>South9310039901840</v>
      </c>
      <c r="B2417" s="3" t="str">
        <f t="shared" si="371"/>
        <v>CY9310039901840</v>
      </c>
      <c r="C2417" s="10">
        <v>9310039901840</v>
      </c>
      <c r="D2417" s="10" t="str">
        <f t="shared" si="372"/>
        <v>9310039901</v>
      </c>
      <c r="E2417" s="3" t="s">
        <v>4</v>
      </c>
      <c r="F2417" s="3" t="s">
        <v>65</v>
      </c>
      <c r="H2417" s="3">
        <v>4.7320000000000011</v>
      </c>
      <c r="I2417" s="10">
        <f t="shared" si="373"/>
        <v>72.950392766325564</v>
      </c>
      <c r="J2417" s="3">
        <v>1.9459799271365923</v>
      </c>
      <c r="K2417" s="3">
        <v>0</v>
      </c>
      <c r="L2417" s="3">
        <f t="shared" si="374"/>
        <v>0</v>
      </c>
      <c r="N2417" s="11">
        <f t="shared" si="375"/>
        <v>2.7860200728634088</v>
      </c>
      <c r="O2417" s="3">
        <v>1.9459799271365923</v>
      </c>
      <c r="P2417" s="11">
        <f t="shared" si="376"/>
        <v>42.950392766325578</v>
      </c>
      <c r="Q2417" s="12">
        <f t="shared" si="377"/>
        <v>35.376960283229046</v>
      </c>
      <c r="R2417" s="13">
        <f t="shared" si="378"/>
        <v>42.929882151854791</v>
      </c>
      <c r="S2417" s="3" t="s">
        <v>31</v>
      </c>
      <c r="T2417" s="3" t="s">
        <v>32</v>
      </c>
      <c r="U2417" s="10">
        <v>0</v>
      </c>
      <c r="V2417" s="3">
        <v>0</v>
      </c>
      <c r="W2417" s="3">
        <f t="shared" si="379"/>
        <v>0</v>
      </c>
      <c r="AA2417" s="3">
        <v>48</v>
      </c>
    </row>
    <row r="2418" spans="1:27" x14ac:dyDescent="0.3">
      <c r="A2418" s="3" t="str">
        <f t="shared" si="370"/>
        <v>South9320099901210</v>
      </c>
      <c r="B2418" s="3" t="str">
        <f t="shared" si="371"/>
        <v>CY9320099901210</v>
      </c>
      <c r="C2418" s="10">
        <v>9320099901210</v>
      </c>
      <c r="D2418" s="10" t="str">
        <f t="shared" si="372"/>
        <v>9320099901</v>
      </c>
      <c r="E2418" s="3" t="s">
        <v>4</v>
      </c>
      <c r="F2418" s="3" t="s">
        <v>65</v>
      </c>
      <c r="H2418" s="3">
        <v>2.1040000000000001</v>
      </c>
      <c r="I2418" s="10">
        <f t="shared" si="373"/>
        <v>32.598904337501878</v>
      </c>
      <c r="J2418" s="3">
        <v>1.9362613953680206</v>
      </c>
      <c r="K2418" s="3">
        <v>0</v>
      </c>
      <c r="L2418" s="3">
        <f t="shared" si="374"/>
        <v>0</v>
      </c>
      <c r="N2418" s="11">
        <f t="shared" si="375"/>
        <v>0.16773860463197954</v>
      </c>
      <c r="O2418" s="3">
        <v>1.9362613953680206</v>
      </c>
      <c r="P2418" s="11">
        <f t="shared" si="376"/>
        <v>2.5989043375018772</v>
      </c>
      <c r="Q2418" s="12">
        <f t="shared" si="377"/>
        <v>-2.7102469030518339</v>
      </c>
      <c r="R2418" s="13">
        <f t="shared" si="378"/>
        <v>29.724229731147283</v>
      </c>
      <c r="S2418" s="3" t="s">
        <v>31</v>
      </c>
      <c r="T2418" s="3" t="s">
        <v>28</v>
      </c>
      <c r="U2418" s="10">
        <v>0</v>
      </c>
      <c r="V2418" s="3">
        <v>0</v>
      </c>
      <c r="W2418" s="3">
        <f t="shared" si="379"/>
        <v>0</v>
      </c>
      <c r="AA2418" s="3">
        <v>48</v>
      </c>
    </row>
    <row r="2419" spans="1:27" x14ac:dyDescent="0.3">
      <c r="A2419" s="3" t="str">
        <f t="shared" si="370"/>
        <v>South9420139901840</v>
      </c>
      <c r="B2419" s="3" t="str">
        <f t="shared" si="371"/>
        <v>CY9420139901840</v>
      </c>
      <c r="C2419" s="10">
        <v>9420139901840</v>
      </c>
      <c r="D2419" s="10" t="str">
        <f t="shared" si="372"/>
        <v>9420139901</v>
      </c>
      <c r="E2419" s="3" t="s">
        <v>4</v>
      </c>
      <c r="F2419" s="3" t="s">
        <v>65</v>
      </c>
      <c r="H2419" s="3">
        <v>0</v>
      </c>
      <c r="I2419" s="10">
        <f t="shared" si="373"/>
        <v>0</v>
      </c>
      <c r="J2419" s="3">
        <v>1.9355342833686842</v>
      </c>
      <c r="K2419" s="3">
        <v>0</v>
      </c>
      <c r="L2419" s="3">
        <f t="shared" si="374"/>
        <v>0</v>
      </c>
      <c r="N2419" s="11">
        <f t="shared" si="375"/>
        <v>-1.9355342833686842</v>
      </c>
      <c r="O2419" s="3">
        <v>1.9355342833686842</v>
      </c>
      <c r="P2419" s="11">
        <f t="shared" si="376"/>
        <v>-30</v>
      </c>
      <c r="Q2419" s="12">
        <f t="shared" si="377"/>
        <v>92.593011413173969</v>
      </c>
      <c r="R2419" s="13">
        <f t="shared" si="378"/>
        <v>50.297723678272817</v>
      </c>
      <c r="S2419" s="3" t="s">
        <v>31</v>
      </c>
      <c r="T2419" s="3" t="s">
        <v>28</v>
      </c>
      <c r="U2419" s="10">
        <v>0</v>
      </c>
      <c r="V2419" s="3">
        <v>0</v>
      </c>
      <c r="W2419" s="3">
        <f t="shared" si="379"/>
        <v>0</v>
      </c>
      <c r="AA2419" s="3">
        <v>48</v>
      </c>
    </row>
    <row r="2420" spans="1:27" x14ac:dyDescent="0.3">
      <c r="A2420" s="3" t="str">
        <f t="shared" si="370"/>
        <v>South9320089900320</v>
      </c>
      <c r="B2420" s="3" t="str">
        <f t="shared" si="371"/>
        <v>CY9320089900320</v>
      </c>
      <c r="C2420" s="10">
        <v>9320089900320</v>
      </c>
      <c r="D2420" s="10" t="str">
        <f t="shared" si="372"/>
        <v>9320089900</v>
      </c>
      <c r="E2420" s="3" t="s">
        <v>4</v>
      </c>
      <c r="F2420" s="3" t="s">
        <v>65</v>
      </c>
      <c r="H2420" s="3">
        <v>3.0400000000000009</v>
      </c>
      <c r="I2420" s="10">
        <f t="shared" si="373"/>
        <v>48.238236972984225</v>
      </c>
      <c r="J2420" s="3">
        <v>1.8906163600273471</v>
      </c>
      <c r="K2420" s="3">
        <v>0</v>
      </c>
      <c r="L2420" s="3">
        <f t="shared" si="374"/>
        <v>0</v>
      </c>
      <c r="N2420" s="11">
        <f t="shared" si="375"/>
        <v>1.1493836399726538</v>
      </c>
      <c r="O2420" s="3">
        <v>1.8906163600273471</v>
      </c>
      <c r="P2420" s="11">
        <f t="shared" si="376"/>
        <v>18.238236972984222</v>
      </c>
      <c r="Q2420" s="12">
        <f t="shared" si="377"/>
        <v>54.788237341133311</v>
      </c>
      <c r="R2420" s="13">
        <f t="shared" si="378"/>
        <v>49.657770810926209</v>
      </c>
      <c r="S2420" s="3" t="s">
        <v>31</v>
      </c>
      <c r="T2420" s="3" t="s">
        <v>28</v>
      </c>
      <c r="U2420" s="10">
        <v>9320089900999</v>
      </c>
      <c r="V2420" s="3">
        <v>0.1</v>
      </c>
      <c r="W2420" s="3">
        <f t="shared" si="379"/>
        <v>0</v>
      </c>
      <c r="AA2420" s="3">
        <v>48</v>
      </c>
    </row>
    <row r="2421" spans="1:27" x14ac:dyDescent="0.3">
      <c r="A2421" s="3" t="str">
        <f t="shared" si="370"/>
        <v>South9320039905219</v>
      </c>
      <c r="B2421" s="3" t="str">
        <f t="shared" si="371"/>
        <v>CY9320039905219</v>
      </c>
      <c r="C2421" s="10">
        <v>9320039905219</v>
      </c>
      <c r="D2421" s="10" t="str">
        <f t="shared" si="372"/>
        <v>9320039905</v>
      </c>
      <c r="E2421" s="3" t="s">
        <v>4</v>
      </c>
      <c r="F2421" s="3" t="s">
        <v>65</v>
      </c>
      <c r="H2421" s="3">
        <v>10.588499999999998</v>
      </c>
      <c r="I2421" s="10">
        <f t="shared" si="373"/>
        <v>168.64357692527162</v>
      </c>
      <c r="J2421" s="3">
        <v>1.8835878946089799</v>
      </c>
      <c r="K2421" s="3">
        <v>0</v>
      </c>
      <c r="L2421" s="3">
        <f t="shared" si="374"/>
        <v>0</v>
      </c>
      <c r="N2421" s="11">
        <f t="shared" si="375"/>
        <v>8.7049121053910188</v>
      </c>
      <c r="O2421" s="3">
        <v>1.8835878946089799</v>
      </c>
      <c r="P2421" s="11">
        <f t="shared" si="376"/>
        <v>138.64357692527165</v>
      </c>
      <c r="Q2421" s="12">
        <f t="shared" si="377"/>
        <v>138.64357692527162</v>
      </c>
      <c r="R2421" s="13">
        <f t="shared" si="378"/>
        <v>65.456050892994426</v>
      </c>
      <c r="S2421" s="3" t="s">
        <v>31</v>
      </c>
      <c r="T2421" s="3" t="s">
        <v>28</v>
      </c>
      <c r="U2421" s="10">
        <v>9320039900999</v>
      </c>
      <c r="V2421" s="3">
        <v>0.1</v>
      </c>
      <c r="W2421" s="3">
        <f t="shared" si="379"/>
        <v>0</v>
      </c>
      <c r="AA2421" s="3">
        <v>48</v>
      </c>
    </row>
    <row r="2422" spans="1:27" x14ac:dyDescent="0.3">
      <c r="A2422" s="3" t="str">
        <f t="shared" si="370"/>
        <v>South9360019900310</v>
      </c>
      <c r="B2422" s="3" t="str">
        <f t="shared" si="371"/>
        <v>CY9360019900310</v>
      </c>
      <c r="C2422" s="10">
        <v>9360019900310</v>
      </c>
      <c r="D2422" s="10" t="str">
        <f t="shared" si="372"/>
        <v>9360019900</v>
      </c>
      <c r="E2422" s="3" t="s">
        <v>4</v>
      </c>
      <c r="F2422" s="3" t="s">
        <v>65</v>
      </c>
      <c r="H2422" s="3">
        <v>0.9700000000000002</v>
      </c>
      <c r="I2422" s="10">
        <f t="shared" si="373"/>
        <v>15.475063879587447</v>
      </c>
      <c r="J2422" s="3">
        <v>1.8804445801600005</v>
      </c>
      <c r="K2422" s="3">
        <v>0</v>
      </c>
      <c r="L2422" s="3">
        <f t="shared" si="374"/>
        <v>0</v>
      </c>
      <c r="N2422" s="11">
        <f t="shared" si="375"/>
        <v>-0.91044458016000029</v>
      </c>
      <c r="O2422" s="3">
        <v>1.8804445801600005</v>
      </c>
      <c r="P2422" s="11">
        <f t="shared" si="376"/>
        <v>-14.524936120412553</v>
      </c>
      <c r="Q2422" s="12">
        <f t="shared" si="377"/>
        <v>150.13511556128603</v>
      </c>
      <c r="R2422" s="13">
        <f t="shared" si="378"/>
        <v>13.739643012449649</v>
      </c>
      <c r="S2422" s="3" t="s">
        <v>31</v>
      </c>
      <c r="T2422" s="3" t="s">
        <v>33</v>
      </c>
      <c r="U2422" s="10">
        <v>9360019900999</v>
      </c>
      <c r="V2422" s="3">
        <v>0.1</v>
      </c>
      <c r="W2422" s="3">
        <f t="shared" si="379"/>
        <v>0</v>
      </c>
      <c r="AA2422" s="3">
        <v>48</v>
      </c>
    </row>
    <row r="2423" spans="1:27" x14ac:dyDescent="0.3">
      <c r="A2423" s="3" t="str">
        <f t="shared" si="370"/>
        <v>South9432019900310</v>
      </c>
      <c r="B2423" s="3" t="str">
        <f t="shared" si="371"/>
        <v>CY9432019900310</v>
      </c>
      <c r="C2423" s="10">
        <v>9432019900310</v>
      </c>
      <c r="D2423" s="10" t="str">
        <f t="shared" si="372"/>
        <v>9432019900</v>
      </c>
      <c r="E2423" s="3" t="s">
        <v>4</v>
      </c>
      <c r="F2423" s="3" t="s">
        <v>65</v>
      </c>
      <c r="H2423" s="3">
        <v>3.3859999999999997</v>
      </c>
      <c r="I2423" s="10">
        <f t="shared" si="373"/>
        <v>54.706178580578197</v>
      </c>
      <c r="J2423" s="3">
        <v>1.8568286551103197</v>
      </c>
      <c r="K2423" s="3">
        <v>0</v>
      </c>
      <c r="L2423" s="3">
        <f t="shared" si="374"/>
        <v>0</v>
      </c>
      <c r="N2423" s="11">
        <f t="shared" si="375"/>
        <v>1.52917134488968</v>
      </c>
      <c r="O2423" s="3">
        <v>1.8568286551103197</v>
      </c>
      <c r="P2423" s="11">
        <f t="shared" si="376"/>
        <v>24.706178580578197</v>
      </c>
      <c r="Q2423" s="12">
        <f t="shared" si="377"/>
        <v>53.374737691069733</v>
      </c>
      <c r="R2423" s="13">
        <f t="shared" si="378"/>
        <v>27.317568745609034</v>
      </c>
      <c r="S2423" s="3" t="s">
        <v>30</v>
      </c>
      <c r="T2423" s="3" t="s">
        <v>35</v>
      </c>
      <c r="U2423" s="10">
        <v>9432019900999</v>
      </c>
      <c r="V2423" s="3">
        <v>0.1</v>
      </c>
      <c r="W2423" s="3">
        <f t="shared" si="379"/>
        <v>0</v>
      </c>
      <c r="AA2423" s="3">
        <v>48</v>
      </c>
    </row>
    <row r="2424" spans="1:27" x14ac:dyDescent="0.3">
      <c r="A2424" s="3" t="str">
        <f t="shared" si="370"/>
        <v>South9310039900320</v>
      </c>
      <c r="B2424" s="3" t="str">
        <f t="shared" si="371"/>
        <v>CY9310039900320</v>
      </c>
      <c r="C2424" s="10">
        <v>9310039900320</v>
      </c>
      <c r="D2424" s="10" t="str">
        <f t="shared" si="372"/>
        <v>9310039900</v>
      </c>
      <c r="E2424" s="3" t="s">
        <v>4</v>
      </c>
      <c r="F2424" s="3" t="s">
        <v>65</v>
      </c>
      <c r="H2424" s="3">
        <v>3.4000000000000008</v>
      </c>
      <c r="I2424" s="10">
        <f t="shared" si="373"/>
        <v>55.970474791213164</v>
      </c>
      <c r="J2424" s="3">
        <v>1.822389400491794</v>
      </c>
      <c r="K2424" s="3">
        <v>0</v>
      </c>
      <c r="L2424" s="3">
        <f t="shared" si="374"/>
        <v>0</v>
      </c>
      <c r="N2424" s="11">
        <f t="shared" si="375"/>
        <v>1.5776105995082068</v>
      </c>
      <c r="O2424" s="3">
        <v>1.822389400491794</v>
      </c>
      <c r="P2424" s="11">
        <f t="shared" si="376"/>
        <v>25.970474791213164</v>
      </c>
      <c r="Q2424" s="12">
        <f t="shared" si="377"/>
        <v>21.707569369865006</v>
      </c>
      <c r="R2424" s="13">
        <f t="shared" si="378"/>
        <v>114.55890058849035</v>
      </c>
      <c r="S2424" s="3" t="s">
        <v>30</v>
      </c>
      <c r="T2424" s="3" t="s">
        <v>32</v>
      </c>
      <c r="U2424" s="10">
        <v>9310039900999</v>
      </c>
      <c r="V2424" s="3">
        <v>0.1</v>
      </c>
      <c r="W2424" s="3">
        <f t="shared" si="379"/>
        <v>0</v>
      </c>
      <c r="AA2424" s="3">
        <v>48</v>
      </c>
    </row>
    <row r="2425" spans="1:27" x14ac:dyDescent="0.3">
      <c r="A2425" s="3" t="str">
        <f t="shared" si="370"/>
        <v>South9320029900310</v>
      </c>
      <c r="B2425" s="3" t="str">
        <f t="shared" si="371"/>
        <v>CY9320029900310</v>
      </c>
      <c r="C2425" s="10">
        <v>9320029900310</v>
      </c>
      <c r="D2425" s="10" t="str">
        <f t="shared" si="372"/>
        <v>9320029900</v>
      </c>
      <c r="E2425" s="3" t="s">
        <v>4</v>
      </c>
      <c r="F2425" s="3" t="s">
        <v>65</v>
      </c>
      <c r="H2425" s="3">
        <v>3.899999999999999</v>
      </c>
      <c r="I2425" s="10">
        <f t="shared" si="373"/>
        <v>65.642800218869766</v>
      </c>
      <c r="J2425" s="3">
        <v>1.7823736892681643</v>
      </c>
      <c r="K2425" s="3">
        <v>0</v>
      </c>
      <c r="L2425" s="3">
        <f t="shared" si="374"/>
        <v>0</v>
      </c>
      <c r="N2425" s="11">
        <f t="shared" si="375"/>
        <v>2.1176263107318345</v>
      </c>
      <c r="O2425" s="3">
        <v>1.7823736892681643</v>
      </c>
      <c r="P2425" s="11">
        <f t="shared" si="376"/>
        <v>35.642800218869766</v>
      </c>
      <c r="Q2425" s="12">
        <f t="shared" si="377"/>
        <v>13.287608270593944</v>
      </c>
      <c r="R2425" s="13">
        <f t="shared" si="378"/>
        <v>9.5182439109816208</v>
      </c>
      <c r="S2425" s="3" t="s">
        <v>30</v>
      </c>
      <c r="T2425" s="3" t="s">
        <v>28</v>
      </c>
      <c r="U2425" s="10">
        <v>9320029900999</v>
      </c>
      <c r="V2425" s="3">
        <v>0.1</v>
      </c>
      <c r="W2425" s="3">
        <f t="shared" si="379"/>
        <v>0</v>
      </c>
      <c r="AA2425" s="3">
        <v>48</v>
      </c>
    </row>
    <row r="2426" spans="1:27" x14ac:dyDescent="0.3">
      <c r="A2426" s="3" t="str">
        <f t="shared" si="370"/>
        <v>South9360119922240</v>
      </c>
      <c r="B2426" s="3" t="str">
        <f t="shared" si="371"/>
        <v>CY9360119922240</v>
      </c>
      <c r="C2426" s="10">
        <v>9360119922240</v>
      </c>
      <c r="D2426" s="10" t="str">
        <f t="shared" si="372"/>
        <v>9360119922</v>
      </c>
      <c r="E2426" s="3" t="s">
        <v>4</v>
      </c>
      <c r="F2426" s="3" t="s">
        <v>65</v>
      </c>
      <c r="H2426" s="3">
        <v>2.0000000000000004</v>
      </c>
      <c r="I2426" s="10">
        <f t="shared" si="373"/>
        <v>33.820278404733756</v>
      </c>
      <c r="J2426" s="3">
        <v>1.7740835625883531</v>
      </c>
      <c r="K2426" s="3">
        <v>0</v>
      </c>
      <c r="L2426" s="3">
        <f t="shared" si="374"/>
        <v>0</v>
      </c>
      <c r="N2426" s="11">
        <f t="shared" si="375"/>
        <v>0.22591643741164735</v>
      </c>
      <c r="O2426" s="3">
        <v>1.7740835625883531</v>
      </c>
      <c r="P2426" s="11">
        <f t="shared" si="376"/>
        <v>3.8202784047337608</v>
      </c>
      <c r="Q2426" s="12">
        <f t="shared" si="377"/>
        <v>200.1089562165939</v>
      </c>
      <c r="R2426" s="13">
        <f t="shared" si="378"/>
        <v>79.889481963770294</v>
      </c>
      <c r="S2426" s="3" t="s">
        <v>31</v>
      </c>
      <c r="T2426" s="3" t="s">
        <v>33</v>
      </c>
      <c r="U2426" s="10">
        <v>0</v>
      </c>
      <c r="V2426" s="3">
        <v>0</v>
      </c>
      <c r="W2426" s="3">
        <f t="shared" si="379"/>
        <v>0</v>
      </c>
      <c r="AA2426" s="3">
        <v>48</v>
      </c>
    </row>
    <row r="2427" spans="1:27" x14ac:dyDescent="0.3">
      <c r="A2427" s="3" t="str">
        <f t="shared" si="370"/>
        <v>South9310019905839</v>
      </c>
      <c r="B2427" s="3" t="str">
        <f t="shared" si="371"/>
        <v>CY9310019905839</v>
      </c>
      <c r="C2427" s="10">
        <v>9310019905839</v>
      </c>
      <c r="D2427" s="10" t="str">
        <f t="shared" si="372"/>
        <v>9310019905</v>
      </c>
      <c r="E2427" s="3" t="s">
        <v>4</v>
      </c>
      <c r="F2427" s="3" t="s">
        <v>65</v>
      </c>
      <c r="H2427" s="3">
        <v>3.2330999999999999</v>
      </c>
      <c r="I2427" s="10">
        <f t="shared" si="373"/>
        <v>55.47250025249928</v>
      </c>
      <c r="J2427" s="3">
        <v>1.7484879815856154</v>
      </c>
      <c r="K2427" s="3">
        <v>0</v>
      </c>
      <c r="L2427" s="3">
        <f t="shared" si="374"/>
        <v>0</v>
      </c>
      <c r="N2427" s="11">
        <f t="shared" si="375"/>
        <v>1.4846120184143845</v>
      </c>
      <c r="O2427" s="3">
        <v>1.7484879815856154</v>
      </c>
      <c r="P2427" s="11">
        <f t="shared" si="376"/>
        <v>25.472500252499273</v>
      </c>
      <c r="Q2427" s="12">
        <f t="shared" si="377"/>
        <v>25.472500252499273</v>
      </c>
      <c r="R2427" s="13">
        <f t="shared" si="378"/>
        <v>212.69288208290433</v>
      </c>
      <c r="S2427" s="3" t="s">
        <v>31</v>
      </c>
      <c r="T2427" s="3" t="s">
        <v>32</v>
      </c>
      <c r="U2427" s="10">
        <v>0</v>
      </c>
      <c r="V2427" s="3">
        <v>0</v>
      </c>
      <c r="W2427" s="3">
        <f t="shared" si="379"/>
        <v>0</v>
      </c>
      <c r="AA2427" s="3">
        <v>48</v>
      </c>
    </row>
    <row r="2428" spans="1:27" x14ac:dyDescent="0.3">
      <c r="A2428" s="3" t="str">
        <f t="shared" si="370"/>
        <v>South9310029901320</v>
      </c>
      <c r="B2428" s="3" t="str">
        <f t="shared" si="371"/>
        <v>CY9310029901320</v>
      </c>
      <c r="C2428" s="10">
        <v>9310029901320</v>
      </c>
      <c r="D2428" s="10" t="str">
        <f t="shared" si="372"/>
        <v>9310029901</v>
      </c>
      <c r="E2428" s="3" t="s">
        <v>4</v>
      </c>
      <c r="F2428" s="3" t="s">
        <v>65</v>
      </c>
      <c r="H2428" s="3">
        <v>14.1</v>
      </c>
      <c r="I2428" s="10">
        <f t="shared" si="373"/>
        <v>247.91384753796595</v>
      </c>
      <c r="J2428" s="3">
        <v>1.7062378894959511</v>
      </c>
      <c r="K2428" s="3">
        <v>0</v>
      </c>
      <c r="L2428" s="3">
        <f t="shared" si="374"/>
        <v>0</v>
      </c>
      <c r="N2428" s="11">
        <f t="shared" si="375"/>
        <v>12.393762110504049</v>
      </c>
      <c r="O2428" s="3">
        <v>1.7062378894959511</v>
      </c>
      <c r="P2428" s="11">
        <f t="shared" si="376"/>
        <v>217.91384753796595</v>
      </c>
      <c r="Q2428" s="12">
        <f t="shared" si="377"/>
        <v>91.817307075481864</v>
      </c>
      <c r="R2428" s="13">
        <f t="shared" si="378"/>
        <v>68.274718392050673</v>
      </c>
      <c r="S2428" s="3" t="s">
        <v>31</v>
      </c>
      <c r="T2428" s="3" t="s">
        <v>32</v>
      </c>
      <c r="U2428" s="10">
        <v>9310029900999</v>
      </c>
      <c r="V2428" s="3">
        <v>0.1</v>
      </c>
      <c r="W2428" s="3">
        <f t="shared" si="379"/>
        <v>0</v>
      </c>
      <c r="AA2428" s="3">
        <v>48</v>
      </c>
    </row>
    <row r="2429" spans="1:27" x14ac:dyDescent="0.3">
      <c r="A2429" s="3" t="str">
        <f t="shared" si="370"/>
        <v>South9320029906839</v>
      </c>
      <c r="B2429" s="3" t="str">
        <f t="shared" si="371"/>
        <v>CY9320029906839</v>
      </c>
      <c r="C2429" s="10">
        <v>9320029906839</v>
      </c>
      <c r="D2429" s="10" t="str">
        <f t="shared" si="372"/>
        <v>9320029906</v>
      </c>
      <c r="E2429" s="3" t="s">
        <v>4</v>
      </c>
      <c r="F2429" s="3" t="s">
        <v>65</v>
      </c>
      <c r="H2429" s="3">
        <v>6.9966000000000008</v>
      </c>
      <c r="I2429" s="10">
        <f t="shared" si="373"/>
        <v>123.11852344844732</v>
      </c>
      <c r="J2429" s="3">
        <v>1.7048450072412489</v>
      </c>
      <c r="K2429" s="3">
        <v>0</v>
      </c>
      <c r="L2429" s="3">
        <f t="shared" si="374"/>
        <v>0</v>
      </c>
      <c r="N2429" s="11">
        <f t="shared" si="375"/>
        <v>5.2917549927587517</v>
      </c>
      <c r="O2429" s="3">
        <v>1.7048450072412489</v>
      </c>
      <c r="P2429" s="11">
        <f t="shared" si="376"/>
        <v>93.118523448447306</v>
      </c>
      <c r="Q2429" s="12">
        <f t="shared" si="377"/>
        <v>93.118523448447306</v>
      </c>
      <c r="R2429" s="13">
        <f t="shared" si="378"/>
        <v>147.88602369105809</v>
      </c>
      <c r="S2429" s="3" t="s">
        <v>31</v>
      </c>
      <c r="T2429" s="3" t="s">
        <v>28</v>
      </c>
      <c r="U2429" s="10">
        <v>0</v>
      </c>
      <c r="V2429" s="3">
        <v>0</v>
      </c>
      <c r="W2429" s="3">
        <f t="shared" si="379"/>
        <v>0</v>
      </c>
      <c r="AA2429" s="3">
        <v>48</v>
      </c>
    </row>
    <row r="2430" spans="1:27" x14ac:dyDescent="0.3">
      <c r="A2430" s="3" t="str">
        <f t="shared" si="370"/>
        <v>South9320019900210</v>
      </c>
      <c r="B2430" s="3" t="str">
        <f t="shared" si="371"/>
        <v>CY9320019900210</v>
      </c>
      <c r="C2430" s="10">
        <v>9320019900210</v>
      </c>
      <c r="D2430" s="10" t="str">
        <f t="shared" si="372"/>
        <v>9320019900</v>
      </c>
      <c r="E2430" s="3" t="s">
        <v>4</v>
      </c>
      <c r="F2430" s="3" t="s">
        <v>65</v>
      </c>
      <c r="H2430" s="3">
        <v>2.1160000000000001</v>
      </c>
      <c r="I2430" s="10">
        <f t="shared" si="373"/>
        <v>37.660541908137738</v>
      </c>
      <c r="J2430" s="3">
        <v>1.6855838175361773</v>
      </c>
      <c r="K2430" s="3">
        <v>0</v>
      </c>
      <c r="L2430" s="3">
        <f t="shared" si="374"/>
        <v>0</v>
      </c>
      <c r="N2430" s="11">
        <f t="shared" si="375"/>
        <v>0.43041618246382285</v>
      </c>
      <c r="O2430" s="3">
        <v>1.6855838175361773</v>
      </c>
      <c r="P2430" s="11">
        <f t="shared" si="376"/>
        <v>7.6605419081377404</v>
      </c>
      <c r="Q2430" s="12">
        <f t="shared" si="377"/>
        <v>2.2746381944889169</v>
      </c>
      <c r="R2430" s="13">
        <f t="shared" si="378"/>
        <v>72.211571713659765</v>
      </c>
      <c r="S2430" s="3" t="s">
        <v>31</v>
      </c>
      <c r="T2430" s="3" t="s">
        <v>28</v>
      </c>
      <c r="U2430" s="10">
        <v>0</v>
      </c>
      <c r="V2430" s="3">
        <v>0</v>
      </c>
      <c r="W2430" s="3">
        <f t="shared" si="379"/>
        <v>0</v>
      </c>
      <c r="AA2430" s="3">
        <v>48</v>
      </c>
    </row>
    <row r="2431" spans="1:27" x14ac:dyDescent="0.3">
      <c r="A2431" s="3" t="str">
        <f t="shared" si="370"/>
        <v>South9432009906836</v>
      </c>
      <c r="B2431" s="3" t="str">
        <f t="shared" si="371"/>
        <v>CY9432009906836</v>
      </c>
      <c r="C2431" s="10">
        <v>9432009906836</v>
      </c>
      <c r="D2431" s="10" t="str">
        <f t="shared" si="372"/>
        <v>9432009906</v>
      </c>
      <c r="E2431" s="3" t="s">
        <v>4</v>
      </c>
      <c r="F2431" s="3" t="s">
        <v>65</v>
      </c>
      <c r="H2431" s="3">
        <v>3.4416000000000007</v>
      </c>
      <c r="I2431" s="10">
        <f t="shared" si="373"/>
        <v>62.702623337650131</v>
      </c>
      <c r="J2431" s="3">
        <v>1.6466296704049412</v>
      </c>
      <c r="K2431" s="3">
        <v>0</v>
      </c>
      <c r="L2431" s="3">
        <f t="shared" si="374"/>
        <v>0</v>
      </c>
      <c r="N2431" s="11">
        <f t="shared" si="375"/>
        <v>1.7949703295950594</v>
      </c>
      <c r="O2431" s="3">
        <v>1.6466296704049412</v>
      </c>
      <c r="P2431" s="11">
        <f t="shared" si="376"/>
        <v>32.702623337650138</v>
      </c>
      <c r="Q2431" s="12">
        <f t="shared" si="377"/>
        <v>32.702623337650138</v>
      </c>
      <c r="R2431" s="13">
        <f t="shared" si="378"/>
        <v>30.38484096995214</v>
      </c>
      <c r="S2431" s="3" t="s">
        <v>31</v>
      </c>
      <c r="T2431" s="3" t="s">
        <v>35</v>
      </c>
      <c r="U2431" s="10">
        <v>0</v>
      </c>
      <c r="V2431" s="3">
        <v>0</v>
      </c>
      <c r="W2431" s="3">
        <f t="shared" si="379"/>
        <v>0</v>
      </c>
      <c r="AA2431" s="3">
        <v>48</v>
      </c>
    </row>
    <row r="2432" spans="1:27" x14ac:dyDescent="0.3">
      <c r="A2432" s="3" t="str">
        <f t="shared" si="370"/>
        <v>South9330229902219</v>
      </c>
      <c r="B2432" s="3" t="str">
        <f t="shared" si="371"/>
        <v>CY9330229902219</v>
      </c>
      <c r="C2432" s="10">
        <v>9330229902219</v>
      </c>
      <c r="D2432" s="10" t="str">
        <f t="shared" si="372"/>
        <v>9330229902</v>
      </c>
      <c r="E2432" s="3" t="s">
        <v>4</v>
      </c>
      <c r="F2432" s="3" t="s">
        <v>65</v>
      </c>
      <c r="H2432" s="3">
        <v>1.2519000000000002</v>
      </c>
      <c r="I2432" s="10">
        <f t="shared" si="373"/>
        <v>23.244479856966858</v>
      </c>
      <c r="J2432" s="3">
        <v>1.6157384562315076</v>
      </c>
      <c r="K2432" s="3">
        <v>0</v>
      </c>
      <c r="L2432" s="3">
        <f t="shared" si="374"/>
        <v>0</v>
      </c>
      <c r="N2432" s="11">
        <f t="shared" si="375"/>
        <v>-0.36383845623150735</v>
      </c>
      <c r="O2432" s="3">
        <v>1.6157384562315076</v>
      </c>
      <c r="P2432" s="11">
        <f t="shared" si="376"/>
        <v>-6.7555201430331406</v>
      </c>
      <c r="Q2432" s="12">
        <f t="shared" si="377"/>
        <v>-10.550618688304445</v>
      </c>
      <c r="R2432" s="13">
        <f t="shared" si="378"/>
        <v>-1.5686034880965269</v>
      </c>
      <c r="S2432" s="3" t="s">
        <v>31</v>
      </c>
      <c r="T2432" s="3" t="s">
        <v>35</v>
      </c>
      <c r="U2432" s="10">
        <v>9330229900999</v>
      </c>
      <c r="V2432" s="3">
        <v>0.1</v>
      </c>
      <c r="W2432" s="3">
        <f t="shared" si="379"/>
        <v>0</v>
      </c>
      <c r="AA2432" s="3">
        <v>48</v>
      </c>
    </row>
    <row r="2433" spans="1:27" x14ac:dyDescent="0.3">
      <c r="A2433" s="3" t="str">
        <f t="shared" si="370"/>
        <v>South9432019905836</v>
      </c>
      <c r="B2433" s="3" t="str">
        <f t="shared" si="371"/>
        <v>CY9432019905836</v>
      </c>
      <c r="C2433" s="10">
        <v>9432019905836</v>
      </c>
      <c r="D2433" s="10" t="str">
        <f t="shared" si="372"/>
        <v>9432019905</v>
      </c>
      <c r="E2433" s="3" t="s">
        <v>4</v>
      </c>
      <c r="F2433" s="3" t="s">
        <v>65</v>
      </c>
      <c r="H2433" s="3">
        <v>4.6800000000000024</v>
      </c>
      <c r="I2433" s="10">
        <f t="shared" si="373"/>
        <v>87.71785448022618</v>
      </c>
      <c r="J2433" s="3">
        <v>1.6005863439312664</v>
      </c>
      <c r="K2433" s="3">
        <v>0</v>
      </c>
      <c r="L2433" s="3">
        <f t="shared" si="374"/>
        <v>0</v>
      </c>
      <c r="N2433" s="11">
        <f t="shared" si="375"/>
        <v>3.079413656068736</v>
      </c>
      <c r="O2433" s="3">
        <v>1.6005863439312664</v>
      </c>
      <c r="P2433" s="11">
        <f t="shared" si="376"/>
        <v>57.717854480226173</v>
      </c>
      <c r="Q2433" s="12">
        <f t="shared" si="377"/>
        <v>57.717854480226173</v>
      </c>
      <c r="R2433" s="13">
        <f t="shared" si="378"/>
        <v>34.586958853076986</v>
      </c>
      <c r="S2433" s="3" t="s">
        <v>31</v>
      </c>
      <c r="T2433" s="3" t="s">
        <v>35</v>
      </c>
      <c r="U2433" s="10">
        <v>0</v>
      </c>
      <c r="V2433" s="3">
        <v>0</v>
      </c>
      <c r="W2433" s="3">
        <f t="shared" si="379"/>
        <v>0</v>
      </c>
      <c r="AA2433" s="3">
        <v>48</v>
      </c>
    </row>
    <row r="2434" spans="1:27" x14ac:dyDescent="0.3">
      <c r="A2434" s="3" t="str">
        <f t="shared" si="370"/>
        <v>South9410019902838</v>
      </c>
      <c r="B2434" s="3" t="str">
        <f t="shared" si="371"/>
        <v>CY9410019902838</v>
      </c>
      <c r="C2434" s="10">
        <v>9410019902838</v>
      </c>
      <c r="D2434" s="10" t="str">
        <f t="shared" si="372"/>
        <v>9410019902</v>
      </c>
      <c r="E2434" s="3" t="s">
        <v>4</v>
      </c>
      <c r="F2434" s="3" t="s">
        <v>65</v>
      </c>
      <c r="H2434" s="3">
        <v>1.3908000000000007</v>
      </c>
      <c r="I2434" s="10">
        <f t="shared" si="373"/>
        <v>26.158528182940113</v>
      </c>
      <c r="J2434" s="3">
        <v>1.5950438689899722</v>
      </c>
      <c r="K2434" s="3">
        <v>0</v>
      </c>
      <c r="L2434" s="3">
        <f t="shared" si="374"/>
        <v>0</v>
      </c>
      <c r="N2434" s="11">
        <f t="shared" si="375"/>
        <v>-0.20424386898997149</v>
      </c>
      <c r="O2434" s="3">
        <v>1.5950438689899722</v>
      </c>
      <c r="P2434" s="11">
        <f t="shared" si="376"/>
        <v>-3.8414718170598889</v>
      </c>
      <c r="Q2434" s="12">
        <f t="shared" si="377"/>
        <v>2.1236761485244311</v>
      </c>
      <c r="R2434" s="13">
        <f t="shared" si="378"/>
        <v>24.377359140430364</v>
      </c>
      <c r="S2434" s="3" t="s">
        <v>31</v>
      </c>
      <c r="T2434" s="3" t="s">
        <v>32</v>
      </c>
      <c r="U2434" s="10">
        <v>0</v>
      </c>
      <c r="V2434" s="3">
        <v>0</v>
      </c>
      <c r="W2434" s="3">
        <f t="shared" si="379"/>
        <v>0</v>
      </c>
      <c r="AA2434" s="3">
        <v>48</v>
      </c>
    </row>
    <row r="2435" spans="1:27" x14ac:dyDescent="0.3">
      <c r="A2435" s="3" t="str">
        <f t="shared" si="370"/>
        <v>South9432029901210</v>
      </c>
      <c r="B2435" s="3" t="str">
        <f t="shared" si="371"/>
        <v>CY9432029901210</v>
      </c>
      <c r="C2435" s="10">
        <v>9432029901210</v>
      </c>
      <c r="D2435" s="10" t="str">
        <f t="shared" si="372"/>
        <v>9432029901</v>
      </c>
      <c r="E2435" s="3" t="s">
        <v>4</v>
      </c>
      <c r="F2435" s="3" t="s">
        <v>65</v>
      </c>
      <c r="H2435" s="3">
        <v>1.4639999999999997</v>
      </c>
      <c r="I2435" s="10">
        <f t="shared" si="373"/>
        <v>29.291519734868345</v>
      </c>
      <c r="J2435" s="3">
        <v>1.499410081741783</v>
      </c>
      <c r="K2435" s="3">
        <v>0</v>
      </c>
      <c r="L2435" s="3">
        <f t="shared" si="374"/>
        <v>0</v>
      </c>
      <c r="N2435" s="11">
        <f t="shared" si="375"/>
        <v>-3.5410081741783284E-2</v>
      </c>
      <c r="O2435" s="3">
        <v>1.499410081741783</v>
      </c>
      <c r="P2435" s="11">
        <f t="shared" si="376"/>
        <v>-0.70848026513165741</v>
      </c>
      <c r="Q2435" s="12">
        <f t="shared" si="377"/>
        <v>1.747116957626246</v>
      </c>
      <c r="R2435" s="13">
        <f t="shared" si="378"/>
        <v>66.700184019047626</v>
      </c>
      <c r="S2435" s="3" t="s">
        <v>31</v>
      </c>
      <c r="T2435" s="3" t="s">
        <v>35</v>
      </c>
      <c r="U2435" s="10">
        <v>0</v>
      </c>
      <c r="V2435" s="3">
        <v>0</v>
      </c>
      <c r="W2435" s="3">
        <f t="shared" si="379"/>
        <v>0</v>
      </c>
      <c r="AA2435" s="3">
        <v>48</v>
      </c>
    </row>
    <row r="2436" spans="1:27" x14ac:dyDescent="0.3">
      <c r="A2436" s="3" t="str">
        <f t="shared" ref="A2436:A2499" si="380">_xlfn.CONCAT(F2436,C2436)</f>
        <v>South9410029901210</v>
      </c>
      <c r="B2436" s="3" t="str">
        <f t="shared" ref="B2436:B2499" si="381">_xlfn.CONCAT(E2436,C2436)</f>
        <v>CY9410029901210</v>
      </c>
      <c r="C2436" s="10">
        <v>9410029901210</v>
      </c>
      <c r="D2436" s="10" t="str">
        <f t="shared" ref="D2436:D2499" si="382">LEFT(C2436,10)</f>
        <v>9410029901</v>
      </c>
      <c r="E2436" s="3" t="s">
        <v>4</v>
      </c>
      <c r="F2436" s="3" t="s">
        <v>65</v>
      </c>
      <c r="H2436" s="3">
        <v>1.456</v>
      </c>
      <c r="I2436" s="10">
        <f t="shared" ref="I2436:I2499" si="383">IFERROR(H2436/J2436*30,0)</f>
        <v>29.956479872954553</v>
      </c>
      <c r="J2436" s="3">
        <v>1.4581152453574953</v>
      </c>
      <c r="K2436" s="3">
        <v>0</v>
      </c>
      <c r="L2436" s="3">
        <f t="shared" ref="L2436:L2499" si="384">M2436*G2436</f>
        <v>0</v>
      </c>
      <c r="N2436" s="11">
        <f t="shared" ref="N2436:N2499" si="385">H2436-J2436+L2436</f>
        <v>-2.115245357495299E-3</v>
      </c>
      <c r="O2436" s="3">
        <v>1.4581152453574953</v>
      </c>
      <c r="P2436" s="11">
        <f t="shared" ref="P2436:P2499" si="386">IF(O2436=0,9999,N2436/O2436*30)</f>
        <v>-4.3520127045445389E-2</v>
      </c>
      <c r="Q2436" s="12">
        <f t="shared" ref="Q2436:Q2499" si="387">IF(SUMIF($A:$A,$A2436,$O:$O)=0,9999,SUMIF($A:$A,$A2436,$N:$N)*30/SUMIF($A:$A,$A2436,$O:$O))</f>
        <v>40.616483737151647</v>
      </c>
      <c r="R2436" s="13">
        <f t="shared" ref="R2436:R2499" si="388">IF(SUMIF($C:$C,$C2436,$O:$O)=0,9999,SUMIF($C:$C,$C2436,$N:$N)*30/SUMIF($C:$C,$C2436,$O:$O))</f>
        <v>8.498858437043161</v>
      </c>
      <c r="S2436" s="3" t="s">
        <v>30</v>
      </c>
      <c r="T2436" s="3" t="s">
        <v>32</v>
      </c>
      <c r="U2436" s="10">
        <v>0</v>
      </c>
      <c r="V2436" s="3">
        <v>0</v>
      </c>
      <c r="W2436" s="3">
        <f t="shared" ref="W2436:W2499" si="389">IFERROR(K2436*V2436,0)</f>
        <v>0</v>
      </c>
      <c r="AA2436" s="3">
        <v>48</v>
      </c>
    </row>
    <row r="2437" spans="1:27" x14ac:dyDescent="0.3">
      <c r="A2437" s="3" t="str">
        <f t="shared" si="380"/>
        <v>South9310099901840</v>
      </c>
      <c r="B2437" s="3" t="str">
        <f t="shared" si="381"/>
        <v>CY9310099901840</v>
      </c>
      <c r="C2437" s="10">
        <v>9310099901840</v>
      </c>
      <c r="D2437" s="10" t="str">
        <f t="shared" si="382"/>
        <v>9310099901</v>
      </c>
      <c r="E2437" s="3" t="s">
        <v>4</v>
      </c>
      <c r="F2437" s="3" t="s">
        <v>65</v>
      </c>
      <c r="H2437" s="3">
        <v>0</v>
      </c>
      <c r="I2437" s="10">
        <f t="shared" si="383"/>
        <v>0</v>
      </c>
      <c r="J2437" s="3">
        <v>1.4194139119999998</v>
      </c>
      <c r="K2437" s="3">
        <v>0</v>
      </c>
      <c r="L2437" s="3">
        <f t="shared" si="384"/>
        <v>0</v>
      </c>
      <c r="N2437" s="11">
        <f t="shared" si="385"/>
        <v>-1.4194139119999998</v>
      </c>
      <c r="O2437" s="3">
        <v>1.4194139119999998</v>
      </c>
      <c r="P2437" s="11">
        <f t="shared" si="386"/>
        <v>-30</v>
      </c>
      <c r="Q2437" s="12">
        <f t="shared" si="387"/>
        <v>-30.000000000000004</v>
      </c>
      <c r="R2437" s="13">
        <f t="shared" si="388"/>
        <v>-29.999999999999996</v>
      </c>
      <c r="S2437" s="3">
        <v>0</v>
      </c>
      <c r="T2437" s="3" t="s">
        <v>32</v>
      </c>
      <c r="U2437" s="10">
        <v>0</v>
      </c>
      <c r="V2437" s="3">
        <v>0</v>
      </c>
      <c r="W2437" s="3">
        <f t="shared" si="389"/>
        <v>0</v>
      </c>
      <c r="AA2437" s="3">
        <v>48</v>
      </c>
    </row>
    <row r="2438" spans="1:27" x14ac:dyDescent="0.3">
      <c r="A2438" s="3" t="str">
        <f t="shared" si="380"/>
        <v>South9310049901840</v>
      </c>
      <c r="B2438" s="3" t="str">
        <f t="shared" si="381"/>
        <v>CY9310049901840</v>
      </c>
      <c r="C2438" s="10">
        <v>9310049901840</v>
      </c>
      <c r="D2438" s="10" t="str">
        <f t="shared" si="382"/>
        <v>9310049901</v>
      </c>
      <c r="E2438" s="3" t="s">
        <v>4</v>
      </c>
      <c r="F2438" s="3" t="s">
        <v>65</v>
      </c>
      <c r="H2438" s="3">
        <v>3.9720000000000018</v>
      </c>
      <c r="I2438" s="10">
        <f t="shared" si="383"/>
        <v>85.641912633295817</v>
      </c>
      <c r="J2438" s="3">
        <v>1.3913748109552739</v>
      </c>
      <c r="K2438" s="3">
        <v>0</v>
      </c>
      <c r="L2438" s="3">
        <f t="shared" si="384"/>
        <v>0</v>
      </c>
      <c r="N2438" s="11">
        <f t="shared" si="385"/>
        <v>2.5806251890447278</v>
      </c>
      <c r="O2438" s="3">
        <v>1.3913748109552739</v>
      </c>
      <c r="P2438" s="11">
        <f t="shared" si="386"/>
        <v>55.641912633295817</v>
      </c>
      <c r="Q2438" s="12">
        <f t="shared" si="387"/>
        <v>55.641912633295824</v>
      </c>
      <c r="R2438" s="13">
        <f t="shared" si="388"/>
        <v>99.797377999186565</v>
      </c>
      <c r="S2438" s="3" t="s">
        <v>31</v>
      </c>
      <c r="T2438" s="3" t="s">
        <v>32</v>
      </c>
      <c r="U2438" s="10">
        <v>0</v>
      </c>
      <c r="V2438" s="3">
        <v>0</v>
      </c>
      <c r="W2438" s="3">
        <f t="shared" si="389"/>
        <v>0</v>
      </c>
      <c r="AA2438" s="3">
        <v>48</v>
      </c>
    </row>
    <row r="2439" spans="1:27" x14ac:dyDescent="0.3">
      <c r="A2439" s="3" t="str">
        <f t="shared" si="380"/>
        <v>South9410019900320</v>
      </c>
      <c r="B2439" s="3" t="str">
        <f t="shared" si="381"/>
        <v>CY9410019900320</v>
      </c>
      <c r="C2439" s="10">
        <v>9410019900320</v>
      </c>
      <c r="D2439" s="10" t="str">
        <f t="shared" si="382"/>
        <v>9410019900</v>
      </c>
      <c r="E2439" s="3" t="s">
        <v>4</v>
      </c>
      <c r="F2439" s="3" t="s">
        <v>65</v>
      </c>
      <c r="H2439" s="3">
        <v>1.6000000000000005</v>
      </c>
      <c r="I2439" s="10">
        <f t="shared" si="383"/>
        <v>35.204644638491715</v>
      </c>
      <c r="J2439" s="3">
        <v>1.3634564556154685</v>
      </c>
      <c r="K2439" s="3">
        <v>0</v>
      </c>
      <c r="L2439" s="3">
        <f t="shared" si="384"/>
        <v>0</v>
      </c>
      <c r="N2439" s="11">
        <f t="shared" si="385"/>
        <v>0.23654354438453207</v>
      </c>
      <c r="O2439" s="3">
        <v>1.3634564556154685</v>
      </c>
      <c r="P2439" s="11">
        <f t="shared" si="386"/>
        <v>5.2046446384917129</v>
      </c>
      <c r="Q2439" s="12">
        <f t="shared" si="387"/>
        <v>78.308387285345816</v>
      </c>
      <c r="R2439" s="13">
        <f t="shared" si="388"/>
        <v>51.132960383204811</v>
      </c>
      <c r="S2439" s="3" t="s">
        <v>30</v>
      </c>
      <c r="T2439" s="3" t="s">
        <v>32</v>
      </c>
      <c r="U2439" s="10">
        <v>9410019900999</v>
      </c>
      <c r="V2439" s="3">
        <v>0.1</v>
      </c>
      <c r="W2439" s="3">
        <f t="shared" si="389"/>
        <v>0</v>
      </c>
      <c r="AA2439" s="3">
        <v>48</v>
      </c>
    </row>
    <row r="2440" spans="1:27" x14ac:dyDescent="0.3">
      <c r="A2440" s="3" t="str">
        <f t="shared" si="380"/>
        <v>South9420059900320</v>
      </c>
      <c r="B2440" s="3" t="str">
        <f t="shared" si="381"/>
        <v>CY9420059900320</v>
      </c>
      <c r="C2440" s="10">
        <v>9420059900320</v>
      </c>
      <c r="D2440" s="10" t="str">
        <f t="shared" si="382"/>
        <v>9420059900</v>
      </c>
      <c r="E2440" s="3" t="s">
        <v>4</v>
      </c>
      <c r="F2440" s="3" t="s">
        <v>65</v>
      </c>
      <c r="H2440" s="3">
        <v>2.4800000000000009</v>
      </c>
      <c r="I2440" s="10">
        <f t="shared" si="383"/>
        <v>56.62265980405958</v>
      </c>
      <c r="J2440" s="3">
        <v>1.3139615881249347</v>
      </c>
      <c r="K2440" s="3">
        <v>0</v>
      </c>
      <c r="L2440" s="3">
        <f t="shared" si="384"/>
        <v>0</v>
      </c>
      <c r="N2440" s="11">
        <f t="shared" si="385"/>
        <v>1.1660384118750662</v>
      </c>
      <c r="O2440" s="3">
        <v>1.3139615881249347</v>
      </c>
      <c r="P2440" s="11">
        <f t="shared" si="386"/>
        <v>26.622659804059577</v>
      </c>
      <c r="Q2440" s="12">
        <f t="shared" si="387"/>
        <v>5.2861840963118363</v>
      </c>
      <c r="R2440" s="13">
        <f t="shared" si="388"/>
        <v>11.423436010590386</v>
      </c>
      <c r="S2440" s="3" t="s">
        <v>30</v>
      </c>
      <c r="T2440" s="3" t="s">
        <v>28</v>
      </c>
      <c r="U2440" s="10">
        <v>9420059900999</v>
      </c>
      <c r="V2440" s="3">
        <v>0.1</v>
      </c>
      <c r="W2440" s="3">
        <f t="shared" si="389"/>
        <v>0</v>
      </c>
      <c r="AA2440" s="3">
        <v>48</v>
      </c>
    </row>
    <row r="2441" spans="1:27" x14ac:dyDescent="0.3">
      <c r="A2441" s="3" t="str">
        <f t="shared" si="380"/>
        <v>South9330239900310</v>
      </c>
      <c r="B2441" s="3" t="str">
        <f t="shared" si="381"/>
        <v>CY9330239900310</v>
      </c>
      <c r="C2441" s="10">
        <v>9330239900310</v>
      </c>
      <c r="D2441" s="10" t="str">
        <f t="shared" si="382"/>
        <v>9330239900</v>
      </c>
      <c r="E2441" s="3" t="s">
        <v>4</v>
      </c>
      <c r="F2441" s="3" t="s">
        <v>65</v>
      </c>
      <c r="H2441" s="3">
        <v>1.5100000000000005</v>
      </c>
      <c r="I2441" s="10">
        <f t="shared" si="383"/>
        <v>36.736776692712183</v>
      </c>
      <c r="J2441" s="3">
        <v>1.2330967514900837</v>
      </c>
      <c r="K2441" s="3">
        <v>0</v>
      </c>
      <c r="L2441" s="3">
        <f t="shared" si="384"/>
        <v>0</v>
      </c>
      <c r="N2441" s="11">
        <f t="shared" si="385"/>
        <v>0.27690324850991677</v>
      </c>
      <c r="O2441" s="3">
        <v>1.2330967514900837</v>
      </c>
      <c r="P2441" s="11">
        <f t="shared" si="386"/>
        <v>6.7367766927121835</v>
      </c>
      <c r="Q2441" s="12">
        <f t="shared" si="387"/>
        <v>20.124444540465525</v>
      </c>
      <c r="R2441" s="13">
        <f t="shared" si="388"/>
        <v>86.092170811049129</v>
      </c>
      <c r="S2441" s="3" t="s">
        <v>31</v>
      </c>
      <c r="T2441" s="3" t="s">
        <v>35</v>
      </c>
      <c r="U2441" s="10">
        <v>9330239900999</v>
      </c>
      <c r="V2441" s="3">
        <v>0.1</v>
      </c>
      <c r="W2441" s="3">
        <f t="shared" si="389"/>
        <v>0</v>
      </c>
      <c r="AA2441" s="3">
        <v>48</v>
      </c>
    </row>
    <row r="2442" spans="1:27" x14ac:dyDescent="0.3">
      <c r="A2442" s="3" t="str">
        <f t="shared" si="380"/>
        <v>South9410039913320</v>
      </c>
      <c r="B2442" s="3" t="str">
        <f t="shared" si="381"/>
        <v>CY9410039913320</v>
      </c>
      <c r="C2442" s="10">
        <v>9410039913320</v>
      </c>
      <c r="D2442" s="10" t="str">
        <f t="shared" si="382"/>
        <v>9410039913</v>
      </c>
      <c r="E2442" s="3" t="s">
        <v>4</v>
      </c>
      <c r="F2442" s="3" t="s">
        <v>65</v>
      </c>
      <c r="H2442" s="3">
        <v>1.2200000000000002</v>
      </c>
      <c r="I2442" s="10">
        <f t="shared" si="383"/>
        <v>29.946132383275973</v>
      </c>
      <c r="J2442" s="3">
        <v>1.2221945569318333</v>
      </c>
      <c r="K2442" s="3">
        <v>0</v>
      </c>
      <c r="L2442" s="3">
        <f t="shared" si="384"/>
        <v>0</v>
      </c>
      <c r="N2442" s="11">
        <f t="shared" si="385"/>
        <v>-2.1945569318331248E-3</v>
      </c>
      <c r="O2442" s="3">
        <v>1.2221945569318333</v>
      </c>
      <c r="P2442" s="11">
        <f t="shared" si="386"/>
        <v>-5.3867616724025159E-2</v>
      </c>
      <c r="Q2442" s="12">
        <f t="shared" si="387"/>
        <v>-18.228644233260439</v>
      </c>
      <c r="R2442" s="13">
        <f t="shared" si="388"/>
        <v>-24.610155052378161</v>
      </c>
      <c r="S2442" s="3" t="s">
        <v>30</v>
      </c>
      <c r="T2442" s="3" t="s">
        <v>32</v>
      </c>
      <c r="U2442" s="10">
        <v>9410039913999</v>
      </c>
      <c r="V2442" s="3">
        <v>0.1</v>
      </c>
      <c r="W2442" s="3">
        <f t="shared" si="389"/>
        <v>0</v>
      </c>
      <c r="AA2442" s="3">
        <v>48</v>
      </c>
    </row>
    <row r="2443" spans="1:27" x14ac:dyDescent="0.3">
      <c r="A2443" s="3" t="str">
        <f t="shared" si="380"/>
        <v>South9437009900210</v>
      </c>
      <c r="B2443" s="3" t="str">
        <f t="shared" si="381"/>
        <v>CY9437009900210</v>
      </c>
      <c r="C2443" s="10">
        <v>9437009900210</v>
      </c>
      <c r="D2443" s="10" t="str">
        <f t="shared" si="382"/>
        <v>9437009900</v>
      </c>
      <c r="E2443" s="3" t="s">
        <v>4</v>
      </c>
      <c r="F2443" s="3" t="s">
        <v>65</v>
      </c>
      <c r="H2443" s="3">
        <v>2.6309999999999998</v>
      </c>
      <c r="I2443" s="10">
        <f t="shared" si="383"/>
        <v>64.581418803711514</v>
      </c>
      <c r="J2443" s="3">
        <v>1.222178166136292</v>
      </c>
      <c r="K2443" s="3">
        <v>0</v>
      </c>
      <c r="L2443" s="3">
        <f t="shared" si="384"/>
        <v>0</v>
      </c>
      <c r="N2443" s="11">
        <f t="shared" si="385"/>
        <v>1.4088218338637077</v>
      </c>
      <c r="O2443" s="3">
        <v>1.222178166136292</v>
      </c>
      <c r="P2443" s="11">
        <f t="shared" si="386"/>
        <v>34.581418803711522</v>
      </c>
      <c r="Q2443" s="12">
        <f t="shared" si="387"/>
        <v>18.523600325187157</v>
      </c>
      <c r="R2443" s="13">
        <f t="shared" si="388"/>
        <v>46.768930863463687</v>
      </c>
      <c r="S2443" s="3" t="s">
        <v>31</v>
      </c>
      <c r="T2443" s="3" t="s">
        <v>35</v>
      </c>
      <c r="U2443" s="10">
        <v>0</v>
      </c>
      <c r="V2443" s="3">
        <v>0</v>
      </c>
      <c r="W2443" s="3">
        <f t="shared" si="389"/>
        <v>0</v>
      </c>
      <c r="AA2443" s="3">
        <v>48</v>
      </c>
    </row>
    <row r="2444" spans="1:27" x14ac:dyDescent="0.3">
      <c r="A2444" s="3" t="str">
        <f t="shared" si="380"/>
        <v>South9360119922210</v>
      </c>
      <c r="B2444" s="3" t="str">
        <f t="shared" si="381"/>
        <v>CY9360119922210</v>
      </c>
      <c r="C2444" s="10">
        <v>9360119922210</v>
      </c>
      <c r="D2444" s="10" t="str">
        <f t="shared" si="382"/>
        <v>9360119922</v>
      </c>
      <c r="E2444" s="3" t="s">
        <v>4</v>
      </c>
      <c r="F2444" s="3" t="s">
        <v>65</v>
      </c>
      <c r="H2444" s="3">
        <v>1.1490000000000002</v>
      </c>
      <c r="I2444" s="10">
        <f t="shared" si="383"/>
        <v>28.704739358046648</v>
      </c>
      <c r="J2444" s="3">
        <v>1.200846994987161</v>
      </c>
      <c r="K2444" s="3">
        <v>0</v>
      </c>
      <c r="L2444" s="3">
        <f t="shared" si="384"/>
        <v>0</v>
      </c>
      <c r="N2444" s="11">
        <f t="shared" si="385"/>
        <v>-5.1846994987160722E-2</v>
      </c>
      <c r="O2444" s="3">
        <v>1.200846994987161</v>
      </c>
      <c r="P2444" s="11">
        <f t="shared" si="386"/>
        <v>-1.2952606419533501</v>
      </c>
      <c r="Q2444" s="12">
        <f t="shared" si="387"/>
        <v>21.801936897261733</v>
      </c>
      <c r="R2444" s="13">
        <f t="shared" si="388"/>
        <v>83.449892995261749</v>
      </c>
      <c r="S2444" s="3" t="s">
        <v>31</v>
      </c>
      <c r="T2444" s="3" t="s">
        <v>33</v>
      </c>
      <c r="U2444" s="10">
        <v>0</v>
      </c>
      <c r="V2444" s="3">
        <v>0</v>
      </c>
      <c r="W2444" s="3">
        <f t="shared" si="389"/>
        <v>0</v>
      </c>
      <c r="AA2444" s="3">
        <v>48</v>
      </c>
    </row>
    <row r="2445" spans="1:27" x14ac:dyDescent="0.3">
      <c r="A2445" s="3" t="str">
        <f t="shared" si="380"/>
        <v>South9410019902195</v>
      </c>
      <c r="B2445" s="3" t="str">
        <f t="shared" si="381"/>
        <v>CY9410019902195</v>
      </c>
      <c r="C2445" s="10">
        <v>9410019902195</v>
      </c>
      <c r="D2445" s="10" t="str">
        <f t="shared" si="382"/>
        <v>9410019902</v>
      </c>
      <c r="E2445" s="3" t="s">
        <v>4</v>
      </c>
      <c r="F2445" s="3" t="s">
        <v>65</v>
      </c>
      <c r="H2445" s="3">
        <v>1.8287499999999994</v>
      </c>
      <c r="I2445" s="10">
        <f t="shared" si="383"/>
        <v>47.07216330940475</v>
      </c>
      <c r="J2445" s="3">
        <v>1.165497740976752</v>
      </c>
      <c r="K2445" s="3">
        <v>0</v>
      </c>
      <c r="L2445" s="3">
        <f t="shared" si="384"/>
        <v>0</v>
      </c>
      <c r="N2445" s="11">
        <f t="shared" si="385"/>
        <v>0.66325225902324747</v>
      </c>
      <c r="O2445" s="3">
        <v>1.165497740976752</v>
      </c>
      <c r="P2445" s="11">
        <f t="shared" si="386"/>
        <v>17.072163309404747</v>
      </c>
      <c r="Q2445" s="12">
        <f t="shared" si="387"/>
        <v>19.644148428774638</v>
      </c>
      <c r="R2445" s="13">
        <f t="shared" si="388"/>
        <v>42.341008548262515</v>
      </c>
      <c r="S2445" s="3" t="s">
        <v>31</v>
      </c>
      <c r="T2445" s="3" t="s">
        <v>32</v>
      </c>
      <c r="U2445" s="10">
        <v>0</v>
      </c>
      <c r="V2445" s="3">
        <v>0</v>
      </c>
      <c r="W2445" s="3">
        <f t="shared" si="389"/>
        <v>0</v>
      </c>
      <c r="AA2445" s="3">
        <v>48</v>
      </c>
    </row>
    <row r="2446" spans="1:27" x14ac:dyDescent="0.3">
      <c r="A2446" s="3" t="str">
        <f t="shared" si="380"/>
        <v>South9330209900210</v>
      </c>
      <c r="B2446" s="3" t="str">
        <f t="shared" si="381"/>
        <v>CY9330209900210</v>
      </c>
      <c r="C2446" s="10">
        <v>9330209900210</v>
      </c>
      <c r="D2446" s="10" t="str">
        <f t="shared" si="382"/>
        <v>9330209900</v>
      </c>
      <c r="E2446" s="3" t="s">
        <v>4</v>
      </c>
      <c r="F2446" s="3" t="s">
        <v>65</v>
      </c>
      <c r="H2446" s="3">
        <v>1.4520000000000004</v>
      </c>
      <c r="I2446" s="10">
        <f t="shared" si="383"/>
        <v>38.157459353674533</v>
      </c>
      <c r="J2446" s="3">
        <v>1.1415854393304941</v>
      </c>
      <c r="K2446" s="3">
        <v>0</v>
      </c>
      <c r="L2446" s="3">
        <f t="shared" si="384"/>
        <v>0</v>
      </c>
      <c r="N2446" s="11">
        <f t="shared" si="385"/>
        <v>0.31041456066950635</v>
      </c>
      <c r="O2446" s="3">
        <v>1.1415854393304941</v>
      </c>
      <c r="P2446" s="11">
        <f t="shared" si="386"/>
        <v>8.1574593536745343</v>
      </c>
      <c r="Q2446" s="12">
        <f t="shared" si="387"/>
        <v>-1.8787747015203529</v>
      </c>
      <c r="R2446" s="13">
        <f t="shared" si="388"/>
        <v>34.674544510318469</v>
      </c>
      <c r="S2446" s="3" t="s">
        <v>31</v>
      </c>
      <c r="T2446" s="3" t="s">
        <v>35</v>
      </c>
      <c r="U2446" s="10">
        <v>0</v>
      </c>
      <c r="V2446" s="3">
        <v>0</v>
      </c>
      <c r="W2446" s="3">
        <f t="shared" si="389"/>
        <v>0</v>
      </c>
      <c r="AA2446" s="3">
        <v>48</v>
      </c>
    </row>
    <row r="2447" spans="1:27" x14ac:dyDescent="0.3">
      <c r="A2447" s="3" t="str">
        <f t="shared" si="380"/>
        <v>South9420059901210</v>
      </c>
      <c r="B2447" s="3" t="str">
        <f t="shared" si="381"/>
        <v>CY9420059901210</v>
      </c>
      <c r="C2447" s="10">
        <v>9420059901210</v>
      </c>
      <c r="D2447" s="10" t="str">
        <f t="shared" si="382"/>
        <v>9420059901</v>
      </c>
      <c r="E2447" s="3" t="s">
        <v>4</v>
      </c>
      <c r="F2447" s="3" t="s">
        <v>65</v>
      </c>
      <c r="H2447" s="3">
        <v>2.1380000000000008</v>
      </c>
      <c r="I2447" s="10">
        <f t="shared" si="383"/>
        <v>56.558615489466895</v>
      </c>
      <c r="J2447" s="3">
        <v>1.1340447329716732</v>
      </c>
      <c r="K2447" s="3">
        <v>0</v>
      </c>
      <c r="L2447" s="3">
        <f t="shared" si="384"/>
        <v>0</v>
      </c>
      <c r="N2447" s="11">
        <f t="shared" si="385"/>
        <v>1.0039552670283276</v>
      </c>
      <c r="O2447" s="3">
        <v>1.1340447329716732</v>
      </c>
      <c r="P2447" s="11">
        <f t="shared" si="386"/>
        <v>26.558615489466895</v>
      </c>
      <c r="Q2447" s="12">
        <f t="shared" si="387"/>
        <v>15.443412602189914</v>
      </c>
      <c r="R2447" s="13">
        <f t="shared" si="388"/>
        <v>19.510512160893086</v>
      </c>
      <c r="S2447" s="3" t="s">
        <v>31</v>
      </c>
      <c r="T2447" s="3" t="s">
        <v>28</v>
      </c>
      <c r="U2447" s="10">
        <v>0</v>
      </c>
      <c r="V2447" s="3">
        <v>0</v>
      </c>
      <c r="W2447" s="3">
        <f t="shared" si="389"/>
        <v>0</v>
      </c>
      <c r="AA2447" s="3">
        <v>48</v>
      </c>
    </row>
    <row r="2448" spans="1:27" x14ac:dyDescent="0.3">
      <c r="A2448" s="3" t="str">
        <f t="shared" si="380"/>
        <v>South9420139901210</v>
      </c>
      <c r="B2448" s="3" t="str">
        <f t="shared" si="381"/>
        <v>CY9420139901210</v>
      </c>
      <c r="C2448" s="10">
        <v>9420139901210</v>
      </c>
      <c r="D2448" s="10" t="str">
        <f t="shared" si="382"/>
        <v>9420139901</v>
      </c>
      <c r="E2448" s="3" t="s">
        <v>4</v>
      </c>
      <c r="F2448" s="3" t="s">
        <v>65</v>
      </c>
      <c r="H2448" s="3">
        <v>4.29</v>
      </c>
      <c r="I2448" s="10">
        <f t="shared" si="383"/>
        <v>118.29851246873601</v>
      </c>
      <c r="J2448" s="3">
        <v>1.0879257677395808</v>
      </c>
      <c r="K2448" s="3">
        <v>0</v>
      </c>
      <c r="L2448" s="3">
        <f t="shared" si="384"/>
        <v>0</v>
      </c>
      <c r="N2448" s="11">
        <f t="shared" si="385"/>
        <v>3.2020742322604194</v>
      </c>
      <c r="O2448" s="3">
        <v>1.0879257677395808</v>
      </c>
      <c r="P2448" s="11">
        <f t="shared" si="386"/>
        <v>88.298512468736021</v>
      </c>
      <c r="Q2448" s="12">
        <f t="shared" si="387"/>
        <v>92.354718495311346</v>
      </c>
      <c r="R2448" s="13">
        <f t="shared" si="388"/>
        <v>62.555831983232935</v>
      </c>
      <c r="S2448" s="3" t="s">
        <v>31</v>
      </c>
      <c r="T2448" s="3" t="s">
        <v>28</v>
      </c>
      <c r="U2448" s="10">
        <v>0</v>
      </c>
      <c r="V2448" s="3">
        <v>0</v>
      </c>
      <c r="W2448" s="3">
        <f t="shared" si="389"/>
        <v>0</v>
      </c>
      <c r="AA2448" s="3">
        <v>48</v>
      </c>
    </row>
    <row r="2449" spans="1:27" x14ac:dyDescent="0.3">
      <c r="A2449" s="3" t="str">
        <f t="shared" si="380"/>
        <v>South9160509902219</v>
      </c>
      <c r="B2449" s="3" t="str">
        <f t="shared" si="381"/>
        <v>CY9160509902219</v>
      </c>
      <c r="C2449" s="10">
        <v>9160509902219</v>
      </c>
      <c r="D2449" s="10" t="str">
        <f t="shared" si="382"/>
        <v>9160509902</v>
      </c>
      <c r="E2449" s="3" t="s">
        <v>4</v>
      </c>
      <c r="F2449" s="3" t="s">
        <v>65</v>
      </c>
      <c r="H2449" s="3">
        <v>3.0848999999999998</v>
      </c>
      <c r="I2449" s="10">
        <f t="shared" si="383"/>
        <v>89.366653326609566</v>
      </c>
      <c r="J2449" s="3">
        <v>1.0355876219485043</v>
      </c>
      <c r="K2449" s="3">
        <v>0</v>
      </c>
      <c r="L2449" s="3">
        <f t="shared" si="384"/>
        <v>0</v>
      </c>
      <c r="N2449" s="11">
        <f t="shared" si="385"/>
        <v>2.0493123780514955</v>
      </c>
      <c r="O2449" s="3">
        <v>1.0355876219485043</v>
      </c>
      <c r="P2449" s="11">
        <f t="shared" si="386"/>
        <v>59.366653326609566</v>
      </c>
      <c r="Q2449" s="12">
        <f t="shared" si="387"/>
        <v>618.44509984814113</v>
      </c>
      <c r="R2449" s="13">
        <f t="shared" si="388"/>
        <v>65.8644667568567</v>
      </c>
      <c r="S2449" s="3" t="s">
        <v>30</v>
      </c>
      <c r="T2449" s="3" t="s">
        <v>34</v>
      </c>
      <c r="U2449" s="10">
        <v>0</v>
      </c>
      <c r="V2449" s="3">
        <v>0</v>
      </c>
      <c r="W2449" s="3">
        <f t="shared" si="389"/>
        <v>0</v>
      </c>
      <c r="AA2449" s="3">
        <v>48</v>
      </c>
    </row>
    <row r="2450" spans="1:27" x14ac:dyDescent="0.3">
      <c r="A2450" s="3" t="str">
        <f t="shared" si="380"/>
        <v>South9410049902838</v>
      </c>
      <c r="B2450" s="3" t="str">
        <f t="shared" si="381"/>
        <v>CY9410049902838</v>
      </c>
      <c r="C2450" s="10">
        <v>9410049902838</v>
      </c>
      <c r="D2450" s="10" t="str">
        <f t="shared" si="382"/>
        <v>9410049902</v>
      </c>
      <c r="E2450" s="3" t="s">
        <v>4</v>
      </c>
      <c r="F2450" s="3" t="s">
        <v>65</v>
      </c>
      <c r="H2450" s="3">
        <v>23.362400000000008</v>
      </c>
      <c r="I2450" s="10">
        <f t="shared" si="383"/>
        <v>679.19974918176592</v>
      </c>
      <c r="J2450" s="3">
        <v>1.0319085082766049</v>
      </c>
      <c r="K2450" s="3">
        <v>0</v>
      </c>
      <c r="L2450" s="3">
        <f t="shared" si="384"/>
        <v>0</v>
      </c>
      <c r="N2450" s="11">
        <f t="shared" si="385"/>
        <v>22.330491491723404</v>
      </c>
      <c r="O2450" s="3">
        <v>1.0319085082766049</v>
      </c>
      <c r="P2450" s="11">
        <f t="shared" si="386"/>
        <v>649.19974918176592</v>
      </c>
      <c r="Q2450" s="12">
        <f t="shared" si="387"/>
        <v>649.19974918176592</v>
      </c>
      <c r="R2450" s="13">
        <f t="shared" si="388"/>
        <v>649.19974918176592</v>
      </c>
      <c r="S2450" s="3" t="s">
        <v>31</v>
      </c>
      <c r="T2450" s="3" t="s">
        <v>32</v>
      </c>
      <c r="U2450" s="10">
        <v>0</v>
      </c>
      <c r="V2450" s="3">
        <v>0</v>
      </c>
      <c r="W2450" s="3">
        <f t="shared" si="389"/>
        <v>0</v>
      </c>
      <c r="AA2450" s="3">
        <v>48</v>
      </c>
    </row>
    <row r="2451" spans="1:27" x14ac:dyDescent="0.3">
      <c r="A2451" s="3" t="str">
        <f t="shared" si="380"/>
        <v>South9320089902839</v>
      </c>
      <c r="B2451" s="3" t="str">
        <f t="shared" si="381"/>
        <v>CY9320089902839</v>
      </c>
      <c r="C2451" s="10">
        <v>9320089902839</v>
      </c>
      <c r="D2451" s="10" t="str">
        <f t="shared" si="382"/>
        <v>9320089902</v>
      </c>
      <c r="E2451" s="3" t="s">
        <v>4</v>
      </c>
      <c r="F2451" s="3" t="s">
        <v>65</v>
      </c>
      <c r="H2451" s="3">
        <v>2.0591999999999997</v>
      </c>
      <c r="I2451" s="10">
        <f t="shared" si="383"/>
        <v>60.454235908178745</v>
      </c>
      <c r="J2451" s="3">
        <v>1.0218638788823469</v>
      </c>
      <c r="K2451" s="3">
        <v>24</v>
      </c>
      <c r="L2451" s="3">
        <f t="shared" si="384"/>
        <v>0</v>
      </c>
      <c r="N2451" s="11">
        <f t="shared" si="385"/>
        <v>1.0373361211176528</v>
      </c>
      <c r="O2451" s="3">
        <v>1.0218638788823469</v>
      </c>
      <c r="P2451" s="11">
        <f t="shared" si="386"/>
        <v>30.454235908178749</v>
      </c>
      <c r="Q2451" s="12">
        <f t="shared" si="387"/>
        <v>24.765484339213891</v>
      </c>
      <c r="R2451" s="13">
        <f t="shared" si="388"/>
        <v>23.218371468264344</v>
      </c>
      <c r="S2451" s="3" t="s">
        <v>31</v>
      </c>
      <c r="T2451" s="3" t="s">
        <v>28</v>
      </c>
      <c r="U2451" s="10">
        <v>0</v>
      </c>
      <c r="V2451" s="3">
        <v>0</v>
      </c>
      <c r="W2451" s="3">
        <f t="shared" si="389"/>
        <v>0</v>
      </c>
      <c r="AA2451" s="3">
        <v>48</v>
      </c>
    </row>
    <row r="2452" spans="1:27" x14ac:dyDescent="0.3">
      <c r="A2452" s="3" t="str">
        <f t="shared" si="380"/>
        <v>South9320099900320</v>
      </c>
      <c r="B2452" s="3" t="str">
        <f t="shared" si="381"/>
        <v>CY9320099900320</v>
      </c>
      <c r="C2452" s="10">
        <v>9320099900320</v>
      </c>
      <c r="D2452" s="10" t="str">
        <f t="shared" si="382"/>
        <v>9320099900</v>
      </c>
      <c r="E2452" s="3" t="s">
        <v>4</v>
      </c>
      <c r="F2452" s="3" t="s">
        <v>65</v>
      </c>
      <c r="H2452" s="3">
        <v>1.36</v>
      </c>
      <c r="I2452" s="10">
        <f t="shared" si="383"/>
        <v>40.876665970890905</v>
      </c>
      <c r="J2452" s="3">
        <v>0.99812445635988289</v>
      </c>
      <c r="K2452" s="3">
        <v>0</v>
      </c>
      <c r="L2452" s="3">
        <f t="shared" si="384"/>
        <v>0</v>
      </c>
      <c r="N2452" s="11">
        <f t="shared" si="385"/>
        <v>0.3618755436401172</v>
      </c>
      <c r="O2452" s="3">
        <v>0.99812445635988289</v>
      </c>
      <c r="P2452" s="11">
        <f t="shared" si="386"/>
        <v>10.876665970890899</v>
      </c>
      <c r="Q2452" s="12">
        <f t="shared" si="387"/>
        <v>32.110213037844652</v>
      </c>
      <c r="R2452" s="13">
        <f t="shared" si="388"/>
        <v>17.971452330671681</v>
      </c>
      <c r="S2452" s="3" t="s">
        <v>31</v>
      </c>
      <c r="T2452" s="3" t="s">
        <v>28</v>
      </c>
      <c r="U2452" s="10">
        <v>9320099900999</v>
      </c>
      <c r="V2452" s="3">
        <v>0.1</v>
      </c>
      <c r="W2452" s="3">
        <f t="shared" si="389"/>
        <v>0</v>
      </c>
      <c r="AA2452" s="3">
        <v>48</v>
      </c>
    </row>
    <row r="2453" spans="1:27" x14ac:dyDescent="0.3">
      <c r="A2453" s="3" t="str">
        <f t="shared" si="380"/>
        <v>South9420039900320</v>
      </c>
      <c r="B2453" s="3" t="str">
        <f t="shared" si="381"/>
        <v>CY9420039900320</v>
      </c>
      <c r="C2453" s="10">
        <v>9420039900320</v>
      </c>
      <c r="D2453" s="10" t="str">
        <f t="shared" si="382"/>
        <v>9420039900</v>
      </c>
      <c r="E2453" s="3" t="s">
        <v>4</v>
      </c>
      <c r="F2453" s="3" t="s">
        <v>65</v>
      </c>
      <c r="H2453" s="3">
        <v>2.0200000000000005</v>
      </c>
      <c r="I2453" s="10">
        <f t="shared" si="383"/>
        <v>61.453046002165884</v>
      </c>
      <c r="J2453" s="3">
        <v>0.9861187352350963</v>
      </c>
      <c r="K2453" s="3">
        <v>0</v>
      </c>
      <c r="L2453" s="3">
        <f t="shared" si="384"/>
        <v>0</v>
      </c>
      <c r="N2453" s="11">
        <f t="shared" si="385"/>
        <v>1.0338812647649043</v>
      </c>
      <c r="O2453" s="3">
        <v>0.9861187352350963</v>
      </c>
      <c r="P2453" s="11">
        <f t="shared" si="386"/>
        <v>31.453046002165891</v>
      </c>
      <c r="Q2453" s="12">
        <f t="shared" si="387"/>
        <v>-9.5242381697124934</v>
      </c>
      <c r="R2453" s="13">
        <f t="shared" si="388"/>
        <v>23.422416878504819</v>
      </c>
      <c r="S2453" s="3" t="s">
        <v>30</v>
      </c>
      <c r="T2453" s="3" t="s">
        <v>28</v>
      </c>
      <c r="U2453" s="10">
        <v>9420039900999</v>
      </c>
      <c r="V2453" s="3">
        <v>0.1</v>
      </c>
      <c r="W2453" s="3">
        <f t="shared" si="389"/>
        <v>0</v>
      </c>
      <c r="AA2453" s="3">
        <v>48</v>
      </c>
    </row>
    <row r="2454" spans="1:27" x14ac:dyDescent="0.3">
      <c r="A2454" s="3" t="str">
        <f t="shared" si="380"/>
        <v>South9330239901210</v>
      </c>
      <c r="B2454" s="3" t="str">
        <f t="shared" si="381"/>
        <v>CY9330239901210</v>
      </c>
      <c r="C2454" s="10">
        <v>9330239901210</v>
      </c>
      <c r="D2454" s="10" t="str">
        <f t="shared" si="382"/>
        <v>9330239901</v>
      </c>
      <c r="E2454" s="3" t="s">
        <v>4</v>
      </c>
      <c r="F2454" s="3" t="s">
        <v>65</v>
      </c>
      <c r="H2454" s="3">
        <v>1.8840000000000003</v>
      </c>
      <c r="I2454" s="10">
        <f t="shared" si="383"/>
        <v>58.394065781554168</v>
      </c>
      <c r="J2454" s="3">
        <v>0.96790657138749625</v>
      </c>
      <c r="K2454" s="3">
        <v>0</v>
      </c>
      <c r="L2454" s="3">
        <f t="shared" si="384"/>
        <v>0</v>
      </c>
      <c r="N2454" s="11">
        <f t="shared" si="385"/>
        <v>0.91609342861250409</v>
      </c>
      <c r="O2454" s="3">
        <v>0.96790657138749625</v>
      </c>
      <c r="P2454" s="11">
        <f t="shared" si="386"/>
        <v>28.394065781554168</v>
      </c>
      <c r="Q2454" s="12">
        <f t="shared" si="387"/>
        <v>24.602444089295034</v>
      </c>
      <c r="R2454" s="13">
        <f t="shared" si="388"/>
        <v>20.210009489630661</v>
      </c>
      <c r="S2454" s="3" t="s">
        <v>31</v>
      </c>
      <c r="T2454" s="3" t="s">
        <v>35</v>
      </c>
      <c r="U2454" s="10">
        <v>0</v>
      </c>
      <c r="V2454" s="3">
        <v>0</v>
      </c>
      <c r="W2454" s="3">
        <f t="shared" si="389"/>
        <v>0</v>
      </c>
      <c r="AA2454" s="3">
        <v>48</v>
      </c>
    </row>
    <row r="2455" spans="1:27" x14ac:dyDescent="0.3">
      <c r="A2455" s="3" t="str">
        <f t="shared" si="380"/>
        <v>South9410049902195</v>
      </c>
      <c r="B2455" s="3" t="str">
        <f t="shared" si="381"/>
        <v>CY9410049902195</v>
      </c>
      <c r="C2455" s="10">
        <v>9410049902195</v>
      </c>
      <c r="D2455" s="10" t="str">
        <f t="shared" si="382"/>
        <v>9410049902</v>
      </c>
      <c r="E2455" s="3" t="s">
        <v>4</v>
      </c>
      <c r="F2455" s="3" t="s">
        <v>65</v>
      </c>
      <c r="H2455" s="3">
        <v>4.7120000000000033</v>
      </c>
      <c r="I2455" s="10">
        <f t="shared" si="383"/>
        <v>147.45192822125614</v>
      </c>
      <c r="J2455" s="3">
        <v>0.95868532684011498</v>
      </c>
      <c r="K2455" s="3">
        <v>0</v>
      </c>
      <c r="L2455" s="3">
        <f t="shared" si="384"/>
        <v>0</v>
      </c>
      <c r="N2455" s="11">
        <f t="shared" si="385"/>
        <v>3.7533146731598883</v>
      </c>
      <c r="O2455" s="3">
        <v>0.95868532684011498</v>
      </c>
      <c r="P2455" s="11">
        <f t="shared" si="386"/>
        <v>117.45192822125613</v>
      </c>
      <c r="Q2455" s="12">
        <f t="shared" si="387"/>
        <v>117.45192822125611</v>
      </c>
      <c r="R2455" s="13">
        <f t="shared" si="388"/>
        <v>117.45192822125611</v>
      </c>
      <c r="S2455" s="3" t="s">
        <v>31</v>
      </c>
      <c r="T2455" s="3" t="s">
        <v>32</v>
      </c>
      <c r="U2455" s="10">
        <v>0</v>
      </c>
      <c r="V2455" s="3">
        <v>0</v>
      </c>
      <c r="W2455" s="3">
        <f t="shared" si="389"/>
        <v>0</v>
      </c>
      <c r="AA2455" s="3">
        <v>48</v>
      </c>
    </row>
    <row r="2456" spans="1:27" x14ac:dyDescent="0.3">
      <c r="A2456" s="3" t="str">
        <f t="shared" si="380"/>
        <v>South9310099902297</v>
      </c>
      <c r="B2456" s="3" t="str">
        <f t="shared" si="381"/>
        <v>CY9310099902297</v>
      </c>
      <c r="C2456" s="10">
        <v>9310099902297</v>
      </c>
      <c r="D2456" s="10" t="str">
        <f t="shared" si="382"/>
        <v>9310099902</v>
      </c>
      <c r="E2456" s="3" t="s">
        <v>4</v>
      </c>
      <c r="F2456" s="3" t="s">
        <v>65</v>
      </c>
      <c r="H2456" s="3">
        <v>0</v>
      </c>
      <c r="I2456" s="10">
        <f t="shared" si="383"/>
        <v>0</v>
      </c>
      <c r="J2456" s="3">
        <v>0.93432165750000018</v>
      </c>
      <c r="K2456" s="3">
        <v>0</v>
      </c>
      <c r="L2456" s="3">
        <f t="shared" si="384"/>
        <v>0</v>
      </c>
      <c r="N2456" s="11">
        <f t="shared" si="385"/>
        <v>-0.93432165750000018</v>
      </c>
      <c r="O2456" s="3">
        <v>0.93432165750000018</v>
      </c>
      <c r="P2456" s="11">
        <f t="shared" si="386"/>
        <v>-30</v>
      </c>
      <c r="Q2456" s="12">
        <f t="shared" si="387"/>
        <v>-30</v>
      </c>
      <c r="R2456" s="13">
        <f t="shared" si="388"/>
        <v>-30</v>
      </c>
      <c r="S2456" s="3">
        <v>0</v>
      </c>
      <c r="T2456" s="3" t="s">
        <v>32</v>
      </c>
      <c r="U2456" s="10">
        <v>0</v>
      </c>
      <c r="V2456" s="3">
        <v>0</v>
      </c>
      <c r="W2456" s="3">
        <f t="shared" si="389"/>
        <v>0</v>
      </c>
      <c r="AA2456" s="3">
        <v>48</v>
      </c>
    </row>
    <row r="2457" spans="1:27" x14ac:dyDescent="0.3">
      <c r="A2457" s="3" t="str">
        <f t="shared" si="380"/>
        <v>South9310039901210</v>
      </c>
      <c r="B2457" s="3" t="str">
        <f t="shared" si="381"/>
        <v>CY9310039901210</v>
      </c>
      <c r="C2457" s="10">
        <v>9310039901210</v>
      </c>
      <c r="D2457" s="10" t="str">
        <f t="shared" si="382"/>
        <v>9310039901</v>
      </c>
      <c r="E2457" s="3" t="s">
        <v>4</v>
      </c>
      <c r="F2457" s="3" t="s">
        <v>65</v>
      </c>
      <c r="H2457" s="3">
        <v>1.7060000000000002</v>
      </c>
      <c r="I2457" s="10">
        <f t="shared" si="383"/>
        <v>55.591695436690642</v>
      </c>
      <c r="J2457" s="3">
        <v>0.92064110651716324</v>
      </c>
      <c r="K2457" s="3">
        <v>0</v>
      </c>
      <c r="L2457" s="3">
        <f t="shared" si="384"/>
        <v>0</v>
      </c>
      <c r="N2457" s="11">
        <f t="shared" si="385"/>
        <v>0.78535889348283694</v>
      </c>
      <c r="O2457" s="3">
        <v>0.92064110651716324</v>
      </c>
      <c r="P2457" s="11">
        <f t="shared" si="386"/>
        <v>25.591695436690639</v>
      </c>
      <c r="Q2457" s="12">
        <f t="shared" si="387"/>
        <v>44.936319021635484</v>
      </c>
      <c r="R2457" s="13">
        <f t="shared" si="388"/>
        <v>97.336469979643681</v>
      </c>
      <c r="S2457" s="3" t="s">
        <v>31</v>
      </c>
      <c r="T2457" s="3" t="s">
        <v>32</v>
      </c>
      <c r="U2457" s="10">
        <v>0</v>
      </c>
      <c r="V2457" s="3">
        <v>0</v>
      </c>
      <c r="W2457" s="3">
        <f t="shared" si="389"/>
        <v>0</v>
      </c>
      <c r="AA2457" s="3">
        <v>48</v>
      </c>
    </row>
    <row r="2458" spans="1:27" x14ac:dyDescent="0.3">
      <c r="A2458" s="3" t="str">
        <f t="shared" si="380"/>
        <v>South9432029900840</v>
      </c>
      <c r="B2458" s="3" t="str">
        <f t="shared" si="381"/>
        <v>CY9432029900840</v>
      </c>
      <c r="C2458" s="10">
        <v>9432029900840</v>
      </c>
      <c r="D2458" s="10" t="str">
        <f t="shared" si="382"/>
        <v>9432029900</v>
      </c>
      <c r="E2458" s="3" t="s">
        <v>4</v>
      </c>
      <c r="F2458" s="3" t="s">
        <v>65</v>
      </c>
      <c r="H2458" s="3">
        <v>1.3440000000000003</v>
      </c>
      <c r="I2458" s="10">
        <f t="shared" si="383"/>
        <v>45.423793566805209</v>
      </c>
      <c r="J2458" s="3">
        <v>0.88764052567958684</v>
      </c>
      <c r="K2458" s="3">
        <v>0</v>
      </c>
      <c r="L2458" s="3">
        <f t="shared" si="384"/>
        <v>0</v>
      </c>
      <c r="N2458" s="11">
        <f t="shared" si="385"/>
        <v>0.45635947432041346</v>
      </c>
      <c r="O2458" s="3">
        <v>0.88764052567958684</v>
      </c>
      <c r="P2458" s="11">
        <f t="shared" si="386"/>
        <v>15.423793566805209</v>
      </c>
      <c r="Q2458" s="12">
        <f t="shared" si="387"/>
        <v>6.7679944161610308</v>
      </c>
      <c r="R2458" s="13">
        <f t="shared" si="388"/>
        <v>43.321758221941678</v>
      </c>
      <c r="S2458" s="3" t="s">
        <v>31</v>
      </c>
      <c r="T2458" s="3" t="s">
        <v>35</v>
      </c>
      <c r="U2458" s="10">
        <v>0</v>
      </c>
      <c r="V2458" s="3">
        <v>0</v>
      </c>
      <c r="W2458" s="3">
        <f t="shared" si="389"/>
        <v>0</v>
      </c>
      <c r="AA2458" s="3">
        <v>48</v>
      </c>
    </row>
    <row r="2459" spans="1:27" x14ac:dyDescent="0.3">
      <c r="A2459" s="3" t="str">
        <f t="shared" si="380"/>
        <v>South9310099900320</v>
      </c>
      <c r="B2459" s="3" t="str">
        <f t="shared" si="381"/>
        <v>CY9310099900320</v>
      </c>
      <c r="C2459" s="10">
        <v>9310099900320</v>
      </c>
      <c r="D2459" s="10" t="str">
        <f t="shared" si="382"/>
        <v>9310099900</v>
      </c>
      <c r="E2459" s="3" t="s">
        <v>4</v>
      </c>
      <c r="F2459" s="3" t="s">
        <v>65</v>
      </c>
      <c r="H2459" s="3">
        <v>0</v>
      </c>
      <c r="I2459" s="10">
        <f t="shared" si="383"/>
        <v>0</v>
      </c>
      <c r="J2459" s="3">
        <v>0.88713369500000006</v>
      </c>
      <c r="K2459" s="3">
        <v>0</v>
      </c>
      <c r="L2459" s="3">
        <f t="shared" si="384"/>
        <v>0</v>
      </c>
      <c r="N2459" s="11">
        <f t="shared" si="385"/>
        <v>-0.88713369500000006</v>
      </c>
      <c r="O2459" s="3">
        <v>0.88713369500000006</v>
      </c>
      <c r="P2459" s="11">
        <f t="shared" si="386"/>
        <v>-30</v>
      </c>
      <c r="Q2459" s="12">
        <f t="shared" si="387"/>
        <v>-30</v>
      </c>
      <c r="R2459" s="13">
        <f t="shared" si="388"/>
        <v>-30.000000000000004</v>
      </c>
      <c r="S2459" s="3">
        <v>0</v>
      </c>
      <c r="T2459" s="3" t="s">
        <v>32</v>
      </c>
      <c r="U2459" s="10">
        <v>9310099900999</v>
      </c>
      <c r="V2459" s="3">
        <v>0.1</v>
      </c>
      <c r="W2459" s="3">
        <f t="shared" si="389"/>
        <v>0</v>
      </c>
      <c r="AA2459" s="3">
        <v>48</v>
      </c>
    </row>
    <row r="2460" spans="1:27" x14ac:dyDescent="0.3">
      <c r="A2460" s="3" t="str">
        <f t="shared" si="380"/>
        <v>South9160709902219</v>
      </c>
      <c r="B2460" s="3" t="str">
        <f t="shared" si="381"/>
        <v>CY9160709902219</v>
      </c>
      <c r="C2460" s="10">
        <v>9160709902219</v>
      </c>
      <c r="D2460" s="10" t="str">
        <f t="shared" si="382"/>
        <v>9160709902</v>
      </c>
      <c r="E2460" s="3" t="s">
        <v>4</v>
      </c>
      <c r="F2460" s="3" t="s">
        <v>65</v>
      </c>
      <c r="H2460" s="3">
        <v>4.8593999999999999</v>
      </c>
      <c r="I2460" s="10">
        <f t="shared" si="383"/>
        <v>169.54869557290141</v>
      </c>
      <c r="J2460" s="3">
        <v>0.85982377810342769</v>
      </c>
      <c r="K2460" s="3">
        <v>0</v>
      </c>
      <c r="L2460" s="3">
        <f t="shared" si="384"/>
        <v>0</v>
      </c>
      <c r="N2460" s="11">
        <f t="shared" si="385"/>
        <v>3.9995762218965725</v>
      </c>
      <c r="O2460" s="3">
        <v>0.85982377810342769</v>
      </c>
      <c r="P2460" s="11">
        <f t="shared" si="386"/>
        <v>139.54869557290141</v>
      </c>
      <c r="Q2460" s="12">
        <f t="shared" si="387"/>
        <v>141.66101536580143</v>
      </c>
      <c r="R2460" s="13">
        <f t="shared" si="388"/>
        <v>76.886003319418222</v>
      </c>
      <c r="S2460" s="3" t="s">
        <v>31</v>
      </c>
      <c r="T2460" s="3" t="s">
        <v>34</v>
      </c>
      <c r="U2460" s="10">
        <v>0</v>
      </c>
      <c r="V2460" s="3">
        <v>0</v>
      </c>
      <c r="W2460" s="3">
        <f t="shared" si="389"/>
        <v>0</v>
      </c>
      <c r="AA2460" s="3">
        <v>48</v>
      </c>
    </row>
    <row r="2461" spans="1:27" x14ac:dyDescent="0.3">
      <c r="A2461" s="3" t="str">
        <f t="shared" si="380"/>
        <v>South9310039902839</v>
      </c>
      <c r="B2461" s="3" t="str">
        <f t="shared" si="381"/>
        <v>CY9310039902839</v>
      </c>
      <c r="C2461" s="10">
        <v>9310039902839</v>
      </c>
      <c r="D2461" s="10" t="str">
        <f t="shared" si="382"/>
        <v>9310039902</v>
      </c>
      <c r="E2461" s="3" t="s">
        <v>4</v>
      </c>
      <c r="F2461" s="3" t="s">
        <v>65</v>
      </c>
      <c r="H2461" s="3">
        <v>1.2948</v>
      </c>
      <c r="I2461" s="10">
        <f t="shared" si="383"/>
        <v>45.372411911687294</v>
      </c>
      <c r="J2461" s="3">
        <v>0.85611494658044252</v>
      </c>
      <c r="K2461" s="3">
        <v>0</v>
      </c>
      <c r="L2461" s="3">
        <f t="shared" si="384"/>
        <v>0</v>
      </c>
      <c r="N2461" s="11">
        <f t="shared" si="385"/>
        <v>0.43868505341955744</v>
      </c>
      <c r="O2461" s="3">
        <v>0.85611494658044252</v>
      </c>
      <c r="P2461" s="11">
        <f t="shared" si="386"/>
        <v>15.372411911687291</v>
      </c>
      <c r="Q2461" s="12">
        <f t="shared" si="387"/>
        <v>13.728203322450369</v>
      </c>
      <c r="R2461" s="13">
        <f t="shared" si="388"/>
        <v>147.06389746158985</v>
      </c>
      <c r="S2461" s="3" t="s">
        <v>31</v>
      </c>
      <c r="T2461" s="3" t="s">
        <v>32</v>
      </c>
      <c r="U2461" s="10">
        <v>0</v>
      </c>
      <c r="V2461" s="3">
        <v>0</v>
      </c>
      <c r="W2461" s="3">
        <f t="shared" si="389"/>
        <v>0</v>
      </c>
      <c r="AA2461" s="3">
        <v>48</v>
      </c>
    </row>
    <row r="2462" spans="1:27" x14ac:dyDescent="0.3">
      <c r="A2462" s="3" t="str">
        <f t="shared" si="380"/>
        <v>South9420019901210</v>
      </c>
      <c r="B2462" s="3" t="str">
        <f t="shared" si="381"/>
        <v>CY9420019901210</v>
      </c>
      <c r="C2462" s="10">
        <v>9420019901210</v>
      </c>
      <c r="D2462" s="10" t="str">
        <f t="shared" si="382"/>
        <v>9420019901</v>
      </c>
      <c r="E2462" s="3" t="s">
        <v>4</v>
      </c>
      <c r="F2462" s="3" t="s">
        <v>65</v>
      </c>
      <c r="H2462" s="3">
        <v>0.26900000000000002</v>
      </c>
      <c r="I2462" s="10">
        <f t="shared" si="383"/>
        <v>9.4554461981243136</v>
      </c>
      <c r="J2462" s="3">
        <v>0.85347638079743449</v>
      </c>
      <c r="K2462" s="3">
        <v>0</v>
      </c>
      <c r="L2462" s="3">
        <f t="shared" si="384"/>
        <v>0</v>
      </c>
      <c r="N2462" s="11">
        <f t="shared" si="385"/>
        <v>-0.58447638079743447</v>
      </c>
      <c r="O2462" s="3">
        <v>0.85347638079743449</v>
      </c>
      <c r="P2462" s="11">
        <f t="shared" si="386"/>
        <v>-20.544553801875686</v>
      </c>
      <c r="Q2462" s="12">
        <f t="shared" si="387"/>
        <v>-21.74440569274741</v>
      </c>
      <c r="R2462" s="13">
        <f t="shared" si="388"/>
        <v>7.9005308736412605</v>
      </c>
      <c r="S2462" s="3" t="s">
        <v>31</v>
      </c>
      <c r="T2462" s="3" t="s">
        <v>28</v>
      </c>
      <c r="U2462" s="10">
        <v>0</v>
      </c>
      <c r="V2462" s="3">
        <v>0</v>
      </c>
      <c r="W2462" s="3">
        <f t="shared" si="389"/>
        <v>0</v>
      </c>
      <c r="AA2462" s="3">
        <v>48</v>
      </c>
    </row>
    <row r="2463" spans="1:27" x14ac:dyDescent="0.3">
      <c r="A2463" s="3" t="str">
        <f t="shared" si="380"/>
        <v>South9360019900840</v>
      </c>
      <c r="B2463" s="3" t="str">
        <f t="shared" si="381"/>
        <v>CY9360019900840</v>
      </c>
      <c r="C2463" s="10">
        <v>9360019900840</v>
      </c>
      <c r="D2463" s="10" t="str">
        <f t="shared" si="382"/>
        <v>9360019900</v>
      </c>
      <c r="E2463" s="3" t="s">
        <v>4</v>
      </c>
      <c r="F2463" s="3" t="s">
        <v>65</v>
      </c>
      <c r="H2463" s="3">
        <v>1.6520000000000006</v>
      </c>
      <c r="I2463" s="10">
        <f t="shared" si="383"/>
        <v>58.646056364406313</v>
      </c>
      <c r="J2463" s="3">
        <v>0.84506961034261741</v>
      </c>
      <c r="K2463" s="3">
        <v>0</v>
      </c>
      <c r="L2463" s="3">
        <f t="shared" si="384"/>
        <v>0</v>
      </c>
      <c r="N2463" s="11">
        <f t="shared" si="385"/>
        <v>0.80693038965738317</v>
      </c>
      <c r="O2463" s="3">
        <v>0.84506961034261741</v>
      </c>
      <c r="P2463" s="11">
        <f t="shared" si="386"/>
        <v>28.646056364406309</v>
      </c>
      <c r="Q2463" s="12">
        <f t="shared" si="387"/>
        <v>19.855225753491382</v>
      </c>
      <c r="R2463" s="13">
        <f t="shared" si="388"/>
        <v>38.068005268363464</v>
      </c>
      <c r="S2463" s="3" t="s">
        <v>31</v>
      </c>
      <c r="T2463" s="3" t="s">
        <v>33</v>
      </c>
      <c r="U2463" s="10">
        <v>0</v>
      </c>
      <c r="V2463" s="3">
        <v>0</v>
      </c>
      <c r="W2463" s="3">
        <f t="shared" si="389"/>
        <v>0</v>
      </c>
      <c r="AA2463" s="3">
        <v>48</v>
      </c>
    </row>
    <row r="2464" spans="1:27" x14ac:dyDescent="0.3">
      <c r="A2464" s="3" t="str">
        <f t="shared" si="380"/>
        <v>South9320039905297</v>
      </c>
      <c r="B2464" s="3" t="str">
        <f t="shared" si="381"/>
        <v>CY9320039905297</v>
      </c>
      <c r="C2464" s="10">
        <v>9320039905297</v>
      </c>
      <c r="D2464" s="10" t="str">
        <f t="shared" si="382"/>
        <v>9320039905</v>
      </c>
      <c r="E2464" s="3" t="s">
        <v>4</v>
      </c>
      <c r="F2464" s="3" t="s">
        <v>65</v>
      </c>
      <c r="H2464" s="3">
        <v>23.468250000000001</v>
      </c>
      <c r="I2464" s="10">
        <f t="shared" si="383"/>
        <v>844.46296757389734</v>
      </c>
      <c r="J2464" s="3">
        <v>0.83372217259295056</v>
      </c>
      <c r="K2464" s="3">
        <v>0</v>
      </c>
      <c r="L2464" s="3">
        <f t="shared" si="384"/>
        <v>0</v>
      </c>
      <c r="N2464" s="11">
        <f t="shared" si="385"/>
        <v>22.634527827407052</v>
      </c>
      <c r="O2464" s="3">
        <v>0.83372217259295056</v>
      </c>
      <c r="P2464" s="11">
        <f t="shared" si="386"/>
        <v>814.46296757389734</v>
      </c>
      <c r="Q2464" s="12">
        <f t="shared" si="387"/>
        <v>814.46296757389734</v>
      </c>
      <c r="R2464" s="13">
        <f t="shared" si="388"/>
        <v>150.02106831521638</v>
      </c>
      <c r="S2464" s="3" t="s">
        <v>31</v>
      </c>
      <c r="T2464" s="3" t="s">
        <v>28</v>
      </c>
      <c r="U2464" s="10">
        <v>9320039900999</v>
      </c>
      <c r="V2464" s="3">
        <v>0.1</v>
      </c>
      <c r="W2464" s="3">
        <f t="shared" si="389"/>
        <v>0</v>
      </c>
      <c r="AA2464" s="3">
        <v>48</v>
      </c>
    </row>
    <row r="2465" spans="1:27" x14ac:dyDescent="0.3">
      <c r="A2465" s="3" t="str">
        <f t="shared" si="380"/>
        <v>South9330229901210</v>
      </c>
      <c r="B2465" s="3" t="str">
        <f t="shared" si="381"/>
        <v>CY9330229901210</v>
      </c>
      <c r="C2465" s="10">
        <v>9330229901210</v>
      </c>
      <c r="D2465" s="10" t="str">
        <f t="shared" si="382"/>
        <v>9330229901</v>
      </c>
      <c r="E2465" s="3" t="s">
        <v>4</v>
      </c>
      <c r="F2465" s="3" t="s">
        <v>65</v>
      </c>
      <c r="H2465" s="3">
        <v>1.6860000000000004</v>
      </c>
      <c r="I2465" s="10">
        <f t="shared" si="383"/>
        <v>61.986366717159889</v>
      </c>
      <c r="J2465" s="3">
        <v>0.81598588010156403</v>
      </c>
      <c r="K2465" s="3">
        <v>0</v>
      </c>
      <c r="L2465" s="3">
        <f t="shared" si="384"/>
        <v>0</v>
      </c>
      <c r="N2465" s="11">
        <f t="shared" si="385"/>
        <v>0.87001411989843636</v>
      </c>
      <c r="O2465" s="3">
        <v>0.81598588010156403</v>
      </c>
      <c r="P2465" s="11">
        <f t="shared" si="386"/>
        <v>31.986366717159893</v>
      </c>
      <c r="Q2465" s="12">
        <f t="shared" si="387"/>
        <v>18.549798698062951</v>
      </c>
      <c r="R2465" s="13">
        <f t="shared" si="388"/>
        <v>40.97444806865218</v>
      </c>
      <c r="S2465" s="3" t="s">
        <v>31</v>
      </c>
      <c r="T2465" s="3" t="s">
        <v>35</v>
      </c>
      <c r="U2465" s="10">
        <v>0</v>
      </c>
      <c r="V2465" s="3">
        <v>0</v>
      </c>
      <c r="W2465" s="3">
        <f t="shared" si="389"/>
        <v>0</v>
      </c>
      <c r="AA2465" s="3">
        <v>48</v>
      </c>
    </row>
    <row r="2466" spans="1:27" x14ac:dyDescent="0.3">
      <c r="A2466" s="3" t="str">
        <f t="shared" si="380"/>
        <v>South9320029900840</v>
      </c>
      <c r="B2466" s="3" t="str">
        <f t="shared" si="381"/>
        <v>CY9320029900840</v>
      </c>
      <c r="C2466" s="10">
        <v>9320029900840</v>
      </c>
      <c r="D2466" s="10" t="str">
        <f t="shared" si="382"/>
        <v>9320029900</v>
      </c>
      <c r="E2466" s="3" t="s">
        <v>4</v>
      </c>
      <c r="F2466" s="3" t="s">
        <v>65</v>
      </c>
      <c r="H2466" s="3">
        <v>3.4600000000000004</v>
      </c>
      <c r="I2466" s="10">
        <f t="shared" si="383"/>
        <v>135.52570363795564</v>
      </c>
      <c r="J2466" s="3">
        <v>0.76590637210260937</v>
      </c>
      <c r="K2466" s="3">
        <v>0</v>
      </c>
      <c r="L2466" s="3">
        <f t="shared" si="384"/>
        <v>0</v>
      </c>
      <c r="N2466" s="11">
        <f t="shared" si="385"/>
        <v>2.694093627897391</v>
      </c>
      <c r="O2466" s="3">
        <v>0.76590637210260937</v>
      </c>
      <c r="P2466" s="11">
        <f t="shared" si="386"/>
        <v>105.52570363795564</v>
      </c>
      <c r="Q2466" s="12">
        <f t="shared" si="387"/>
        <v>0.72115782148626306</v>
      </c>
      <c r="R2466" s="13">
        <f t="shared" si="388"/>
        <v>3.8494905204534557</v>
      </c>
      <c r="S2466" s="3" t="s">
        <v>30</v>
      </c>
      <c r="T2466" s="3" t="s">
        <v>28</v>
      </c>
      <c r="U2466" s="10">
        <v>0</v>
      </c>
      <c r="V2466" s="3">
        <v>0</v>
      </c>
      <c r="W2466" s="3">
        <f t="shared" si="389"/>
        <v>0</v>
      </c>
      <c r="AA2466" s="3">
        <v>48</v>
      </c>
    </row>
    <row r="2467" spans="1:27" x14ac:dyDescent="0.3">
      <c r="A2467" s="3" t="str">
        <f t="shared" si="380"/>
        <v>South9310019905219</v>
      </c>
      <c r="B2467" s="3" t="str">
        <f t="shared" si="381"/>
        <v>CY9310019905219</v>
      </c>
      <c r="C2467" s="10">
        <v>9310019905219</v>
      </c>
      <c r="D2467" s="10" t="str">
        <f t="shared" si="382"/>
        <v>9310019905</v>
      </c>
      <c r="E2467" s="3" t="s">
        <v>4</v>
      </c>
      <c r="F2467" s="3" t="s">
        <v>65</v>
      </c>
      <c r="H2467" s="3">
        <v>4.9919999999999982</v>
      </c>
      <c r="I2467" s="10">
        <f t="shared" si="383"/>
        <v>196.09760740990947</v>
      </c>
      <c r="J2467" s="3">
        <v>0.76370131169908428</v>
      </c>
      <c r="K2467" s="3">
        <v>0</v>
      </c>
      <c r="L2467" s="3">
        <f t="shared" si="384"/>
        <v>0</v>
      </c>
      <c r="N2467" s="11">
        <f t="shared" si="385"/>
        <v>4.2282986883009137</v>
      </c>
      <c r="O2467" s="3">
        <v>0.76370131169908428</v>
      </c>
      <c r="P2467" s="11">
        <f t="shared" si="386"/>
        <v>166.09760740990947</v>
      </c>
      <c r="Q2467" s="12">
        <f t="shared" si="387"/>
        <v>166.0976074099095</v>
      </c>
      <c r="R2467" s="13">
        <f t="shared" si="388"/>
        <v>175.92021139214239</v>
      </c>
      <c r="S2467" s="3" t="s">
        <v>31</v>
      </c>
      <c r="T2467" s="3" t="s">
        <v>32</v>
      </c>
      <c r="U2467" s="10">
        <v>9310019900999</v>
      </c>
      <c r="V2467" s="3">
        <v>0.1</v>
      </c>
      <c r="W2467" s="3">
        <f t="shared" si="389"/>
        <v>0</v>
      </c>
      <c r="AA2467" s="3">
        <v>48</v>
      </c>
    </row>
    <row r="2468" spans="1:27" x14ac:dyDescent="0.3">
      <c r="A2468" s="3" t="str">
        <f t="shared" si="380"/>
        <v>South9310019900310</v>
      </c>
      <c r="B2468" s="3" t="str">
        <f t="shared" si="381"/>
        <v>CY9310019900310</v>
      </c>
      <c r="C2468" s="10">
        <v>9310019900310</v>
      </c>
      <c r="D2468" s="10" t="str">
        <f t="shared" si="382"/>
        <v>9310019900</v>
      </c>
      <c r="E2468" s="3" t="s">
        <v>4</v>
      </c>
      <c r="F2468" s="3" t="s">
        <v>65</v>
      </c>
      <c r="H2468" s="3">
        <v>1.5600000000000005</v>
      </c>
      <c r="I2468" s="10">
        <f t="shared" si="383"/>
        <v>65.79396438760871</v>
      </c>
      <c r="J2468" s="3">
        <v>0.71131144681128344</v>
      </c>
      <c r="K2468" s="3">
        <v>0</v>
      </c>
      <c r="L2468" s="3">
        <f t="shared" si="384"/>
        <v>0</v>
      </c>
      <c r="N2468" s="11">
        <f t="shared" si="385"/>
        <v>0.84868855318871705</v>
      </c>
      <c r="O2468" s="3">
        <v>0.71131144681128344</v>
      </c>
      <c r="P2468" s="11">
        <f t="shared" si="386"/>
        <v>35.793964387608717</v>
      </c>
      <c r="Q2468" s="12">
        <f t="shared" si="387"/>
        <v>65.634243608796723</v>
      </c>
      <c r="R2468" s="13">
        <f t="shared" si="388"/>
        <v>95.847265885842234</v>
      </c>
      <c r="S2468" s="3" t="s">
        <v>30</v>
      </c>
      <c r="T2468" s="3" t="s">
        <v>32</v>
      </c>
      <c r="U2468" s="10">
        <v>9310019900999</v>
      </c>
      <c r="V2468" s="3">
        <v>0.1</v>
      </c>
      <c r="W2468" s="3">
        <f t="shared" si="389"/>
        <v>0</v>
      </c>
      <c r="AA2468" s="3">
        <v>48</v>
      </c>
    </row>
    <row r="2469" spans="1:27" x14ac:dyDescent="0.3">
      <c r="A2469" s="3" t="str">
        <f t="shared" si="380"/>
        <v>South9420039902195</v>
      </c>
      <c r="B2469" s="3" t="str">
        <f t="shared" si="381"/>
        <v>CY9420039902195</v>
      </c>
      <c r="C2469" s="10">
        <v>9420039902195</v>
      </c>
      <c r="D2469" s="10" t="str">
        <f t="shared" si="382"/>
        <v>9420039902</v>
      </c>
      <c r="E2469" s="3" t="s">
        <v>4</v>
      </c>
      <c r="F2469" s="3" t="s">
        <v>65</v>
      </c>
      <c r="H2469" s="3">
        <v>1.1447500000000002</v>
      </c>
      <c r="I2469" s="10">
        <f t="shared" si="383"/>
        <v>48.989093399815268</v>
      </c>
      <c r="J2469" s="3">
        <v>0.70102338330126157</v>
      </c>
      <c r="K2469" s="3">
        <v>0</v>
      </c>
      <c r="L2469" s="3">
        <f t="shared" si="384"/>
        <v>0</v>
      </c>
      <c r="N2469" s="11">
        <f t="shared" si="385"/>
        <v>0.44372661669873859</v>
      </c>
      <c r="O2469" s="3">
        <v>0.70102338330126157</v>
      </c>
      <c r="P2469" s="11">
        <f t="shared" si="386"/>
        <v>18.989093399815271</v>
      </c>
      <c r="Q2469" s="12">
        <f t="shared" si="387"/>
        <v>11.054428235817861</v>
      </c>
      <c r="R2469" s="13">
        <f t="shared" si="388"/>
        <v>11.369139800998852</v>
      </c>
      <c r="S2469" s="3" t="s">
        <v>31</v>
      </c>
      <c r="T2469" s="3" t="s">
        <v>28</v>
      </c>
      <c r="U2469" s="10">
        <v>0</v>
      </c>
      <c r="V2469" s="3">
        <v>0</v>
      </c>
      <c r="W2469" s="3">
        <f t="shared" si="389"/>
        <v>0</v>
      </c>
      <c r="AA2469" s="3">
        <v>48</v>
      </c>
    </row>
    <row r="2470" spans="1:27" x14ac:dyDescent="0.3">
      <c r="A2470" s="3" t="str">
        <f t="shared" si="380"/>
        <v>South9410019900310</v>
      </c>
      <c r="B2470" s="3" t="str">
        <f t="shared" si="381"/>
        <v>CY9410019900310</v>
      </c>
      <c r="C2470" s="10">
        <v>9410019900310</v>
      </c>
      <c r="D2470" s="10" t="str">
        <f t="shared" si="382"/>
        <v>9410019900</v>
      </c>
      <c r="E2470" s="3" t="s">
        <v>4</v>
      </c>
      <c r="F2470" s="3" t="s">
        <v>65</v>
      </c>
      <c r="H2470" s="3">
        <v>0.65000000000000013</v>
      </c>
      <c r="I2470" s="10">
        <f t="shared" si="383"/>
        <v>27.875303574829793</v>
      </c>
      <c r="J2470" s="3">
        <v>0.69954395106956502</v>
      </c>
      <c r="K2470" s="3">
        <v>0</v>
      </c>
      <c r="L2470" s="3">
        <f t="shared" si="384"/>
        <v>0</v>
      </c>
      <c r="N2470" s="11">
        <f t="shared" si="385"/>
        <v>-4.9543951069564884E-2</v>
      </c>
      <c r="O2470" s="3">
        <v>0.69954395106956502</v>
      </c>
      <c r="P2470" s="11">
        <f t="shared" si="386"/>
        <v>-2.1246964251702063</v>
      </c>
      <c r="Q2470" s="12">
        <f t="shared" si="387"/>
        <v>251.04187204033482</v>
      </c>
      <c r="R2470" s="13">
        <f t="shared" si="388"/>
        <v>100.97016749365775</v>
      </c>
      <c r="S2470" s="3" t="s">
        <v>31</v>
      </c>
      <c r="T2470" s="3" t="s">
        <v>32</v>
      </c>
      <c r="U2470" s="10">
        <v>9410019900999</v>
      </c>
      <c r="V2470" s="3">
        <v>0.1</v>
      </c>
      <c r="W2470" s="3">
        <f t="shared" si="389"/>
        <v>0</v>
      </c>
      <c r="AA2470" s="3">
        <v>48</v>
      </c>
    </row>
    <row r="2471" spans="1:27" x14ac:dyDescent="0.3">
      <c r="A2471" s="3" t="str">
        <f t="shared" si="380"/>
        <v>South9310099901210</v>
      </c>
      <c r="B2471" s="3" t="str">
        <f t="shared" si="381"/>
        <v>CY9310099901210</v>
      </c>
      <c r="C2471" s="10">
        <v>9310099901210</v>
      </c>
      <c r="D2471" s="10" t="str">
        <f t="shared" si="382"/>
        <v>9310099901</v>
      </c>
      <c r="E2471" s="3" t="s">
        <v>4</v>
      </c>
      <c r="F2471" s="3" t="s">
        <v>65</v>
      </c>
      <c r="H2471" s="3">
        <v>0</v>
      </c>
      <c r="I2471" s="10">
        <f t="shared" si="383"/>
        <v>0</v>
      </c>
      <c r="J2471" s="3">
        <v>0.67384410450000043</v>
      </c>
      <c r="K2471" s="3">
        <v>0</v>
      </c>
      <c r="L2471" s="3">
        <f t="shared" si="384"/>
        <v>0</v>
      </c>
      <c r="N2471" s="11">
        <f t="shared" si="385"/>
        <v>-0.67384410450000043</v>
      </c>
      <c r="O2471" s="3">
        <v>0.67384410450000043</v>
      </c>
      <c r="P2471" s="11">
        <f t="shared" si="386"/>
        <v>-30</v>
      </c>
      <c r="Q2471" s="12">
        <f t="shared" si="387"/>
        <v>-30</v>
      </c>
      <c r="R2471" s="13">
        <f t="shared" si="388"/>
        <v>-30</v>
      </c>
      <c r="S2471" s="3">
        <v>0</v>
      </c>
      <c r="T2471" s="3" t="s">
        <v>32</v>
      </c>
      <c r="U2471" s="10">
        <v>0</v>
      </c>
      <c r="V2471" s="3">
        <v>0</v>
      </c>
      <c r="W2471" s="3">
        <f t="shared" si="389"/>
        <v>0</v>
      </c>
      <c r="AA2471" s="3">
        <v>48</v>
      </c>
    </row>
    <row r="2472" spans="1:27" x14ac:dyDescent="0.3">
      <c r="A2472" s="3" t="str">
        <f t="shared" si="380"/>
        <v>South9330229902297</v>
      </c>
      <c r="B2472" s="3" t="str">
        <f t="shared" si="381"/>
        <v>CY9330229902297</v>
      </c>
      <c r="C2472" s="10">
        <v>9330229902297</v>
      </c>
      <c r="D2472" s="10" t="str">
        <f t="shared" si="382"/>
        <v>9330229902</v>
      </c>
      <c r="E2472" s="3" t="s">
        <v>4</v>
      </c>
      <c r="F2472" s="3" t="s">
        <v>65</v>
      </c>
      <c r="H2472" s="3">
        <v>1.7062499999999998</v>
      </c>
      <c r="I2472" s="10">
        <f t="shared" si="383"/>
        <v>76.570786225645449</v>
      </c>
      <c r="J2472" s="3">
        <v>0.66849907808385589</v>
      </c>
      <c r="K2472" s="3">
        <v>0</v>
      </c>
      <c r="L2472" s="3">
        <f t="shared" si="384"/>
        <v>0</v>
      </c>
      <c r="N2472" s="11">
        <f t="shared" si="385"/>
        <v>1.0377509219161438</v>
      </c>
      <c r="O2472" s="3">
        <v>0.66849907808385589</v>
      </c>
      <c r="P2472" s="11">
        <f t="shared" si="386"/>
        <v>46.570786225645442</v>
      </c>
      <c r="Q2472" s="12">
        <f t="shared" si="387"/>
        <v>34.561220572981682</v>
      </c>
      <c r="R2472" s="13">
        <f t="shared" si="388"/>
        <v>49.054469785282997</v>
      </c>
      <c r="S2472" s="3" t="s">
        <v>31</v>
      </c>
      <c r="T2472" s="3" t="s">
        <v>35</v>
      </c>
      <c r="U2472" s="10">
        <v>9330229900999</v>
      </c>
      <c r="V2472" s="3">
        <v>0.1</v>
      </c>
      <c r="W2472" s="3">
        <f t="shared" si="389"/>
        <v>0</v>
      </c>
      <c r="AA2472" s="3">
        <v>48</v>
      </c>
    </row>
    <row r="2473" spans="1:27" x14ac:dyDescent="0.3">
      <c r="A2473" s="3" t="str">
        <f t="shared" si="380"/>
        <v>South9420139900210</v>
      </c>
      <c r="B2473" s="3" t="str">
        <f t="shared" si="381"/>
        <v>CY9420139900210</v>
      </c>
      <c r="C2473" s="10">
        <v>9420139900210</v>
      </c>
      <c r="D2473" s="10" t="str">
        <f t="shared" si="382"/>
        <v>9420139900</v>
      </c>
      <c r="E2473" s="3" t="s">
        <v>4</v>
      </c>
      <c r="F2473" s="3" t="s">
        <v>65</v>
      </c>
      <c r="H2473" s="3">
        <v>1.8360000000000003</v>
      </c>
      <c r="I2473" s="10">
        <f t="shared" si="383"/>
        <v>84.819321951177969</v>
      </c>
      <c r="J2473" s="3">
        <v>0.64938033850004218</v>
      </c>
      <c r="K2473" s="3">
        <v>0</v>
      </c>
      <c r="L2473" s="3">
        <f t="shared" si="384"/>
        <v>0</v>
      </c>
      <c r="N2473" s="11">
        <f t="shared" si="385"/>
        <v>1.1866196614999582</v>
      </c>
      <c r="O2473" s="3">
        <v>0.64938033850004218</v>
      </c>
      <c r="P2473" s="11">
        <f t="shared" si="386"/>
        <v>54.819321951177976</v>
      </c>
      <c r="Q2473" s="12">
        <f t="shared" si="387"/>
        <v>243.87035570895517</v>
      </c>
      <c r="R2473" s="13">
        <f t="shared" si="388"/>
        <v>110.31179778736497</v>
      </c>
      <c r="S2473" s="3" t="s">
        <v>31</v>
      </c>
      <c r="T2473" s="3" t="s">
        <v>28</v>
      </c>
      <c r="U2473" s="10">
        <v>0</v>
      </c>
      <c r="V2473" s="3">
        <v>0</v>
      </c>
      <c r="W2473" s="3">
        <f t="shared" si="389"/>
        <v>0</v>
      </c>
      <c r="AA2473" s="3">
        <v>48</v>
      </c>
    </row>
    <row r="2474" spans="1:27" x14ac:dyDescent="0.3">
      <c r="A2474" s="3" t="str">
        <f t="shared" si="380"/>
        <v>South9420059900310</v>
      </c>
      <c r="B2474" s="3" t="str">
        <f t="shared" si="381"/>
        <v>CY9420059900310</v>
      </c>
      <c r="C2474" s="10">
        <v>9420059900310</v>
      </c>
      <c r="D2474" s="10" t="str">
        <f t="shared" si="382"/>
        <v>9420059900</v>
      </c>
      <c r="E2474" s="3" t="s">
        <v>4</v>
      </c>
      <c r="F2474" s="3" t="s">
        <v>65</v>
      </c>
      <c r="H2474" s="3">
        <v>1.3000000000000005</v>
      </c>
      <c r="I2474" s="10">
        <f t="shared" si="383"/>
        <v>62.054477076828</v>
      </c>
      <c r="J2474" s="3">
        <v>0.62848003620617332</v>
      </c>
      <c r="K2474" s="3">
        <v>0</v>
      </c>
      <c r="L2474" s="3">
        <f t="shared" si="384"/>
        <v>0</v>
      </c>
      <c r="N2474" s="11">
        <f t="shared" si="385"/>
        <v>0.67151996379382717</v>
      </c>
      <c r="O2474" s="3">
        <v>0.62848003620617332</v>
      </c>
      <c r="P2474" s="11">
        <f t="shared" si="386"/>
        <v>32.054477076828</v>
      </c>
      <c r="Q2474" s="12">
        <f t="shared" si="387"/>
        <v>19.031058447648658</v>
      </c>
      <c r="R2474" s="13">
        <f t="shared" si="388"/>
        <v>6.0010965144808175</v>
      </c>
      <c r="S2474" s="3" t="s">
        <v>31</v>
      </c>
      <c r="T2474" s="3" t="s">
        <v>28</v>
      </c>
      <c r="U2474" s="10">
        <v>9420059900999</v>
      </c>
      <c r="V2474" s="3">
        <v>0.1</v>
      </c>
      <c r="W2474" s="3">
        <f t="shared" si="389"/>
        <v>0</v>
      </c>
      <c r="AA2474" s="3">
        <v>48</v>
      </c>
    </row>
    <row r="2475" spans="1:27" x14ac:dyDescent="0.3">
      <c r="A2475" s="3" t="str">
        <f t="shared" si="380"/>
        <v>South9320039900310</v>
      </c>
      <c r="B2475" s="3" t="str">
        <f t="shared" si="381"/>
        <v>CY9320039900310</v>
      </c>
      <c r="C2475" s="10">
        <v>9320039900310</v>
      </c>
      <c r="D2475" s="10" t="str">
        <f t="shared" si="382"/>
        <v>9320039900</v>
      </c>
      <c r="E2475" s="3" t="s">
        <v>4</v>
      </c>
      <c r="F2475" s="3" t="s">
        <v>65</v>
      </c>
      <c r="H2475" s="3">
        <v>1.7800000000000005</v>
      </c>
      <c r="I2475" s="10">
        <f t="shared" si="383"/>
        <v>85.360158252727572</v>
      </c>
      <c r="J2475" s="3">
        <v>0.62558459465243188</v>
      </c>
      <c r="K2475" s="3">
        <v>0</v>
      </c>
      <c r="L2475" s="3">
        <f t="shared" si="384"/>
        <v>0</v>
      </c>
      <c r="N2475" s="11">
        <f t="shared" si="385"/>
        <v>1.1544154053475686</v>
      </c>
      <c r="O2475" s="3">
        <v>0.62558459465243188</v>
      </c>
      <c r="P2475" s="11">
        <f t="shared" si="386"/>
        <v>55.360158252727565</v>
      </c>
      <c r="Q2475" s="12">
        <f t="shared" si="387"/>
        <v>22.264117151835126</v>
      </c>
      <c r="R2475" s="13">
        <f t="shared" si="388"/>
        <v>11.051869163953389</v>
      </c>
      <c r="S2475" s="3" t="s">
        <v>30</v>
      </c>
      <c r="T2475" s="3" t="s">
        <v>28</v>
      </c>
      <c r="U2475" s="10">
        <v>9320039900999</v>
      </c>
      <c r="V2475" s="3">
        <v>0.1</v>
      </c>
      <c r="W2475" s="3">
        <f t="shared" si="389"/>
        <v>0</v>
      </c>
      <c r="AA2475" s="3">
        <v>48</v>
      </c>
    </row>
    <row r="2476" spans="1:27" x14ac:dyDescent="0.3">
      <c r="A2476" s="3" t="str">
        <f t="shared" si="380"/>
        <v>South9310039902297</v>
      </c>
      <c r="B2476" s="3" t="str">
        <f t="shared" si="381"/>
        <v>CY9310039902297</v>
      </c>
      <c r="C2476" s="10">
        <v>9310039902297</v>
      </c>
      <c r="D2476" s="10" t="str">
        <f t="shared" si="382"/>
        <v>9310039902</v>
      </c>
      <c r="E2476" s="3" t="s">
        <v>4</v>
      </c>
      <c r="F2476" s="3" t="s">
        <v>65</v>
      </c>
      <c r="H2476" s="3">
        <v>0.96525000000000005</v>
      </c>
      <c r="I2476" s="10">
        <f t="shared" si="383"/>
        <v>46.808157170772468</v>
      </c>
      <c r="J2476" s="3">
        <v>0.61864217158460111</v>
      </c>
      <c r="K2476" s="3">
        <v>0</v>
      </c>
      <c r="L2476" s="3">
        <f t="shared" si="384"/>
        <v>0</v>
      </c>
      <c r="N2476" s="11">
        <f t="shared" si="385"/>
        <v>0.34660782841539894</v>
      </c>
      <c r="O2476" s="3">
        <v>0.61864217158460111</v>
      </c>
      <c r="P2476" s="11">
        <f t="shared" si="386"/>
        <v>16.808157170772475</v>
      </c>
      <c r="Q2476" s="12">
        <f t="shared" si="387"/>
        <v>31.775110857362019</v>
      </c>
      <c r="R2476" s="13">
        <f t="shared" si="388"/>
        <v>108.69545438572041</v>
      </c>
      <c r="S2476" s="3" t="s">
        <v>31</v>
      </c>
      <c r="T2476" s="3" t="s">
        <v>32</v>
      </c>
      <c r="U2476" s="10">
        <v>9310039900999</v>
      </c>
      <c r="V2476" s="3">
        <v>0.1</v>
      </c>
      <c r="W2476" s="3">
        <f t="shared" si="389"/>
        <v>0</v>
      </c>
      <c r="AA2476" s="3">
        <v>48</v>
      </c>
    </row>
    <row r="2477" spans="1:27" x14ac:dyDescent="0.3">
      <c r="A2477" s="3" t="str">
        <f t="shared" si="380"/>
        <v>South9330229902839</v>
      </c>
      <c r="B2477" s="3" t="str">
        <f t="shared" si="381"/>
        <v>CY9330229902839</v>
      </c>
      <c r="C2477" s="10">
        <v>9330229902839</v>
      </c>
      <c r="D2477" s="10" t="str">
        <f t="shared" si="382"/>
        <v>9330229902</v>
      </c>
      <c r="E2477" s="3" t="s">
        <v>4</v>
      </c>
      <c r="F2477" s="3" t="s">
        <v>65</v>
      </c>
      <c r="H2477" s="3">
        <v>1.5404999999999998</v>
      </c>
      <c r="I2477" s="10">
        <f t="shared" si="383"/>
        <v>76.672633995245889</v>
      </c>
      <c r="J2477" s="3">
        <v>0.60275743236974966</v>
      </c>
      <c r="K2477" s="3">
        <v>0</v>
      </c>
      <c r="L2477" s="3">
        <f t="shared" si="384"/>
        <v>0</v>
      </c>
      <c r="N2477" s="11">
        <f t="shared" si="385"/>
        <v>0.9377425676302501</v>
      </c>
      <c r="O2477" s="3">
        <v>0.60275743236974966</v>
      </c>
      <c r="P2477" s="11">
        <f t="shared" si="386"/>
        <v>46.672633995245889</v>
      </c>
      <c r="Q2477" s="12">
        <f t="shared" si="387"/>
        <v>25.200864033730525</v>
      </c>
      <c r="R2477" s="13">
        <f t="shared" si="388"/>
        <v>48.433917155210573</v>
      </c>
      <c r="S2477" s="3" t="s">
        <v>31</v>
      </c>
      <c r="T2477" s="3" t="s">
        <v>35</v>
      </c>
      <c r="U2477" s="10">
        <v>0</v>
      </c>
      <c r="V2477" s="3">
        <v>0</v>
      </c>
      <c r="W2477" s="3">
        <f t="shared" si="389"/>
        <v>0</v>
      </c>
      <c r="AA2477" s="3">
        <v>48</v>
      </c>
    </row>
    <row r="2478" spans="1:27" x14ac:dyDescent="0.3">
      <c r="A2478" s="3" t="str">
        <f t="shared" si="380"/>
        <v>South9310099902839</v>
      </c>
      <c r="B2478" s="3" t="str">
        <f t="shared" si="381"/>
        <v>CY9310099902839</v>
      </c>
      <c r="C2478" s="10">
        <v>9310099902839</v>
      </c>
      <c r="D2478" s="10" t="str">
        <f t="shared" si="382"/>
        <v>9310099902</v>
      </c>
      <c r="E2478" s="3" t="s">
        <v>4</v>
      </c>
      <c r="F2478" s="3" t="s">
        <v>65</v>
      </c>
      <c r="H2478" s="3">
        <v>0</v>
      </c>
      <c r="I2478" s="10">
        <f t="shared" si="383"/>
        <v>0</v>
      </c>
      <c r="J2478" s="3">
        <v>0.58890577200000016</v>
      </c>
      <c r="K2478" s="3">
        <v>0</v>
      </c>
      <c r="L2478" s="3">
        <f t="shared" si="384"/>
        <v>0</v>
      </c>
      <c r="N2478" s="11">
        <f t="shared" si="385"/>
        <v>-0.58890577200000016</v>
      </c>
      <c r="O2478" s="3">
        <v>0.58890577200000016</v>
      </c>
      <c r="P2478" s="11">
        <f t="shared" si="386"/>
        <v>-30</v>
      </c>
      <c r="Q2478" s="12">
        <f t="shared" si="387"/>
        <v>-30</v>
      </c>
      <c r="R2478" s="13">
        <f t="shared" si="388"/>
        <v>-30.000000000000004</v>
      </c>
      <c r="S2478" s="3">
        <v>0</v>
      </c>
      <c r="T2478" s="3" t="s">
        <v>32</v>
      </c>
      <c r="U2478" s="10">
        <v>0</v>
      </c>
      <c r="V2478" s="3">
        <v>0</v>
      </c>
      <c r="W2478" s="3">
        <f t="shared" si="389"/>
        <v>0</v>
      </c>
      <c r="AA2478" s="3">
        <v>48</v>
      </c>
    </row>
    <row r="2479" spans="1:27" x14ac:dyDescent="0.3">
      <c r="A2479" s="3" t="str">
        <f t="shared" si="380"/>
        <v>South9310049901210</v>
      </c>
      <c r="B2479" s="3" t="str">
        <f t="shared" si="381"/>
        <v>CY9310049901210</v>
      </c>
      <c r="C2479" s="10">
        <v>9310049901210</v>
      </c>
      <c r="D2479" s="10" t="str">
        <f t="shared" si="382"/>
        <v>9310049901</v>
      </c>
      <c r="E2479" s="3" t="s">
        <v>4</v>
      </c>
      <c r="F2479" s="3" t="s">
        <v>65</v>
      </c>
      <c r="H2479" s="3">
        <v>0.76100000000000012</v>
      </c>
      <c r="I2479" s="10">
        <f t="shared" si="383"/>
        <v>39.673920680538686</v>
      </c>
      <c r="J2479" s="3">
        <v>0.57544098512045572</v>
      </c>
      <c r="K2479" s="3">
        <v>0</v>
      </c>
      <c r="L2479" s="3">
        <f t="shared" si="384"/>
        <v>0</v>
      </c>
      <c r="N2479" s="11">
        <f t="shared" si="385"/>
        <v>0.1855590148795444</v>
      </c>
      <c r="O2479" s="3">
        <v>0.57544098512045572</v>
      </c>
      <c r="P2479" s="11">
        <f t="shared" si="386"/>
        <v>9.6739206805386875</v>
      </c>
      <c r="Q2479" s="12">
        <f t="shared" si="387"/>
        <v>9.6739206805386893</v>
      </c>
      <c r="R2479" s="13">
        <f t="shared" si="388"/>
        <v>13.564857995607879</v>
      </c>
      <c r="S2479" s="3" t="s">
        <v>31</v>
      </c>
      <c r="T2479" s="3" t="s">
        <v>32</v>
      </c>
      <c r="U2479" s="10">
        <v>0</v>
      </c>
      <c r="V2479" s="3">
        <v>0</v>
      </c>
      <c r="W2479" s="3">
        <f t="shared" si="389"/>
        <v>0</v>
      </c>
      <c r="AA2479" s="3">
        <v>48</v>
      </c>
    </row>
    <row r="2480" spans="1:27" x14ac:dyDescent="0.3">
      <c r="A2480" s="3" t="str">
        <f t="shared" si="380"/>
        <v>South9320029904839</v>
      </c>
      <c r="B2480" s="3" t="str">
        <f t="shared" si="381"/>
        <v>CY9320029904839</v>
      </c>
      <c r="C2480" s="10">
        <v>9320029904839</v>
      </c>
      <c r="D2480" s="10" t="str">
        <f t="shared" si="382"/>
        <v>9320029904</v>
      </c>
      <c r="E2480" s="3" t="s">
        <v>4</v>
      </c>
      <c r="F2480" s="3" t="s">
        <v>65</v>
      </c>
      <c r="H2480" s="3">
        <v>5.8032000000000021</v>
      </c>
      <c r="I2480" s="10">
        <f t="shared" si="383"/>
        <v>304.84779117041262</v>
      </c>
      <c r="J2480" s="3">
        <v>0.5710915579594239</v>
      </c>
      <c r="K2480" s="3">
        <v>0</v>
      </c>
      <c r="L2480" s="3">
        <f t="shared" si="384"/>
        <v>0</v>
      </c>
      <c r="N2480" s="11">
        <f t="shared" si="385"/>
        <v>5.2321084420405786</v>
      </c>
      <c r="O2480" s="3">
        <v>0.5710915579594239</v>
      </c>
      <c r="P2480" s="11">
        <f t="shared" si="386"/>
        <v>274.84779117041268</v>
      </c>
      <c r="Q2480" s="12">
        <f t="shared" si="387"/>
        <v>274.84779117041262</v>
      </c>
      <c r="R2480" s="13">
        <f t="shared" si="388"/>
        <v>675.59054894065093</v>
      </c>
      <c r="S2480" s="3" t="s">
        <v>31</v>
      </c>
      <c r="T2480" s="3" t="s">
        <v>28</v>
      </c>
      <c r="U2480" s="10">
        <v>0</v>
      </c>
      <c r="V2480" s="3">
        <v>0</v>
      </c>
      <c r="W2480" s="3">
        <f t="shared" si="389"/>
        <v>0</v>
      </c>
      <c r="AA2480" s="3">
        <v>48</v>
      </c>
    </row>
    <row r="2481" spans="1:27" x14ac:dyDescent="0.3">
      <c r="A2481" s="3" t="str">
        <f t="shared" si="380"/>
        <v>South9432019900840</v>
      </c>
      <c r="B2481" s="3" t="str">
        <f t="shared" si="381"/>
        <v>CY9432019900840</v>
      </c>
      <c r="C2481" s="10">
        <v>9432019900840</v>
      </c>
      <c r="D2481" s="10" t="str">
        <f t="shared" si="382"/>
        <v>9432019900</v>
      </c>
      <c r="E2481" s="3" t="s">
        <v>4</v>
      </c>
      <c r="F2481" s="3" t="s">
        <v>65</v>
      </c>
      <c r="H2481" s="3">
        <v>1.2000000000000004</v>
      </c>
      <c r="I2481" s="10">
        <f t="shared" si="383"/>
        <v>63.663623391293363</v>
      </c>
      <c r="J2481" s="3">
        <v>0.56547205581960913</v>
      </c>
      <c r="K2481" s="3">
        <v>0</v>
      </c>
      <c r="L2481" s="3">
        <f t="shared" si="384"/>
        <v>0</v>
      </c>
      <c r="N2481" s="11">
        <f t="shared" si="385"/>
        <v>0.63452794418039127</v>
      </c>
      <c r="O2481" s="3">
        <v>0.56547205581960913</v>
      </c>
      <c r="P2481" s="11">
        <f t="shared" si="386"/>
        <v>33.663623391293363</v>
      </c>
      <c r="Q2481" s="12">
        <f t="shared" si="387"/>
        <v>18.086713659666046</v>
      </c>
      <c r="R2481" s="13">
        <f t="shared" si="388"/>
        <v>20.92521076025448</v>
      </c>
      <c r="S2481" s="3" t="s">
        <v>31</v>
      </c>
      <c r="T2481" s="3" t="s">
        <v>35</v>
      </c>
      <c r="U2481" s="10">
        <v>0</v>
      </c>
      <c r="V2481" s="3">
        <v>0</v>
      </c>
      <c r="W2481" s="3">
        <f t="shared" si="389"/>
        <v>0</v>
      </c>
      <c r="AA2481" s="3">
        <v>48</v>
      </c>
    </row>
    <row r="2482" spans="1:27" x14ac:dyDescent="0.3">
      <c r="A2482" s="3" t="str">
        <f t="shared" si="380"/>
        <v>South9420019900320</v>
      </c>
      <c r="B2482" s="3" t="str">
        <f t="shared" si="381"/>
        <v>CY9420019900320</v>
      </c>
      <c r="C2482" s="10">
        <v>9420019900320</v>
      </c>
      <c r="D2482" s="10" t="str">
        <f t="shared" si="382"/>
        <v>9420019900</v>
      </c>
      <c r="E2482" s="3" t="s">
        <v>4</v>
      </c>
      <c r="F2482" s="3" t="s">
        <v>65</v>
      </c>
      <c r="H2482" s="3">
        <v>2.5659999999999998</v>
      </c>
      <c r="I2482" s="10">
        <f t="shared" si="383"/>
        <v>136.45597030935841</v>
      </c>
      <c r="J2482" s="3">
        <v>0.56413801334950142</v>
      </c>
      <c r="K2482" s="3">
        <v>0</v>
      </c>
      <c r="L2482" s="3">
        <f t="shared" si="384"/>
        <v>0</v>
      </c>
      <c r="N2482" s="11">
        <f t="shared" si="385"/>
        <v>2.0018619866504985</v>
      </c>
      <c r="O2482" s="3">
        <v>0.56413801334950142</v>
      </c>
      <c r="P2482" s="11">
        <f t="shared" si="386"/>
        <v>106.45597030935841</v>
      </c>
      <c r="Q2482" s="12">
        <f t="shared" si="387"/>
        <v>-3.5407690578816235</v>
      </c>
      <c r="R2482" s="13">
        <f t="shared" si="388"/>
        <v>28.338406312816389</v>
      </c>
      <c r="S2482" s="3" t="s">
        <v>30</v>
      </c>
      <c r="T2482" s="3" t="s">
        <v>28</v>
      </c>
      <c r="U2482" s="10">
        <v>9420019900999</v>
      </c>
      <c r="V2482" s="3">
        <v>0.1</v>
      </c>
      <c r="W2482" s="3">
        <f t="shared" si="389"/>
        <v>0</v>
      </c>
      <c r="AA2482" s="3">
        <v>48</v>
      </c>
    </row>
    <row r="2483" spans="1:27" x14ac:dyDescent="0.3">
      <c r="A2483" s="3" t="str">
        <f t="shared" si="380"/>
        <v>South9410019906190</v>
      </c>
      <c r="B2483" s="3" t="str">
        <f t="shared" si="381"/>
        <v>CY9410019906190</v>
      </c>
      <c r="C2483" s="10">
        <v>9410019906190</v>
      </c>
      <c r="D2483" s="10" t="str">
        <f t="shared" si="382"/>
        <v>9410019906</v>
      </c>
      <c r="E2483" s="3" t="s">
        <v>4</v>
      </c>
      <c r="F2483" s="3" t="s">
        <v>65</v>
      </c>
      <c r="H2483" s="3">
        <v>7.586100000000001</v>
      </c>
      <c r="I2483" s="10">
        <f t="shared" si="383"/>
        <v>404.74850545775229</v>
      </c>
      <c r="J2483" s="3">
        <v>0.56228249624446158</v>
      </c>
      <c r="K2483" s="3">
        <v>0</v>
      </c>
      <c r="L2483" s="3">
        <f t="shared" si="384"/>
        <v>0</v>
      </c>
      <c r="N2483" s="11">
        <f t="shared" si="385"/>
        <v>7.0238175037555397</v>
      </c>
      <c r="O2483" s="3">
        <v>0.56228249624446158</v>
      </c>
      <c r="P2483" s="11">
        <f t="shared" si="386"/>
        <v>374.74850545775229</v>
      </c>
      <c r="Q2483" s="12">
        <f t="shared" si="387"/>
        <v>374.74850545775229</v>
      </c>
      <c r="R2483" s="13">
        <f t="shared" si="388"/>
        <v>882.03007642161788</v>
      </c>
      <c r="S2483" s="3" t="s">
        <v>31</v>
      </c>
      <c r="T2483" s="3" t="s">
        <v>32</v>
      </c>
      <c r="U2483" s="10">
        <v>0</v>
      </c>
      <c r="V2483" s="3">
        <v>0</v>
      </c>
      <c r="W2483" s="3">
        <f t="shared" si="389"/>
        <v>0</v>
      </c>
      <c r="AA2483" s="3">
        <v>48</v>
      </c>
    </row>
    <row r="2484" spans="1:27" x14ac:dyDescent="0.3">
      <c r="A2484" s="3" t="str">
        <f t="shared" si="380"/>
        <v>South9420059905190</v>
      </c>
      <c r="B2484" s="3" t="str">
        <f t="shared" si="381"/>
        <v>CY9420059905190</v>
      </c>
      <c r="C2484" s="10">
        <v>9420059905190</v>
      </c>
      <c r="D2484" s="10" t="str">
        <f t="shared" si="382"/>
        <v>9420059905</v>
      </c>
      <c r="E2484" s="3" t="s">
        <v>4</v>
      </c>
      <c r="F2484" s="3" t="s">
        <v>65</v>
      </c>
      <c r="H2484" s="3">
        <v>1.1817000000000002</v>
      </c>
      <c r="I2484" s="10">
        <f t="shared" si="383"/>
        <v>63.464449658430738</v>
      </c>
      <c r="J2484" s="3">
        <v>0.55859619347208234</v>
      </c>
      <c r="K2484" s="3">
        <v>0</v>
      </c>
      <c r="L2484" s="3">
        <f t="shared" si="384"/>
        <v>0</v>
      </c>
      <c r="N2484" s="11">
        <f t="shared" si="385"/>
        <v>0.62310380652791786</v>
      </c>
      <c r="O2484" s="3">
        <v>0.55859619347208234</v>
      </c>
      <c r="P2484" s="11">
        <f t="shared" si="386"/>
        <v>33.464449658430738</v>
      </c>
      <c r="Q2484" s="12">
        <f t="shared" si="387"/>
        <v>33.464449658430738</v>
      </c>
      <c r="R2484" s="13">
        <f t="shared" si="388"/>
        <v>-2.726188480951552</v>
      </c>
      <c r="S2484" s="3" t="s">
        <v>31</v>
      </c>
      <c r="T2484" s="3" t="s">
        <v>28</v>
      </c>
      <c r="U2484" s="10">
        <v>0</v>
      </c>
      <c r="V2484" s="3">
        <v>0</v>
      </c>
      <c r="W2484" s="3">
        <f t="shared" si="389"/>
        <v>0</v>
      </c>
      <c r="AA2484" s="3">
        <v>48</v>
      </c>
    </row>
    <row r="2485" spans="1:27" x14ac:dyDescent="0.3">
      <c r="A2485" s="3" t="str">
        <f t="shared" si="380"/>
        <v>South9420039902838</v>
      </c>
      <c r="B2485" s="3" t="str">
        <f t="shared" si="381"/>
        <v>CY9420039902838</v>
      </c>
      <c r="C2485" s="10">
        <v>9420039902838</v>
      </c>
      <c r="D2485" s="10" t="str">
        <f t="shared" si="382"/>
        <v>9420039902</v>
      </c>
      <c r="E2485" s="3" t="s">
        <v>4</v>
      </c>
      <c r="F2485" s="3" t="s">
        <v>65</v>
      </c>
      <c r="H2485" s="3">
        <v>1.2615999999999998</v>
      </c>
      <c r="I2485" s="10">
        <f t="shared" si="383"/>
        <v>67.75756479216831</v>
      </c>
      <c r="J2485" s="3">
        <v>0.55857969683666409</v>
      </c>
      <c r="K2485" s="3">
        <v>0</v>
      </c>
      <c r="L2485" s="3">
        <f t="shared" si="384"/>
        <v>0</v>
      </c>
      <c r="N2485" s="11">
        <f t="shared" si="385"/>
        <v>0.70302030316333575</v>
      </c>
      <c r="O2485" s="3">
        <v>0.55857969683666409</v>
      </c>
      <c r="P2485" s="11">
        <f t="shared" si="386"/>
        <v>37.757564792168303</v>
      </c>
      <c r="Q2485" s="12">
        <f t="shared" si="387"/>
        <v>16.811330730072413</v>
      </c>
      <c r="R2485" s="13">
        <f t="shared" si="388"/>
        <v>35.173429095369414</v>
      </c>
      <c r="S2485" s="3" t="s">
        <v>31</v>
      </c>
      <c r="T2485" s="3" t="s">
        <v>28</v>
      </c>
      <c r="U2485" s="10">
        <v>0</v>
      </c>
      <c r="V2485" s="3">
        <v>0</v>
      </c>
      <c r="W2485" s="3">
        <f t="shared" si="389"/>
        <v>0</v>
      </c>
      <c r="AA2485" s="3">
        <v>48</v>
      </c>
    </row>
    <row r="2486" spans="1:27" x14ac:dyDescent="0.3">
      <c r="A2486" s="3" t="str">
        <f t="shared" si="380"/>
        <v>South9100309902319</v>
      </c>
      <c r="B2486" s="3" t="str">
        <f t="shared" si="381"/>
        <v>CY9100309902319</v>
      </c>
      <c r="C2486" s="10">
        <v>9100309902319</v>
      </c>
      <c r="D2486" s="10" t="str">
        <f t="shared" si="382"/>
        <v>9100309902</v>
      </c>
      <c r="E2486" s="3" t="s">
        <v>4</v>
      </c>
      <c r="F2486" s="3" t="s">
        <v>65</v>
      </c>
      <c r="H2486" s="3">
        <v>6.3459999999999992</v>
      </c>
      <c r="I2486" s="10">
        <f t="shared" si="383"/>
        <v>355.18561795777788</v>
      </c>
      <c r="J2486" s="3">
        <v>0.53600143241900944</v>
      </c>
      <c r="K2486" s="3">
        <v>0</v>
      </c>
      <c r="L2486" s="3">
        <f t="shared" si="384"/>
        <v>0</v>
      </c>
      <c r="N2486" s="11">
        <f t="shared" si="385"/>
        <v>5.8099985675809895</v>
      </c>
      <c r="O2486" s="3">
        <v>0.53600143241900944</v>
      </c>
      <c r="P2486" s="11">
        <f t="shared" si="386"/>
        <v>325.18561795777782</v>
      </c>
      <c r="Q2486" s="12">
        <f t="shared" si="387"/>
        <v>426.90772994182936</v>
      </c>
      <c r="R2486" s="13">
        <f t="shared" si="388"/>
        <v>340.2992622587538</v>
      </c>
      <c r="S2486" s="3" t="s">
        <v>31</v>
      </c>
      <c r="T2486" s="3" t="s">
        <v>34</v>
      </c>
      <c r="U2486" s="10">
        <v>0</v>
      </c>
      <c r="V2486" s="3">
        <v>0</v>
      </c>
      <c r="W2486" s="3">
        <f t="shared" si="389"/>
        <v>0</v>
      </c>
      <c r="AA2486" s="3">
        <v>48</v>
      </c>
    </row>
    <row r="2487" spans="1:27" x14ac:dyDescent="0.3">
      <c r="A2487" s="3" t="str">
        <f t="shared" si="380"/>
        <v>South9330229902097</v>
      </c>
      <c r="B2487" s="3" t="str">
        <f t="shared" si="381"/>
        <v>CY9330229902097</v>
      </c>
      <c r="C2487" s="10">
        <v>9330229902097</v>
      </c>
      <c r="D2487" s="10" t="str">
        <f t="shared" si="382"/>
        <v>9330229902</v>
      </c>
      <c r="E2487" s="3" t="s">
        <v>4</v>
      </c>
      <c r="F2487" s="3" t="s">
        <v>65</v>
      </c>
      <c r="H2487" s="3">
        <v>0.80144999999999988</v>
      </c>
      <c r="I2487" s="10">
        <f t="shared" si="383"/>
        <v>46.762074576015074</v>
      </c>
      <c r="J2487" s="3">
        <v>0.51416666642784592</v>
      </c>
      <c r="K2487" s="3">
        <v>0</v>
      </c>
      <c r="L2487" s="3">
        <f t="shared" si="384"/>
        <v>0</v>
      </c>
      <c r="N2487" s="11">
        <f t="shared" si="385"/>
        <v>0.28728333357215396</v>
      </c>
      <c r="O2487" s="3">
        <v>0.51416666642784592</v>
      </c>
      <c r="P2487" s="11">
        <f t="shared" si="386"/>
        <v>16.762074576015074</v>
      </c>
      <c r="Q2487" s="12">
        <f t="shared" si="387"/>
        <v>7.6507956512257334</v>
      </c>
      <c r="R2487" s="13">
        <f t="shared" si="388"/>
        <v>47.904418810658399</v>
      </c>
      <c r="S2487" s="3" t="s">
        <v>31</v>
      </c>
      <c r="T2487" s="3" t="s">
        <v>35</v>
      </c>
      <c r="U2487" s="10">
        <v>0</v>
      </c>
      <c r="V2487" s="3">
        <v>0</v>
      </c>
      <c r="W2487" s="3">
        <f t="shared" si="389"/>
        <v>0</v>
      </c>
      <c r="AA2487" s="3">
        <v>48</v>
      </c>
    </row>
    <row r="2488" spans="1:27" x14ac:dyDescent="0.3">
      <c r="A2488" s="3" t="str">
        <f t="shared" si="380"/>
        <v>South9420059902838</v>
      </c>
      <c r="B2488" s="3" t="str">
        <f t="shared" si="381"/>
        <v>CY9420059902838</v>
      </c>
      <c r="C2488" s="10">
        <v>9420059902838</v>
      </c>
      <c r="D2488" s="10" t="str">
        <f t="shared" si="382"/>
        <v>9420059902</v>
      </c>
      <c r="E2488" s="3" t="s">
        <v>4</v>
      </c>
      <c r="F2488" s="3" t="s">
        <v>65</v>
      </c>
      <c r="H2488" s="3">
        <v>0.42559999999999998</v>
      </c>
      <c r="I2488" s="10">
        <f t="shared" si="383"/>
        <v>24.955438125746763</v>
      </c>
      <c r="J2488" s="3">
        <v>0.51163197118255088</v>
      </c>
      <c r="K2488" s="3">
        <v>5.76</v>
      </c>
      <c r="L2488" s="3">
        <f t="shared" si="384"/>
        <v>0</v>
      </c>
      <c r="N2488" s="11">
        <f t="shared" si="385"/>
        <v>-8.6031971182550904E-2</v>
      </c>
      <c r="O2488" s="3">
        <v>0.51163197118255088</v>
      </c>
      <c r="P2488" s="11">
        <f t="shared" si="386"/>
        <v>-5.0445618742532377</v>
      </c>
      <c r="Q2488" s="12">
        <f t="shared" si="387"/>
        <v>-6.3956067622667563</v>
      </c>
      <c r="R2488" s="13">
        <f t="shared" si="388"/>
        <v>-19.691088593934413</v>
      </c>
      <c r="S2488" s="3" t="s">
        <v>31</v>
      </c>
      <c r="T2488" s="3" t="s">
        <v>28</v>
      </c>
      <c r="U2488" s="10">
        <v>0</v>
      </c>
      <c r="V2488" s="3">
        <v>0</v>
      </c>
      <c r="W2488" s="3">
        <f t="shared" si="389"/>
        <v>0</v>
      </c>
      <c r="AA2488" s="3">
        <v>48</v>
      </c>
    </row>
    <row r="2489" spans="1:27" x14ac:dyDescent="0.3">
      <c r="A2489" s="3" t="str">
        <f t="shared" si="380"/>
        <v>South9410019902295</v>
      </c>
      <c r="B2489" s="3" t="str">
        <f t="shared" si="381"/>
        <v>CY9410019902295</v>
      </c>
      <c r="C2489" s="10">
        <v>9410019902295</v>
      </c>
      <c r="D2489" s="10" t="str">
        <f t="shared" si="382"/>
        <v>9410019902</v>
      </c>
      <c r="E2489" s="3" t="s">
        <v>4</v>
      </c>
      <c r="F2489" s="3" t="s">
        <v>65</v>
      </c>
      <c r="H2489" s="3">
        <v>1.0069999999999999</v>
      </c>
      <c r="I2489" s="10">
        <f t="shared" si="383"/>
        <v>63.044547753569077</v>
      </c>
      <c r="J2489" s="3">
        <v>0.4791849743785298</v>
      </c>
      <c r="K2489" s="3">
        <v>0</v>
      </c>
      <c r="L2489" s="3">
        <f t="shared" si="384"/>
        <v>0</v>
      </c>
      <c r="N2489" s="11">
        <f t="shared" si="385"/>
        <v>0.52781502562147009</v>
      </c>
      <c r="O2489" s="3">
        <v>0.4791849743785298</v>
      </c>
      <c r="P2489" s="11">
        <f t="shared" si="386"/>
        <v>33.044547753569077</v>
      </c>
      <c r="Q2489" s="12">
        <f t="shared" si="387"/>
        <v>38.16392455897077</v>
      </c>
      <c r="R2489" s="13">
        <f t="shared" si="388"/>
        <v>173.07710804149639</v>
      </c>
      <c r="S2489" s="3" t="s">
        <v>31</v>
      </c>
      <c r="T2489" s="3" t="s">
        <v>32</v>
      </c>
      <c r="U2489" s="10">
        <v>9410019900999</v>
      </c>
      <c r="V2489" s="3">
        <v>0.1</v>
      </c>
      <c r="W2489" s="3">
        <f t="shared" si="389"/>
        <v>0</v>
      </c>
      <c r="AA2489" s="3">
        <v>48</v>
      </c>
    </row>
    <row r="2490" spans="1:27" x14ac:dyDescent="0.3">
      <c r="A2490" s="3" t="str">
        <f t="shared" si="380"/>
        <v>South9310039902097</v>
      </c>
      <c r="B2490" s="3" t="str">
        <f t="shared" si="381"/>
        <v>CY9310039902097</v>
      </c>
      <c r="C2490" s="10">
        <v>9310039902097</v>
      </c>
      <c r="D2490" s="10" t="str">
        <f t="shared" si="382"/>
        <v>9310039902</v>
      </c>
      <c r="E2490" s="3" t="s">
        <v>4</v>
      </c>
      <c r="F2490" s="3" t="s">
        <v>65</v>
      </c>
      <c r="H2490" s="3">
        <v>0.66397499999999998</v>
      </c>
      <c r="I2490" s="10">
        <f t="shared" si="383"/>
        <v>41.66061646176815</v>
      </c>
      <c r="J2490" s="3">
        <v>0.4781314270344475</v>
      </c>
      <c r="K2490" s="3">
        <v>0</v>
      </c>
      <c r="L2490" s="3">
        <f t="shared" si="384"/>
        <v>0</v>
      </c>
      <c r="N2490" s="11">
        <f t="shared" si="385"/>
        <v>0.18584357296555248</v>
      </c>
      <c r="O2490" s="3">
        <v>0.4781314270344475</v>
      </c>
      <c r="P2490" s="11">
        <f t="shared" si="386"/>
        <v>11.660616461768146</v>
      </c>
      <c r="Q2490" s="12">
        <f t="shared" si="387"/>
        <v>7.6629335769797136</v>
      </c>
      <c r="R2490" s="13">
        <f t="shared" si="388"/>
        <v>263.59855286489056</v>
      </c>
      <c r="S2490" s="3" t="s">
        <v>31</v>
      </c>
      <c r="T2490" s="3" t="s">
        <v>32</v>
      </c>
      <c r="U2490" s="10">
        <v>0</v>
      </c>
      <c r="V2490" s="3">
        <v>0</v>
      </c>
      <c r="W2490" s="3">
        <f t="shared" si="389"/>
        <v>0</v>
      </c>
      <c r="AA2490" s="3">
        <v>48</v>
      </c>
    </row>
    <row r="2491" spans="1:27" x14ac:dyDescent="0.3">
      <c r="A2491" s="3" t="str">
        <f t="shared" si="380"/>
        <v>South9420069900210</v>
      </c>
      <c r="B2491" s="3" t="str">
        <f t="shared" si="381"/>
        <v>CY9420069900210</v>
      </c>
      <c r="C2491" s="10">
        <v>9420069900210</v>
      </c>
      <c r="D2491" s="10" t="str">
        <f t="shared" si="382"/>
        <v>9420069900</v>
      </c>
      <c r="E2491" s="3" t="s">
        <v>4</v>
      </c>
      <c r="F2491" s="3" t="s">
        <v>65</v>
      </c>
      <c r="H2491" s="3">
        <v>0.94500000000000017</v>
      </c>
      <c r="I2491" s="10">
        <f t="shared" si="383"/>
        <v>60.998925883897293</v>
      </c>
      <c r="J2491" s="3">
        <v>0.4647622821090352</v>
      </c>
      <c r="K2491" s="3">
        <v>0</v>
      </c>
      <c r="L2491" s="3">
        <f t="shared" si="384"/>
        <v>0</v>
      </c>
      <c r="N2491" s="11">
        <f t="shared" si="385"/>
        <v>0.48023771789096498</v>
      </c>
      <c r="O2491" s="3">
        <v>0.4647622821090352</v>
      </c>
      <c r="P2491" s="11">
        <f t="shared" si="386"/>
        <v>30.9989258838973</v>
      </c>
      <c r="Q2491" s="12">
        <f t="shared" si="387"/>
        <v>21.617597224561251</v>
      </c>
      <c r="R2491" s="13">
        <f t="shared" si="388"/>
        <v>11.072420866839959</v>
      </c>
      <c r="S2491" s="3" t="s">
        <v>31</v>
      </c>
      <c r="T2491" s="3" t="s">
        <v>28</v>
      </c>
      <c r="U2491" s="10">
        <v>0</v>
      </c>
      <c r="V2491" s="3">
        <v>0</v>
      </c>
      <c r="W2491" s="3">
        <f t="shared" si="389"/>
        <v>0</v>
      </c>
      <c r="AA2491" s="3">
        <v>48</v>
      </c>
    </row>
    <row r="2492" spans="1:27" x14ac:dyDescent="0.3">
      <c r="A2492" s="3" t="str">
        <f t="shared" si="380"/>
        <v>South9410039913310</v>
      </c>
      <c r="B2492" s="3" t="str">
        <f t="shared" si="381"/>
        <v>CY9410039913310</v>
      </c>
      <c r="C2492" s="10">
        <v>9410039913310</v>
      </c>
      <c r="D2492" s="10" t="str">
        <f t="shared" si="382"/>
        <v>9410039913</v>
      </c>
      <c r="E2492" s="3" t="s">
        <v>4</v>
      </c>
      <c r="F2492" s="3" t="s">
        <v>65</v>
      </c>
      <c r="H2492" s="3">
        <v>1.01</v>
      </c>
      <c r="I2492" s="10">
        <f t="shared" si="383"/>
        <v>66.141861428556169</v>
      </c>
      <c r="J2492" s="3">
        <v>0.45810624838142588</v>
      </c>
      <c r="K2492" s="3">
        <v>0</v>
      </c>
      <c r="L2492" s="3">
        <f t="shared" si="384"/>
        <v>0</v>
      </c>
      <c r="N2492" s="11">
        <f t="shared" si="385"/>
        <v>0.55189375161857412</v>
      </c>
      <c r="O2492" s="3">
        <v>0.45810624838142588</v>
      </c>
      <c r="P2492" s="11">
        <f t="shared" si="386"/>
        <v>36.141861428556155</v>
      </c>
      <c r="Q2492" s="12">
        <f t="shared" si="387"/>
        <v>34.389297677541755</v>
      </c>
      <c r="R2492" s="13">
        <f t="shared" si="388"/>
        <v>1.878232723294978</v>
      </c>
      <c r="S2492" s="3" t="s">
        <v>31</v>
      </c>
      <c r="T2492" s="3" t="s">
        <v>32</v>
      </c>
      <c r="U2492" s="10">
        <v>9410039913999</v>
      </c>
      <c r="V2492" s="3">
        <v>0.1</v>
      </c>
      <c r="W2492" s="3">
        <f t="shared" si="389"/>
        <v>0</v>
      </c>
      <c r="AA2492" s="3">
        <v>48</v>
      </c>
    </row>
    <row r="2493" spans="1:27" x14ac:dyDescent="0.3">
      <c r="A2493" s="3" t="str">
        <f t="shared" si="380"/>
        <v>South9310019905297</v>
      </c>
      <c r="B2493" s="3" t="str">
        <f t="shared" si="381"/>
        <v>CY9310019905297</v>
      </c>
      <c r="C2493" s="10">
        <v>9310019905297</v>
      </c>
      <c r="D2493" s="10" t="str">
        <f t="shared" si="382"/>
        <v>9310019905</v>
      </c>
      <c r="E2493" s="3" t="s">
        <v>4</v>
      </c>
      <c r="F2493" s="3" t="s">
        <v>65</v>
      </c>
      <c r="H2493" s="3">
        <v>2.7592500000000011</v>
      </c>
      <c r="I2493" s="10">
        <f t="shared" si="383"/>
        <v>182.33018468455006</v>
      </c>
      <c r="J2493" s="3">
        <v>0.45399778507992855</v>
      </c>
      <c r="K2493" s="3">
        <v>0</v>
      </c>
      <c r="L2493" s="3">
        <f t="shared" si="384"/>
        <v>0</v>
      </c>
      <c r="N2493" s="11">
        <f t="shared" si="385"/>
        <v>2.3052522149200727</v>
      </c>
      <c r="O2493" s="3">
        <v>0.45399778507992855</v>
      </c>
      <c r="P2493" s="11">
        <f t="shared" si="386"/>
        <v>152.33018468455006</v>
      </c>
      <c r="Q2493" s="12">
        <f t="shared" si="387"/>
        <v>152.33018468455006</v>
      </c>
      <c r="R2493" s="13">
        <f t="shared" si="388"/>
        <v>114.03376967986529</v>
      </c>
      <c r="S2493" s="3" t="s">
        <v>31</v>
      </c>
      <c r="T2493" s="3" t="s">
        <v>32</v>
      </c>
      <c r="U2493" s="10">
        <v>9310019900999</v>
      </c>
      <c r="V2493" s="3">
        <v>0.1</v>
      </c>
      <c r="W2493" s="3">
        <f t="shared" si="389"/>
        <v>0</v>
      </c>
      <c r="AA2493" s="3">
        <v>48</v>
      </c>
    </row>
    <row r="2494" spans="1:27" x14ac:dyDescent="0.3">
      <c r="A2494" s="3" t="str">
        <f t="shared" si="380"/>
        <v>South9410029900320</v>
      </c>
      <c r="B2494" s="3" t="str">
        <f t="shared" si="381"/>
        <v>CY9410029900320</v>
      </c>
      <c r="C2494" s="10">
        <v>9410029900320</v>
      </c>
      <c r="D2494" s="10" t="str">
        <f t="shared" si="382"/>
        <v>9410029900</v>
      </c>
      <c r="E2494" s="3" t="s">
        <v>4</v>
      </c>
      <c r="F2494" s="3" t="s">
        <v>65</v>
      </c>
      <c r="H2494" s="3">
        <v>1.4000000000000004</v>
      </c>
      <c r="I2494" s="10">
        <f t="shared" si="383"/>
        <v>96.930576993140136</v>
      </c>
      <c r="J2494" s="3">
        <v>0.43329980386862221</v>
      </c>
      <c r="K2494" s="3">
        <v>0</v>
      </c>
      <c r="L2494" s="3">
        <f t="shared" si="384"/>
        <v>0</v>
      </c>
      <c r="N2494" s="11">
        <f t="shared" si="385"/>
        <v>0.96670019613137814</v>
      </c>
      <c r="O2494" s="3">
        <v>0.43329980386862221</v>
      </c>
      <c r="P2494" s="11">
        <f t="shared" si="386"/>
        <v>66.930576993140136</v>
      </c>
      <c r="Q2494" s="12">
        <f t="shared" si="387"/>
        <v>81.491650956692212</v>
      </c>
      <c r="R2494" s="13">
        <f t="shared" si="388"/>
        <v>18.008421131063521</v>
      </c>
      <c r="S2494" s="3" t="s">
        <v>30</v>
      </c>
      <c r="T2494" s="3" t="s">
        <v>32</v>
      </c>
      <c r="U2494" s="10">
        <v>9410029900999</v>
      </c>
      <c r="V2494" s="3">
        <v>0.1</v>
      </c>
      <c r="W2494" s="3">
        <f t="shared" si="389"/>
        <v>0</v>
      </c>
      <c r="AA2494" s="3">
        <v>48</v>
      </c>
    </row>
    <row r="2495" spans="1:27" x14ac:dyDescent="0.3">
      <c r="A2495" s="3" t="str">
        <f t="shared" si="380"/>
        <v>South9410019902319</v>
      </c>
      <c r="B2495" s="3" t="str">
        <f t="shared" si="381"/>
        <v>CY9410019902319</v>
      </c>
      <c r="C2495" s="10">
        <v>9410019902319</v>
      </c>
      <c r="D2495" s="10" t="str">
        <f t="shared" si="382"/>
        <v>9410019902</v>
      </c>
      <c r="E2495" s="3" t="s">
        <v>4</v>
      </c>
      <c r="F2495" s="3" t="s">
        <v>65</v>
      </c>
      <c r="H2495" s="3">
        <v>4.3889999999999993</v>
      </c>
      <c r="I2495" s="10">
        <f t="shared" si="383"/>
        <v>304.55444247555681</v>
      </c>
      <c r="J2495" s="3">
        <v>0.43233649435459365</v>
      </c>
      <c r="K2495" s="3">
        <v>0</v>
      </c>
      <c r="L2495" s="3">
        <f t="shared" si="384"/>
        <v>0</v>
      </c>
      <c r="N2495" s="11">
        <f t="shared" si="385"/>
        <v>3.9566635056454058</v>
      </c>
      <c r="O2495" s="3">
        <v>0.43233649435459365</v>
      </c>
      <c r="P2495" s="11">
        <f t="shared" si="386"/>
        <v>274.55444247555681</v>
      </c>
      <c r="Q2495" s="12">
        <f t="shared" si="387"/>
        <v>281.02774108262429</v>
      </c>
      <c r="R2495" s="13">
        <f t="shared" si="388"/>
        <v>817.45792202059476</v>
      </c>
      <c r="S2495" s="3" t="s">
        <v>31</v>
      </c>
      <c r="T2495" s="3" t="s">
        <v>32</v>
      </c>
      <c r="U2495" s="10">
        <v>9410019900999</v>
      </c>
      <c r="V2495" s="3">
        <v>0.1</v>
      </c>
      <c r="W2495" s="3">
        <f t="shared" si="389"/>
        <v>0</v>
      </c>
      <c r="AA2495" s="3">
        <v>48</v>
      </c>
    </row>
    <row r="2496" spans="1:27" x14ac:dyDescent="0.3">
      <c r="A2496" s="3" t="str">
        <f t="shared" si="380"/>
        <v>South9320029904097</v>
      </c>
      <c r="B2496" s="3" t="str">
        <f t="shared" si="381"/>
        <v>CY9320029904097</v>
      </c>
      <c r="C2496" s="10">
        <v>9320029904097</v>
      </c>
      <c r="D2496" s="10" t="str">
        <f t="shared" si="382"/>
        <v>9320029904</v>
      </c>
      <c r="E2496" s="3" t="s">
        <v>4</v>
      </c>
      <c r="F2496" s="3" t="s">
        <v>65</v>
      </c>
      <c r="H2496" s="3">
        <v>1.373775</v>
      </c>
      <c r="I2496" s="10">
        <f t="shared" si="383"/>
        <v>96.569857092473256</v>
      </c>
      <c r="J2496" s="3">
        <v>0.42677136780408675</v>
      </c>
      <c r="K2496" s="3">
        <v>0</v>
      </c>
      <c r="L2496" s="3">
        <f t="shared" si="384"/>
        <v>0</v>
      </c>
      <c r="N2496" s="11">
        <f t="shared" si="385"/>
        <v>0.94700363219591321</v>
      </c>
      <c r="O2496" s="3">
        <v>0.42677136780408675</v>
      </c>
      <c r="P2496" s="11">
        <f t="shared" si="386"/>
        <v>66.569857092473256</v>
      </c>
      <c r="Q2496" s="12">
        <f t="shared" si="387"/>
        <v>66.569857092473256</v>
      </c>
      <c r="R2496" s="13">
        <f t="shared" si="388"/>
        <v>168.21395497010309</v>
      </c>
      <c r="S2496" s="3" t="s">
        <v>31</v>
      </c>
      <c r="T2496" s="3" t="s">
        <v>28</v>
      </c>
      <c r="U2496" s="10">
        <v>0</v>
      </c>
      <c r="V2496" s="3">
        <v>0</v>
      </c>
      <c r="W2496" s="3">
        <f t="shared" si="389"/>
        <v>0</v>
      </c>
      <c r="AA2496" s="3">
        <v>48</v>
      </c>
    </row>
    <row r="2497" spans="1:27" x14ac:dyDescent="0.3">
      <c r="A2497" s="3" t="str">
        <f t="shared" si="380"/>
        <v>South9420019902838</v>
      </c>
      <c r="B2497" s="3" t="str">
        <f t="shared" si="381"/>
        <v>CY9420019902838</v>
      </c>
      <c r="C2497" s="10">
        <v>9420019902838</v>
      </c>
      <c r="D2497" s="10" t="str">
        <f t="shared" si="382"/>
        <v>9420019902</v>
      </c>
      <c r="E2497" s="3" t="s">
        <v>4</v>
      </c>
      <c r="F2497" s="3" t="s">
        <v>65</v>
      </c>
      <c r="H2497" s="3">
        <v>1.6340000000000001</v>
      </c>
      <c r="I2497" s="10">
        <f t="shared" si="383"/>
        <v>115.18856945754965</v>
      </c>
      <c r="J2497" s="3">
        <v>0.42556305917198933</v>
      </c>
      <c r="K2497" s="3">
        <v>0</v>
      </c>
      <c r="L2497" s="3">
        <f t="shared" si="384"/>
        <v>0</v>
      </c>
      <c r="N2497" s="11">
        <f t="shared" si="385"/>
        <v>1.2084369408280109</v>
      </c>
      <c r="O2497" s="3">
        <v>0.42556305917198933</v>
      </c>
      <c r="P2497" s="11">
        <f t="shared" si="386"/>
        <v>85.188569457549661</v>
      </c>
      <c r="Q2497" s="12">
        <f t="shared" si="387"/>
        <v>58.340191865158189</v>
      </c>
      <c r="R2497" s="13">
        <f t="shared" si="388"/>
        <v>94.982382273186985</v>
      </c>
      <c r="S2497" s="3" t="s">
        <v>31</v>
      </c>
      <c r="T2497" s="3" t="s">
        <v>28</v>
      </c>
      <c r="U2497" s="10">
        <v>0</v>
      </c>
      <c r="V2497" s="3">
        <v>0</v>
      </c>
      <c r="W2497" s="3">
        <f t="shared" si="389"/>
        <v>0</v>
      </c>
      <c r="AA2497" s="3">
        <v>48</v>
      </c>
    </row>
    <row r="2498" spans="1:27" x14ac:dyDescent="0.3">
      <c r="A2498" s="3" t="str">
        <f t="shared" si="380"/>
        <v>South9420059902195</v>
      </c>
      <c r="B2498" s="3" t="str">
        <f t="shared" si="381"/>
        <v>CY9420059902195</v>
      </c>
      <c r="C2498" s="10">
        <v>9420059902195</v>
      </c>
      <c r="D2498" s="10" t="str">
        <f t="shared" si="382"/>
        <v>9420059902</v>
      </c>
      <c r="E2498" s="3" t="s">
        <v>4</v>
      </c>
      <c r="F2498" s="3" t="s">
        <v>65</v>
      </c>
      <c r="H2498" s="3">
        <v>0.89584999999999992</v>
      </c>
      <c r="I2498" s="10">
        <f t="shared" si="383"/>
        <v>66.731433111450116</v>
      </c>
      <c r="J2498" s="3">
        <v>0.40274123822748481</v>
      </c>
      <c r="K2498" s="3">
        <v>0</v>
      </c>
      <c r="L2498" s="3">
        <f t="shared" si="384"/>
        <v>0</v>
      </c>
      <c r="N2498" s="11">
        <f t="shared" si="385"/>
        <v>0.49310876177251511</v>
      </c>
      <c r="O2498" s="3">
        <v>0.40274123822748481</v>
      </c>
      <c r="P2498" s="11">
        <f t="shared" si="386"/>
        <v>36.731433111450116</v>
      </c>
      <c r="Q2498" s="12">
        <f t="shared" si="387"/>
        <v>22.655032407971206</v>
      </c>
      <c r="R2498" s="13">
        <f t="shared" si="388"/>
        <v>24.314735260595061</v>
      </c>
      <c r="S2498" s="3" t="s">
        <v>31</v>
      </c>
      <c r="T2498" s="3" t="s">
        <v>28</v>
      </c>
      <c r="U2498" s="10">
        <v>0</v>
      </c>
      <c r="V2498" s="3">
        <v>0</v>
      </c>
      <c r="W2498" s="3">
        <f t="shared" si="389"/>
        <v>0</v>
      </c>
      <c r="AA2498" s="3">
        <v>48</v>
      </c>
    </row>
    <row r="2499" spans="1:27" x14ac:dyDescent="0.3">
      <c r="A2499" s="3" t="str">
        <f t="shared" si="380"/>
        <v>South9420059902319</v>
      </c>
      <c r="B2499" s="3" t="str">
        <f t="shared" si="381"/>
        <v>CY9420059902319</v>
      </c>
      <c r="C2499" s="10">
        <v>9420059902319</v>
      </c>
      <c r="D2499" s="10" t="str">
        <f t="shared" si="382"/>
        <v>9420059902</v>
      </c>
      <c r="E2499" s="3" t="s">
        <v>4</v>
      </c>
      <c r="F2499" s="3" t="s">
        <v>65</v>
      </c>
      <c r="H2499" s="3">
        <v>1.7290000000000001</v>
      </c>
      <c r="I2499" s="10">
        <f t="shared" si="383"/>
        <v>135.4029792417158</v>
      </c>
      <c r="J2499" s="3">
        <v>0.38307872020602907</v>
      </c>
      <c r="K2499" s="3">
        <v>0</v>
      </c>
      <c r="L2499" s="3">
        <f t="shared" si="384"/>
        <v>0</v>
      </c>
      <c r="N2499" s="11">
        <f t="shared" si="385"/>
        <v>1.345921279793971</v>
      </c>
      <c r="O2499" s="3">
        <v>0.38307872020602907</v>
      </c>
      <c r="P2499" s="11">
        <f t="shared" si="386"/>
        <v>105.4029792417158</v>
      </c>
      <c r="Q2499" s="12">
        <f t="shared" si="387"/>
        <v>136.6462990709812</v>
      </c>
      <c r="R2499" s="13">
        <f t="shared" si="388"/>
        <v>170.75579655594075</v>
      </c>
      <c r="S2499" s="3" t="s">
        <v>31</v>
      </c>
      <c r="T2499" s="3" t="s">
        <v>28</v>
      </c>
      <c r="U2499" s="10">
        <v>9420059900999</v>
      </c>
      <c r="V2499" s="3">
        <v>0.1</v>
      </c>
      <c r="W2499" s="3">
        <f t="shared" si="389"/>
        <v>0</v>
      </c>
      <c r="AA2499" s="3">
        <v>48</v>
      </c>
    </row>
    <row r="2500" spans="1:27" x14ac:dyDescent="0.3">
      <c r="A2500" s="3" t="str">
        <f t="shared" ref="A2500:A2563" si="390">_xlfn.CONCAT(F2500,C2500)</f>
        <v>South9420059905836</v>
      </c>
      <c r="B2500" s="3" t="str">
        <f t="shared" ref="B2500:B2563" si="391">_xlfn.CONCAT(E2500,C2500)</f>
        <v>CY9420059905836</v>
      </c>
      <c r="C2500" s="10">
        <v>9420059905836</v>
      </c>
      <c r="D2500" s="10" t="str">
        <f t="shared" ref="D2500:D2563" si="392">LEFT(C2500,10)</f>
        <v>9420059905</v>
      </c>
      <c r="E2500" s="3" t="s">
        <v>4</v>
      </c>
      <c r="F2500" s="3" t="s">
        <v>65</v>
      </c>
      <c r="H2500" s="3">
        <v>2.4876</v>
      </c>
      <c r="I2500" s="10">
        <f t="shared" ref="I2500:I2563" si="393">IFERROR(H2500/J2500*30,0)</f>
        <v>195.95275820884018</v>
      </c>
      <c r="J2500" s="3">
        <v>0.38084689739587063</v>
      </c>
      <c r="K2500" s="3">
        <v>0</v>
      </c>
      <c r="L2500" s="3">
        <f t="shared" ref="L2500:L2563" si="394">M2500*G2500</f>
        <v>0</v>
      </c>
      <c r="N2500" s="11">
        <f t="shared" ref="N2500:N2563" si="395">H2500-J2500+L2500</f>
        <v>2.1067531026041295</v>
      </c>
      <c r="O2500" s="3">
        <v>0.38084689739587063</v>
      </c>
      <c r="P2500" s="11">
        <f t="shared" ref="P2500:P2563" si="396">IF(O2500=0,9999,N2500/O2500*30)</f>
        <v>165.95275820884018</v>
      </c>
      <c r="Q2500" s="12">
        <f t="shared" ref="Q2500:Q2563" si="397">IF(SUMIF($A:$A,$A2500,$O:$O)=0,9999,SUMIF($A:$A,$A2500,$N:$N)*30/SUMIF($A:$A,$A2500,$O:$O))</f>
        <v>165.95275820884018</v>
      </c>
      <c r="R2500" s="13">
        <f t="shared" ref="R2500:R2563" si="398">IF(SUMIF($C:$C,$C2500,$O:$O)=0,9999,SUMIF($C:$C,$C2500,$N:$N)*30/SUMIF($C:$C,$C2500,$O:$O))</f>
        <v>1.6356112473613518</v>
      </c>
      <c r="S2500" s="3" t="s">
        <v>31</v>
      </c>
      <c r="T2500" s="3" t="s">
        <v>28</v>
      </c>
      <c r="U2500" s="10">
        <v>0</v>
      </c>
      <c r="V2500" s="3">
        <v>0</v>
      </c>
      <c r="W2500" s="3">
        <f t="shared" ref="W2500:W2563" si="399">IFERROR(K2500*V2500,0)</f>
        <v>0</v>
      </c>
      <c r="AA2500" s="3">
        <v>48</v>
      </c>
    </row>
    <row r="2501" spans="1:27" x14ac:dyDescent="0.3">
      <c r="A2501" s="3" t="str">
        <f t="shared" si="390"/>
        <v>South9420059902295</v>
      </c>
      <c r="B2501" s="3" t="str">
        <f t="shared" si="391"/>
        <v>CY9420059902295</v>
      </c>
      <c r="C2501" s="10">
        <v>9420059902295</v>
      </c>
      <c r="D2501" s="10" t="str">
        <f t="shared" si="392"/>
        <v>9420059902</v>
      </c>
      <c r="E2501" s="3" t="s">
        <v>4</v>
      </c>
      <c r="F2501" s="3" t="s">
        <v>65</v>
      </c>
      <c r="H2501" s="3">
        <v>1.3774999999999999</v>
      </c>
      <c r="I2501" s="10">
        <f t="shared" si="393"/>
        <v>109.90970502015747</v>
      </c>
      <c r="J2501" s="3">
        <v>0.37599045500505146</v>
      </c>
      <c r="K2501" s="3">
        <v>0</v>
      </c>
      <c r="L2501" s="3">
        <f t="shared" si="394"/>
        <v>0</v>
      </c>
      <c r="N2501" s="11">
        <f t="shared" si="395"/>
        <v>1.0015095449949485</v>
      </c>
      <c r="O2501" s="3">
        <v>0.37599045500505146</v>
      </c>
      <c r="P2501" s="11">
        <f t="shared" si="396"/>
        <v>79.909705020157475</v>
      </c>
      <c r="Q2501" s="12">
        <f t="shared" si="397"/>
        <v>80.044494365883239</v>
      </c>
      <c r="R2501" s="13">
        <f t="shared" si="398"/>
        <v>18.893711823657888</v>
      </c>
      <c r="S2501" s="3" t="s">
        <v>31</v>
      </c>
      <c r="T2501" s="3" t="s">
        <v>28</v>
      </c>
      <c r="U2501" s="10">
        <v>9420059900999</v>
      </c>
      <c r="V2501" s="3">
        <v>0.1</v>
      </c>
      <c r="W2501" s="3">
        <f t="shared" si="399"/>
        <v>0</v>
      </c>
      <c r="AA2501" s="3">
        <v>48</v>
      </c>
    </row>
    <row r="2502" spans="1:27" x14ac:dyDescent="0.3">
      <c r="A2502" s="3" t="str">
        <f t="shared" si="390"/>
        <v>South9410019905836</v>
      </c>
      <c r="B2502" s="3" t="str">
        <f t="shared" si="391"/>
        <v>CY9410019905836</v>
      </c>
      <c r="C2502" s="10">
        <v>9410019905836</v>
      </c>
      <c r="D2502" s="10" t="str">
        <f t="shared" si="392"/>
        <v>9410019905</v>
      </c>
      <c r="E2502" s="3" t="s">
        <v>4</v>
      </c>
      <c r="F2502" s="3" t="s">
        <v>65</v>
      </c>
      <c r="H2502" s="3">
        <v>3.4272000000000005</v>
      </c>
      <c r="I2502" s="10">
        <f t="shared" si="393"/>
        <v>277.42715721875828</v>
      </c>
      <c r="J2502" s="3">
        <v>0.37060539072938348</v>
      </c>
      <c r="K2502" s="3">
        <v>0</v>
      </c>
      <c r="L2502" s="3">
        <f t="shared" si="394"/>
        <v>0</v>
      </c>
      <c r="N2502" s="11">
        <f t="shared" si="395"/>
        <v>3.0565946092706171</v>
      </c>
      <c r="O2502" s="3">
        <v>0.37060539072938348</v>
      </c>
      <c r="P2502" s="11">
        <f t="shared" si="396"/>
        <v>247.42715721875831</v>
      </c>
      <c r="Q2502" s="12">
        <f t="shared" si="397"/>
        <v>247.42715721875828</v>
      </c>
      <c r="R2502" s="13">
        <f t="shared" si="398"/>
        <v>243.27303224056604</v>
      </c>
      <c r="S2502" s="3" t="s">
        <v>31</v>
      </c>
      <c r="T2502" s="3" t="s">
        <v>32</v>
      </c>
      <c r="U2502" s="10">
        <v>0</v>
      </c>
      <c r="V2502" s="3">
        <v>0</v>
      </c>
      <c r="W2502" s="3">
        <f t="shared" si="399"/>
        <v>0</v>
      </c>
      <c r="AA2502" s="3">
        <v>48</v>
      </c>
    </row>
    <row r="2503" spans="1:27" x14ac:dyDescent="0.3">
      <c r="A2503" s="3" t="str">
        <f t="shared" si="390"/>
        <v>South9420039902295</v>
      </c>
      <c r="B2503" s="3" t="str">
        <f t="shared" si="391"/>
        <v>CY9420039902295</v>
      </c>
      <c r="C2503" s="10">
        <v>9420039902295</v>
      </c>
      <c r="D2503" s="10" t="str">
        <f t="shared" si="392"/>
        <v>9420039902</v>
      </c>
      <c r="E2503" s="3" t="s">
        <v>4</v>
      </c>
      <c r="F2503" s="3" t="s">
        <v>65</v>
      </c>
      <c r="H2503" s="3">
        <v>0.87400000000000011</v>
      </c>
      <c r="I2503" s="10">
        <f t="shared" si="393"/>
        <v>72.05596026596443</v>
      </c>
      <c r="J2503" s="3">
        <v>0.36388384671052665</v>
      </c>
      <c r="K2503" s="3">
        <v>0</v>
      </c>
      <c r="L2503" s="3">
        <f t="shared" si="394"/>
        <v>0</v>
      </c>
      <c r="N2503" s="11">
        <f t="shared" si="395"/>
        <v>0.51011615328947346</v>
      </c>
      <c r="O2503" s="3">
        <v>0.36388384671052665</v>
      </c>
      <c r="P2503" s="11">
        <f t="shared" si="396"/>
        <v>42.055960265964444</v>
      </c>
      <c r="Q2503" s="12">
        <f t="shared" si="397"/>
        <v>38.046062116984061</v>
      </c>
      <c r="R2503" s="13">
        <f t="shared" si="398"/>
        <v>60.650053320416951</v>
      </c>
      <c r="S2503" s="3" t="s">
        <v>31</v>
      </c>
      <c r="T2503" s="3" t="s">
        <v>28</v>
      </c>
      <c r="U2503" s="10">
        <v>9420039900999</v>
      </c>
      <c r="V2503" s="3">
        <v>0.1</v>
      </c>
      <c r="W2503" s="3">
        <f t="shared" si="399"/>
        <v>0</v>
      </c>
      <c r="AA2503" s="3">
        <v>48</v>
      </c>
    </row>
    <row r="2504" spans="1:27" x14ac:dyDescent="0.3">
      <c r="A2504" s="3" t="str">
        <f t="shared" si="390"/>
        <v>South9420039902319</v>
      </c>
      <c r="B2504" s="3" t="str">
        <f t="shared" si="391"/>
        <v>CY9420039902319</v>
      </c>
      <c r="C2504" s="10">
        <v>9420039902319</v>
      </c>
      <c r="D2504" s="10" t="str">
        <f t="shared" si="392"/>
        <v>9420039902</v>
      </c>
      <c r="E2504" s="3" t="s">
        <v>4</v>
      </c>
      <c r="F2504" s="3" t="s">
        <v>65</v>
      </c>
      <c r="H2504" s="3">
        <v>0.83600000000000008</v>
      </c>
      <c r="I2504" s="10">
        <f t="shared" si="393"/>
        <v>69.115128531440277</v>
      </c>
      <c r="J2504" s="3">
        <v>0.36287279692449942</v>
      </c>
      <c r="K2504" s="3">
        <v>0</v>
      </c>
      <c r="L2504" s="3">
        <f t="shared" si="394"/>
        <v>0</v>
      </c>
      <c r="N2504" s="11">
        <f t="shared" si="395"/>
        <v>0.47312720307550066</v>
      </c>
      <c r="O2504" s="3">
        <v>0.36287279692449942</v>
      </c>
      <c r="P2504" s="11">
        <f t="shared" si="396"/>
        <v>39.11512853144027</v>
      </c>
      <c r="Q2504" s="12">
        <f t="shared" si="397"/>
        <v>57.016551610337352</v>
      </c>
      <c r="R2504" s="13">
        <f t="shared" si="398"/>
        <v>30.585208828369929</v>
      </c>
      <c r="S2504" s="3" t="s">
        <v>31</v>
      </c>
      <c r="T2504" s="3" t="s">
        <v>28</v>
      </c>
      <c r="U2504" s="10">
        <v>9420039900999</v>
      </c>
      <c r="V2504" s="3">
        <v>0.1</v>
      </c>
      <c r="W2504" s="3">
        <f t="shared" si="399"/>
        <v>0</v>
      </c>
      <c r="AA2504" s="3">
        <v>48</v>
      </c>
    </row>
    <row r="2505" spans="1:27" x14ac:dyDescent="0.3">
      <c r="A2505" s="3" t="str">
        <f t="shared" si="390"/>
        <v>South9420019900310</v>
      </c>
      <c r="B2505" s="3" t="str">
        <f t="shared" si="391"/>
        <v>CY9420019900310</v>
      </c>
      <c r="C2505" s="10">
        <v>9420019900310</v>
      </c>
      <c r="D2505" s="10" t="str">
        <f t="shared" si="392"/>
        <v>9420019900</v>
      </c>
      <c r="E2505" s="3" t="s">
        <v>4</v>
      </c>
      <c r="F2505" s="3" t="s">
        <v>65</v>
      </c>
      <c r="H2505" s="3">
        <v>0.88000000000000034</v>
      </c>
      <c r="I2505" s="10">
        <f t="shared" si="393"/>
        <v>77.016044118164132</v>
      </c>
      <c r="J2505" s="3">
        <v>0.34278571825235576</v>
      </c>
      <c r="K2505" s="3">
        <v>0</v>
      </c>
      <c r="L2505" s="3">
        <f t="shared" si="394"/>
        <v>0</v>
      </c>
      <c r="N2505" s="11">
        <f t="shared" si="395"/>
        <v>0.53721428174764463</v>
      </c>
      <c r="O2505" s="3">
        <v>0.34278571825235576</v>
      </c>
      <c r="P2505" s="11">
        <f t="shared" si="396"/>
        <v>47.016044118164132</v>
      </c>
      <c r="Q2505" s="12">
        <f t="shared" si="397"/>
        <v>-13.616308650683449</v>
      </c>
      <c r="R2505" s="13">
        <f t="shared" si="398"/>
        <v>-4.0605572829131411</v>
      </c>
      <c r="S2505" s="3" t="s">
        <v>31</v>
      </c>
      <c r="T2505" s="3" t="s">
        <v>28</v>
      </c>
      <c r="U2505" s="10">
        <v>9420019900999</v>
      </c>
      <c r="V2505" s="3">
        <v>0.1</v>
      </c>
      <c r="W2505" s="3">
        <f t="shared" si="399"/>
        <v>0</v>
      </c>
      <c r="AA2505" s="3">
        <v>48</v>
      </c>
    </row>
    <row r="2506" spans="1:27" x14ac:dyDescent="0.3">
      <c r="A2506" s="3" t="str">
        <f t="shared" si="390"/>
        <v>South9432019906190</v>
      </c>
      <c r="B2506" s="3" t="str">
        <f t="shared" si="391"/>
        <v>CY9432019906190</v>
      </c>
      <c r="C2506" s="10">
        <v>9432019906190</v>
      </c>
      <c r="D2506" s="10" t="str">
        <f t="shared" si="392"/>
        <v>9432019906</v>
      </c>
      <c r="E2506" s="3" t="s">
        <v>4</v>
      </c>
      <c r="F2506" s="3" t="s">
        <v>65</v>
      </c>
      <c r="H2506" s="3">
        <v>0.91080000000000005</v>
      </c>
      <c r="I2506" s="10">
        <f t="shared" si="393"/>
        <v>82.906404804033897</v>
      </c>
      <c r="J2506" s="3">
        <v>0.32957646715698041</v>
      </c>
      <c r="K2506" s="3">
        <v>0</v>
      </c>
      <c r="L2506" s="3">
        <f t="shared" si="394"/>
        <v>0</v>
      </c>
      <c r="N2506" s="11">
        <f t="shared" si="395"/>
        <v>0.58122353284301964</v>
      </c>
      <c r="O2506" s="3">
        <v>0.32957646715698041</v>
      </c>
      <c r="P2506" s="11">
        <f t="shared" si="396"/>
        <v>52.906404804033905</v>
      </c>
      <c r="Q2506" s="12">
        <f t="shared" si="397"/>
        <v>52.906404804033905</v>
      </c>
      <c r="R2506" s="13">
        <f t="shared" si="398"/>
        <v>67.745858290033382</v>
      </c>
      <c r="S2506" s="3" t="s">
        <v>31</v>
      </c>
      <c r="T2506" s="3" t="s">
        <v>35</v>
      </c>
      <c r="U2506" s="10">
        <v>0</v>
      </c>
      <c r="V2506" s="3">
        <v>0</v>
      </c>
      <c r="W2506" s="3">
        <f t="shared" si="399"/>
        <v>0</v>
      </c>
      <c r="AA2506" s="3">
        <v>48</v>
      </c>
    </row>
    <row r="2507" spans="1:27" x14ac:dyDescent="0.3">
      <c r="A2507" s="3" t="str">
        <f t="shared" si="390"/>
        <v>South9432019906836</v>
      </c>
      <c r="B2507" s="3" t="str">
        <f t="shared" si="391"/>
        <v>CY9432019906836</v>
      </c>
      <c r="C2507" s="10">
        <v>9432019906836</v>
      </c>
      <c r="D2507" s="10" t="str">
        <f t="shared" si="392"/>
        <v>9432019906</v>
      </c>
      <c r="E2507" s="3" t="s">
        <v>4</v>
      </c>
      <c r="F2507" s="3" t="s">
        <v>65</v>
      </c>
      <c r="H2507" s="3">
        <v>14.475600000000002</v>
      </c>
      <c r="I2507" s="10">
        <f t="shared" si="393"/>
        <v>1338.5182886487805</v>
      </c>
      <c r="J2507" s="3">
        <v>0.3244393473610202</v>
      </c>
      <c r="K2507" s="3">
        <v>0</v>
      </c>
      <c r="L2507" s="3">
        <f t="shared" si="394"/>
        <v>0</v>
      </c>
      <c r="N2507" s="11">
        <f t="shared" si="395"/>
        <v>14.151160652638982</v>
      </c>
      <c r="O2507" s="3">
        <v>0.3244393473610202</v>
      </c>
      <c r="P2507" s="11">
        <f t="shared" si="396"/>
        <v>1308.5182886487808</v>
      </c>
      <c r="Q2507" s="12">
        <f t="shared" si="397"/>
        <v>1308.5182886487805</v>
      </c>
      <c r="R2507" s="13">
        <f t="shared" si="398"/>
        <v>620.14025379462601</v>
      </c>
      <c r="S2507" s="3" t="s">
        <v>31</v>
      </c>
      <c r="T2507" s="3" t="s">
        <v>35</v>
      </c>
      <c r="U2507" s="10">
        <v>0</v>
      </c>
      <c r="V2507" s="3">
        <v>0</v>
      </c>
      <c r="W2507" s="3">
        <f t="shared" si="399"/>
        <v>0</v>
      </c>
      <c r="AA2507" s="3">
        <v>48</v>
      </c>
    </row>
    <row r="2508" spans="1:27" x14ac:dyDescent="0.3">
      <c r="A2508" s="3" t="str">
        <f t="shared" si="390"/>
        <v>South9310099900840</v>
      </c>
      <c r="B2508" s="3" t="str">
        <f t="shared" si="391"/>
        <v>CY9310099900840</v>
      </c>
      <c r="C2508" s="10">
        <v>9310099900840</v>
      </c>
      <c r="D2508" s="10" t="str">
        <f t="shared" si="392"/>
        <v>9310099900</v>
      </c>
      <c r="E2508" s="3" t="s">
        <v>4</v>
      </c>
      <c r="F2508" s="3" t="s">
        <v>65</v>
      </c>
      <c r="H2508" s="3">
        <v>0</v>
      </c>
      <c r="I2508" s="10">
        <f t="shared" si="393"/>
        <v>0</v>
      </c>
      <c r="J2508" s="3">
        <v>0.31710310800000002</v>
      </c>
      <c r="K2508" s="3">
        <v>0</v>
      </c>
      <c r="L2508" s="3">
        <f t="shared" si="394"/>
        <v>0</v>
      </c>
      <c r="N2508" s="11">
        <f t="shared" si="395"/>
        <v>-0.31710310800000002</v>
      </c>
      <c r="O2508" s="3">
        <v>0.31710310800000002</v>
      </c>
      <c r="P2508" s="11">
        <f t="shared" si="396"/>
        <v>-30</v>
      </c>
      <c r="Q2508" s="12">
        <f t="shared" si="397"/>
        <v>-29.999999999999996</v>
      </c>
      <c r="R2508" s="13">
        <f t="shared" si="398"/>
        <v>-30</v>
      </c>
      <c r="S2508" s="3">
        <v>0</v>
      </c>
      <c r="T2508" s="3" t="s">
        <v>32</v>
      </c>
      <c r="U2508" s="10">
        <v>0</v>
      </c>
      <c r="V2508" s="3">
        <v>0</v>
      </c>
      <c r="W2508" s="3">
        <f t="shared" si="399"/>
        <v>0</v>
      </c>
      <c r="AA2508" s="3">
        <v>48</v>
      </c>
    </row>
    <row r="2509" spans="1:27" x14ac:dyDescent="0.3">
      <c r="A2509" s="3" t="str">
        <f t="shared" si="390"/>
        <v>South9420019902319</v>
      </c>
      <c r="B2509" s="3" t="str">
        <f t="shared" si="391"/>
        <v>CY9420019902319</v>
      </c>
      <c r="C2509" s="10">
        <v>9420019902319</v>
      </c>
      <c r="D2509" s="10" t="str">
        <f t="shared" si="392"/>
        <v>9420019902</v>
      </c>
      <c r="E2509" s="3" t="s">
        <v>4</v>
      </c>
      <c r="F2509" s="3" t="s">
        <v>65</v>
      </c>
      <c r="H2509" s="3">
        <v>0.96900000000000031</v>
      </c>
      <c r="I2509" s="10">
        <f t="shared" si="393"/>
        <v>94.635233844691541</v>
      </c>
      <c r="J2509" s="3">
        <v>0.30717945968948074</v>
      </c>
      <c r="K2509" s="3">
        <v>0</v>
      </c>
      <c r="L2509" s="3">
        <f t="shared" si="394"/>
        <v>0</v>
      </c>
      <c r="N2509" s="11">
        <f t="shared" si="395"/>
        <v>0.66182054031051951</v>
      </c>
      <c r="O2509" s="3">
        <v>0.30717945968948074</v>
      </c>
      <c r="P2509" s="11">
        <f t="shared" si="396"/>
        <v>64.635233844691527</v>
      </c>
      <c r="Q2509" s="12">
        <f t="shared" si="397"/>
        <v>39.777869318123685</v>
      </c>
      <c r="R2509" s="13">
        <f t="shared" si="398"/>
        <v>129.12664609594353</v>
      </c>
      <c r="S2509" s="3" t="s">
        <v>31</v>
      </c>
      <c r="T2509" s="3" t="s">
        <v>28</v>
      </c>
      <c r="U2509" s="10">
        <v>9420019900999</v>
      </c>
      <c r="V2509" s="3">
        <v>0.1</v>
      </c>
      <c r="W2509" s="3">
        <f t="shared" si="399"/>
        <v>0</v>
      </c>
      <c r="AA2509" s="3">
        <v>48</v>
      </c>
    </row>
    <row r="2510" spans="1:27" x14ac:dyDescent="0.3">
      <c r="A2510" s="3" t="str">
        <f t="shared" si="390"/>
        <v>South9320029906219</v>
      </c>
      <c r="B2510" s="3" t="str">
        <f t="shared" si="391"/>
        <v>CY9320029906219</v>
      </c>
      <c r="C2510" s="10">
        <v>9320029906219</v>
      </c>
      <c r="D2510" s="10" t="str">
        <f t="shared" si="392"/>
        <v>9320029906</v>
      </c>
      <c r="E2510" s="3" t="s">
        <v>4</v>
      </c>
      <c r="F2510" s="3" t="s">
        <v>65</v>
      </c>
      <c r="H2510" s="3">
        <v>11.388000000000002</v>
      </c>
      <c r="I2510" s="10">
        <f t="shared" si="393"/>
        <v>1145.3021690976075</v>
      </c>
      <c r="J2510" s="3">
        <v>0.29829682438232075</v>
      </c>
      <c r="K2510" s="3">
        <v>0</v>
      </c>
      <c r="L2510" s="3">
        <f t="shared" si="394"/>
        <v>0</v>
      </c>
      <c r="N2510" s="11">
        <f t="shared" si="395"/>
        <v>11.08970317561768</v>
      </c>
      <c r="O2510" s="3">
        <v>0.29829682438232075</v>
      </c>
      <c r="P2510" s="11">
        <f t="shared" si="396"/>
        <v>1115.3021690976075</v>
      </c>
      <c r="Q2510" s="12">
        <f t="shared" si="397"/>
        <v>1115.3021690976075</v>
      </c>
      <c r="R2510" s="13">
        <f t="shared" si="398"/>
        <v>620.82264501632687</v>
      </c>
      <c r="S2510" s="3" t="s">
        <v>31</v>
      </c>
      <c r="T2510" s="3" t="s">
        <v>28</v>
      </c>
      <c r="U2510" s="10">
        <v>9320029900999</v>
      </c>
      <c r="V2510" s="3">
        <v>0.1</v>
      </c>
      <c r="W2510" s="3">
        <f t="shared" si="399"/>
        <v>0</v>
      </c>
      <c r="AA2510" s="3">
        <v>48</v>
      </c>
    </row>
    <row r="2511" spans="1:27" x14ac:dyDescent="0.3">
      <c r="A2511" s="3" t="str">
        <f t="shared" si="390"/>
        <v>South9420059906190</v>
      </c>
      <c r="B2511" s="3" t="str">
        <f t="shared" si="391"/>
        <v>CY9420059906190</v>
      </c>
      <c r="C2511" s="10">
        <v>9420059906190</v>
      </c>
      <c r="D2511" s="10" t="str">
        <f t="shared" si="392"/>
        <v>9420059906</v>
      </c>
      <c r="E2511" s="3" t="s">
        <v>4</v>
      </c>
      <c r="F2511" s="3" t="s">
        <v>65</v>
      </c>
      <c r="H2511" s="3">
        <v>7.5329999999999995</v>
      </c>
      <c r="I2511" s="10">
        <f t="shared" si="393"/>
        <v>760.41325010955313</v>
      </c>
      <c r="J2511" s="3">
        <v>0.29719366406022185</v>
      </c>
      <c r="K2511" s="3">
        <v>0</v>
      </c>
      <c r="L2511" s="3">
        <f t="shared" si="394"/>
        <v>0</v>
      </c>
      <c r="N2511" s="11">
        <f t="shared" si="395"/>
        <v>7.2358063359397775</v>
      </c>
      <c r="O2511" s="3">
        <v>0.29719366406022185</v>
      </c>
      <c r="P2511" s="11">
        <f t="shared" si="396"/>
        <v>730.41325010955302</v>
      </c>
      <c r="Q2511" s="12">
        <f t="shared" si="397"/>
        <v>730.41325010955313</v>
      </c>
      <c r="R2511" s="13">
        <f t="shared" si="398"/>
        <v>707.36267104868705</v>
      </c>
      <c r="S2511" s="3" t="s">
        <v>31</v>
      </c>
      <c r="T2511" s="3" t="s">
        <v>28</v>
      </c>
      <c r="U2511" s="10">
        <v>0</v>
      </c>
      <c r="V2511" s="3">
        <v>0</v>
      </c>
      <c r="W2511" s="3">
        <f t="shared" si="399"/>
        <v>0</v>
      </c>
      <c r="AA2511" s="3">
        <v>48</v>
      </c>
    </row>
    <row r="2512" spans="1:27" x14ac:dyDescent="0.3">
      <c r="A2512" s="3" t="str">
        <f t="shared" si="390"/>
        <v>South9320029904219</v>
      </c>
      <c r="B2512" s="3" t="str">
        <f t="shared" si="391"/>
        <v>CY9320029904219</v>
      </c>
      <c r="C2512" s="10">
        <v>9320029904219</v>
      </c>
      <c r="D2512" s="10" t="str">
        <f t="shared" si="392"/>
        <v>9320029904</v>
      </c>
      <c r="E2512" s="3" t="s">
        <v>4</v>
      </c>
      <c r="F2512" s="3" t="s">
        <v>65</v>
      </c>
      <c r="H2512" s="3">
        <v>60.410999999999987</v>
      </c>
      <c r="I2512" s="10">
        <f t="shared" si="393"/>
        <v>6158.4001028137782</v>
      </c>
      <c r="J2512" s="3">
        <v>0.29428584855536499</v>
      </c>
      <c r="K2512" s="3">
        <v>0</v>
      </c>
      <c r="L2512" s="3">
        <f t="shared" si="394"/>
        <v>0</v>
      </c>
      <c r="N2512" s="11">
        <f t="shared" si="395"/>
        <v>60.116714151444626</v>
      </c>
      <c r="O2512" s="3">
        <v>0.29428584855536499</v>
      </c>
      <c r="P2512" s="11">
        <f t="shared" si="396"/>
        <v>6128.4001028137782</v>
      </c>
      <c r="Q2512" s="12">
        <f t="shared" si="397"/>
        <v>6128.4001028137782</v>
      </c>
      <c r="R2512" s="13">
        <f t="shared" si="398"/>
        <v>6517.2984386221515</v>
      </c>
      <c r="S2512" s="3" t="s">
        <v>31</v>
      </c>
      <c r="T2512" s="3" t="s">
        <v>28</v>
      </c>
      <c r="U2512" s="10">
        <v>9320029900999</v>
      </c>
      <c r="V2512" s="3">
        <v>0.1</v>
      </c>
      <c r="W2512" s="3">
        <f t="shared" si="399"/>
        <v>0</v>
      </c>
      <c r="AA2512" s="3">
        <v>48</v>
      </c>
    </row>
    <row r="2513" spans="1:27" x14ac:dyDescent="0.3">
      <c r="A2513" s="3" t="str">
        <f t="shared" si="390"/>
        <v>South9330239900840</v>
      </c>
      <c r="B2513" s="3" t="str">
        <f t="shared" si="391"/>
        <v>CY9330239900840</v>
      </c>
      <c r="C2513" s="10">
        <v>9330239900840</v>
      </c>
      <c r="D2513" s="10" t="str">
        <f t="shared" si="392"/>
        <v>9330239900</v>
      </c>
      <c r="E2513" s="3" t="s">
        <v>4</v>
      </c>
      <c r="F2513" s="3" t="s">
        <v>65</v>
      </c>
      <c r="H2513" s="3">
        <v>0.83200000000000007</v>
      </c>
      <c r="I2513" s="10">
        <f t="shared" si="393"/>
        <v>87.362496744058404</v>
      </c>
      <c r="J2513" s="3">
        <v>0.28570612024887615</v>
      </c>
      <c r="K2513" s="3">
        <v>0</v>
      </c>
      <c r="L2513" s="3">
        <f t="shared" si="394"/>
        <v>0</v>
      </c>
      <c r="N2513" s="11">
        <f t="shared" si="395"/>
        <v>0.54629387975112387</v>
      </c>
      <c r="O2513" s="3">
        <v>0.28570612024887615</v>
      </c>
      <c r="P2513" s="11">
        <f t="shared" si="396"/>
        <v>57.362496744058397</v>
      </c>
      <c r="Q2513" s="12">
        <f t="shared" si="397"/>
        <v>9.5179907738437919</v>
      </c>
      <c r="R2513" s="13">
        <f t="shared" si="398"/>
        <v>10.604359305730044</v>
      </c>
      <c r="S2513" s="3" t="s">
        <v>31</v>
      </c>
      <c r="T2513" s="3" t="s">
        <v>35</v>
      </c>
      <c r="U2513" s="10">
        <v>0</v>
      </c>
      <c r="V2513" s="3">
        <v>0</v>
      </c>
      <c r="W2513" s="3">
        <f t="shared" si="399"/>
        <v>0</v>
      </c>
      <c r="AA2513" s="3">
        <v>48</v>
      </c>
    </row>
    <row r="2514" spans="1:27" x14ac:dyDescent="0.3">
      <c r="A2514" s="3" t="str">
        <f t="shared" si="390"/>
        <v>South9432029900210</v>
      </c>
      <c r="B2514" s="3" t="str">
        <f t="shared" si="391"/>
        <v>CY9432029900210</v>
      </c>
      <c r="C2514" s="10">
        <v>9432029900210</v>
      </c>
      <c r="D2514" s="10" t="str">
        <f t="shared" si="392"/>
        <v>9432029900</v>
      </c>
      <c r="E2514" s="3" t="s">
        <v>4</v>
      </c>
      <c r="F2514" s="3" t="s">
        <v>65</v>
      </c>
      <c r="H2514" s="3">
        <v>3.5580000000000003</v>
      </c>
      <c r="I2514" s="10">
        <f t="shared" si="393"/>
        <v>386.63300750725045</v>
      </c>
      <c r="J2514" s="3">
        <v>0.27607575640835147</v>
      </c>
      <c r="K2514" s="3">
        <v>0</v>
      </c>
      <c r="L2514" s="3">
        <f t="shared" si="394"/>
        <v>0</v>
      </c>
      <c r="N2514" s="11">
        <f t="shared" si="395"/>
        <v>3.2819242435916487</v>
      </c>
      <c r="O2514" s="3">
        <v>0.27607575640835147</v>
      </c>
      <c r="P2514" s="11">
        <f t="shared" si="396"/>
        <v>356.63300750725045</v>
      </c>
      <c r="Q2514" s="12">
        <f t="shared" si="397"/>
        <v>853.12002990532335</v>
      </c>
      <c r="R2514" s="13">
        <f t="shared" si="398"/>
        <v>343.47422136245308</v>
      </c>
      <c r="S2514" s="3" t="s">
        <v>31</v>
      </c>
      <c r="T2514" s="3" t="s">
        <v>35</v>
      </c>
      <c r="U2514" s="10">
        <v>0</v>
      </c>
      <c r="V2514" s="3">
        <v>0</v>
      </c>
      <c r="W2514" s="3">
        <f t="shared" si="399"/>
        <v>0</v>
      </c>
      <c r="AA2514" s="3">
        <v>48</v>
      </c>
    </row>
    <row r="2515" spans="1:27" x14ac:dyDescent="0.3">
      <c r="A2515" s="3" t="str">
        <f t="shared" si="390"/>
        <v>South9310099900310</v>
      </c>
      <c r="B2515" s="3" t="str">
        <f t="shared" si="391"/>
        <v>CY9310099900310</v>
      </c>
      <c r="C2515" s="10">
        <v>9310099900310</v>
      </c>
      <c r="D2515" s="10" t="str">
        <f t="shared" si="392"/>
        <v>9310099900</v>
      </c>
      <c r="E2515" s="3" t="s">
        <v>4</v>
      </c>
      <c r="F2515" s="3" t="s">
        <v>65</v>
      </c>
      <c r="H2515" s="3">
        <v>0</v>
      </c>
      <c r="I2515" s="10">
        <f t="shared" si="393"/>
        <v>0</v>
      </c>
      <c r="J2515" s="3">
        <v>0.2736901825000001</v>
      </c>
      <c r="K2515" s="3">
        <v>0</v>
      </c>
      <c r="L2515" s="3">
        <f t="shared" si="394"/>
        <v>0</v>
      </c>
      <c r="N2515" s="11">
        <f t="shared" si="395"/>
        <v>-0.2736901825000001</v>
      </c>
      <c r="O2515" s="3">
        <v>0.2736901825000001</v>
      </c>
      <c r="P2515" s="11">
        <f t="shared" si="396"/>
        <v>-30</v>
      </c>
      <c r="Q2515" s="12">
        <f t="shared" si="397"/>
        <v>-30</v>
      </c>
      <c r="R2515" s="13">
        <f t="shared" si="398"/>
        <v>-30</v>
      </c>
      <c r="S2515" s="3">
        <v>0</v>
      </c>
      <c r="T2515" s="3" t="s">
        <v>32</v>
      </c>
      <c r="U2515" s="10">
        <v>9310099900999</v>
      </c>
      <c r="V2515" s="3">
        <v>0.1</v>
      </c>
      <c r="W2515" s="3">
        <f t="shared" si="399"/>
        <v>0</v>
      </c>
      <c r="AA2515" s="3">
        <v>48</v>
      </c>
    </row>
    <row r="2516" spans="1:27" x14ac:dyDescent="0.3">
      <c r="A2516" s="3" t="str">
        <f t="shared" si="390"/>
        <v>South9360019900210</v>
      </c>
      <c r="B2516" s="3" t="str">
        <f t="shared" si="391"/>
        <v>CY9360019900210</v>
      </c>
      <c r="C2516" s="10">
        <v>9360019900210</v>
      </c>
      <c r="D2516" s="10" t="str">
        <f t="shared" si="392"/>
        <v>9360019900</v>
      </c>
      <c r="E2516" s="3" t="s">
        <v>4</v>
      </c>
      <c r="F2516" s="3" t="s">
        <v>65</v>
      </c>
      <c r="H2516" s="3">
        <v>0.52300000000000002</v>
      </c>
      <c r="I2516" s="10">
        <f t="shared" si="393"/>
        <v>58.38286431339651</v>
      </c>
      <c r="J2516" s="3">
        <v>0.26874323801204419</v>
      </c>
      <c r="K2516" s="3">
        <v>0</v>
      </c>
      <c r="L2516" s="3">
        <f t="shared" si="394"/>
        <v>0</v>
      </c>
      <c r="N2516" s="11">
        <f t="shared" si="395"/>
        <v>0.25425676198795583</v>
      </c>
      <c r="O2516" s="3">
        <v>0.26874323801204419</v>
      </c>
      <c r="P2516" s="11">
        <f t="shared" si="396"/>
        <v>28.382864313396514</v>
      </c>
      <c r="Q2516" s="12">
        <f t="shared" si="397"/>
        <v>18.45703984159007</v>
      </c>
      <c r="R2516" s="13">
        <f t="shared" si="398"/>
        <v>101.59272695247127</v>
      </c>
      <c r="S2516" s="3" t="s">
        <v>31</v>
      </c>
      <c r="T2516" s="3" t="s">
        <v>33</v>
      </c>
      <c r="U2516" s="10">
        <v>0</v>
      </c>
      <c r="V2516" s="3">
        <v>0</v>
      </c>
      <c r="W2516" s="3">
        <f t="shared" si="399"/>
        <v>0</v>
      </c>
      <c r="AA2516" s="3">
        <v>48</v>
      </c>
    </row>
    <row r="2517" spans="1:27" x14ac:dyDescent="0.3">
      <c r="A2517" s="3" t="str">
        <f t="shared" si="390"/>
        <v>South9310019900840</v>
      </c>
      <c r="B2517" s="3" t="str">
        <f t="shared" si="391"/>
        <v>CY9310019900840</v>
      </c>
      <c r="C2517" s="10">
        <v>9310019900840</v>
      </c>
      <c r="D2517" s="10" t="str">
        <f t="shared" si="392"/>
        <v>9310019900</v>
      </c>
      <c r="E2517" s="3" t="s">
        <v>4</v>
      </c>
      <c r="F2517" s="3" t="s">
        <v>65</v>
      </c>
      <c r="H2517" s="3">
        <v>0.94000000000000006</v>
      </c>
      <c r="I2517" s="10">
        <f t="shared" si="393"/>
        <v>116.2550114882051</v>
      </c>
      <c r="J2517" s="3">
        <v>0.24257018806334291</v>
      </c>
      <c r="K2517" s="3">
        <v>0</v>
      </c>
      <c r="L2517" s="3">
        <f t="shared" si="394"/>
        <v>0</v>
      </c>
      <c r="N2517" s="11">
        <f t="shared" si="395"/>
        <v>0.6974298119366571</v>
      </c>
      <c r="O2517" s="3">
        <v>0.24257018806334291</v>
      </c>
      <c r="P2517" s="11">
        <f t="shared" si="396"/>
        <v>86.255011488205099</v>
      </c>
      <c r="Q2517" s="12">
        <f t="shared" si="397"/>
        <v>102.83949357810089</v>
      </c>
      <c r="R2517" s="13">
        <f t="shared" si="398"/>
        <v>82.350057663911571</v>
      </c>
      <c r="S2517" s="3" t="s">
        <v>31</v>
      </c>
      <c r="T2517" s="3" t="s">
        <v>32</v>
      </c>
      <c r="U2517" s="10">
        <v>0</v>
      </c>
      <c r="V2517" s="3">
        <v>0</v>
      </c>
      <c r="W2517" s="3">
        <f t="shared" si="399"/>
        <v>0</v>
      </c>
      <c r="AA2517" s="3">
        <v>48</v>
      </c>
    </row>
    <row r="2518" spans="1:27" x14ac:dyDescent="0.3">
      <c r="A2518" s="3" t="str">
        <f t="shared" si="390"/>
        <v>South9320029900210</v>
      </c>
      <c r="B2518" s="3" t="str">
        <f t="shared" si="391"/>
        <v>CY9320029900210</v>
      </c>
      <c r="C2518" s="10">
        <v>9320029900210</v>
      </c>
      <c r="D2518" s="10" t="str">
        <f t="shared" si="392"/>
        <v>9320029900</v>
      </c>
      <c r="E2518" s="3" t="s">
        <v>4</v>
      </c>
      <c r="F2518" s="3" t="s">
        <v>65</v>
      </c>
      <c r="H2518" s="3">
        <v>1.409</v>
      </c>
      <c r="I2518" s="10">
        <f t="shared" si="393"/>
        <v>176.23307834698232</v>
      </c>
      <c r="J2518" s="3">
        <v>0.23985281535385378</v>
      </c>
      <c r="K2518" s="3">
        <v>0</v>
      </c>
      <c r="L2518" s="3">
        <f t="shared" si="394"/>
        <v>0</v>
      </c>
      <c r="N2518" s="11">
        <f t="shared" si="395"/>
        <v>1.1691471846461463</v>
      </c>
      <c r="O2518" s="3">
        <v>0.23985281535385378</v>
      </c>
      <c r="P2518" s="11">
        <f t="shared" si="396"/>
        <v>146.23307834698232</v>
      </c>
      <c r="Q2518" s="12">
        <f t="shared" si="397"/>
        <v>9.9004523855982338</v>
      </c>
      <c r="R2518" s="13">
        <f t="shared" si="398"/>
        <v>20.758348619970487</v>
      </c>
      <c r="S2518" s="3" t="s">
        <v>31</v>
      </c>
      <c r="T2518" s="3" t="s">
        <v>28</v>
      </c>
      <c r="U2518" s="10">
        <v>0</v>
      </c>
      <c r="V2518" s="3">
        <v>0</v>
      </c>
      <c r="W2518" s="3">
        <f t="shared" si="399"/>
        <v>0</v>
      </c>
      <c r="AA2518" s="3">
        <v>48</v>
      </c>
    </row>
    <row r="2519" spans="1:27" x14ac:dyDescent="0.3">
      <c r="A2519" s="3" t="str">
        <f t="shared" si="390"/>
        <v>South9410019900210</v>
      </c>
      <c r="B2519" s="3" t="str">
        <f t="shared" si="391"/>
        <v>CY9410019900210</v>
      </c>
      <c r="C2519" s="10">
        <v>9410019900210</v>
      </c>
      <c r="D2519" s="10" t="str">
        <f t="shared" si="392"/>
        <v>9410019900</v>
      </c>
      <c r="E2519" s="3" t="s">
        <v>4</v>
      </c>
      <c r="F2519" s="3" t="s">
        <v>65</v>
      </c>
      <c r="H2519" s="3">
        <v>13.826000000000001</v>
      </c>
      <c r="I2519" s="10">
        <f t="shared" si="393"/>
        <v>1764.0402040282634</v>
      </c>
      <c r="J2519" s="3">
        <v>0.23513069546421431</v>
      </c>
      <c r="K2519" s="3">
        <v>0</v>
      </c>
      <c r="L2519" s="3">
        <f t="shared" si="394"/>
        <v>0</v>
      </c>
      <c r="N2519" s="11">
        <f t="shared" si="395"/>
        <v>13.590869304535786</v>
      </c>
      <c r="O2519" s="3">
        <v>0.23513069546421431</v>
      </c>
      <c r="P2519" s="11">
        <f t="shared" si="396"/>
        <v>1734.0402040282634</v>
      </c>
      <c r="Q2519" s="12">
        <f t="shared" si="397"/>
        <v>995.97915910267704</v>
      </c>
      <c r="R2519" s="13">
        <f t="shared" si="398"/>
        <v>475.08999835834976</v>
      </c>
      <c r="S2519" s="3" t="s">
        <v>31</v>
      </c>
      <c r="T2519" s="3" t="s">
        <v>32</v>
      </c>
      <c r="U2519" s="10">
        <v>0</v>
      </c>
      <c r="V2519" s="3">
        <v>0</v>
      </c>
      <c r="W2519" s="3">
        <f t="shared" si="399"/>
        <v>0</v>
      </c>
      <c r="AA2519" s="3">
        <v>48</v>
      </c>
    </row>
    <row r="2520" spans="1:27" x14ac:dyDescent="0.3">
      <c r="A2520" s="3" t="str">
        <f t="shared" si="390"/>
        <v>South9310039900310</v>
      </c>
      <c r="B2520" s="3" t="str">
        <f t="shared" si="391"/>
        <v>CY9310039900310</v>
      </c>
      <c r="C2520" s="10">
        <v>9310039900310</v>
      </c>
      <c r="D2520" s="10" t="str">
        <f t="shared" si="392"/>
        <v>9310039900</v>
      </c>
      <c r="E2520" s="3" t="s">
        <v>4</v>
      </c>
      <c r="F2520" s="3" t="s">
        <v>65</v>
      </c>
      <c r="H2520" s="3">
        <v>1.0300000000000002</v>
      </c>
      <c r="I2520" s="10">
        <f t="shared" si="393"/>
        <v>135.4225097136223</v>
      </c>
      <c r="J2520" s="3">
        <v>0.22817476995031452</v>
      </c>
      <c r="K2520" s="3">
        <v>0</v>
      </c>
      <c r="L2520" s="3">
        <f t="shared" si="394"/>
        <v>0</v>
      </c>
      <c r="N2520" s="11">
        <f t="shared" si="395"/>
        <v>0.80182523004968576</v>
      </c>
      <c r="O2520" s="3">
        <v>0.22817476995031452</v>
      </c>
      <c r="P2520" s="11">
        <f t="shared" si="396"/>
        <v>105.42250971362233</v>
      </c>
      <c r="Q2520" s="12">
        <f t="shared" si="397"/>
        <v>87.461127769410126</v>
      </c>
      <c r="R2520" s="13">
        <f t="shared" si="398"/>
        <v>107.62903162347897</v>
      </c>
      <c r="S2520" s="3" t="s">
        <v>31</v>
      </c>
      <c r="T2520" s="3" t="s">
        <v>32</v>
      </c>
      <c r="U2520" s="10">
        <v>9310039900999</v>
      </c>
      <c r="V2520" s="3">
        <v>0.1</v>
      </c>
      <c r="W2520" s="3">
        <f t="shared" si="399"/>
        <v>0</v>
      </c>
      <c r="AA2520" s="3">
        <v>48</v>
      </c>
    </row>
    <row r="2521" spans="1:27" x14ac:dyDescent="0.3">
      <c r="A2521" s="3" t="str">
        <f t="shared" si="390"/>
        <v>South9310029901310</v>
      </c>
      <c r="B2521" s="3" t="str">
        <f t="shared" si="391"/>
        <v>CY9310029901310</v>
      </c>
      <c r="C2521" s="10">
        <v>9310029901310</v>
      </c>
      <c r="D2521" s="10" t="str">
        <f t="shared" si="392"/>
        <v>9310029901</v>
      </c>
      <c r="E2521" s="3" t="s">
        <v>4</v>
      </c>
      <c r="F2521" s="3" t="s">
        <v>65</v>
      </c>
      <c r="H2521" s="3">
        <v>9.1100000000000012</v>
      </c>
      <c r="I2521" s="10">
        <f t="shared" si="393"/>
        <v>1227.5828576562187</v>
      </c>
      <c r="J2521" s="3">
        <v>0.22263262988357643</v>
      </c>
      <c r="K2521" s="3">
        <v>0</v>
      </c>
      <c r="L2521" s="3">
        <f t="shared" si="394"/>
        <v>0</v>
      </c>
      <c r="N2521" s="11">
        <f t="shared" si="395"/>
        <v>8.887367370116424</v>
      </c>
      <c r="O2521" s="3">
        <v>0.22263262988357643</v>
      </c>
      <c r="P2521" s="11">
        <f t="shared" si="396"/>
        <v>1197.5828576562185</v>
      </c>
      <c r="Q2521" s="12">
        <f t="shared" si="397"/>
        <v>531.09982569668034</v>
      </c>
      <c r="R2521" s="13">
        <f t="shared" si="398"/>
        <v>236.16131981271428</v>
      </c>
      <c r="S2521" s="3" t="s">
        <v>31</v>
      </c>
      <c r="T2521" s="3" t="s">
        <v>32</v>
      </c>
      <c r="U2521" s="10">
        <v>9310029900999</v>
      </c>
      <c r="V2521" s="3">
        <v>0.1</v>
      </c>
      <c r="W2521" s="3">
        <f t="shared" si="399"/>
        <v>0</v>
      </c>
      <c r="AA2521" s="3">
        <v>48</v>
      </c>
    </row>
    <row r="2522" spans="1:27" x14ac:dyDescent="0.3">
      <c r="A2522" s="3" t="str">
        <f t="shared" si="390"/>
        <v>South9420059900840</v>
      </c>
      <c r="B2522" s="3" t="str">
        <f t="shared" si="391"/>
        <v>CY9420059900840</v>
      </c>
      <c r="C2522" s="10">
        <v>9420059900840</v>
      </c>
      <c r="D2522" s="10" t="str">
        <f t="shared" si="392"/>
        <v>9420059900</v>
      </c>
      <c r="E2522" s="3" t="s">
        <v>4</v>
      </c>
      <c r="F2522" s="3" t="s">
        <v>65</v>
      </c>
      <c r="H2522" s="3">
        <v>0.27600000000000002</v>
      </c>
      <c r="I2522" s="10">
        <f t="shared" si="393"/>
        <v>37.526714270421607</v>
      </c>
      <c r="J2522" s="3">
        <v>0.22064281834890781</v>
      </c>
      <c r="K2522" s="3">
        <v>0</v>
      </c>
      <c r="L2522" s="3">
        <f t="shared" si="394"/>
        <v>0</v>
      </c>
      <c r="N2522" s="11">
        <f t="shared" si="395"/>
        <v>5.5357181651092213E-2</v>
      </c>
      <c r="O2522" s="3">
        <v>0.22064281834890781</v>
      </c>
      <c r="P2522" s="11">
        <f t="shared" si="396"/>
        <v>7.5267142704216043</v>
      </c>
      <c r="Q2522" s="12">
        <f t="shared" si="397"/>
        <v>-16.447790475709525</v>
      </c>
      <c r="R2522" s="13">
        <f t="shared" si="398"/>
        <v>-15.041796421296725</v>
      </c>
      <c r="S2522" s="3" t="s">
        <v>31</v>
      </c>
      <c r="T2522" s="3" t="s">
        <v>28</v>
      </c>
      <c r="U2522" s="10">
        <v>0</v>
      </c>
      <c r="V2522" s="3">
        <v>0</v>
      </c>
      <c r="W2522" s="3">
        <f t="shared" si="399"/>
        <v>0</v>
      </c>
      <c r="AA2522" s="3">
        <v>48</v>
      </c>
    </row>
    <row r="2523" spans="1:27" x14ac:dyDescent="0.3">
      <c r="A2523" s="3" t="str">
        <f t="shared" si="390"/>
        <v>South9420039900310</v>
      </c>
      <c r="B2523" s="3" t="str">
        <f t="shared" si="391"/>
        <v>CY9420039900310</v>
      </c>
      <c r="C2523" s="10">
        <v>9420039900310</v>
      </c>
      <c r="D2523" s="10" t="str">
        <f t="shared" si="392"/>
        <v>9420039900</v>
      </c>
      <c r="E2523" s="3" t="s">
        <v>4</v>
      </c>
      <c r="F2523" s="3" t="s">
        <v>65</v>
      </c>
      <c r="H2523" s="3">
        <v>1.1000000000000003</v>
      </c>
      <c r="I2523" s="10">
        <f t="shared" si="393"/>
        <v>150.92412280077127</v>
      </c>
      <c r="J2523" s="3">
        <v>0.21865291901389383</v>
      </c>
      <c r="K2523" s="3">
        <v>0</v>
      </c>
      <c r="L2523" s="3">
        <f t="shared" si="394"/>
        <v>0</v>
      </c>
      <c r="N2523" s="11">
        <f t="shared" si="395"/>
        <v>0.88134708098610648</v>
      </c>
      <c r="O2523" s="3">
        <v>0.21865291901389383</v>
      </c>
      <c r="P2523" s="11">
        <f t="shared" si="396"/>
        <v>120.92412280077126</v>
      </c>
      <c r="Q2523" s="12">
        <f t="shared" si="397"/>
        <v>14.627080087392914</v>
      </c>
      <c r="R2523" s="13">
        <f t="shared" si="398"/>
        <v>25.372275431898188</v>
      </c>
      <c r="S2523" s="3" t="s">
        <v>31</v>
      </c>
      <c r="T2523" s="3" t="s">
        <v>28</v>
      </c>
      <c r="U2523" s="10">
        <v>9420039900999</v>
      </c>
      <c r="V2523" s="3">
        <v>0.1</v>
      </c>
      <c r="W2523" s="3">
        <f t="shared" si="399"/>
        <v>0</v>
      </c>
      <c r="AA2523" s="3">
        <v>48</v>
      </c>
    </row>
    <row r="2524" spans="1:27" x14ac:dyDescent="0.3">
      <c r="A2524" s="3" t="str">
        <f t="shared" si="390"/>
        <v>South9320099900210</v>
      </c>
      <c r="B2524" s="3" t="str">
        <f t="shared" si="391"/>
        <v>CY9320099900210</v>
      </c>
      <c r="C2524" s="10">
        <v>9320099900210</v>
      </c>
      <c r="D2524" s="10" t="str">
        <f t="shared" si="392"/>
        <v>9320099900</v>
      </c>
      <c r="E2524" s="3" t="s">
        <v>4</v>
      </c>
      <c r="F2524" s="3" t="s">
        <v>65</v>
      </c>
      <c r="H2524" s="3">
        <v>0.18</v>
      </c>
      <c r="I2524" s="10">
        <f t="shared" si="393"/>
        <v>29.435248976204551</v>
      </c>
      <c r="J2524" s="3">
        <v>0.18345351875111907</v>
      </c>
      <c r="K2524" s="3">
        <v>0</v>
      </c>
      <c r="L2524" s="3">
        <f t="shared" si="394"/>
        <v>0</v>
      </c>
      <c r="N2524" s="11">
        <f t="shared" si="395"/>
        <v>-3.4535187511190724E-3</v>
      </c>
      <c r="O2524" s="3">
        <v>0.18345351875111907</v>
      </c>
      <c r="P2524" s="11">
        <f t="shared" si="396"/>
        <v>-0.56475102379544939</v>
      </c>
      <c r="Q2524" s="12">
        <f t="shared" si="397"/>
        <v>-0.88064217246184828</v>
      </c>
      <c r="R2524" s="13">
        <f t="shared" si="398"/>
        <v>28.658286020871561</v>
      </c>
      <c r="S2524" s="3" t="s">
        <v>31</v>
      </c>
      <c r="T2524" s="3" t="s">
        <v>28</v>
      </c>
      <c r="U2524" s="10">
        <v>0</v>
      </c>
      <c r="V2524" s="3">
        <v>0</v>
      </c>
      <c r="W2524" s="3">
        <f t="shared" si="399"/>
        <v>0</v>
      </c>
      <c r="AA2524" s="3">
        <v>48</v>
      </c>
    </row>
    <row r="2525" spans="1:27" x14ac:dyDescent="0.3">
      <c r="A2525" s="3" t="str">
        <f t="shared" si="390"/>
        <v>South9410029900310</v>
      </c>
      <c r="B2525" s="3" t="str">
        <f t="shared" si="391"/>
        <v>CY9410029900310</v>
      </c>
      <c r="C2525" s="10">
        <v>9410029900310</v>
      </c>
      <c r="D2525" s="10" t="str">
        <f t="shared" si="392"/>
        <v>9410029900</v>
      </c>
      <c r="E2525" s="3" t="s">
        <v>4</v>
      </c>
      <c r="F2525" s="3" t="s">
        <v>65</v>
      </c>
      <c r="H2525" s="3">
        <v>0.38</v>
      </c>
      <c r="I2525" s="10">
        <f t="shared" si="393"/>
        <v>62.833530180876458</v>
      </c>
      <c r="J2525" s="3">
        <v>0.18143179234372572</v>
      </c>
      <c r="K2525" s="3">
        <v>0</v>
      </c>
      <c r="L2525" s="3">
        <f t="shared" si="394"/>
        <v>0</v>
      </c>
      <c r="N2525" s="11">
        <f t="shared" si="395"/>
        <v>0.19856820765627428</v>
      </c>
      <c r="O2525" s="3">
        <v>0.18143179234372572</v>
      </c>
      <c r="P2525" s="11">
        <f t="shared" si="396"/>
        <v>32.833530180876458</v>
      </c>
      <c r="Q2525" s="12">
        <f t="shared" si="397"/>
        <v>32.110020571615046</v>
      </c>
      <c r="R2525" s="13">
        <f t="shared" si="398"/>
        <v>-6.4410101637640524</v>
      </c>
      <c r="S2525" s="3" t="s">
        <v>31</v>
      </c>
      <c r="T2525" s="3" t="s">
        <v>32</v>
      </c>
      <c r="U2525" s="10">
        <v>9410029900999</v>
      </c>
      <c r="V2525" s="3">
        <v>0.1</v>
      </c>
      <c r="W2525" s="3">
        <f t="shared" si="399"/>
        <v>0</v>
      </c>
      <c r="AA2525" s="3">
        <v>48</v>
      </c>
    </row>
    <row r="2526" spans="1:27" x14ac:dyDescent="0.3">
      <c r="A2526" s="3" t="str">
        <f t="shared" si="390"/>
        <v>South9420049901320</v>
      </c>
      <c r="B2526" s="3" t="str">
        <f t="shared" si="391"/>
        <v>CY9420049901320</v>
      </c>
      <c r="C2526" s="10">
        <v>9420049901320</v>
      </c>
      <c r="D2526" s="10" t="str">
        <f t="shared" si="392"/>
        <v>9420049901</v>
      </c>
      <c r="E2526" s="3" t="s">
        <v>4</v>
      </c>
      <c r="F2526" s="3" t="s">
        <v>65</v>
      </c>
      <c r="H2526" s="3">
        <v>0.30000000000000004</v>
      </c>
      <c r="I2526" s="10">
        <f t="shared" si="393"/>
        <v>50.058816641082089</v>
      </c>
      <c r="J2526" s="3">
        <v>0.1797885088760551</v>
      </c>
      <c r="K2526" s="3">
        <v>0</v>
      </c>
      <c r="L2526" s="3">
        <f t="shared" si="394"/>
        <v>0</v>
      </c>
      <c r="N2526" s="11">
        <f t="shared" si="395"/>
        <v>0.12021149112394494</v>
      </c>
      <c r="O2526" s="3">
        <v>0.1797885088760551</v>
      </c>
      <c r="P2526" s="11">
        <f t="shared" si="396"/>
        <v>20.058816641082082</v>
      </c>
      <c r="Q2526" s="12">
        <f t="shared" si="397"/>
        <v>-24.37170660712102</v>
      </c>
      <c r="R2526" s="13">
        <f t="shared" si="398"/>
        <v>68.696520476184929</v>
      </c>
      <c r="S2526" s="3" t="s">
        <v>31</v>
      </c>
      <c r="T2526" s="3" t="s">
        <v>28</v>
      </c>
      <c r="U2526" s="10">
        <v>9420049900999</v>
      </c>
      <c r="V2526" s="3">
        <v>0.1</v>
      </c>
      <c r="W2526" s="3">
        <f t="shared" si="399"/>
        <v>0</v>
      </c>
      <c r="AA2526" s="3">
        <v>48</v>
      </c>
    </row>
    <row r="2527" spans="1:27" x14ac:dyDescent="0.3">
      <c r="A2527" s="3" t="str">
        <f t="shared" si="390"/>
        <v>South9420019902295</v>
      </c>
      <c r="B2527" s="3" t="str">
        <f t="shared" si="391"/>
        <v>CY9420019902295</v>
      </c>
      <c r="C2527" s="10">
        <v>9420019902295</v>
      </c>
      <c r="D2527" s="10" t="str">
        <f t="shared" si="392"/>
        <v>9420019902</v>
      </c>
      <c r="E2527" s="3" t="s">
        <v>4</v>
      </c>
      <c r="F2527" s="3" t="s">
        <v>65</v>
      </c>
      <c r="H2527" s="3">
        <v>0.4845000000000001</v>
      </c>
      <c r="I2527" s="10">
        <f t="shared" si="393"/>
        <v>85.561225030511835</v>
      </c>
      <c r="J2527" s="3">
        <v>0.16987835313036603</v>
      </c>
      <c r="K2527" s="3">
        <v>0</v>
      </c>
      <c r="L2527" s="3">
        <f t="shared" si="394"/>
        <v>0</v>
      </c>
      <c r="N2527" s="11">
        <f t="shared" si="395"/>
        <v>0.31462164686963406</v>
      </c>
      <c r="O2527" s="3">
        <v>0.16987835313036603</v>
      </c>
      <c r="P2527" s="11">
        <f t="shared" si="396"/>
        <v>55.561225030511835</v>
      </c>
      <c r="Q2527" s="12">
        <f t="shared" si="397"/>
        <v>55.024213271387374</v>
      </c>
      <c r="R2527" s="13">
        <f t="shared" si="398"/>
        <v>39.953658255764203</v>
      </c>
      <c r="S2527" s="3" t="s">
        <v>31</v>
      </c>
      <c r="T2527" s="3" t="s">
        <v>28</v>
      </c>
      <c r="U2527" s="10">
        <v>9420019900999</v>
      </c>
      <c r="V2527" s="3">
        <v>0.1</v>
      </c>
      <c r="W2527" s="3">
        <f t="shared" si="399"/>
        <v>0</v>
      </c>
      <c r="AA2527" s="3">
        <v>48</v>
      </c>
    </row>
    <row r="2528" spans="1:27" x14ac:dyDescent="0.3">
      <c r="A2528" s="3" t="str">
        <f t="shared" si="390"/>
        <v>South9320089900210</v>
      </c>
      <c r="B2528" s="3" t="str">
        <f t="shared" si="391"/>
        <v>CY9320089900210</v>
      </c>
      <c r="C2528" s="10">
        <v>9320089900210</v>
      </c>
      <c r="D2528" s="10" t="str">
        <f t="shared" si="392"/>
        <v>9320089900</v>
      </c>
      <c r="E2528" s="3" t="s">
        <v>4</v>
      </c>
      <c r="F2528" s="3" t="s">
        <v>65</v>
      </c>
      <c r="H2528" s="3">
        <v>0.32400000000000001</v>
      </c>
      <c r="I2528" s="10">
        <f t="shared" si="393"/>
        <v>58.33417336946453</v>
      </c>
      <c r="J2528" s="3">
        <v>0.16662617190848905</v>
      </c>
      <c r="K2528" s="3">
        <v>0</v>
      </c>
      <c r="L2528" s="3">
        <f t="shared" si="394"/>
        <v>0</v>
      </c>
      <c r="N2528" s="11">
        <f t="shared" si="395"/>
        <v>0.15737382809151096</v>
      </c>
      <c r="O2528" s="3">
        <v>0.16662617190848905</v>
      </c>
      <c r="P2528" s="11">
        <f t="shared" si="396"/>
        <v>28.33417336946453</v>
      </c>
      <c r="Q2528" s="12">
        <f t="shared" si="397"/>
        <v>13.483010368549389</v>
      </c>
      <c r="R2528" s="13">
        <f t="shared" si="398"/>
        <v>36.265259284265305</v>
      </c>
      <c r="S2528" s="3" t="s">
        <v>31</v>
      </c>
      <c r="T2528" s="3" t="s">
        <v>28</v>
      </c>
      <c r="U2528" s="10">
        <v>0</v>
      </c>
      <c r="V2528" s="3">
        <v>0</v>
      </c>
      <c r="W2528" s="3">
        <f t="shared" si="399"/>
        <v>0</v>
      </c>
      <c r="AA2528" s="3">
        <v>48</v>
      </c>
    </row>
    <row r="2529" spans="1:27" x14ac:dyDescent="0.3">
      <c r="A2529" s="3" t="str">
        <f t="shared" si="390"/>
        <v>South9432019900210</v>
      </c>
      <c r="B2529" s="3" t="str">
        <f t="shared" si="391"/>
        <v>CY9432019900210</v>
      </c>
      <c r="C2529" s="10">
        <v>9432019900210</v>
      </c>
      <c r="D2529" s="10" t="str">
        <f t="shared" si="392"/>
        <v>9432019900</v>
      </c>
      <c r="E2529" s="3" t="s">
        <v>4</v>
      </c>
      <c r="F2529" s="3" t="s">
        <v>65</v>
      </c>
      <c r="H2529" s="3">
        <v>0.21499999999999997</v>
      </c>
      <c r="I2529" s="10">
        <f t="shared" si="393"/>
        <v>41.6381117798608</v>
      </c>
      <c r="J2529" s="3">
        <v>0.15490615986865391</v>
      </c>
      <c r="K2529" s="3">
        <v>0</v>
      </c>
      <c r="L2529" s="3">
        <f t="shared" si="394"/>
        <v>0</v>
      </c>
      <c r="N2529" s="11">
        <f t="shared" si="395"/>
        <v>6.0093840131346055E-2</v>
      </c>
      <c r="O2529" s="3">
        <v>0.15490615986865391</v>
      </c>
      <c r="P2529" s="11">
        <f t="shared" si="396"/>
        <v>11.638111779860802</v>
      </c>
      <c r="Q2529" s="12">
        <f t="shared" si="397"/>
        <v>-7.1297818243710553</v>
      </c>
      <c r="R2529" s="13">
        <f t="shared" si="398"/>
        <v>0.18903672404124577</v>
      </c>
      <c r="S2529" s="3" t="s">
        <v>31</v>
      </c>
      <c r="T2529" s="3" t="s">
        <v>35</v>
      </c>
      <c r="U2529" s="10">
        <v>0</v>
      </c>
      <c r="V2529" s="3">
        <v>0</v>
      </c>
      <c r="W2529" s="3">
        <f t="shared" si="399"/>
        <v>0</v>
      </c>
      <c r="AA2529" s="3">
        <v>48</v>
      </c>
    </row>
    <row r="2530" spans="1:27" x14ac:dyDescent="0.3">
      <c r="A2530" s="3" t="str">
        <f t="shared" si="390"/>
        <v>South9320039900840</v>
      </c>
      <c r="B2530" s="3" t="str">
        <f t="shared" si="391"/>
        <v>CY9320039900840</v>
      </c>
      <c r="C2530" s="10">
        <v>9320039900840</v>
      </c>
      <c r="D2530" s="10" t="str">
        <f t="shared" si="392"/>
        <v>9320039900</v>
      </c>
      <c r="E2530" s="3" t="s">
        <v>4</v>
      </c>
      <c r="F2530" s="3" t="s">
        <v>65</v>
      </c>
      <c r="H2530" s="3">
        <v>2.4320000000000004</v>
      </c>
      <c r="I2530" s="10">
        <f t="shared" si="393"/>
        <v>474.4486234857888</v>
      </c>
      <c r="J2530" s="3">
        <v>0.15377850496005369</v>
      </c>
      <c r="K2530" s="3">
        <v>0</v>
      </c>
      <c r="L2530" s="3">
        <f t="shared" si="394"/>
        <v>0</v>
      </c>
      <c r="N2530" s="11">
        <f t="shared" si="395"/>
        <v>2.2782214950399466</v>
      </c>
      <c r="O2530" s="3">
        <v>0.15377850496005369</v>
      </c>
      <c r="P2530" s="11">
        <f t="shared" si="396"/>
        <v>444.44862348578874</v>
      </c>
      <c r="Q2530" s="12">
        <f t="shared" si="397"/>
        <v>-1.0167303828280296</v>
      </c>
      <c r="R2530" s="13">
        <f t="shared" si="398"/>
        <v>-11.770542147540164</v>
      </c>
      <c r="S2530" s="3" t="s">
        <v>30</v>
      </c>
      <c r="T2530" s="3" t="s">
        <v>28</v>
      </c>
      <c r="U2530" s="10">
        <v>0</v>
      </c>
      <c r="V2530" s="3">
        <v>0</v>
      </c>
      <c r="W2530" s="3">
        <f t="shared" si="399"/>
        <v>0</v>
      </c>
      <c r="AA2530" s="3">
        <v>48</v>
      </c>
    </row>
    <row r="2531" spans="1:27" x14ac:dyDescent="0.3">
      <c r="A2531" s="3" t="str">
        <f t="shared" si="390"/>
        <v>South9420019900840</v>
      </c>
      <c r="B2531" s="3" t="str">
        <f t="shared" si="391"/>
        <v>CY9420019900840</v>
      </c>
      <c r="C2531" s="10">
        <v>9420019900840</v>
      </c>
      <c r="D2531" s="10" t="str">
        <f t="shared" si="392"/>
        <v>9420019900</v>
      </c>
      <c r="E2531" s="3" t="s">
        <v>4</v>
      </c>
      <c r="F2531" s="3" t="s">
        <v>65</v>
      </c>
      <c r="H2531" s="3">
        <v>0.30399999999999999</v>
      </c>
      <c r="I2531" s="10">
        <f t="shared" si="393"/>
        <v>63.671968074394037</v>
      </c>
      <c r="J2531" s="3">
        <v>0.14323414645113897</v>
      </c>
      <c r="K2531" s="3">
        <v>0</v>
      </c>
      <c r="L2531" s="3">
        <f t="shared" si="394"/>
        <v>0</v>
      </c>
      <c r="N2531" s="11">
        <f t="shared" si="395"/>
        <v>0.16076585354886103</v>
      </c>
      <c r="O2531" s="3">
        <v>0.14323414645113897</v>
      </c>
      <c r="P2531" s="11">
        <f t="shared" si="396"/>
        <v>33.671968074394037</v>
      </c>
      <c r="Q2531" s="12">
        <f t="shared" si="397"/>
        <v>-25.321132965767433</v>
      </c>
      <c r="R2531" s="13">
        <f t="shared" si="398"/>
        <v>-16.802681825879457</v>
      </c>
      <c r="S2531" s="3" t="s">
        <v>31</v>
      </c>
      <c r="T2531" s="3" t="s">
        <v>28</v>
      </c>
      <c r="U2531" s="10">
        <v>0</v>
      </c>
      <c r="V2531" s="3">
        <v>0</v>
      </c>
      <c r="W2531" s="3">
        <f t="shared" si="399"/>
        <v>0</v>
      </c>
      <c r="AA2531" s="3">
        <v>48</v>
      </c>
    </row>
    <row r="2532" spans="1:27" x14ac:dyDescent="0.3">
      <c r="A2532" s="3" t="str">
        <f t="shared" si="390"/>
        <v>South9420039900840</v>
      </c>
      <c r="B2532" s="3" t="str">
        <f t="shared" si="391"/>
        <v>CY9420039900840</v>
      </c>
      <c r="C2532" s="10">
        <v>9420039900840</v>
      </c>
      <c r="D2532" s="10" t="str">
        <f t="shared" si="392"/>
        <v>9420039900</v>
      </c>
      <c r="E2532" s="3" t="s">
        <v>4</v>
      </c>
      <c r="F2532" s="3" t="s">
        <v>65</v>
      </c>
      <c r="H2532" s="3">
        <v>0.35200000000000009</v>
      </c>
      <c r="I2532" s="10">
        <f t="shared" si="393"/>
        <v>78.543104036642418</v>
      </c>
      <c r="J2532" s="3">
        <v>0.13444846787661313</v>
      </c>
      <c r="K2532" s="3">
        <v>0</v>
      </c>
      <c r="L2532" s="3">
        <f t="shared" si="394"/>
        <v>0</v>
      </c>
      <c r="N2532" s="11">
        <f t="shared" si="395"/>
        <v>0.21755153212338696</v>
      </c>
      <c r="O2532" s="3">
        <v>0.13444846787661313</v>
      </c>
      <c r="P2532" s="11">
        <f t="shared" si="396"/>
        <v>48.543104036642433</v>
      </c>
      <c r="Q2532" s="12">
        <f t="shared" si="397"/>
        <v>-12.461920197916253</v>
      </c>
      <c r="R2532" s="13">
        <f t="shared" si="398"/>
        <v>-9.128082310210873</v>
      </c>
      <c r="S2532" s="3" t="s">
        <v>31</v>
      </c>
      <c r="T2532" s="3" t="s">
        <v>28</v>
      </c>
      <c r="U2532" s="10">
        <v>0</v>
      </c>
      <c r="V2532" s="3">
        <v>0</v>
      </c>
      <c r="W2532" s="3">
        <f t="shared" si="399"/>
        <v>0</v>
      </c>
      <c r="AA2532" s="3">
        <v>48</v>
      </c>
    </row>
    <row r="2533" spans="1:27" x14ac:dyDescent="0.3">
      <c r="A2533" s="3" t="str">
        <f t="shared" si="390"/>
        <v>South9320029906297</v>
      </c>
      <c r="B2533" s="3" t="str">
        <f t="shared" si="391"/>
        <v>CY9320029906297</v>
      </c>
      <c r="C2533" s="10">
        <v>9320029906297</v>
      </c>
      <c r="D2533" s="10" t="str">
        <f t="shared" si="392"/>
        <v>9320029906</v>
      </c>
      <c r="E2533" s="3" t="s">
        <v>4</v>
      </c>
      <c r="F2533" s="3" t="s">
        <v>65</v>
      </c>
      <c r="H2533" s="3">
        <v>10.481250000000003</v>
      </c>
      <c r="I2533" s="10">
        <f t="shared" si="393"/>
        <v>2367.9171800160279</v>
      </c>
      <c r="J2533" s="3">
        <v>0.13279075072966517</v>
      </c>
      <c r="K2533" s="3">
        <v>0</v>
      </c>
      <c r="L2533" s="3">
        <f t="shared" si="394"/>
        <v>0</v>
      </c>
      <c r="N2533" s="11">
        <f t="shared" si="395"/>
        <v>10.348459249270338</v>
      </c>
      <c r="O2533" s="3">
        <v>0.13279075072966517</v>
      </c>
      <c r="P2533" s="11">
        <f t="shared" si="396"/>
        <v>2337.9171800160279</v>
      </c>
      <c r="Q2533" s="12">
        <f t="shared" si="397"/>
        <v>2337.9171800160279</v>
      </c>
      <c r="R2533" s="13">
        <f t="shared" si="398"/>
        <v>843.98779103561071</v>
      </c>
      <c r="S2533" s="3" t="s">
        <v>31</v>
      </c>
      <c r="T2533" s="3" t="s">
        <v>28</v>
      </c>
      <c r="U2533" s="10">
        <v>9320029900999</v>
      </c>
      <c r="V2533" s="3">
        <v>0.1</v>
      </c>
      <c r="W2533" s="3">
        <f t="shared" si="399"/>
        <v>0</v>
      </c>
      <c r="AA2533" s="3">
        <v>48</v>
      </c>
    </row>
    <row r="2534" spans="1:27" x14ac:dyDescent="0.3">
      <c r="A2534" s="3" t="str">
        <f t="shared" si="390"/>
        <v>South9360029900210</v>
      </c>
      <c r="B2534" s="3" t="str">
        <f t="shared" si="391"/>
        <v>CY9360029900210</v>
      </c>
      <c r="C2534" s="10">
        <v>9360029900210</v>
      </c>
      <c r="D2534" s="10" t="str">
        <f t="shared" si="392"/>
        <v>9360029900</v>
      </c>
      <c r="E2534" s="3" t="s">
        <v>4</v>
      </c>
      <c r="F2534" s="3" t="s">
        <v>65</v>
      </c>
      <c r="H2534" s="3">
        <v>0.22799999999999998</v>
      </c>
      <c r="I2534" s="10">
        <f t="shared" si="393"/>
        <v>52.17052772496465</v>
      </c>
      <c r="J2534" s="3">
        <v>0.13110850701107479</v>
      </c>
      <c r="K2534" s="3">
        <v>0</v>
      </c>
      <c r="L2534" s="3">
        <f t="shared" si="394"/>
        <v>0</v>
      </c>
      <c r="N2534" s="11">
        <f t="shared" si="395"/>
        <v>9.6891492988925187E-2</v>
      </c>
      <c r="O2534" s="3">
        <v>0.13110850701107479</v>
      </c>
      <c r="P2534" s="11">
        <f t="shared" si="396"/>
        <v>22.170527724964646</v>
      </c>
      <c r="Q2534" s="12">
        <f t="shared" si="397"/>
        <v>25.175773703665989</v>
      </c>
      <c r="R2534" s="13">
        <f t="shared" si="398"/>
        <v>28.25136322109687</v>
      </c>
      <c r="S2534" s="3" t="s">
        <v>31</v>
      </c>
      <c r="T2534" s="3" t="s">
        <v>33</v>
      </c>
      <c r="U2534" s="10">
        <v>0</v>
      </c>
      <c r="V2534" s="3">
        <v>0</v>
      </c>
      <c r="W2534" s="3">
        <f t="shared" si="399"/>
        <v>0</v>
      </c>
      <c r="AA2534" s="3">
        <v>48</v>
      </c>
    </row>
    <row r="2535" spans="1:27" x14ac:dyDescent="0.3">
      <c r="A2535" s="3" t="str">
        <f t="shared" si="390"/>
        <v>South9320029904297</v>
      </c>
      <c r="B2535" s="3" t="str">
        <f t="shared" si="391"/>
        <v>CY9320029904297</v>
      </c>
      <c r="C2535" s="10">
        <v>9320029904297</v>
      </c>
      <c r="D2535" s="10" t="str">
        <f t="shared" si="392"/>
        <v>9320029904</v>
      </c>
      <c r="E2535" s="3" t="s">
        <v>4</v>
      </c>
      <c r="F2535" s="3" t="s">
        <v>65</v>
      </c>
      <c r="H2535" s="3">
        <v>13.942500000000003</v>
      </c>
      <c r="I2535" s="10">
        <f t="shared" si="393"/>
        <v>3220.248759259538</v>
      </c>
      <c r="J2535" s="3">
        <v>0.12988903381991457</v>
      </c>
      <c r="K2535" s="3">
        <v>0</v>
      </c>
      <c r="L2535" s="3">
        <f t="shared" si="394"/>
        <v>0</v>
      </c>
      <c r="N2535" s="11">
        <f t="shared" si="395"/>
        <v>13.812610966180088</v>
      </c>
      <c r="O2535" s="3">
        <v>0.12988903381991457</v>
      </c>
      <c r="P2535" s="11">
        <f t="shared" si="396"/>
        <v>3190.248759259538</v>
      </c>
      <c r="Q2535" s="12">
        <f t="shared" si="397"/>
        <v>3190.248759259538</v>
      </c>
      <c r="R2535" s="13">
        <f t="shared" si="398"/>
        <v>1776.2611069023462</v>
      </c>
      <c r="S2535" s="3" t="s">
        <v>31</v>
      </c>
      <c r="T2535" s="3" t="s">
        <v>28</v>
      </c>
      <c r="U2535" s="10">
        <v>9320029900999</v>
      </c>
      <c r="V2535" s="3">
        <v>0.1</v>
      </c>
      <c r="W2535" s="3">
        <f t="shared" si="399"/>
        <v>0</v>
      </c>
      <c r="AA2535" s="3">
        <v>48</v>
      </c>
    </row>
    <row r="2536" spans="1:27" x14ac:dyDescent="0.3">
      <c r="A2536" s="3" t="str">
        <f t="shared" si="390"/>
        <v>South9410039913840</v>
      </c>
      <c r="B2536" s="3" t="str">
        <f t="shared" si="391"/>
        <v>CY9410039913840</v>
      </c>
      <c r="C2536" s="10">
        <v>9410039913840</v>
      </c>
      <c r="D2536" s="10" t="str">
        <f t="shared" si="392"/>
        <v>9410039913</v>
      </c>
      <c r="E2536" s="3" t="s">
        <v>4</v>
      </c>
      <c r="F2536" s="3" t="s">
        <v>65</v>
      </c>
      <c r="H2536" s="3">
        <v>0.88000000000000012</v>
      </c>
      <c r="I2536" s="10">
        <f t="shared" si="393"/>
        <v>204.38804926867905</v>
      </c>
      <c r="J2536" s="3">
        <v>0.12916606472081832</v>
      </c>
      <c r="K2536" s="3">
        <v>0</v>
      </c>
      <c r="L2536" s="3">
        <f t="shared" si="394"/>
        <v>0</v>
      </c>
      <c r="N2536" s="11">
        <f t="shared" si="395"/>
        <v>0.75083393527918174</v>
      </c>
      <c r="O2536" s="3">
        <v>0.12916606472081832</v>
      </c>
      <c r="P2536" s="11">
        <f t="shared" si="396"/>
        <v>174.38804926867905</v>
      </c>
      <c r="Q2536" s="12">
        <f t="shared" si="397"/>
        <v>42.044116980215264</v>
      </c>
      <c r="R2536" s="13">
        <f t="shared" si="398"/>
        <v>12.253991710375868</v>
      </c>
      <c r="S2536" s="3" t="s">
        <v>31</v>
      </c>
      <c r="T2536" s="3" t="s">
        <v>32</v>
      </c>
      <c r="U2536" s="10">
        <v>0</v>
      </c>
      <c r="V2536" s="3">
        <v>0</v>
      </c>
      <c r="W2536" s="3">
        <f t="shared" si="399"/>
        <v>0</v>
      </c>
      <c r="AA2536" s="3">
        <v>48</v>
      </c>
    </row>
    <row r="2537" spans="1:27" x14ac:dyDescent="0.3">
      <c r="A2537" s="3" t="str">
        <f t="shared" si="390"/>
        <v>South9410039913210</v>
      </c>
      <c r="B2537" s="3" t="str">
        <f t="shared" si="391"/>
        <v>CY9410039913210</v>
      </c>
      <c r="C2537" s="10">
        <v>9410039913210</v>
      </c>
      <c r="D2537" s="10" t="str">
        <f t="shared" si="392"/>
        <v>9410039913</v>
      </c>
      <c r="E2537" s="3" t="s">
        <v>4</v>
      </c>
      <c r="F2537" s="3" t="s">
        <v>65</v>
      </c>
      <c r="H2537" s="3">
        <v>0.94100000000000017</v>
      </c>
      <c r="I2537" s="10">
        <f t="shared" si="393"/>
        <v>269.96979201500983</v>
      </c>
      <c r="J2537" s="3">
        <v>0.10456725468911154</v>
      </c>
      <c r="K2537" s="3">
        <v>0</v>
      </c>
      <c r="L2537" s="3">
        <f t="shared" si="394"/>
        <v>0</v>
      </c>
      <c r="N2537" s="11">
        <f t="shared" si="395"/>
        <v>0.83643274531088863</v>
      </c>
      <c r="O2537" s="3">
        <v>0.10456725468911154</v>
      </c>
      <c r="P2537" s="11">
        <f t="shared" si="396"/>
        <v>239.96979201500983</v>
      </c>
      <c r="Q2537" s="12">
        <f t="shared" si="397"/>
        <v>234.56338328745275</v>
      </c>
      <c r="R2537" s="13">
        <f t="shared" si="398"/>
        <v>78.02259951781717</v>
      </c>
      <c r="S2537" s="3" t="s">
        <v>31</v>
      </c>
      <c r="T2537" s="3" t="s">
        <v>32</v>
      </c>
      <c r="U2537" s="10">
        <v>0</v>
      </c>
      <c r="V2537" s="3">
        <v>0</v>
      </c>
      <c r="W2537" s="3">
        <f t="shared" si="399"/>
        <v>0</v>
      </c>
      <c r="AA2537" s="3">
        <v>48</v>
      </c>
    </row>
    <row r="2538" spans="1:27" x14ac:dyDescent="0.3">
      <c r="A2538" s="3" t="str">
        <f t="shared" si="390"/>
        <v>South9330239900210</v>
      </c>
      <c r="B2538" s="3" t="str">
        <f t="shared" si="391"/>
        <v>CY9330239900210</v>
      </c>
      <c r="C2538" s="10">
        <v>9330239900210</v>
      </c>
      <c r="D2538" s="10" t="str">
        <f t="shared" si="392"/>
        <v>9330239900</v>
      </c>
      <c r="E2538" s="3" t="s">
        <v>4</v>
      </c>
      <c r="F2538" s="3" t="s">
        <v>65</v>
      </c>
      <c r="H2538" s="3">
        <v>0.39</v>
      </c>
      <c r="I2538" s="10">
        <f t="shared" si="393"/>
        <v>113.16527861079264</v>
      </c>
      <c r="J2538" s="3">
        <v>0.10338860243732184</v>
      </c>
      <c r="K2538" s="3">
        <v>0</v>
      </c>
      <c r="L2538" s="3">
        <f t="shared" si="394"/>
        <v>0</v>
      </c>
      <c r="N2538" s="11">
        <f t="shared" si="395"/>
        <v>0.28661139756267817</v>
      </c>
      <c r="O2538" s="3">
        <v>0.10338860243732184</v>
      </c>
      <c r="P2538" s="11">
        <f t="shared" si="396"/>
        <v>83.16527861079264</v>
      </c>
      <c r="Q2538" s="12">
        <f t="shared" si="397"/>
        <v>27.239043254449943</v>
      </c>
      <c r="R2538" s="13">
        <f t="shared" si="398"/>
        <v>66.324218176236982</v>
      </c>
      <c r="S2538" s="3" t="s">
        <v>31</v>
      </c>
      <c r="T2538" s="3" t="s">
        <v>35</v>
      </c>
      <c r="U2538" s="10">
        <v>0</v>
      </c>
      <c r="V2538" s="3">
        <v>0</v>
      </c>
      <c r="W2538" s="3">
        <f t="shared" si="399"/>
        <v>0</v>
      </c>
      <c r="AA2538" s="3">
        <v>48</v>
      </c>
    </row>
    <row r="2539" spans="1:27" x14ac:dyDescent="0.3">
      <c r="A2539" s="3" t="str">
        <f t="shared" si="390"/>
        <v>South9420049901310</v>
      </c>
      <c r="B2539" s="3" t="str">
        <f t="shared" si="391"/>
        <v>CY9420049901310</v>
      </c>
      <c r="C2539" s="10">
        <v>9420049901310</v>
      </c>
      <c r="D2539" s="10" t="str">
        <f t="shared" si="392"/>
        <v>9420049901</v>
      </c>
      <c r="E2539" s="3" t="s">
        <v>4</v>
      </c>
      <c r="F2539" s="3" t="s">
        <v>65</v>
      </c>
      <c r="H2539" s="3">
        <v>6.9600000000000009</v>
      </c>
      <c r="I2539" s="10">
        <f t="shared" si="393"/>
        <v>2058.45666780903</v>
      </c>
      <c r="J2539" s="3">
        <v>0.10143521759058526</v>
      </c>
      <c r="K2539" s="3">
        <v>0</v>
      </c>
      <c r="L2539" s="3">
        <f t="shared" si="394"/>
        <v>0</v>
      </c>
      <c r="N2539" s="11">
        <f t="shared" si="395"/>
        <v>6.8585647824094158</v>
      </c>
      <c r="O2539" s="3">
        <v>0.10143521759058526</v>
      </c>
      <c r="P2539" s="11">
        <f t="shared" si="396"/>
        <v>2028.4566678090298</v>
      </c>
      <c r="Q2539" s="12">
        <f t="shared" si="397"/>
        <v>502.01951179306695</v>
      </c>
      <c r="R2539" s="13">
        <f t="shared" si="398"/>
        <v>170.13190436797507</v>
      </c>
      <c r="S2539" s="3" t="s">
        <v>31</v>
      </c>
      <c r="T2539" s="3" t="s">
        <v>28</v>
      </c>
      <c r="U2539" s="10">
        <v>9420049900999</v>
      </c>
      <c r="V2539" s="3">
        <v>0.1</v>
      </c>
      <c r="W2539" s="3">
        <f t="shared" si="399"/>
        <v>0</v>
      </c>
      <c r="AA2539" s="3">
        <v>48</v>
      </c>
    </row>
    <row r="2540" spans="1:27" x14ac:dyDescent="0.3">
      <c r="A2540" s="3" t="str">
        <f t="shared" si="390"/>
        <v>South9410019900840</v>
      </c>
      <c r="B2540" s="3" t="str">
        <f t="shared" si="391"/>
        <v>CY9410019900840</v>
      </c>
      <c r="C2540" s="10">
        <v>9410019900840</v>
      </c>
      <c r="D2540" s="10" t="str">
        <f t="shared" si="392"/>
        <v>9410019900</v>
      </c>
      <c r="E2540" s="3" t="s">
        <v>4</v>
      </c>
      <c r="F2540" s="3" t="s">
        <v>65</v>
      </c>
      <c r="H2540" s="3">
        <v>0.60400000000000009</v>
      </c>
      <c r="I2540" s="10">
        <f t="shared" si="393"/>
        <v>188.10339909512044</v>
      </c>
      <c r="J2540" s="3">
        <v>9.6329997688330185E-2</v>
      </c>
      <c r="K2540" s="3">
        <v>0</v>
      </c>
      <c r="L2540" s="3">
        <f t="shared" si="394"/>
        <v>0</v>
      </c>
      <c r="N2540" s="11">
        <f t="shared" si="395"/>
        <v>0.50767000231166992</v>
      </c>
      <c r="O2540" s="3">
        <v>9.6329997688330185E-2</v>
      </c>
      <c r="P2540" s="11">
        <f t="shared" si="396"/>
        <v>158.10339909512044</v>
      </c>
      <c r="Q2540" s="12">
        <f t="shared" si="397"/>
        <v>32.196523758332773</v>
      </c>
      <c r="R2540" s="13">
        <f t="shared" si="398"/>
        <v>23.050514541033518</v>
      </c>
      <c r="S2540" s="3" t="s">
        <v>31</v>
      </c>
      <c r="T2540" s="3" t="s">
        <v>32</v>
      </c>
      <c r="U2540" s="10">
        <v>0</v>
      </c>
      <c r="V2540" s="3">
        <v>0</v>
      </c>
      <c r="W2540" s="3">
        <f t="shared" si="399"/>
        <v>0</v>
      </c>
      <c r="AA2540" s="3">
        <v>48</v>
      </c>
    </row>
    <row r="2541" spans="1:27" x14ac:dyDescent="0.3">
      <c r="A2541" s="3" t="str">
        <f t="shared" si="390"/>
        <v>South9420059900210</v>
      </c>
      <c r="B2541" s="3" t="str">
        <f t="shared" si="391"/>
        <v>CY9420059900210</v>
      </c>
      <c r="C2541" s="10">
        <v>9420059900210</v>
      </c>
      <c r="D2541" s="10" t="str">
        <f t="shared" si="392"/>
        <v>9420059900</v>
      </c>
      <c r="E2541" s="3" t="s">
        <v>4</v>
      </c>
      <c r="F2541" s="3" t="s">
        <v>65</v>
      </c>
      <c r="H2541" s="3">
        <v>0.57500000000000007</v>
      </c>
      <c r="I2541" s="10">
        <f t="shared" si="393"/>
        <v>205.97601579911355</v>
      </c>
      <c r="J2541" s="3">
        <v>8.3747614658319064E-2</v>
      </c>
      <c r="K2541" s="3">
        <v>0</v>
      </c>
      <c r="L2541" s="3">
        <f t="shared" si="394"/>
        <v>0</v>
      </c>
      <c r="N2541" s="11">
        <f t="shared" si="395"/>
        <v>0.49125238534168103</v>
      </c>
      <c r="O2541" s="3">
        <v>8.3747614658319064E-2</v>
      </c>
      <c r="P2541" s="11">
        <f t="shared" si="396"/>
        <v>175.97601579911358</v>
      </c>
      <c r="Q2541" s="12">
        <f t="shared" si="397"/>
        <v>24.739408446595522</v>
      </c>
      <c r="R2541" s="13">
        <f t="shared" si="398"/>
        <v>2.7646503276073755</v>
      </c>
      <c r="S2541" s="3" t="s">
        <v>31</v>
      </c>
      <c r="T2541" s="3" t="s">
        <v>28</v>
      </c>
      <c r="U2541" s="10">
        <v>0</v>
      </c>
      <c r="V2541" s="3">
        <v>0</v>
      </c>
      <c r="W2541" s="3">
        <f t="shared" si="399"/>
        <v>0</v>
      </c>
      <c r="AA2541" s="3">
        <v>48</v>
      </c>
    </row>
    <row r="2542" spans="1:27" x14ac:dyDescent="0.3">
      <c r="A2542" s="3" t="str">
        <f t="shared" si="390"/>
        <v>South9420019902195</v>
      </c>
      <c r="B2542" s="3" t="str">
        <f t="shared" si="391"/>
        <v>CY9420019902195</v>
      </c>
      <c r="C2542" s="10">
        <v>9420019902195</v>
      </c>
      <c r="D2542" s="10" t="str">
        <f t="shared" si="392"/>
        <v>9420019902</v>
      </c>
      <c r="E2542" s="3" t="s">
        <v>4</v>
      </c>
      <c r="F2542" s="3" t="s">
        <v>65</v>
      </c>
      <c r="H2542" s="3">
        <v>1.7099999999999997E-2</v>
      </c>
      <c r="I2542" s="10">
        <f t="shared" si="393"/>
        <v>6.1627035640680257</v>
      </c>
      <c r="J2542" s="3">
        <v>8.3242686374057323E-2</v>
      </c>
      <c r="K2542" s="3">
        <v>0</v>
      </c>
      <c r="L2542" s="3">
        <f t="shared" si="394"/>
        <v>0</v>
      </c>
      <c r="N2542" s="11">
        <f t="shared" si="395"/>
        <v>-6.6142686374057319E-2</v>
      </c>
      <c r="O2542" s="3">
        <v>8.3242686374057323E-2</v>
      </c>
      <c r="P2542" s="11">
        <f t="shared" si="396"/>
        <v>-23.837296435931972</v>
      </c>
      <c r="Q2542" s="12">
        <f t="shared" si="397"/>
        <v>-28.385984307384117</v>
      </c>
      <c r="R2542" s="13">
        <f t="shared" si="398"/>
        <v>45.855734013861159</v>
      </c>
      <c r="S2542" s="3" t="s">
        <v>31</v>
      </c>
      <c r="T2542" s="3" t="s">
        <v>28</v>
      </c>
      <c r="U2542" s="10">
        <v>0</v>
      </c>
      <c r="V2542" s="3">
        <v>0</v>
      </c>
      <c r="W2542" s="3">
        <f t="shared" si="399"/>
        <v>0</v>
      </c>
      <c r="AA2542" s="3">
        <v>48</v>
      </c>
    </row>
    <row r="2543" spans="1:27" x14ac:dyDescent="0.3">
      <c r="A2543" s="3" t="str">
        <f t="shared" si="390"/>
        <v>South9410029900840</v>
      </c>
      <c r="B2543" s="3" t="str">
        <f t="shared" si="391"/>
        <v>CY9410029900840</v>
      </c>
      <c r="C2543" s="10">
        <v>9410029900840</v>
      </c>
      <c r="D2543" s="10" t="str">
        <f t="shared" si="392"/>
        <v>9410029900</v>
      </c>
      <c r="E2543" s="3" t="s">
        <v>4</v>
      </c>
      <c r="F2543" s="3" t="s">
        <v>65</v>
      </c>
      <c r="H2543" s="3">
        <v>1.1240000000000001</v>
      </c>
      <c r="I2543" s="10">
        <f t="shared" si="393"/>
        <v>569.85892712218674</v>
      </c>
      <c r="J2543" s="3">
        <v>5.9172539720115505E-2</v>
      </c>
      <c r="K2543" s="3">
        <v>0</v>
      </c>
      <c r="L2543" s="3">
        <f t="shared" si="394"/>
        <v>0</v>
      </c>
      <c r="N2543" s="11">
        <f t="shared" si="395"/>
        <v>1.0648274602798846</v>
      </c>
      <c r="O2543" s="3">
        <v>5.9172539720115505E-2</v>
      </c>
      <c r="P2543" s="11">
        <f t="shared" si="396"/>
        <v>539.85892712218674</v>
      </c>
      <c r="Q2543" s="12">
        <f t="shared" si="397"/>
        <v>674.55542311707882</v>
      </c>
      <c r="R2543" s="13">
        <f t="shared" si="398"/>
        <v>5.1087063375705419</v>
      </c>
      <c r="S2543" s="3" t="s">
        <v>31</v>
      </c>
      <c r="T2543" s="3" t="s">
        <v>32</v>
      </c>
      <c r="U2543" s="10">
        <v>0</v>
      </c>
      <c r="V2543" s="3">
        <v>0</v>
      </c>
      <c r="W2543" s="3">
        <f t="shared" si="399"/>
        <v>0</v>
      </c>
      <c r="AA2543" s="3">
        <v>48</v>
      </c>
    </row>
    <row r="2544" spans="1:27" x14ac:dyDescent="0.3">
      <c r="A2544" s="3" t="str">
        <f t="shared" si="390"/>
        <v>South9320039900210</v>
      </c>
      <c r="B2544" s="3" t="str">
        <f t="shared" si="391"/>
        <v>CY9320039900210</v>
      </c>
      <c r="C2544" s="10">
        <v>9320039900210</v>
      </c>
      <c r="D2544" s="10" t="str">
        <f t="shared" si="392"/>
        <v>9320039900</v>
      </c>
      <c r="E2544" s="3" t="s">
        <v>4</v>
      </c>
      <c r="F2544" s="3" t="s">
        <v>65</v>
      </c>
      <c r="H2544" s="3">
        <v>0.93900000000000006</v>
      </c>
      <c r="I2544" s="10">
        <f t="shared" si="393"/>
        <v>562.146987814863</v>
      </c>
      <c r="J2544" s="3">
        <v>5.0111448803631206E-2</v>
      </c>
      <c r="K2544" s="3">
        <v>0</v>
      </c>
      <c r="L2544" s="3">
        <f t="shared" si="394"/>
        <v>0</v>
      </c>
      <c r="N2544" s="11">
        <f t="shared" si="395"/>
        <v>0.88888855119636889</v>
      </c>
      <c r="O2544" s="3">
        <v>5.0111448803631206E-2</v>
      </c>
      <c r="P2544" s="11">
        <f t="shared" si="396"/>
        <v>532.146987814863</v>
      </c>
      <c r="Q2544" s="12">
        <f t="shared" si="397"/>
        <v>54.1738844287337</v>
      </c>
      <c r="R2544" s="13">
        <f t="shared" si="398"/>
        <v>42.006413866655983</v>
      </c>
      <c r="S2544" s="3" t="s">
        <v>31</v>
      </c>
      <c r="T2544" s="3" t="s">
        <v>28</v>
      </c>
      <c r="U2544" s="10">
        <v>0</v>
      </c>
      <c r="V2544" s="3">
        <v>0</v>
      </c>
      <c r="W2544" s="3">
        <f t="shared" si="399"/>
        <v>0</v>
      </c>
      <c r="AA2544" s="3">
        <v>48</v>
      </c>
    </row>
    <row r="2545" spans="1:27" x14ac:dyDescent="0.3">
      <c r="A2545" s="3" t="str">
        <f t="shared" si="390"/>
        <v>South9420049901840</v>
      </c>
      <c r="B2545" s="3" t="str">
        <f t="shared" si="391"/>
        <v>CY9420049901840</v>
      </c>
      <c r="C2545" s="10">
        <v>9420049901840</v>
      </c>
      <c r="D2545" s="10" t="str">
        <f t="shared" si="392"/>
        <v>9420049901</v>
      </c>
      <c r="E2545" s="3" t="s">
        <v>4</v>
      </c>
      <c r="F2545" s="3" t="s">
        <v>65</v>
      </c>
      <c r="H2545" s="3">
        <v>0.32</v>
      </c>
      <c r="I2545" s="10">
        <f t="shared" si="393"/>
        <v>248.25539663611156</v>
      </c>
      <c r="J2545" s="3">
        <v>3.8669854231090546E-2</v>
      </c>
      <c r="K2545" s="3">
        <v>0</v>
      </c>
      <c r="L2545" s="3">
        <f t="shared" si="394"/>
        <v>0</v>
      </c>
      <c r="N2545" s="11">
        <f t="shared" si="395"/>
        <v>0.28133014576890947</v>
      </c>
      <c r="O2545" s="3">
        <v>3.8669854231090546E-2</v>
      </c>
      <c r="P2545" s="11">
        <f t="shared" si="396"/>
        <v>218.25539663611158</v>
      </c>
      <c r="Q2545" s="12">
        <f t="shared" si="397"/>
        <v>105.99583704909436</v>
      </c>
      <c r="R2545" s="13">
        <f t="shared" si="398"/>
        <v>99.630784822686721</v>
      </c>
      <c r="S2545" s="3" t="s">
        <v>31</v>
      </c>
      <c r="T2545" s="3" t="s">
        <v>28</v>
      </c>
      <c r="U2545" s="10">
        <v>0</v>
      </c>
      <c r="V2545" s="3">
        <v>0</v>
      </c>
      <c r="W2545" s="3">
        <f t="shared" si="399"/>
        <v>0</v>
      </c>
      <c r="AA2545" s="3">
        <v>48</v>
      </c>
    </row>
    <row r="2546" spans="1:27" x14ac:dyDescent="0.3">
      <c r="A2546" s="3" t="str">
        <f t="shared" si="390"/>
        <v>South9410029900210</v>
      </c>
      <c r="B2546" s="3" t="str">
        <f t="shared" si="391"/>
        <v>CY9410029900210</v>
      </c>
      <c r="C2546" s="10">
        <v>9410029900210</v>
      </c>
      <c r="D2546" s="10" t="str">
        <f t="shared" si="392"/>
        <v>9410029900</v>
      </c>
      <c r="E2546" s="3" t="s">
        <v>4</v>
      </c>
      <c r="F2546" s="3" t="s">
        <v>65</v>
      </c>
      <c r="H2546" s="3">
        <v>1.4510000000000001</v>
      </c>
      <c r="I2546" s="10">
        <f t="shared" si="393"/>
        <v>1387.5063286701429</v>
      </c>
      <c r="J2546" s="3">
        <v>3.1372829875105063E-2</v>
      </c>
      <c r="K2546" s="3">
        <v>0</v>
      </c>
      <c r="L2546" s="3">
        <f t="shared" si="394"/>
        <v>0</v>
      </c>
      <c r="N2546" s="11">
        <f t="shared" si="395"/>
        <v>1.419627170124895</v>
      </c>
      <c r="O2546" s="3">
        <v>3.1372829875105063E-2</v>
      </c>
      <c r="P2546" s="11">
        <f t="shared" si="396"/>
        <v>1357.5063286701429</v>
      </c>
      <c r="Q2546" s="12">
        <f t="shared" si="397"/>
        <v>2280.6485314662418</v>
      </c>
      <c r="R2546" s="13">
        <f t="shared" si="398"/>
        <v>80.018962520459795</v>
      </c>
      <c r="S2546" s="3" t="s">
        <v>31</v>
      </c>
      <c r="T2546" s="3" t="s">
        <v>32</v>
      </c>
      <c r="U2546" s="10">
        <v>0</v>
      </c>
      <c r="V2546" s="3">
        <v>0</v>
      </c>
      <c r="W2546" s="3">
        <f t="shared" si="399"/>
        <v>0</v>
      </c>
      <c r="AA2546" s="3">
        <v>48</v>
      </c>
    </row>
    <row r="2547" spans="1:27" x14ac:dyDescent="0.3">
      <c r="A2547" s="3" t="str">
        <f t="shared" si="390"/>
        <v>South9310029901840</v>
      </c>
      <c r="B2547" s="3" t="str">
        <f t="shared" si="391"/>
        <v>CY9310029901840</v>
      </c>
      <c r="C2547" s="10">
        <v>9310029901840</v>
      </c>
      <c r="D2547" s="10" t="str">
        <f t="shared" si="392"/>
        <v>9310029901</v>
      </c>
      <c r="E2547" s="3" t="s">
        <v>4</v>
      </c>
      <c r="F2547" s="3" t="s">
        <v>65</v>
      </c>
      <c r="H2547" s="3">
        <v>0.78000000000000014</v>
      </c>
      <c r="I2547" s="10">
        <f t="shared" si="393"/>
        <v>767.03701339719169</v>
      </c>
      <c r="J2547" s="3">
        <v>3.0507002388791993E-2</v>
      </c>
      <c r="K2547" s="3">
        <v>0</v>
      </c>
      <c r="L2547" s="3">
        <f t="shared" si="394"/>
        <v>0</v>
      </c>
      <c r="N2547" s="11">
        <f t="shared" si="395"/>
        <v>0.74949299761120813</v>
      </c>
      <c r="O2547" s="3">
        <v>3.0507002388791993E-2</v>
      </c>
      <c r="P2547" s="11">
        <f t="shared" si="396"/>
        <v>737.03701339719169</v>
      </c>
      <c r="Q2547" s="12">
        <f t="shared" si="397"/>
        <v>531.268959629145</v>
      </c>
      <c r="R2547" s="13">
        <f t="shared" si="398"/>
        <v>419.68149637672144</v>
      </c>
      <c r="S2547" s="3" t="s">
        <v>31</v>
      </c>
      <c r="T2547" s="3" t="s">
        <v>32</v>
      </c>
      <c r="U2547" s="10">
        <v>0</v>
      </c>
      <c r="V2547" s="3">
        <v>0</v>
      </c>
      <c r="W2547" s="3">
        <f t="shared" si="399"/>
        <v>0</v>
      </c>
      <c r="AA2547" s="3">
        <v>48</v>
      </c>
    </row>
    <row r="2548" spans="1:27" x14ac:dyDescent="0.3">
      <c r="A2548" s="3" t="str">
        <f t="shared" si="390"/>
        <v>South9420019900210</v>
      </c>
      <c r="B2548" s="3" t="str">
        <f t="shared" si="391"/>
        <v>CY9420019900210</v>
      </c>
      <c r="C2548" s="10">
        <v>9420019900210</v>
      </c>
      <c r="D2548" s="10" t="str">
        <f t="shared" si="392"/>
        <v>9420019900</v>
      </c>
      <c r="E2548" s="3" t="s">
        <v>4</v>
      </c>
      <c r="F2548" s="3" t="s">
        <v>65</v>
      </c>
      <c r="H2548" s="3">
        <v>0.69800000000000018</v>
      </c>
      <c r="I2548" s="10">
        <f t="shared" si="393"/>
        <v>690.46969486425508</v>
      </c>
      <c r="J2548" s="3">
        <v>3.0327181852806393E-2</v>
      </c>
      <c r="K2548" s="3">
        <v>0</v>
      </c>
      <c r="L2548" s="3">
        <f t="shared" si="394"/>
        <v>0</v>
      </c>
      <c r="N2548" s="11">
        <f t="shared" si="395"/>
        <v>0.66767281814719381</v>
      </c>
      <c r="O2548" s="3">
        <v>3.0327181852806393E-2</v>
      </c>
      <c r="P2548" s="11">
        <f t="shared" si="396"/>
        <v>660.46969486425508</v>
      </c>
      <c r="Q2548" s="12">
        <f t="shared" si="397"/>
        <v>38.386524505088943</v>
      </c>
      <c r="R2548" s="13">
        <f t="shared" si="398"/>
        <v>173.10614674349301</v>
      </c>
      <c r="S2548" s="3" t="s">
        <v>31</v>
      </c>
      <c r="T2548" s="3" t="s">
        <v>28</v>
      </c>
      <c r="U2548" s="10">
        <v>0</v>
      </c>
      <c r="V2548" s="3">
        <v>0</v>
      </c>
      <c r="W2548" s="3">
        <f t="shared" si="399"/>
        <v>0</v>
      </c>
      <c r="AA2548" s="3">
        <v>48</v>
      </c>
    </row>
    <row r="2549" spans="1:27" x14ac:dyDescent="0.3">
      <c r="A2549" s="3" t="str">
        <f t="shared" si="390"/>
        <v>South9310019900210</v>
      </c>
      <c r="B2549" s="3" t="str">
        <f t="shared" si="391"/>
        <v>CY9310019900210</v>
      </c>
      <c r="C2549" s="10">
        <v>9310019900210</v>
      </c>
      <c r="D2549" s="10" t="str">
        <f t="shared" si="392"/>
        <v>9310019900</v>
      </c>
      <c r="E2549" s="3" t="s">
        <v>4</v>
      </c>
      <c r="F2549" s="3" t="s">
        <v>65</v>
      </c>
      <c r="H2549" s="3">
        <v>9.4E-2</v>
      </c>
      <c r="I2549" s="10">
        <f t="shared" si="393"/>
        <v>95.733171786617817</v>
      </c>
      <c r="J2549" s="3">
        <v>2.945687421999944E-2</v>
      </c>
      <c r="K2549" s="3">
        <v>0</v>
      </c>
      <c r="L2549" s="3">
        <f t="shared" si="394"/>
        <v>0</v>
      </c>
      <c r="N2549" s="11">
        <f t="shared" si="395"/>
        <v>6.4543125780000557E-2</v>
      </c>
      <c r="O2549" s="3">
        <v>2.945687421999944E-2</v>
      </c>
      <c r="P2549" s="11">
        <f t="shared" si="396"/>
        <v>65.733171786617817</v>
      </c>
      <c r="Q2549" s="12">
        <f t="shared" si="397"/>
        <v>-13.350471148209358</v>
      </c>
      <c r="R2549" s="13">
        <f t="shared" si="398"/>
        <v>154.09203418238798</v>
      </c>
      <c r="S2549" s="3" t="s">
        <v>31</v>
      </c>
      <c r="T2549" s="3" t="s">
        <v>32</v>
      </c>
      <c r="U2549" s="10">
        <v>0</v>
      </c>
      <c r="V2549" s="3">
        <v>0</v>
      </c>
      <c r="W2549" s="3">
        <f t="shared" si="399"/>
        <v>0</v>
      </c>
      <c r="AA2549" s="3">
        <v>48</v>
      </c>
    </row>
    <row r="2550" spans="1:27" x14ac:dyDescent="0.3">
      <c r="A2550" s="3" t="str">
        <f t="shared" si="390"/>
        <v>South9410019906836</v>
      </c>
      <c r="B2550" s="3" t="str">
        <f t="shared" si="391"/>
        <v>CY9410019906836</v>
      </c>
      <c r="C2550" s="10">
        <v>9410019906836</v>
      </c>
      <c r="D2550" s="10" t="str">
        <f t="shared" si="392"/>
        <v>9410019906</v>
      </c>
      <c r="E2550" s="3" t="s">
        <v>4</v>
      </c>
      <c r="F2550" s="3" t="s">
        <v>65</v>
      </c>
      <c r="H2550" s="3">
        <v>12.0924</v>
      </c>
      <c r="I2550" s="10">
        <f t="shared" si="393"/>
        <v>12317.36587364554</v>
      </c>
      <c r="J2550" s="3">
        <v>2.9452076338512729E-2</v>
      </c>
      <c r="K2550" s="3">
        <v>0</v>
      </c>
      <c r="L2550" s="3">
        <f t="shared" si="394"/>
        <v>0</v>
      </c>
      <c r="N2550" s="11">
        <f t="shared" si="395"/>
        <v>12.062947923661486</v>
      </c>
      <c r="O2550" s="3">
        <v>2.9452076338512729E-2</v>
      </c>
      <c r="P2550" s="11">
        <f t="shared" si="396"/>
        <v>12287.36587364554</v>
      </c>
      <c r="Q2550" s="12">
        <f t="shared" si="397"/>
        <v>12287.36587364554</v>
      </c>
      <c r="R2550" s="13">
        <f t="shared" si="398"/>
        <v>18192.358053302374</v>
      </c>
      <c r="S2550" s="3" t="s">
        <v>31</v>
      </c>
      <c r="T2550" s="3" t="s">
        <v>32</v>
      </c>
      <c r="U2550" s="10">
        <v>0</v>
      </c>
      <c r="V2550" s="3">
        <v>0</v>
      </c>
      <c r="W2550" s="3">
        <f t="shared" si="399"/>
        <v>0</v>
      </c>
      <c r="AA2550" s="3">
        <v>48</v>
      </c>
    </row>
    <row r="2551" spans="1:27" x14ac:dyDescent="0.3">
      <c r="A2551" s="3" t="str">
        <f t="shared" si="390"/>
        <v>South9310039900210</v>
      </c>
      <c r="B2551" s="3" t="str">
        <f t="shared" si="391"/>
        <v>CY9310039900210</v>
      </c>
      <c r="C2551" s="10">
        <v>9310039900210</v>
      </c>
      <c r="D2551" s="10" t="str">
        <f t="shared" si="392"/>
        <v>9310039900</v>
      </c>
      <c r="E2551" s="3" t="s">
        <v>4</v>
      </c>
      <c r="F2551" s="3" t="s">
        <v>65</v>
      </c>
      <c r="H2551" s="3">
        <v>1.3069999999999999</v>
      </c>
      <c r="I2551" s="10">
        <f t="shared" si="393"/>
        <v>1462.1805856012538</v>
      </c>
      <c r="J2551" s="3">
        <v>2.6816113130018554E-2</v>
      </c>
      <c r="K2551" s="3">
        <v>0</v>
      </c>
      <c r="L2551" s="3">
        <f t="shared" si="394"/>
        <v>0</v>
      </c>
      <c r="N2551" s="11">
        <f t="shared" si="395"/>
        <v>1.2801838868699813</v>
      </c>
      <c r="O2551" s="3">
        <v>2.6816113130018554E-2</v>
      </c>
      <c r="P2551" s="11">
        <f t="shared" si="396"/>
        <v>1432.1805856012538</v>
      </c>
      <c r="Q2551" s="12">
        <f t="shared" si="397"/>
        <v>264.73800651819533</v>
      </c>
      <c r="R2551" s="13">
        <f t="shared" si="398"/>
        <v>1630.2267212502918</v>
      </c>
      <c r="S2551" s="3" t="s">
        <v>31</v>
      </c>
      <c r="T2551" s="3" t="s">
        <v>32</v>
      </c>
      <c r="U2551" s="10">
        <v>0</v>
      </c>
      <c r="V2551" s="3">
        <v>0</v>
      </c>
      <c r="W2551" s="3">
        <f t="shared" si="399"/>
        <v>0</v>
      </c>
      <c r="AA2551" s="3">
        <v>48</v>
      </c>
    </row>
    <row r="2552" spans="1:27" x14ac:dyDescent="0.3">
      <c r="A2552" s="3" t="str">
        <f t="shared" si="390"/>
        <v>South9310029900320</v>
      </c>
      <c r="B2552" s="3" t="str">
        <f t="shared" si="391"/>
        <v>CY9310029900320</v>
      </c>
      <c r="C2552" s="10">
        <v>9310029900320</v>
      </c>
      <c r="D2552" s="10" t="str">
        <f t="shared" si="392"/>
        <v>9310029900</v>
      </c>
      <c r="E2552" s="3" t="s">
        <v>4</v>
      </c>
      <c r="F2552" s="3" t="s">
        <v>65</v>
      </c>
      <c r="H2552" s="3">
        <v>1</v>
      </c>
      <c r="I2552" s="10">
        <f t="shared" si="393"/>
        <v>1300.3859767034783</v>
      </c>
      <c r="J2552" s="3">
        <v>2.3070073453153501E-2</v>
      </c>
      <c r="K2552" s="3">
        <v>0</v>
      </c>
      <c r="L2552" s="3">
        <f t="shared" si="394"/>
        <v>0</v>
      </c>
      <c r="N2552" s="11">
        <f t="shared" si="395"/>
        <v>0.97692992654684652</v>
      </c>
      <c r="O2552" s="3">
        <v>2.3070073453153501E-2</v>
      </c>
      <c r="P2552" s="11">
        <f t="shared" si="396"/>
        <v>1270.3859767034783</v>
      </c>
      <c r="Q2552" s="12">
        <f t="shared" si="397"/>
        <v>54.033991735927053</v>
      </c>
      <c r="R2552" s="13">
        <f t="shared" si="398"/>
        <v>63.892856759683227</v>
      </c>
      <c r="S2552" s="3" t="s">
        <v>31</v>
      </c>
      <c r="T2552" s="3" t="s">
        <v>32</v>
      </c>
      <c r="U2552" s="10">
        <v>9310029900999</v>
      </c>
      <c r="V2552" s="3">
        <v>0.1</v>
      </c>
      <c r="W2552" s="3">
        <f t="shared" si="399"/>
        <v>0</v>
      </c>
      <c r="AA2552" s="3">
        <v>48</v>
      </c>
    </row>
    <row r="2553" spans="1:27" x14ac:dyDescent="0.3">
      <c r="A2553" s="3" t="str">
        <f t="shared" si="390"/>
        <v>South9310029900210</v>
      </c>
      <c r="B2553" s="3" t="str">
        <f t="shared" si="391"/>
        <v>CY9310029900210</v>
      </c>
      <c r="C2553" s="10">
        <v>9310029900210</v>
      </c>
      <c r="D2553" s="10" t="str">
        <f t="shared" si="392"/>
        <v>9310029900</v>
      </c>
      <c r="E2553" s="3" t="s">
        <v>4</v>
      </c>
      <c r="F2553" s="3" t="s">
        <v>65</v>
      </c>
      <c r="H2553" s="3">
        <v>0.94500000000000006</v>
      </c>
      <c r="I2553" s="10">
        <f t="shared" si="393"/>
        <v>1315.6172725569843</v>
      </c>
      <c r="J2553" s="3">
        <v>2.1548820155652113E-2</v>
      </c>
      <c r="K2553" s="3">
        <v>0</v>
      </c>
      <c r="L2553" s="3">
        <f t="shared" si="394"/>
        <v>0</v>
      </c>
      <c r="N2553" s="11">
        <f t="shared" si="395"/>
        <v>0.92345117984434799</v>
      </c>
      <c r="O2553" s="3">
        <v>2.1548820155652113E-2</v>
      </c>
      <c r="P2553" s="11">
        <f t="shared" si="396"/>
        <v>1285.6172725569845</v>
      </c>
      <c r="Q2553" s="12">
        <f t="shared" si="397"/>
        <v>404.80566656339505</v>
      </c>
      <c r="R2553" s="13">
        <f t="shared" si="398"/>
        <v>2174.2698828132511</v>
      </c>
      <c r="S2553" s="3" t="s">
        <v>31</v>
      </c>
      <c r="T2553" s="3" t="s">
        <v>32</v>
      </c>
      <c r="U2553" s="10">
        <v>0</v>
      </c>
      <c r="V2553" s="3">
        <v>0</v>
      </c>
      <c r="W2553" s="3">
        <f t="shared" si="399"/>
        <v>0</v>
      </c>
      <c r="AA2553" s="3">
        <v>48</v>
      </c>
    </row>
    <row r="2554" spans="1:27" x14ac:dyDescent="0.3">
      <c r="A2554" s="3" t="str">
        <f t="shared" si="390"/>
        <v>South9420039900210</v>
      </c>
      <c r="B2554" s="3" t="str">
        <f t="shared" si="391"/>
        <v>CY9420039900210</v>
      </c>
      <c r="C2554" s="10">
        <v>9420039900210</v>
      </c>
      <c r="D2554" s="10" t="str">
        <f t="shared" si="392"/>
        <v>9420039900</v>
      </c>
      <c r="E2554" s="3" t="s">
        <v>4</v>
      </c>
      <c r="F2554" s="3" t="s">
        <v>65</v>
      </c>
      <c r="H2554" s="3">
        <v>2.4E-2</v>
      </c>
      <c r="I2554" s="10">
        <f t="shared" si="393"/>
        <v>33.412502160177375</v>
      </c>
      <c r="J2554" s="3">
        <v>2.1548820155652113E-2</v>
      </c>
      <c r="K2554" s="3">
        <v>0</v>
      </c>
      <c r="L2554" s="3">
        <f t="shared" si="394"/>
        <v>0</v>
      </c>
      <c r="N2554" s="11">
        <f t="shared" si="395"/>
        <v>2.451179844347888E-3</v>
      </c>
      <c r="O2554" s="3">
        <v>2.1548820155652113E-2</v>
      </c>
      <c r="P2554" s="11">
        <f t="shared" si="396"/>
        <v>3.4125021601773771</v>
      </c>
      <c r="Q2554" s="12">
        <f t="shared" si="397"/>
        <v>33.477881112527456</v>
      </c>
      <c r="R2554" s="13">
        <f t="shared" si="398"/>
        <v>66.549270263730406</v>
      </c>
      <c r="S2554" s="3" t="s">
        <v>31</v>
      </c>
      <c r="T2554" s="3" t="s">
        <v>28</v>
      </c>
      <c r="U2554" s="10">
        <v>0</v>
      </c>
      <c r="V2554" s="3">
        <v>0</v>
      </c>
      <c r="W2554" s="3">
        <f t="shared" si="399"/>
        <v>0</v>
      </c>
      <c r="AA2554" s="3">
        <v>48</v>
      </c>
    </row>
    <row r="2555" spans="1:27" x14ac:dyDescent="0.3">
      <c r="A2555" s="3" t="str">
        <f t="shared" si="390"/>
        <v>South9420059906836</v>
      </c>
      <c r="B2555" s="3" t="str">
        <f t="shared" si="391"/>
        <v>CY9420059906836</v>
      </c>
      <c r="C2555" s="10">
        <v>9420059906836</v>
      </c>
      <c r="D2555" s="10" t="str">
        <f t="shared" si="392"/>
        <v>9420059906</v>
      </c>
      <c r="E2555" s="3" t="s">
        <v>4</v>
      </c>
      <c r="F2555" s="3" t="s">
        <v>65</v>
      </c>
      <c r="H2555" s="3">
        <v>2.8224000000000009</v>
      </c>
      <c r="I2555" s="10">
        <f t="shared" si="393"/>
        <v>4683.3994643253409</v>
      </c>
      <c r="J2555" s="3">
        <v>1.8079175318050159E-2</v>
      </c>
      <c r="K2555" s="3">
        <v>0</v>
      </c>
      <c r="L2555" s="3">
        <f t="shared" si="394"/>
        <v>0</v>
      </c>
      <c r="N2555" s="11">
        <f t="shared" si="395"/>
        <v>2.8043208246819509</v>
      </c>
      <c r="O2555" s="3">
        <v>1.8079175318050159E-2</v>
      </c>
      <c r="P2555" s="11">
        <f t="shared" si="396"/>
        <v>4653.3994643253409</v>
      </c>
      <c r="Q2555" s="12">
        <f t="shared" si="397"/>
        <v>4653.3994643253409</v>
      </c>
      <c r="R2555" s="13">
        <f t="shared" si="398"/>
        <v>658.56464133934765</v>
      </c>
      <c r="S2555" s="3" t="s">
        <v>31</v>
      </c>
      <c r="T2555" s="3" t="s">
        <v>28</v>
      </c>
      <c r="U2555" s="10">
        <v>0</v>
      </c>
      <c r="V2555" s="3">
        <v>0</v>
      </c>
      <c r="W2555" s="3">
        <f t="shared" si="399"/>
        <v>0</v>
      </c>
      <c r="AA2555" s="3">
        <v>48</v>
      </c>
    </row>
    <row r="2556" spans="1:27" x14ac:dyDescent="0.3">
      <c r="A2556" s="3" t="str">
        <f t="shared" si="390"/>
        <v>South9310029901210</v>
      </c>
      <c r="B2556" s="3" t="str">
        <f t="shared" si="391"/>
        <v>CY9310029901210</v>
      </c>
      <c r="C2556" s="10">
        <v>9310029901210</v>
      </c>
      <c r="D2556" s="10" t="str">
        <f t="shared" si="392"/>
        <v>9310029901</v>
      </c>
      <c r="E2556" s="3" t="s">
        <v>4</v>
      </c>
      <c r="F2556" s="3" t="s">
        <v>65</v>
      </c>
      <c r="H2556" s="3">
        <v>0.69900000000000007</v>
      </c>
      <c r="I2556" s="10">
        <f t="shared" si="393"/>
        <v>1332.3797925582764</v>
      </c>
      <c r="J2556" s="3">
        <v>1.5738755658952101E-2</v>
      </c>
      <c r="K2556" s="3">
        <v>0</v>
      </c>
      <c r="L2556" s="3">
        <f t="shared" si="394"/>
        <v>0</v>
      </c>
      <c r="N2556" s="11">
        <f t="shared" si="395"/>
        <v>0.68326124434104796</v>
      </c>
      <c r="O2556" s="3">
        <v>1.5738755658952101E-2</v>
      </c>
      <c r="P2556" s="11">
        <f t="shared" si="396"/>
        <v>1302.3797925582764</v>
      </c>
      <c r="Q2556" s="12">
        <f t="shared" si="397"/>
        <v>1433.7932228107884</v>
      </c>
      <c r="R2556" s="13">
        <f t="shared" si="398"/>
        <v>839.82980335981051</v>
      </c>
      <c r="S2556" s="3" t="s">
        <v>31</v>
      </c>
      <c r="T2556" s="3" t="s">
        <v>32</v>
      </c>
      <c r="U2556" s="10">
        <v>0</v>
      </c>
      <c r="V2556" s="3">
        <v>0</v>
      </c>
      <c r="W2556" s="3">
        <f t="shared" si="399"/>
        <v>0</v>
      </c>
      <c r="AA2556" s="3">
        <v>48</v>
      </c>
    </row>
    <row r="2557" spans="1:27" x14ac:dyDescent="0.3">
      <c r="A2557" s="3" t="str">
        <f t="shared" si="390"/>
        <v>South9420049901210</v>
      </c>
      <c r="B2557" s="3" t="str">
        <f t="shared" si="391"/>
        <v>CY9420049901210</v>
      </c>
      <c r="C2557" s="10">
        <v>9420049901210</v>
      </c>
      <c r="D2557" s="10" t="str">
        <f t="shared" si="392"/>
        <v>9420049901</v>
      </c>
      <c r="E2557" s="3" t="s">
        <v>4</v>
      </c>
      <c r="F2557" s="3" t="s">
        <v>65</v>
      </c>
      <c r="H2557" s="3">
        <v>0.82500000000000029</v>
      </c>
      <c r="I2557" s="10">
        <f t="shared" si="393"/>
        <v>2212.5445140868856</v>
      </c>
      <c r="J2557" s="3">
        <v>1.118621561845245E-2</v>
      </c>
      <c r="K2557" s="3">
        <v>0</v>
      </c>
      <c r="L2557" s="3">
        <f t="shared" si="394"/>
        <v>0</v>
      </c>
      <c r="N2557" s="11">
        <f t="shared" si="395"/>
        <v>0.81381378438154783</v>
      </c>
      <c r="O2557" s="3">
        <v>1.118621561845245E-2</v>
      </c>
      <c r="P2557" s="11">
        <f t="shared" si="396"/>
        <v>2182.5445140868856</v>
      </c>
      <c r="Q2557" s="12">
        <f t="shared" si="397"/>
        <v>864.12003450014163</v>
      </c>
      <c r="R2557" s="13">
        <f t="shared" si="398"/>
        <v>1134.7604804875584</v>
      </c>
      <c r="S2557" s="3" t="s">
        <v>31</v>
      </c>
      <c r="T2557" s="3" t="s">
        <v>28</v>
      </c>
      <c r="U2557" s="10">
        <v>0</v>
      </c>
      <c r="V2557" s="3">
        <v>0</v>
      </c>
      <c r="W2557" s="3">
        <f t="shared" si="399"/>
        <v>0</v>
      </c>
      <c r="AA2557" s="3">
        <v>48</v>
      </c>
    </row>
    <row r="2558" spans="1:27" x14ac:dyDescent="0.3">
      <c r="A2558" s="3" t="str">
        <f t="shared" si="390"/>
        <v>South9310039900840</v>
      </c>
      <c r="B2558" s="3" t="str">
        <f t="shared" si="391"/>
        <v>CY9310039900840</v>
      </c>
      <c r="C2558" s="10">
        <v>9310039900840</v>
      </c>
      <c r="D2558" s="10" t="str">
        <f t="shared" si="392"/>
        <v>9310039900</v>
      </c>
      <c r="E2558" s="3" t="s">
        <v>4</v>
      </c>
      <c r="F2558" s="3" t="s">
        <v>65</v>
      </c>
      <c r="H2558" s="3">
        <v>0.14800000000000002</v>
      </c>
      <c r="I2558" s="10">
        <f t="shared" si="393"/>
        <v>452.18686566141861</v>
      </c>
      <c r="J2558" s="3">
        <v>9.8189495033332401E-3</v>
      </c>
      <c r="K2558" s="3">
        <v>0</v>
      </c>
      <c r="L2558" s="3">
        <f t="shared" si="394"/>
        <v>0</v>
      </c>
      <c r="N2558" s="11">
        <f t="shared" si="395"/>
        <v>0.13818105049666679</v>
      </c>
      <c r="O2558" s="3">
        <v>9.8189495033332401E-3</v>
      </c>
      <c r="P2558" s="11">
        <f t="shared" si="396"/>
        <v>422.18686566141866</v>
      </c>
      <c r="Q2558" s="12">
        <f t="shared" si="397"/>
        <v>22.241273518326729</v>
      </c>
      <c r="R2558" s="13">
        <f t="shared" si="398"/>
        <v>282.75963411080329</v>
      </c>
      <c r="S2558" s="3" t="s">
        <v>31</v>
      </c>
      <c r="T2558" s="3" t="s">
        <v>32</v>
      </c>
      <c r="U2558" s="10">
        <v>0</v>
      </c>
      <c r="V2558" s="3">
        <v>0</v>
      </c>
      <c r="W2558" s="3">
        <f t="shared" si="399"/>
        <v>0</v>
      </c>
      <c r="AA2558" s="3">
        <v>48</v>
      </c>
    </row>
    <row r="2559" spans="1:27" x14ac:dyDescent="0.3">
      <c r="A2559" s="3" t="str">
        <f t="shared" si="390"/>
        <v>South9100309901210</v>
      </c>
      <c r="B2559" s="3" t="str">
        <f t="shared" si="391"/>
        <v>CY9100309901210</v>
      </c>
      <c r="C2559" s="10">
        <v>9100309901210</v>
      </c>
      <c r="D2559" s="10" t="str">
        <f t="shared" si="392"/>
        <v>9100309901</v>
      </c>
      <c r="E2559" s="3" t="s">
        <v>4</v>
      </c>
      <c r="F2559" s="3" t="s">
        <v>65</v>
      </c>
      <c r="H2559" s="3">
        <v>0</v>
      </c>
      <c r="I2559" s="10">
        <f t="shared" si="393"/>
        <v>0</v>
      </c>
      <c r="J2559" s="3">
        <v>0</v>
      </c>
      <c r="K2559" s="3">
        <v>0</v>
      </c>
      <c r="L2559" s="3">
        <f t="shared" si="394"/>
        <v>0</v>
      </c>
      <c r="N2559" s="11">
        <f t="shared" si="395"/>
        <v>0</v>
      </c>
      <c r="O2559" s="3">
        <v>0</v>
      </c>
      <c r="P2559" s="11">
        <f t="shared" si="396"/>
        <v>9999</v>
      </c>
      <c r="Q2559" s="12">
        <f t="shared" si="397"/>
        <v>9999</v>
      </c>
      <c r="R2559" s="13">
        <f t="shared" si="398"/>
        <v>9999</v>
      </c>
      <c r="S2559" s="3" t="s">
        <v>31</v>
      </c>
      <c r="T2559" s="3" t="s">
        <v>34</v>
      </c>
      <c r="U2559" s="10" t="s">
        <v>72</v>
      </c>
      <c r="V2559" s="3" t="s">
        <v>72</v>
      </c>
      <c r="W2559" s="3">
        <f t="shared" si="399"/>
        <v>0</v>
      </c>
      <c r="AA2559" s="3">
        <v>48</v>
      </c>
    </row>
    <row r="2560" spans="1:27" x14ac:dyDescent="0.3">
      <c r="A2560" s="3" t="str">
        <f t="shared" si="390"/>
        <v>South9320099901840</v>
      </c>
      <c r="B2560" s="3" t="str">
        <f t="shared" si="391"/>
        <v>CY9320099901840</v>
      </c>
      <c r="C2560" s="10">
        <v>9320099901840</v>
      </c>
      <c r="D2560" s="10" t="str">
        <f t="shared" si="392"/>
        <v>9320099901</v>
      </c>
      <c r="E2560" s="3" t="s">
        <v>4</v>
      </c>
      <c r="F2560" s="3" t="s">
        <v>65</v>
      </c>
      <c r="H2560" s="3">
        <v>0</v>
      </c>
      <c r="I2560" s="10">
        <f t="shared" si="393"/>
        <v>0</v>
      </c>
      <c r="J2560" s="3">
        <v>0</v>
      </c>
      <c r="K2560" s="3">
        <v>0</v>
      </c>
      <c r="L2560" s="3">
        <f t="shared" si="394"/>
        <v>0</v>
      </c>
      <c r="N2560" s="11">
        <f t="shared" si="395"/>
        <v>0</v>
      </c>
      <c r="O2560" s="3">
        <v>0</v>
      </c>
      <c r="P2560" s="11">
        <f t="shared" si="396"/>
        <v>9999</v>
      </c>
      <c r="Q2560" s="12">
        <f t="shared" si="397"/>
        <v>9999</v>
      </c>
      <c r="R2560" s="13">
        <f t="shared" si="398"/>
        <v>-29.999999999999996</v>
      </c>
      <c r="S2560" s="3" t="s">
        <v>31</v>
      </c>
      <c r="T2560" s="3" t="s">
        <v>28</v>
      </c>
      <c r="U2560" s="10">
        <v>0</v>
      </c>
      <c r="V2560" s="3">
        <v>0</v>
      </c>
      <c r="W2560" s="3">
        <f t="shared" si="399"/>
        <v>0</v>
      </c>
      <c r="AA2560" s="3">
        <v>48</v>
      </c>
    </row>
    <row r="2561" spans="1:27" x14ac:dyDescent="0.3">
      <c r="A2561" s="3" t="str">
        <f t="shared" si="390"/>
        <v>South9310029900310</v>
      </c>
      <c r="B2561" s="3" t="str">
        <f t="shared" si="391"/>
        <v>CY9310029900310</v>
      </c>
      <c r="C2561" s="10">
        <v>9310029900310</v>
      </c>
      <c r="D2561" s="10" t="str">
        <f t="shared" si="392"/>
        <v>9310029900</v>
      </c>
      <c r="E2561" s="3" t="s">
        <v>4</v>
      </c>
      <c r="F2561" s="3" t="s">
        <v>65</v>
      </c>
      <c r="H2561" s="3">
        <v>1.4300000000000002</v>
      </c>
      <c r="I2561" s="10">
        <f t="shared" si="393"/>
        <v>0</v>
      </c>
      <c r="J2561" s="3">
        <v>0</v>
      </c>
      <c r="K2561" s="3">
        <v>0</v>
      </c>
      <c r="L2561" s="3">
        <f t="shared" si="394"/>
        <v>0</v>
      </c>
      <c r="N2561" s="11">
        <f t="shared" si="395"/>
        <v>1.4300000000000002</v>
      </c>
      <c r="O2561" s="3">
        <v>0</v>
      </c>
      <c r="P2561" s="11">
        <f t="shared" si="396"/>
        <v>9999</v>
      </c>
      <c r="Q2561" s="12">
        <f t="shared" si="397"/>
        <v>197.05332602411065</v>
      </c>
      <c r="R2561" s="13">
        <f t="shared" si="398"/>
        <v>309.77333263500134</v>
      </c>
      <c r="S2561" s="3" t="s">
        <v>31</v>
      </c>
      <c r="T2561" s="3" t="s">
        <v>32</v>
      </c>
      <c r="U2561" s="10">
        <v>9310029900999</v>
      </c>
      <c r="V2561" s="3">
        <v>0.1</v>
      </c>
      <c r="W2561" s="3">
        <f t="shared" si="399"/>
        <v>0</v>
      </c>
      <c r="AA2561" s="3">
        <v>48</v>
      </c>
    </row>
    <row r="2562" spans="1:27" x14ac:dyDescent="0.3">
      <c r="A2562" s="3" t="str">
        <f t="shared" si="390"/>
        <v>South9320099900840</v>
      </c>
      <c r="B2562" s="3" t="str">
        <f t="shared" si="391"/>
        <v>CY9320099900840</v>
      </c>
      <c r="C2562" s="10">
        <v>9320099900840</v>
      </c>
      <c r="D2562" s="10" t="str">
        <f t="shared" si="392"/>
        <v>9320099900</v>
      </c>
      <c r="E2562" s="3" t="s">
        <v>4</v>
      </c>
      <c r="F2562" s="3" t="s">
        <v>65</v>
      </c>
      <c r="H2562" s="3">
        <v>0</v>
      </c>
      <c r="I2562" s="10">
        <f t="shared" si="393"/>
        <v>0</v>
      </c>
      <c r="J2562" s="3">
        <v>0</v>
      </c>
      <c r="K2562" s="3">
        <v>0</v>
      </c>
      <c r="L2562" s="3">
        <f t="shared" si="394"/>
        <v>0</v>
      </c>
      <c r="N2562" s="11">
        <f t="shared" si="395"/>
        <v>0</v>
      </c>
      <c r="O2562" s="3">
        <v>0</v>
      </c>
      <c r="P2562" s="11">
        <f t="shared" si="396"/>
        <v>9999</v>
      </c>
      <c r="Q2562" s="12">
        <f t="shared" si="397"/>
        <v>9999</v>
      </c>
      <c r="R2562" s="13">
        <f t="shared" si="398"/>
        <v>-29.999999999999996</v>
      </c>
      <c r="S2562" s="3" t="s">
        <v>31</v>
      </c>
      <c r="T2562" s="3" t="s">
        <v>28</v>
      </c>
      <c r="U2562" s="10">
        <v>0</v>
      </c>
      <c r="V2562" s="3">
        <v>0</v>
      </c>
      <c r="W2562" s="3">
        <f t="shared" si="399"/>
        <v>0</v>
      </c>
      <c r="AA2562" s="3">
        <v>48</v>
      </c>
    </row>
    <row r="2563" spans="1:27" x14ac:dyDescent="0.3">
      <c r="A2563" s="3" t="str">
        <f t="shared" si="390"/>
        <v>South9101109900210</v>
      </c>
      <c r="B2563" s="3" t="str">
        <f t="shared" si="391"/>
        <v>CY9101109900210</v>
      </c>
      <c r="C2563" s="10">
        <v>9101109900210</v>
      </c>
      <c r="D2563" s="10" t="str">
        <f t="shared" si="392"/>
        <v>9101109900</v>
      </c>
      <c r="E2563" s="3" t="s">
        <v>4</v>
      </c>
      <c r="F2563" s="3" t="s">
        <v>65</v>
      </c>
      <c r="H2563" s="3">
        <v>0</v>
      </c>
      <c r="I2563" s="10">
        <f t="shared" si="393"/>
        <v>0</v>
      </c>
      <c r="J2563" s="3">
        <v>0</v>
      </c>
      <c r="K2563" s="3">
        <v>0</v>
      </c>
      <c r="L2563" s="3">
        <f t="shared" si="394"/>
        <v>0</v>
      </c>
      <c r="N2563" s="11">
        <f t="shared" si="395"/>
        <v>0</v>
      </c>
      <c r="O2563" s="3">
        <v>0</v>
      </c>
      <c r="P2563" s="11">
        <f t="shared" si="396"/>
        <v>9999</v>
      </c>
      <c r="Q2563" s="12">
        <f t="shared" si="397"/>
        <v>9999</v>
      </c>
      <c r="R2563" s="13">
        <f t="shared" si="398"/>
        <v>9999</v>
      </c>
      <c r="S2563" s="3" t="s">
        <v>31</v>
      </c>
      <c r="T2563" s="3" t="s">
        <v>34</v>
      </c>
      <c r="U2563" s="10" t="s">
        <v>72</v>
      </c>
      <c r="V2563" s="3" t="s">
        <v>72</v>
      </c>
      <c r="W2563" s="3">
        <f t="shared" si="399"/>
        <v>0</v>
      </c>
      <c r="AA2563" s="3">
        <v>48</v>
      </c>
    </row>
    <row r="2564" spans="1:27" x14ac:dyDescent="0.3">
      <c r="A2564" s="3" t="str">
        <f t="shared" ref="A2564:A2627" si="400">_xlfn.CONCAT(F2564,C2564)</f>
        <v>South9160509902097</v>
      </c>
      <c r="B2564" s="3" t="str">
        <f t="shared" ref="B2564:B2627" si="401">_xlfn.CONCAT(E2564,C2564)</f>
        <v>CY9160509902097</v>
      </c>
      <c r="C2564" s="10">
        <v>9160509902097</v>
      </c>
      <c r="D2564" s="10" t="str">
        <f t="shared" ref="D2564:D2627" si="402">LEFT(C2564,10)</f>
        <v>9160509902</v>
      </c>
      <c r="E2564" s="3" t="s">
        <v>4</v>
      </c>
      <c r="F2564" s="3" t="s">
        <v>65</v>
      </c>
      <c r="H2564" s="3">
        <v>0</v>
      </c>
      <c r="I2564" s="10">
        <f t="shared" ref="I2564:I2627" si="403">IFERROR(H2564/J2564*30,0)</f>
        <v>0</v>
      </c>
      <c r="J2564" s="3">
        <v>0</v>
      </c>
      <c r="K2564" s="3">
        <v>0</v>
      </c>
      <c r="L2564" s="3">
        <f t="shared" ref="L2564:L2627" si="404">M2564*G2564</f>
        <v>0</v>
      </c>
      <c r="N2564" s="11">
        <f t="shared" ref="N2564:N2627" si="405">H2564-J2564+L2564</f>
        <v>0</v>
      </c>
      <c r="O2564" s="3">
        <v>0</v>
      </c>
      <c r="P2564" s="11">
        <f t="shared" ref="P2564:P2627" si="406">IF(O2564=0,9999,N2564/O2564*30)</f>
        <v>9999</v>
      </c>
      <c r="Q2564" s="12">
        <f t="shared" ref="Q2564:Q2627" si="407">IF(SUMIF($A:$A,$A2564,$O:$O)=0,9999,SUMIF($A:$A,$A2564,$N:$N)*30/SUMIF($A:$A,$A2564,$O:$O))</f>
        <v>9999</v>
      </c>
      <c r="R2564" s="13">
        <f t="shared" ref="R2564:R2627" si="408">IF(SUMIF($C:$C,$C2564,$O:$O)=0,9999,SUMIF($C:$C,$C2564,$N:$N)*30/SUMIF($C:$C,$C2564,$O:$O))</f>
        <v>9999</v>
      </c>
      <c r="S2564" s="3" t="s">
        <v>31</v>
      </c>
      <c r="T2564" s="3" t="s">
        <v>34</v>
      </c>
      <c r="U2564" s="10" t="s">
        <v>72</v>
      </c>
      <c r="V2564" s="3" t="s">
        <v>72</v>
      </c>
      <c r="W2564" s="3">
        <f t="shared" ref="W2564:W2627" si="409">IFERROR(K2564*V2564,0)</f>
        <v>0</v>
      </c>
      <c r="AA2564" s="3">
        <v>48</v>
      </c>
    </row>
    <row r="2565" spans="1:27" x14ac:dyDescent="0.3">
      <c r="A2565" s="3" t="str">
        <f t="shared" si="400"/>
        <v>South9100309900210</v>
      </c>
      <c r="B2565" s="3" t="str">
        <f t="shared" si="401"/>
        <v>CY9100309900210</v>
      </c>
      <c r="C2565" s="10">
        <v>9100309900210</v>
      </c>
      <c r="D2565" s="10" t="str">
        <f t="shared" si="402"/>
        <v>9100309900</v>
      </c>
      <c r="E2565" s="3" t="s">
        <v>4</v>
      </c>
      <c r="F2565" s="3" t="s">
        <v>65</v>
      </c>
      <c r="H2565" s="3">
        <v>0</v>
      </c>
      <c r="I2565" s="10">
        <f t="shared" si="403"/>
        <v>0</v>
      </c>
      <c r="J2565" s="3">
        <v>0</v>
      </c>
      <c r="K2565" s="3">
        <v>0</v>
      </c>
      <c r="L2565" s="3">
        <f t="shared" si="404"/>
        <v>0</v>
      </c>
      <c r="N2565" s="11">
        <f t="shared" si="405"/>
        <v>0</v>
      </c>
      <c r="O2565" s="3">
        <v>0</v>
      </c>
      <c r="P2565" s="11">
        <f t="shared" si="406"/>
        <v>9999</v>
      </c>
      <c r="Q2565" s="12">
        <f t="shared" si="407"/>
        <v>9999</v>
      </c>
      <c r="R2565" s="13">
        <f t="shared" si="408"/>
        <v>9999</v>
      </c>
      <c r="S2565" s="3" t="s">
        <v>31</v>
      </c>
      <c r="T2565" s="3" t="s">
        <v>34</v>
      </c>
      <c r="U2565" s="10" t="s">
        <v>72</v>
      </c>
      <c r="V2565" s="3" t="s">
        <v>72</v>
      </c>
      <c r="W2565" s="3">
        <f t="shared" si="409"/>
        <v>0</v>
      </c>
      <c r="AA2565" s="3">
        <v>48</v>
      </c>
    </row>
    <row r="2566" spans="1:27" x14ac:dyDescent="0.3">
      <c r="A2566" s="3" t="str">
        <f t="shared" si="400"/>
        <v>South9320089900310</v>
      </c>
      <c r="B2566" s="3" t="str">
        <f t="shared" si="401"/>
        <v>CY9320089900310</v>
      </c>
      <c r="C2566" s="10">
        <v>9320089900310</v>
      </c>
      <c r="D2566" s="10" t="str">
        <f t="shared" si="402"/>
        <v>9320089900</v>
      </c>
      <c r="E2566" s="3" t="s">
        <v>4</v>
      </c>
      <c r="F2566" s="3" t="s">
        <v>65</v>
      </c>
      <c r="H2566" s="3">
        <v>0</v>
      </c>
      <c r="I2566" s="10">
        <f t="shared" si="403"/>
        <v>0</v>
      </c>
      <c r="J2566" s="3">
        <v>0</v>
      </c>
      <c r="K2566" s="3">
        <v>0</v>
      </c>
      <c r="L2566" s="3">
        <f t="shared" si="404"/>
        <v>0</v>
      </c>
      <c r="N2566" s="11">
        <f t="shared" si="405"/>
        <v>0</v>
      </c>
      <c r="O2566" s="3">
        <v>0</v>
      </c>
      <c r="P2566" s="11">
        <f t="shared" si="406"/>
        <v>9999</v>
      </c>
      <c r="Q2566" s="12">
        <f t="shared" si="407"/>
        <v>9999</v>
      </c>
      <c r="R2566" s="13">
        <f t="shared" si="408"/>
        <v>-29.999999999999996</v>
      </c>
      <c r="S2566" s="3" t="s">
        <v>31</v>
      </c>
      <c r="T2566" s="3" t="s">
        <v>28</v>
      </c>
      <c r="U2566" s="10">
        <v>9320089900999</v>
      </c>
      <c r="V2566" s="3">
        <v>0.1</v>
      </c>
      <c r="W2566" s="3">
        <f t="shared" si="409"/>
        <v>0</v>
      </c>
      <c r="AA2566" s="3">
        <v>48</v>
      </c>
    </row>
    <row r="2567" spans="1:27" x14ac:dyDescent="0.3">
      <c r="A2567" s="3" t="str">
        <f t="shared" si="400"/>
        <v>South9320089900840</v>
      </c>
      <c r="B2567" s="3" t="str">
        <f t="shared" si="401"/>
        <v>CY9320089900840</v>
      </c>
      <c r="C2567" s="10">
        <v>9320089900840</v>
      </c>
      <c r="D2567" s="10" t="str">
        <f t="shared" si="402"/>
        <v>9320089900</v>
      </c>
      <c r="E2567" s="3" t="s">
        <v>4</v>
      </c>
      <c r="F2567" s="3" t="s">
        <v>65</v>
      </c>
      <c r="H2567" s="3">
        <v>0</v>
      </c>
      <c r="I2567" s="10">
        <f t="shared" si="403"/>
        <v>0</v>
      </c>
      <c r="J2567" s="3">
        <v>0</v>
      </c>
      <c r="K2567" s="3">
        <v>0</v>
      </c>
      <c r="L2567" s="3">
        <f t="shared" si="404"/>
        <v>0</v>
      </c>
      <c r="N2567" s="11">
        <f t="shared" si="405"/>
        <v>0</v>
      </c>
      <c r="O2567" s="3">
        <v>0</v>
      </c>
      <c r="P2567" s="11">
        <f t="shared" si="406"/>
        <v>9999</v>
      </c>
      <c r="Q2567" s="12">
        <f t="shared" si="407"/>
        <v>9999</v>
      </c>
      <c r="R2567" s="13">
        <f t="shared" si="408"/>
        <v>-29.999999999999996</v>
      </c>
      <c r="S2567" s="3" t="s">
        <v>31</v>
      </c>
      <c r="T2567" s="3" t="s">
        <v>28</v>
      </c>
      <c r="U2567" s="10">
        <v>0</v>
      </c>
      <c r="V2567" s="3">
        <v>0</v>
      </c>
      <c r="W2567" s="3">
        <f t="shared" si="409"/>
        <v>0</v>
      </c>
      <c r="AA2567" s="3">
        <v>48</v>
      </c>
    </row>
    <row r="2568" spans="1:27" x14ac:dyDescent="0.3">
      <c r="A2568" s="3" t="str">
        <f t="shared" si="400"/>
        <v>South9420139900310</v>
      </c>
      <c r="B2568" s="3" t="str">
        <f t="shared" si="401"/>
        <v>CY9420139900310</v>
      </c>
      <c r="C2568" s="10">
        <v>9420139900310</v>
      </c>
      <c r="D2568" s="10" t="str">
        <f t="shared" si="402"/>
        <v>9420139900</v>
      </c>
      <c r="E2568" s="3" t="s">
        <v>4</v>
      </c>
      <c r="F2568" s="3" t="s">
        <v>65</v>
      </c>
      <c r="H2568" s="3">
        <v>0</v>
      </c>
      <c r="I2568" s="10">
        <f t="shared" si="403"/>
        <v>0</v>
      </c>
      <c r="J2568" s="3">
        <v>0</v>
      </c>
      <c r="K2568" s="3">
        <v>0</v>
      </c>
      <c r="L2568" s="3">
        <f t="shared" si="404"/>
        <v>0</v>
      </c>
      <c r="N2568" s="11">
        <f t="shared" si="405"/>
        <v>0</v>
      </c>
      <c r="O2568" s="3">
        <v>0</v>
      </c>
      <c r="P2568" s="11">
        <f t="shared" si="406"/>
        <v>9999</v>
      </c>
      <c r="Q2568" s="12">
        <f t="shared" si="407"/>
        <v>9999</v>
      </c>
      <c r="R2568" s="13">
        <f t="shared" si="408"/>
        <v>-29.999999999999996</v>
      </c>
      <c r="S2568" s="3" t="s">
        <v>31</v>
      </c>
      <c r="T2568" s="3" t="s">
        <v>28</v>
      </c>
      <c r="U2568" s="10">
        <v>9420139900999</v>
      </c>
      <c r="V2568" s="3">
        <v>0.1</v>
      </c>
      <c r="W2568" s="3">
        <f t="shared" si="409"/>
        <v>0</v>
      </c>
      <c r="AA2568" s="3">
        <v>48</v>
      </c>
    </row>
    <row r="2569" spans="1:27" x14ac:dyDescent="0.3">
      <c r="A2569" s="3" t="str">
        <f t="shared" si="400"/>
        <v>South9420139900840</v>
      </c>
      <c r="B2569" s="3" t="str">
        <f t="shared" si="401"/>
        <v>CY9420139900840</v>
      </c>
      <c r="C2569" s="10">
        <v>9420139900840</v>
      </c>
      <c r="D2569" s="10" t="str">
        <f t="shared" si="402"/>
        <v>9420139900</v>
      </c>
      <c r="E2569" s="3" t="s">
        <v>4</v>
      </c>
      <c r="F2569" s="3" t="s">
        <v>65</v>
      </c>
      <c r="H2569" s="3">
        <v>0</v>
      </c>
      <c r="I2569" s="10">
        <f t="shared" si="403"/>
        <v>0</v>
      </c>
      <c r="J2569" s="3">
        <v>0</v>
      </c>
      <c r="K2569" s="3">
        <v>0</v>
      </c>
      <c r="L2569" s="3">
        <f t="shared" si="404"/>
        <v>0</v>
      </c>
      <c r="N2569" s="11">
        <f t="shared" si="405"/>
        <v>0</v>
      </c>
      <c r="O2569" s="3">
        <v>0</v>
      </c>
      <c r="P2569" s="11">
        <f t="shared" si="406"/>
        <v>9999</v>
      </c>
      <c r="Q2569" s="12">
        <f t="shared" si="407"/>
        <v>9999</v>
      </c>
      <c r="R2569" s="13">
        <f t="shared" si="408"/>
        <v>-30.000000000000004</v>
      </c>
      <c r="S2569" s="3" t="s">
        <v>31</v>
      </c>
      <c r="T2569" s="3" t="s">
        <v>28</v>
      </c>
      <c r="U2569" s="10">
        <v>0</v>
      </c>
      <c r="V2569" s="3">
        <v>0</v>
      </c>
      <c r="W2569" s="3">
        <f t="shared" si="409"/>
        <v>0</v>
      </c>
      <c r="AA2569" s="3">
        <v>48</v>
      </c>
    </row>
    <row r="2570" spans="1:27" x14ac:dyDescent="0.3">
      <c r="A2570" s="3" t="str">
        <f t="shared" si="400"/>
        <v>South9310029902839</v>
      </c>
      <c r="B2570" s="3" t="str">
        <f t="shared" si="401"/>
        <v>CY9310029902839</v>
      </c>
      <c r="C2570" s="10">
        <v>9310029902839</v>
      </c>
      <c r="D2570" s="10" t="str">
        <f t="shared" si="402"/>
        <v>9310029902</v>
      </c>
      <c r="E2570" s="3" t="s">
        <v>4</v>
      </c>
      <c r="F2570" s="3" t="s">
        <v>65</v>
      </c>
      <c r="H2570" s="3">
        <v>0.5343</v>
      </c>
      <c r="I2570" s="10">
        <f t="shared" si="403"/>
        <v>0</v>
      </c>
      <c r="J2570" s="3">
        <v>0</v>
      </c>
      <c r="K2570" s="3">
        <v>0</v>
      </c>
      <c r="L2570" s="3">
        <f t="shared" si="404"/>
        <v>0</v>
      </c>
      <c r="N2570" s="11">
        <f t="shared" si="405"/>
        <v>0.5343</v>
      </c>
      <c r="O2570" s="3">
        <v>0</v>
      </c>
      <c r="P2570" s="11">
        <f t="shared" si="406"/>
        <v>9999</v>
      </c>
      <c r="Q2570" s="12">
        <f t="shared" si="407"/>
        <v>815.28972732222644</v>
      </c>
      <c r="R2570" s="13">
        <f t="shared" si="408"/>
        <v>778.76793913046367</v>
      </c>
      <c r="S2570" s="3" t="s">
        <v>31</v>
      </c>
      <c r="T2570" s="3" t="s">
        <v>32</v>
      </c>
      <c r="U2570" s="10">
        <v>0</v>
      </c>
      <c r="V2570" s="3">
        <v>0</v>
      </c>
      <c r="W2570" s="3">
        <f t="shared" si="409"/>
        <v>0</v>
      </c>
      <c r="AA2570" s="3">
        <v>48</v>
      </c>
    </row>
    <row r="2571" spans="1:27" x14ac:dyDescent="0.3">
      <c r="A2571" s="3" t="str">
        <f t="shared" si="400"/>
        <v>South9160509900210</v>
      </c>
      <c r="B2571" s="3" t="str">
        <f t="shared" si="401"/>
        <v>CY9160509900210</v>
      </c>
      <c r="C2571" s="10">
        <v>9160509900210</v>
      </c>
      <c r="D2571" s="10" t="str">
        <f t="shared" si="402"/>
        <v>9160509900</v>
      </c>
      <c r="E2571" s="3" t="s">
        <v>4</v>
      </c>
      <c r="F2571" s="3" t="s">
        <v>65</v>
      </c>
      <c r="H2571" s="3">
        <v>0</v>
      </c>
      <c r="I2571" s="10">
        <f t="shared" si="403"/>
        <v>0</v>
      </c>
      <c r="J2571" s="3">
        <v>0</v>
      </c>
      <c r="K2571" s="3">
        <v>0</v>
      </c>
      <c r="L2571" s="3">
        <f t="shared" si="404"/>
        <v>0</v>
      </c>
      <c r="N2571" s="11">
        <f t="shared" si="405"/>
        <v>0</v>
      </c>
      <c r="O2571" s="3">
        <v>0</v>
      </c>
      <c r="P2571" s="11">
        <f t="shared" si="406"/>
        <v>9999</v>
      </c>
      <c r="Q2571" s="12">
        <f t="shared" si="407"/>
        <v>9999</v>
      </c>
      <c r="R2571" s="13">
        <f t="shared" si="408"/>
        <v>9999</v>
      </c>
      <c r="S2571" s="3" t="s">
        <v>31</v>
      </c>
      <c r="T2571" s="3" t="s">
        <v>34</v>
      </c>
      <c r="U2571" s="10" t="s">
        <v>72</v>
      </c>
      <c r="V2571" s="3" t="s">
        <v>72</v>
      </c>
      <c r="W2571" s="3">
        <f t="shared" si="409"/>
        <v>0</v>
      </c>
      <c r="AA2571" s="3">
        <v>48</v>
      </c>
    </row>
    <row r="2572" spans="1:27" x14ac:dyDescent="0.3">
      <c r="A2572" s="3" t="str">
        <f t="shared" si="400"/>
        <v>South9160709902097</v>
      </c>
      <c r="B2572" s="3" t="str">
        <f t="shared" si="401"/>
        <v>CY9160709902097</v>
      </c>
      <c r="C2572" s="10">
        <v>9160709902097</v>
      </c>
      <c r="D2572" s="10" t="str">
        <f t="shared" si="402"/>
        <v>9160709902</v>
      </c>
      <c r="E2572" s="3" t="s">
        <v>4</v>
      </c>
      <c r="F2572" s="3" t="s">
        <v>65</v>
      </c>
      <c r="H2572" s="3">
        <v>0</v>
      </c>
      <c r="I2572" s="10">
        <f t="shared" si="403"/>
        <v>0</v>
      </c>
      <c r="J2572" s="3">
        <v>0</v>
      </c>
      <c r="K2572" s="3">
        <v>0</v>
      </c>
      <c r="L2572" s="3">
        <f t="shared" si="404"/>
        <v>0</v>
      </c>
      <c r="N2572" s="11">
        <f t="shared" si="405"/>
        <v>0</v>
      </c>
      <c r="O2572" s="3">
        <v>0</v>
      </c>
      <c r="P2572" s="11">
        <f t="shared" si="406"/>
        <v>9999</v>
      </c>
      <c r="Q2572" s="12">
        <f t="shared" si="407"/>
        <v>9999</v>
      </c>
      <c r="R2572" s="13">
        <f t="shared" si="408"/>
        <v>9999</v>
      </c>
      <c r="S2572" s="3" t="s">
        <v>31</v>
      </c>
      <c r="T2572" s="3" t="s">
        <v>34</v>
      </c>
      <c r="U2572" s="10" t="s">
        <v>72</v>
      </c>
      <c r="V2572" s="3" t="s">
        <v>72</v>
      </c>
      <c r="W2572" s="3">
        <f t="shared" si="409"/>
        <v>0</v>
      </c>
      <c r="AA2572" s="3">
        <v>48</v>
      </c>
    </row>
    <row r="2573" spans="1:27" x14ac:dyDescent="0.3">
      <c r="A2573" s="3" t="str">
        <f t="shared" si="400"/>
        <v>South9100509901210</v>
      </c>
      <c r="B2573" s="3" t="str">
        <f t="shared" si="401"/>
        <v>CY9100509901210</v>
      </c>
      <c r="C2573" s="10">
        <v>9100509901210</v>
      </c>
      <c r="D2573" s="10" t="str">
        <f t="shared" si="402"/>
        <v>9100509901</v>
      </c>
      <c r="E2573" s="3" t="s">
        <v>4</v>
      </c>
      <c r="F2573" s="3" t="s">
        <v>65</v>
      </c>
      <c r="H2573" s="3">
        <v>0</v>
      </c>
      <c r="I2573" s="10">
        <f t="shared" si="403"/>
        <v>0</v>
      </c>
      <c r="J2573" s="3">
        <v>0</v>
      </c>
      <c r="K2573" s="3">
        <v>0</v>
      </c>
      <c r="L2573" s="3">
        <f t="shared" si="404"/>
        <v>0</v>
      </c>
      <c r="N2573" s="11">
        <f t="shared" si="405"/>
        <v>0</v>
      </c>
      <c r="O2573" s="3">
        <v>0</v>
      </c>
      <c r="P2573" s="11">
        <f t="shared" si="406"/>
        <v>9999</v>
      </c>
      <c r="Q2573" s="12">
        <f t="shared" si="407"/>
        <v>9999</v>
      </c>
      <c r="R2573" s="13">
        <f t="shared" si="408"/>
        <v>9999</v>
      </c>
      <c r="S2573" s="3" t="s">
        <v>31</v>
      </c>
      <c r="T2573" s="3" t="s">
        <v>34</v>
      </c>
      <c r="U2573" s="10" t="s">
        <v>72</v>
      </c>
      <c r="V2573" s="3" t="s">
        <v>72</v>
      </c>
      <c r="W2573" s="3">
        <f t="shared" si="409"/>
        <v>0</v>
      </c>
      <c r="AA2573" s="3">
        <v>48</v>
      </c>
    </row>
    <row r="2574" spans="1:27" x14ac:dyDescent="0.3">
      <c r="A2574" s="3" t="str">
        <f t="shared" si="400"/>
        <v>South9160709901210</v>
      </c>
      <c r="B2574" s="3" t="str">
        <f t="shared" si="401"/>
        <v>CY9160709901210</v>
      </c>
      <c r="C2574" s="10">
        <v>9160709901210</v>
      </c>
      <c r="D2574" s="10" t="str">
        <f t="shared" si="402"/>
        <v>9160709901</v>
      </c>
      <c r="E2574" s="3" t="s">
        <v>4</v>
      </c>
      <c r="F2574" s="3" t="s">
        <v>65</v>
      </c>
      <c r="H2574" s="3">
        <v>0</v>
      </c>
      <c r="I2574" s="10">
        <f t="shared" si="403"/>
        <v>0</v>
      </c>
      <c r="J2574" s="3">
        <v>0</v>
      </c>
      <c r="K2574" s="3">
        <v>0</v>
      </c>
      <c r="L2574" s="3">
        <f t="shared" si="404"/>
        <v>0</v>
      </c>
      <c r="N2574" s="11">
        <f t="shared" si="405"/>
        <v>0</v>
      </c>
      <c r="O2574" s="3">
        <v>0</v>
      </c>
      <c r="P2574" s="11">
        <f t="shared" si="406"/>
        <v>9999</v>
      </c>
      <c r="Q2574" s="12">
        <f t="shared" si="407"/>
        <v>9999</v>
      </c>
      <c r="R2574" s="13">
        <f t="shared" si="408"/>
        <v>9999</v>
      </c>
      <c r="S2574" s="3" t="s">
        <v>31</v>
      </c>
      <c r="T2574" s="3" t="s">
        <v>34</v>
      </c>
      <c r="U2574" s="10">
        <v>0</v>
      </c>
      <c r="V2574" s="3">
        <v>0</v>
      </c>
      <c r="W2574" s="3">
        <f t="shared" si="409"/>
        <v>0</v>
      </c>
      <c r="AA2574" s="3">
        <v>48</v>
      </c>
    </row>
    <row r="2575" spans="1:27" x14ac:dyDescent="0.3">
      <c r="A2575" s="3" t="str">
        <f t="shared" si="400"/>
        <v>South9181909900210</v>
      </c>
      <c r="B2575" s="3" t="str">
        <f t="shared" si="401"/>
        <v>CY9181909900210</v>
      </c>
      <c r="C2575" s="10">
        <v>9181909900210</v>
      </c>
      <c r="D2575" s="10" t="str">
        <f t="shared" si="402"/>
        <v>9181909900</v>
      </c>
      <c r="E2575" s="3" t="s">
        <v>4</v>
      </c>
      <c r="F2575" s="3" t="s">
        <v>65</v>
      </c>
      <c r="H2575" s="3">
        <v>0</v>
      </c>
      <c r="I2575" s="10">
        <f t="shared" si="403"/>
        <v>0</v>
      </c>
      <c r="J2575" s="3">
        <v>0</v>
      </c>
      <c r="K2575" s="3">
        <v>0</v>
      </c>
      <c r="L2575" s="3">
        <f t="shared" si="404"/>
        <v>0</v>
      </c>
      <c r="N2575" s="11">
        <f t="shared" si="405"/>
        <v>0</v>
      </c>
      <c r="O2575" s="3">
        <v>0</v>
      </c>
      <c r="P2575" s="11">
        <f t="shared" si="406"/>
        <v>9999</v>
      </c>
      <c r="Q2575" s="12">
        <f t="shared" si="407"/>
        <v>9999</v>
      </c>
      <c r="R2575" s="13">
        <f t="shared" si="408"/>
        <v>9999</v>
      </c>
      <c r="S2575" s="3" t="s">
        <v>31</v>
      </c>
      <c r="T2575" s="3" t="s">
        <v>34</v>
      </c>
      <c r="U2575" s="10" t="s">
        <v>72</v>
      </c>
      <c r="V2575" s="3" t="s">
        <v>72</v>
      </c>
      <c r="W2575" s="3">
        <f t="shared" si="409"/>
        <v>0</v>
      </c>
      <c r="AA2575" s="3">
        <v>48</v>
      </c>
    </row>
    <row r="2576" spans="1:27" x14ac:dyDescent="0.3">
      <c r="A2576" s="3" t="str">
        <f t="shared" si="400"/>
        <v>South9310029902297</v>
      </c>
      <c r="B2576" s="3" t="str">
        <f t="shared" si="401"/>
        <v>CY9310029902297</v>
      </c>
      <c r="C2576" s="10">
        <v>9310029902297</v>
      </c>
      <c r="D2576" s="10" t="str">
        <f t="shared" si="402"/>
        <v>9310029902</v>
      </c>
      <c r="E2576" s="3" t="s">
        <v>4</v>
      </c>
      <c r="F2576" s="3" t="s">
        <v>65</v>
      </c>
      <c r="H2576" s="3">
        <v>1.4235</v>
      </c>
      <c r="I2576" s="10">
        <f t="shared" si="403"/>
        <v>0</v>
      </c>
      <c r="J2576" s="3">
        <v>0</v>
      </c>
      <c r="K2576" s="3">
        <v>0</v>
      </c>
      <c r="L2576" s="3">
        <f t="shared" si="404"/>
        <v>0</v>
      </c>
      <c r="N2576" s="11">
        <f t="shared" si="405"/>
        <v>1.4235</v>
      </c>
      <c r="O2576" s="3">
        <v>0</v>
      </c>
      <c r="P2576" s="11">
        <f t="shared" si="406"/>
        <v>9999</v>
      </c>
      <c r="Q2576" s="12">
        <f t="shared" si="407"/>
        <v>1546.4537972644496</v>
      </c>
      <c r="R2576" s="13">
        <f t="shared" si="408"/>
        <v>963.61422022948886</v>
      </c>
      <c r="S2576" s="3" t="s">
        <v>31</v>
      </c>
      <c r="T2576" s="3" t="s">
        <v>32</v>
      </c>
      <c r="U2576" s="10">
        <v>9310029900999</v>
      </c>
      <c r="V2576" s="3">
        <v>0.1</v>
      </c>
      <c r="W2576" s="3">
        <f t="shared" si="409"/>
        <v>0</v>
      </c>
      <c r="AA2576" s="3">
        <v>48</v>
      </c>
    </row>
    <row r="2577" spans="1:27" x14ac:dyDescent="0.3">
      <c r="A2577" s="3" t="str">
        <f t="shared" si="400"/>
        <v>South9181709900210</v>
      </c>
      <c r="B2577" s="3" t="str">
        <f t="shared" si="401"/>
        <v>CY9181709900210</v>
      </c>
      <c r="C2577" s="10">
        <v>9181709900210</v>
      </c>
      <c r="D2577" s="10" t="str">
        <f t="shared" si="402"/>
        <v>9181709900</v>
      </c>
      <c r="E2577" s="3" t="s">
        <v>4</v>
      </c>
      <c r="F2577" s="3" t="s">
        <v>65</v>
      </c>
      <c r="H2577" s="3">
        <v>0</v>
      </c>
      <c r="I2577" s="10">
        <f t="shared" si="403"/>
        <v>0</v>
      </c>
      <c r="J2577" s="3">
        <v>0</v>
      </c>
      <c r="K2577" s="3">
        <v>0</v>
      </c>
      <c r="L2577" s="3">
        <f t="shared" si="404"/>
        <v>0</v>
      </c>
      <c r="N2577" s="11">
        <f t="shared" si="405"/>
        <v>0</v>
      </c>
      <c r="O2577" s="3">
        <v>0</v>
      </c>
      <c r="P2577" s="11">
        <f t="shared" si="406"/>
        <v>9999</v>
      </c>
      <c r="Q2577" s="12">
        <f t="shared" si="407"/>
        <v>9999</v>
      </c>
      <c r="R2577" s="13">
        <f t="shared" si="408"/>
        <v>9999</v>
      </c>
      <c r="S2577" s="3" t="s">
        <v>31</v>
      </c>
      <c r="T2577" s="3" t="s">
        <v>34</v>
      </c>
      <c r="U2577" s="10" t="s">
        <v>72</v>
      </c>
      <c r="V2577" s="3" t="s">
        <v>72</v>
      </c>
      <c r="W2577" s="3">
        <f t="shared" si="409"/>
        <v>0</v>
      </c>
      <c r="AA2577" s="3">
        <v>48</v>
      </c>
    </row>
    <row r="2578" spans="1:27" x14ac:dyDescent="0.3">
      <c r="A2578" s="3" t="str">
        <f t="shared" si="400"/>
        <v>South9310029902219</v>
      </c>
      <c r="B2578" s="3" t="str">
        <f t="shared" si="401"/>
        <v>CY9310029902219</v>
      </c>
      <c r="C2578" s="10">
        <v>9310029902219</v>
      </c>
      <c r="D2578" s="10" t="str">
        <f t="shared" si="402"/>
        <v>9310029902</v>
      </c>
      <c r="E2578" s="3" t="s">
        <v>4</v>
      </c>
      <c r="F2578" s="3" t="s">
        <v>65</v>
      </c>
      <c r="H2578" s="3">
        <v>1.8525000000000003</v>
      </c>
      <c r="I2578" s="10">
        <f t="shared" si="403"/>
        <v>0</v>
      </c>
      <c r="J2578" s="3">
        <v>0</v>
      </c>
      <c r="K2578" s="3">
        <v>0</v>
      </c>
      <c r="L2578" s="3">
        <f t="shared" si="404"/>
        <v>0</v>
      </c>
      <c r="N2578" s="11">
        <f t="shared" si="405"/>
        <v>1.8525000000000003</v>
      </c>
      <c r="O2578" s="3">
        <v>0</v>
      </c>
      <c r="P2578" s="11">
        <f t="shared" si="406"/>
        <v>9999</v>
      </c>
      <c r="Q2578" s="12">
        <f t="shared" si="407"/>
        <v>1452.5768021145241</v>
      </c>
      <c r="R2578" s="13">
        <f t="shared" si="408"/>
        <v>448.67095814884334</v>
      </c>
      <c r="S2578" s="3" t="s">
        <v>31</v>
      </c>
      <c r="T2578" s="3" t="s">
        <v>32</v>
      </c>
      <c r="U2578" s="10">
        <v>9310029900999</v>
      </c>
      <c r="V2578" s="3">
        <v>0.1</v>
      </c>
      <c r="W2578" s="3">
        <f t="shared" si="409"/>
        <v>0</v>
      </c>
      <c r="AA2578" s="3">
        <v>48</v>
      </c>
    </row>
    <row r="2579" spans="1:27" x14ac:dyDescent="0.3">
      <c r="A2579" s="3" t="str">
        <f t="shared" si="400"/>
        <v>South9160309900210</v>
      </c>
      <c r="B2579" s="3" t="str">
        <f t="shared" si="401"/>
        <v>CY9160309900210</v>
      </c>
      <c r="C2579" s="10">
        <v>9160309900210</v>
      </c>
      <c r="D2579" s="10" t="str">
        <f t="shared" si="402"/>
        <v>9160309900</v>
      </c>
      <c r="E2579" s="3" t="s">
        <v>4</v>
      </c>
      <c r="F2579" s="3" t="s">
        <v>65</v>
      </c>
      <c r="H2579" s="3">
        <v>0</v>
      </c>
      <c r="I2579" s="10">
        <f t="shared" si="403"/>
        <v>0</v>
      </c>
      <c r="J2579" s="3">
        <v>0</v>
      </c>
      <c r="K2579" s="3">
        <v>0</v>
      </c>
      <c r="L2579" s="3">
        <f t="shared" si="404"/>
        <v>0</v>
      </c>
      <c r="N2579" s="11">
        <f t="shared" si="405"/>
        <v>0</v>
      </c>
      <c r="O2579" s="3">
        <v>0</v>
      </c>
      <c r="P2579" s="11">
        <f t="shared" si="406"/>
        <v>9999</v>
      </c>
      <c r="Q2579" s="12">
        <f t="shared" si="407"/>
        <v>9999</v>
      </c>
      <c r="R2579" s="13">
        <f t="shared" si="408"/>
        <v>9999</v>
      </c>
      <c r="S2579" s="3" t="s">
        <v>31</v>
      </c>
      <c r="T2579" s="3" t="s">
        <v>34</v>
      </c>
      <c r="U2579" s="10" t="s">
        <v>72</v>
      </c>
      <c r="V2579" s="3" t="s">
        <v>72</v>
      </c>
      <c r="W2579" s="3">
        <f t="shared" si="409"/>
        <v>0</v>
      </c>
      <c r="AA2579" s="3">
        <v>48</v>
      </c>
    </row>
    <row r="2580" spans="1:27" x14ac:dyDescent="0.3">
      <c r="A2580" s="3" t="str">
        <f t="shared" si="400"/>
        <v>South9310029902097</v>
      </c>
      <c r="B2580" s="3" t="str">
        <f t="shared" si="401"/>
        <v>CY9310029902097</v>
      </c>
      <c r="C2580" s="10">
        <v>9310029902097</v>
      </c>
      <c r="D2580" s="10" t="str">
        <f t="shared" si="402"/>
        <v>9310029902</v>
      </c>
      <c r="E2580" s="3" t="s">
        <v>4</v>
      </c>
      <c r="F2580" s="3" t="s">
        <v>65</v>
      </c>
      <c r="H2580" s="3">
        <v>0</v>
      </c>
      <c r="I2580" s="10">
        <f t="shared" si="403"/>
        <v>0</v>
      </c>
      <c r="J2580" s="3">
        <v>0</v>
      </c>
      <c r="K2580" s="3">
        <v>0</v>
      </c>
      <c r="L2580" s="3">
        <f t="shared" si="404"/>
        <v>0</v>
      </c>
      <c r="N2580" s="11">
        <f t="shared" si="405"/>
        <v>0</v>
      </c>
      <c r="O2580" s="3">
        <v>0</v>
      </c>
      <c r="P2580" s="11">
        <f t="shared" si="406"/>
        <v>9999</v>
      </c>
      <c r="Q2580" s="12">
        <f t="shared" si="407"/>
        <v>9999</v>
      </c>
      <c r="R2580" s="13">
        <f t="shared" si="408"/>
        <v>9999</v>
      </c>
      <c r="S2580" s="3" t="s">
        <v>31</v>
      </c>
      <c r="T2580" s="3" t="s">
        <v>32</v>
      </c>
      <c r="U2580" s="10">
        <v>0</v>
      </c>
      <c r="V2580" s="3">
        <v>0</v>
      </c>
      <c r="W2580" s="3">
        <f t="shared" si="409"/>
        <v>0</v>
      </c>
      <c r="AA2580" s="3">
        <v>48</v>
      </c>
    </row>
    <row r="2581" spans="1:27" x14ac:dyDescent="0.3">
      <c r="A2581" s="3" t="str">
        <f t="shared" si="400"/>
        <v>South9161109900210</v>
      </c>
      <c r="B2581" s="3" t="str">
        <f t="shared" si="401"/>
        <v>CY9161109900210</v>
      </c>
      <c r="C2581" s="10">
        <v>9161109900210</v>
      </c>
      <c r="D2581" s="10" t="str">
        <f t="shared" si="402"/>
        <v>9161109900</v>
      </c>
      <c r="E2581" s="3" t="s">
        <v>4</v>
      </c>
      <c r="F2581" s="3" t="s">
        <v>65</v>
      </c>
      <c r="H2581" s="3">
        <v>0.59700000000000009</v>
      </c>
      <c r="I2581" s="10">
        <f t="shared" si="403"/>
        <v>0</v>
      </c>
      <c r="J2581" s="3">
        <v>0</v>
      </c>
      <c r="K2581" s="3">
        <v>0</v>
      </c>
      <c r="L2581" s="3">
        <f t="shared" si="404"/>
        <v>0</v>
      </c>
      <c r="N2581" s="11">
        <f t="shared" si="405"/>
        <v>0.59700000000000009</v>
      </c>
      <c r="O2581" s="3">
        <v>0</v>
      </c>
      <c r="P2581" s="11">
        <f t="shared" si="406"/>
        <v>9999</v>
      </c>
      <c r="Q2581" s="12">
        <f t="shared" si="407"/>
        <v>9999</v>
      </c>
      <c r="R2581" s="13">
        <f t="shared" si="408"/>
        <v>9999</v>
      </c>
      <c r="S2581" s="3" t="s">
        <v>31</v>
      </c>
      <c r="T2581" s="3" t="s">
        <v>34</v>
      </c>
      <c r="U2581" s="10" t="s">
        <v>72</v>
      </c>
      <c r="V2581" s="3" t="s">
        <v>72</v>
      </c>
      <c r="W2581" s="3">
        <f t="shared" si="409"/>
        <v>0</v>
      </c>
      <c r="AA2581" s="3">
        <v>48</v>
      </c>
    </row>
    <row r="2582" spans="1:27" x14ac:dyDescent="0.3">
      <c r="A2582" s="3" t="str">
        <f t="shared" si="400"/>
        <v>South9160509901210</v>
      </c>
      <c r="B2582" s="3" t="str">
        <f t="shared" si="401"/>
        <v>CY9160509901210</v>
      </c>
      <c r="C2582" s="10">
        <v>9160509901210</v>
      </c>
      <c r="D2582" s="10" t="str">
        <f t="shared" si="402"/>
        <v>9160509901</v>
      </c>
      <c r="E2582" s="3" t="s">
        <v>4</v>
      </c>
      <c r="F2582" s="3" t="s">
        <v>65</v>
      </c>
      <c r="H2582" s="3">
        <v>0</v>
      </c>
      <c r="I2582" s="10">
        <f t="shared" si="403"/>
        <v>0</v>
      </c>
      <c r="J2582" s="3">
        <v>0</v>
      </c>
      <c r="K2582" s="3">
        <v>0</v>
      </c>
      <c r="L2582" s="3">
        <f t="shared" si="404"/>
        <v>0</v>
      </c>
      <c r="N2582" s="11">
        <f t="shared" si="405"/>
        <v>0</v>
      </c>
      <c r="O2582" s="3">
        <v>0</v>
      </c>
      <c r="P2582" s="11">
        <f t="shared" si="406"/>
        <v>9999</v>
      </c>
      <c r="Q2582" s="12">
        <f t="shared" si="407"/>
        <v>9999</v>
      </c>
      <c r="R2582" s="13">
        <f t="shared" si="408"/>
        <v>9999</v>
      </c>
      <c r="S2582" s="3" t="s">
        <v>31</v>
      </c>
      <c r="T2582" s="3" t="s">
        <v>34</v>
      </c>
      <c r="U2582" s="10" t="s">
        <v>72</v>
      </c>
      <c r="V2582" s="3" t="s">
        <v>72</v>
      </c>
      <c r="W2582" s="3">
        <f t="shared" si="409"/>
        <v>0</v>
      </c>
      <c r="AA2582" s="3">
        <v>48</v>
      </c>
    </row>
    <row r="2583" spans="1:27" x14ac:dyDescent="0.3">
      <c r="A2583" s="3" t="str">
        <f t="shared" si="400"/>
        <v>South9320089901840</v>
      </c>
      <c r="B2583" s="3" t="str">
        <f t="shared" si="401"/>
        <v>CY9320089901840</v>
      </c>
      <c r="C2583" s="10">
        <v>9320089901840</v>
      </c>
      <c r="D2583" s="10" t="str">
        <f t="shared" si="402"/>
        <v>9320089901</v>
      </c>
      <c r="E2583" s="3" t="s">
        <v>4</v>
      </c>
      <c r="F2583" s="3" t="s">
        <v>65</v>
      </c>
      <c r="H2583" s="3">
        <v>0</v>
      </c>
      <c r="I2583" s="10">
        <f t="shared" si="403"/>
        <v>0</v>
      </c>
      <c r="J2583" s="3">
        <v>0</v>
      </c>
      <c r="K2583" s="3">
        <v>0</v>
      </c>
      <c r="L2583" s="3">
        <f t="shared" si="404"/>
        <v>0</v>
      </c>
      <c r="N2583" s="11">
        <f t="shared" si="405"/>
        <v>0</v>
      </c>
      <c r="O2583" s="3">
        <v>0</v>
      </c>
      <c r="P2583" s="11">
        <f t="shared" si="406"/>
        <v>9999</v>
      </c>
      <c r="Q2583" s="12">
        <f t="shared" si="407"/>
        <v>9999</v>
      </c>
      <c r="R2583" s="13">
        <f t="shared" si="408"/>
        <v>-30</v>
      </c>
      <c r="S2583" s="3" t="s">
        <v>31</v>
      </c>
      <c r="T2583" s="3" t="s">
        <v>28</v>
      </c>
      <c r="U2583" s="10">
        <v>0</v>
      </c>
      <c r="V2583" s="3">
        <v>0</v>
      </c>
      <c r="W2583" s="3">
        <f t="shared" si="409"/>
        <v>0</v>
      </c>
      <c r="AA2583" s="3">
        <v>48</v>
      </c>
    </row>
    <row r="2584" spans="1:27" x14ac:dyDescent="0.3">
      <c r="A2584" s="3" t="str">
        <f t="shared" si="400"/>
        <v>South9310029900840</v>
      </c>
      <c r="B2584" s="3" t="str">
        <f t="shared" si="401"/>
        <v>CY9310029900840</v>
      </c>
      <c r="C2584" s="10">
        <v>9310029900840</v>
      </c>
      <c r="D2584" s="10" t="str">
        <f t="shared" si="402"/>
        <v>9310029900</v>
      </c>
      <c r="E2584" s="3" t="s">
        <v>4</v>
      </c>
      <c r="F2584" s="3" t="s">
        <v>65</v>
      </c>
      <c r="H2584" s="3">
        <v>0.78400000000000014</v>
      </c>
      <c r="I2584" s="10">
        <f t="shared" si="403"/>
        <v>0</v>
      </c>
      <c r="J2584" s="3">
        <v>0</v>
      </c>
      <c r="K2584" s="3">
        <v>0</v>
      </c>
      <c r="L2584" s="3">
        <f t="shared" si="404"/>
        <v>0</v>
      </c>
      <c r="N2584" s="11">
        <f t="shared" si="405"/>
        <v>0.78400000000000014</v>
      </c>
      <c r="O2584" s="3">
        <v>0</v>
      </c>
      <c r="P2584" s="11">
        <f t="shared" si="406"/>
        <v>9999</v>
      </c>
      <c r="Q2584" s="12">
        <f t="shared" si="407"/>
        <v>470.92534439717809</v>
      </c>
      <c r="R2584" s="13">
        <f t="shared" si="408"/>
        <v>1357.0266447416436</v>
      </c>
      <c r="S2584" s="3" t="s">
        <v>31</v>
      </c>
      <c r="T2584" s="3" t="s">
        <v>32</v>
      </c>
      <c r="U2584" s="10">
        <v>0</v>
      </c>
      <c r="V2584" s="3">
        <v>0</v>
      </c>
      <c r="W2584" s="3">
        <f t="shared" si="409"/>
        <v>0</v>
      </c>
      <c r="AA2584" s="3">
        <v>48</v>
      </c>
    </row>
    <row r="2585" spans="1:27" x14ac:dyDescent="0.3">
      <c r="A2585" s="3" t="str">
        <f t="shared" si="400"/>
        <v>South9100309902195</v>
      </c>
      <c r="B2585" s="3" t="str">
        <f t="shared" si="401"/>
        <v>CY9100309902195</v>
      </c>
      <c r="C2585" s="10">
        <v>9100309902195</v>
      </c>
      <c r="D2585" s="10" t="str">
        <f t="shared" si="402"/>
        <v>9100309902</v>
      </c>
      <c r="E2585" s="3" t="s">
        <v>4</v>
      </c>
      <c r="F2585" s="3" t="s">
        <v>65</v>
      </c>
      <c r="H2585" s="3">
        <v>0</v>
      </c>
      <c r="I2585" s="10">
        <f t="shared" si="403"/>
        <v>0</v>
      </c>
      <c r="J2585" s="3">
        <v>0</v>
      </c>
      <c r="K2585" s="3">
        <v>0</v>
      </c>
      <c r="L2585" s="3">
        <f t="shared" si="404"/>
        <v>0</v>
      </c>
      <c r="N2585" s="11">
        <f t="shared" si="405"/>
        <v>0</v>
      </c>
      <c r="O2585" s="3">
        <v>0</v>
      </c>
      <c r="P2585" s="11">
        <f t="shared" si="406"/>
        <v>9999</v>
      </c>
      <c r="Q2585" s="12">
        <f t="shared" si="407"/>
        <v>9999</v>
      </c>
      <c r="R2585" s="13">
        <f t="shared" si="408"/>
        <v>9999</v>
      </c>
      <c r="S2585" s="3" t="s">
        <v>31</v>
      </c>
      <c r="T2585" s="3" t="s">
        <v>34</v>
      </c>
      <c r="U2585" s="10" t="s">
        <v>72</v>
      </c>
      <c r="V2585" s="3" t="s">
        <v>72</v>
      </c>
      <c r="W2585" s="3">
        <f t="shared" si="409"/>
        <v>0</v>
      </c>
      <c r="AA2585" s="3">
        <v>48</v>
      </c>
    </row>
    <row r="2586" spans="1:27" x14ac:dyDescent="0.3">
      <c r="A2586" s="3" t="str">
        <f t="shared" si="400"/>
        <v>South9320099900310</v>
      </c>
      <c r="B2586" s="3" t="str">
        <f t="shared" si="401"/>
        <v>CY9320099900310</v>
      </c>
      <c r="C2586" s="10">
        <v>9320099900310</v>
      </c>
      <c r="D2586" s="10" t="str">
        <f t="shared" si="402"/>
        <v>9320099900</v>
      </c>
      <c r="E2586" s="3" t="s">
        <v>4</v>
      </c>
      <c r="F2586" s="3" t="s">
        <v>65</v>
      </c>
      <c r="H2586" s="3">
        <v>0</v>
      </c>
      <c r="I2586" s="10">
        <f t="shared" si="403"/>
        <v>0</v>
      </c>
      <c r="J2586" s="3">
        <v>0</v>
      </c>
      <c r="K2586" s="3">
        <v>0</v>
      </c>
      <c r="L2586" s="3">
        <f t="shared" si="404"/>
        <v>0</v>
      </c>
      <c r="N2586" s="11">
        <f t="shared" si="405"/>
        <v>0</v>
      </c>
      <c r="O2586" s="3">
        <v>0</v>
      </c>
      <c r="P2586" s="11">
        <f t="shared" si="406"/>
        <v>9999</v>
      </c>
      <c r="Q2586" s="12">
        <f t="shared" si="407"/>
        <v>9999</v>
      </c>
      <c r="R2586" s="13">
        <f t="shared" si="408"/>
        <v>124.33472921467568</v>
      </c>
      <c r="S2586" s="3" t="s">
        <v>31</v>
      </c>
      <c r="T2586" s="3" t="s">
        <v>28</v>
      </c>
      <c r="U2586" s="10">
        <v>9320099900999</v>
      </c>
      <c r="V2586" s="3">
        <v>0.1</v>
      </c>
      <c r="W2586" s="3">
        <f t="shared" si="409"/>
        <v>0</v>
      </c>
      <c r="AA2586" s="3">
        <v>48</v>
      </c>
    </row>
    <row r="2587" spans="1:27" x14ac:dyDescent="0.3">
      <c r="A2587" s="3" t="str">
        <f t="shared" si="400"/>
        <v>South9410039905836</v>
      </c>
      <c r="B2587" s="3" t="str">
        <f t="shared" si="401"/>
        <v>CY9410039905836</v>
      </c>
      <c r="C2587" s="10">
        <v>9410039905836</v>
      </c>
      <c r="D2587" s="10" t="str">
        <f t="shared" si="402"/>
        <v>9410039905</v>
      </c>
      <c r="E2587" s="3" t="s">
        <v>4</v>
      </c>
      <c r="F2587" s="3" t="s">
        <v>65</v>
      </c>
      <c r="H2587" s="3">
        <v>19.144800000000004</v>
      </c>
      <c r="I2587" s="10">
        <f t="shared" si="403"/>
        <v>0</v>
      </c>
      <c r="J2587" s="3">
        <v>0</v>
      </c>
      <c r="K2587" s="3">
        <v>0</v>
      </c>
      <c r="L2587" s="3">
        <f t="shared" si="404"/>
        <v>0</v>
      </c>
      <c r="N2587" s="11">
        <f t="shared" si="405"/>
        <v>19.144800000000004</v>
      </c>
      <c r="O2587" s="3">
        <v>0</v>
      </c>
      <c r="P2587" s="11">
        <f t="shared" si="406"/>
        <v>9999</v>
      </c>
      <c r="Q2587" s="12">
        <f t="shared" si="407"/>
        <v>9999</v>
      </c>
      <c r="R2587" s="13">
        <f t="shared" si="408"/>
        <v>9999</v>
      </c>
      <c r="S2587" s="3" t="s">
        <v>31</v>
      </c>
      <c r="T2587" s="3" t="s">
        <v>32</v>
      </c>
      <c r="U2587" s="10">
        <v>0</v>
      </c>
      <c r="V2587" s="3">
        <v>0</v>
      </c>
      <c r="W2587" s="3">
        <f t="shared" si="409"/>
        <v>0</v>
      </c>
      <c r="AA2587" s="3">
        <v>48</v>
      </c>
    </row>
    <row r="2588" spans="1:27" x14ac:dyDescent="0.3">
      <c r="A2588" s="3" t="str">
        <f t="shared" si="400"/>
        <v>South9420049902319</v>
      </c>
      <c r="B2588" s="3" t="str">
        <f t="shared" si="401"/>
        <v>CY9420049902319</v>
      </c>
      <c r="C2588" s="10">
        <v>9420049902319</v>
      </c>
      <c r="D2588" s="10" t="str">
        <f t="shared" si="402"/>
        <v>9420049902</v>
      </c>
      <c r="E2588" s="3" t="s">
        <v>4</v>
      </c>
      <c r="F2588" s="3" t="s">
        <v>65</v>
      </c>
      <c r="H2588" s="3">
        <v>9.879999999999999</v>
      </c>
      <c r="I2588" s="10">
        <f t="shared" si="403"/>
        <v>0</v>
      </c>
      <c r="J2588" s="3">
        <v>0</v>
      </c>
      <c r="K2588" s="3">
        <v>0</v>
      </c>
      <c r="L2588" s="3">
        <f t="shared" si="404"/>
        <v>0</v>
      </c>
      <c r="N2588" s="11">
        <f t="shared" si="405"/>
        <v>9.879999999999999</v>
      </c>
      <c r="O2588" s="3">
        <v>0</v>
      </c>
      <c r="P2588" s="11">
        <f t="shared" si="406"/>
        <v>9999</v>
      </c>
      <c r="Q2588" s="12">
        <f t="shared" si="407"/>
        <v>9999</v>
      </c>
      <c r="R2588" s="13">
        <f t="shared" si="408"/>
        <v>24424.26870277066</v>
      </c>
      <c r="S2588" s="3" t="s">
        <v>31</v>
      </c>
      <c r="T2588" s="3" t="s">
        <v>28</v>
      </c>
      <c r="U2588" s="10">
        <v>9420049900999</v>
      </c>
      <c r="V2588" s="3">
        <v>0.1</v>
      </c>
      <c r="W2588" s="3">
        <f t="shared" si="409"/>
        <v>0</v>
      </c>
      <c r="AA2588" s="3">
        <v>48</v>
      </c>
    </row>
    <row r="2589" spans="1:27" x14ac:dyDescent="0.3">
      <c r="A2589" s="3" t="str">
        <f t="shared" si="400"/>
        <v>South9410039906190</v>
      </c>
      <c r="B2589" s="3" t="str">
        <f t="shared" si="401"/>
        <v>CY9410039906190</v>
      </c>
      <c r="C2589" s="10">
        <v>9410039906190</v>
      </c>
      <c r="D2589" s="10" t="str">
        <f t="shared" si="402"/>
        <v>9410039906</v>
      </c>
      <c r="E2589" s="3" t="s">
        <v>4</v>
      </c>
      <c r="F2589" s="3" t="s">
        <v>65</v>
      </c>
      <c r="H2589" s="3">
        <v>7.2863999999999995</v>
      </c>
      <c r="I2589" s="10">
        <f t="shared" si="403"/>
        <v>0</v>
      </c>
      <c r="J2589" s="3">
        <v>0</v>
      </c>
      <c r="K2589" s="3">
        <v>0</v>
      </c>
      <c r="L2589" s="3">
        <f t="shared" si="404"/>
        <v>0</v>
      </c>
      <c r="N2589" s="11">
        <f t="shared" si="405"/>
        <v>7.2863999999999995</v>
      </c>
      <c r="O2589" s="3">
        <v>0</v>
      </c>
      <c r="P2589" s="11">
        <f t="shared" si="406"/>
        <v>9999</v>
      </c>
      <c r="Q2589" s="12">
        <f t="shared" si="407"/>
        <v>9999</v>
      </c>
      <c r="R2589" s="13">
        <f t="shared" si="408"/>
        <v>6783.5237464598522</v>
      </c>
      <c r="S2589" s="3" t="s">
        <v>31</v>
      </c>
      <c r="T2589" s="3" t="s">
        <v>32</v>
      </c>
      <c r="U2589" s="10">
        <v>0</v>
      </c>
      <c r="V2589" s="3">
        <v>0</v>
      </c>
      <c r="W2589" s="3">
        <f t="shared" si="409"/>
        <v>0</v>
      </c>
      <c r="AA2589" s="3">
        <v>48</v>
      </c>
    </row>
    <row r="2590" spans="1:27" x14ac:dyDescent="0.3">
      <c r="A2590" s="3" t="str">
        <f t="shared" si="400"/>
        <v>South9420049906190</v>
      </c>
      <c r="B2590" s="3" t="str">
        <f t="shared" si="401"/>
        <v>CY9420049906190</v>
      </c>
      <c r="C2590" s="10">
        <v>9420049906190</v>
      </c>
      <c r="D2590" s="10" t="str">
        <f t="shared" si="402"/>
        <v>9420049906</v>
      </c>
      <c r="E2590" s="3" t="s">
        <v>4</v>
      </c>
      <c r="F2590" s="3" t="s">
        <v>65</v>
      </c>
      <c r="H2590" s="3">
        <v>9.0908999999999995</v>
      </c>
      <c r="I2590" s="10">
        <f t="shared" si="403"/>
        <v>0</v>
      </c>
      <c r="J2590" s="3">
        <v>0</v>
      </c>
      <c r="K2590" s="3">
        <v>0</v>
      </c>
      <c r="L2590" s="3">
        <f t="shared" si="404"/>
        <v>0</v>
      </c>
      <c r="N2590" s="11">
        <f t="shared" si="405"/>
        <v>9.0908999999999995</v>
      </c>
      <c r="O2590" s="3">
        <v>0</v>
      </c>
      <c r="P2590" s="11">
        <f t="shared" si="406"/>
        <v>9999</v>
      </c>
      <c r="Q2590" s="12">
        <f t="shared" si="407"/>
        <v>9999</v>
      </c>
      <c r="R2590" s="13">
        <f t="shared" si="408"/>
        <v>9999</v>
      </c>
      <c r="S2590" s="3" t="s">
        <v>31</v>
      </c>
      <c r="T2590" s="3" t="s">
        <v>28</v>
      </c>
      <c r="U2590" s="10">
        <v>0</v>
      </c>
      <c r="V2590" s="3">
        <v>0</v>
      </c>
      <c r="W2590" s="3">
        <f t="shared" si="409"/>
        <v>0</v>
      </c>
      <c r="AA2590" s="3">
        <v>48</v>
      </c>
    </row>
    <row r="2591" spans="1:27" x14ac:dyDescent="0.3">
      <c r="A2591" s="3" t="str">
        <f t="shared" si="400"/>
        <v>South9410039906836</v>
      </c>
      <c r="B2591" s="3" t="str">
        <f t="shared" si="401"/>
        <v>CY9410039906836</v>
      </c>
      <c r="C2591" s="10">
        <v>9410039906836</v>
      </c>
      <c r="D2591" s="10" t="str">
        <f t="shared" si="402"/>
        <v>9410039906</v>
      </c>
      <c r="E2591" s="3" t="s">
        <v>4</v>
      </c>
      <c r="F2591" s="3" t="s">
        <v>65</v>
      </c>
      <c r="H2591" s="3">
        <v>9.0324000000000026</v>
      </c>
      <c r="I2591" s="10">
        <f t="shared" si="403"/>
        <v>0</v>
      </c>
      <c r="J2591" s="3">
        <v>0</v>
      </c>
      <c r="K2591" s="3">
        <v>0</v>
      </c>
      <c r="L2591" s="3">
        <f t="shared" si="404"/>
        <v>0</v>
      </c>
      <c r="N2591" s="11">
        <f t="shared" si="405"/>
        <v>9.0324000000000026</v>
      </c>
      <c r="O2591" s="3">
        <v>0</v>
      </c>
      <c r="P2591" s="11">
        <f t="shared" si="406"/>
        <v>9999</v>
      </c>
      <c r="Q2591" s="12">
        <f t="shared" si="407"/>
        <v>9999</v>
      </c>
      <c r="R2591" s="13">
        <f t="shared" si="408"/>
        <v>9999</v>
      </c>
      <c r="S2591" s="3" t="s">
        <v>31</v>
      </c>
      <c r="T2591" s="3" t="s">
        <v>32</v>
      </c>
      <c r="U2591" s="10">
        <v>0</v>
      </c>
      <c r="V2591" s="3">
        <v>0</v>
      </c>
      <c r="W2591" s="3">
        <f t="shared" si="409"/>
        <v>0</v>
      </c>
      <c r="AA2591" s="3">
        <v>48</v>
      </c>
    </row>
    <row r="2592" spans="1:27" x14ac:dyDescent="0.3">
      <c r="A2592" s="3" t="str">
        <f t="shared" si="400"/>
        <v>South9420049906836</v>
      </c>
      <c r="B2592" s="3" t="str">
        <f t="shared" si="401"/>
        <v>CY9420049906836</v>
      </c>
      <c r="C2592" s="10">
        <v>9420049906836</v>
      </c>
      <c r="D2592" s="10" t="str">
        <f t="shared" si="402"/>
        <v>9420049906</v>
      </c>
      <c r="E2592" s="3" t="s">
        <v>4</v>
      </c>
      <c r="F2592" s="3" t="s">
        <v>65</v>
      </c>
      <c r="H2592" s="3">
        <v>3.3408000000000002</v>
      </c>
      <c r="I2592" s="10">
        <f t="shared" si="403"/>
        <v>0</v>
      </c>
      <c r="J2592" s="3">
        <v>0</v>
      </c>
      <c r="K2592" s="3">
        <v>0</v>
      </c>
      <c r="L2592" s="3">
        <f t="shared" si="404"/>
        <v>0</v>
      </c>
      <c r="N2592" s="11">
        <f t="shared" si="405"/>
        <v>3.3408000000000002</v>
      </c>
      <c r="O2592" s="3">
        <v>0</v>
      </c>
      <c r="P2592" s="11">
        <f t="shared" si="406"/>
        <v>9999</v>
      </c>
      <c r="Q2592" s="12">
        <f t="shared" si="407"/>
        <v>9999</v>
      </c>
      <c r="R2592" s="13">
        <f t="shared" si="408"/>
        <v>9999</v>
      </c>
      <c r="S2592" s="3" t="s">
        <v>31</v>
      </c>
      <c r="T2592" s="3" t="s">
        <v>28</v>
      </c>
      <c r="U2592" s="10">
        <v>0</v>
      </c>
      <c r="V2592" s="3">
        <v>0</v>
      </c>
      <c r="W2592" s="3">
        <f t="shared" si="409"/>
        <v>0</v>
      </c>
      <c r="AA2592" s="3">
        <v>48</v>
      </c>
    </row>
    <row r="2593" spans="1:27" x14ac:dyDescent="0.3">
      <c r="A2593" s="3" t="str">
        <f t="shared" si="400"/>
        <v>South9420049902195</v>
      </c>
      <c r="B2593" s="3" t="str">
        <f t="shared" si="401"/>
        <v>CY9420049902195</v>
      </c>
      <c r="C2593" s="10">
        <v>9420049902195</v>
      </c>
      <c r="D2593" s="10" t="str">
        <f t="shared" si="402"/>
        <v>9420049902</v>
      </c>
      <c r="E2593" s="3" t="s">
        <v>4</v>
      </c>
      <c r="F2593" s="3" t="s">
        <v>65</v>
      </c>
      <c r="H2593" s="3">
        <v>0</v>
      </c>
      <c r="I2593" s="10">
        <f t="shared" si="403"/>
        <v>0</v>
      </c>
      <c r="J2593" s="3">
        <v>0</v>
      </c>
      <c r="K2593" s="3">
        <v>0</v>
      </c>
      <c r="L2593" s="3">
        <f t="shared" si="404"/>
        <v>0</v>
      </c>
      <c r="N2593" s="11">
        <f t="shared" si="405"/>
        <v>0</v>
      </c>
      <c r="O2593" s="3">
        <v>0</v>
      </c>
      <c r="P2593" s="11">
        <f t="shared" si="406"/>
        <v>9999</v>
      </c>
      <c r="Q2593" s="12">
        <f t="shared" si="407"/>
        <v>9999</v>
      </c>
      <c r="R2593" s="13">
        <f t="shared" si="408"/>
        <v>-30</v>
      </c>
      <c r="S2593" s="3" t="s">
        <v>31</v>
      </c>
      <c r="T2593" s="3" t="s">
        <v>28</v>
      </c>
      <c r="U2593" s="10">
        <v>0</v>
      </c>
      <c r="V2593" s="3">
        <v>0</v>
      </c>
      <c r="W2593" s="3">
        <f t="shared" si="409"/>
        <v>0</v>
      </c>
      <c r="AA2593" s="3">
        <v>48</v>
      </c>
    </row>
    <row r="2594" spans="1:27" x14ac:dyDescent="0.3">
      <c r="A2594" s="3" t="str">
        <f t="shared" si="400"/>
        <v>South9420049902295</v>
      </c>
      <c r="B2594" s="3" t="str">
        <f t="shared" si="401"/>
        <v>CY9420049902295</v>
      </c>
      <c r="C2594" s="10">
        <v>9420049902295</v>
      </c>
      <c r="D2594" s="10" t="str">
        <f t="shared" si="402"/>
        <v>9420049902</v>
      </c>
      <c r="E2594" s="3" t="s">
        <v>4</v>
      </c>
      <c r="F2594" s="3" t="s">
        <v>65</v>
      </c>
      <c r="H2594" s="3">
        <v>11.390499999999999</v>
      </c>
      <c r="I2594" s="10">
        <f t="shared" si="403"/>
        <v>0</v>
      </c>
      <c r="J2594" s="3">
        <v>0</v>
      </c>
      <c r="K2594" s="3">
        <v>0</v>
      </c>
      <c r="L2594" s="3">
        <f t="shared" si="404"/>
        <v>0</v>
      </c>
      <c r="N2594" s="11">
        <f t="shared" si="405"/>
        <v>11.390499999999999</v>
      </c>
      <c r="O2594" s="3">
        <v>0</v>
      </c>
      <c r="P2594" s="11">
        <f t="shared" si="406"/>
        <v>9999</v>
      </c>
      <c r="Q2594" s="12">
        <f t="shared" si="407"/>
        <v>9999</v>
      </c>
      <c r="R2594" s="13">
        <f t="shared" si="408"/>
        <v>15203.553616405226</v>
      </c>
      <c r="S2594" s="3" t="s">
        <v>31</v>
      </c>
      <c r="T2594" s="3" t="s">
        <v>28</v>
      </c>
      <c r="U2594" s="10">
        <v>9420049900999</v>
      </c>
      <c r="V2594" s="3">
        <v>0.1</v>
      </c>
      <c r="W2594" s="3">
        <f t="shared" si="409"/>
        <v>0</v>
      </c>
      <c r="AA2594" s="3">
        <v>48</v>
      </c>
    </row>
    <row r="2595" spans="1:27" x14ac:dyDescent="0.3">
      <c r="A2595" s="3" t="str">
        <f t="shared" si="400"/>
        <v>South9420049905836</v>
      </c>
      <c r="B2595" s="3" t="str">
        <f t="shared" si="401"/>
        <v>CY9420049905836</v>
      </c>
      <c r="C2595" s="10">
        <v>9420049905836</v>
      </c>
      <c r="D2595" s="10" t="str">
        <f t="shared" si="402"/>
        <v>9420049905</v>
      </c>
      <c r="E2595" s="3" t="s">
        <v>4</v>
      </c>
      <c r="F2595" s="3" t="s">
        <v>65</v>
      </c>
      <c r="H2595" s="3">
        <v>47.282400000000003</v>
      </c>
      <c r="I2595" s="10">
        <f t="shared" si="403"/>
        <v>0</v>
      </c>
      <c r="J2595" s="3">
        <v>0</v>
      </c>
      <c r="K2595" s="3">
        <v>0</v>
      </c>
      <c r="L2595" s="3">
        <f t="shared" si="404"/>
        <v>0</v>
      </c>
      <c r="N2595" s="11">
        <f t="shared" si="405"/>
        <v>47.282400000000003</v>
      </c>
      <c r="O2595" s="3">
        <v>0</v>
      </c>
      <c r="P2595" s="11">
        <f t="shared" si="406"/>
        <v>9999</v>
      </c>
      <c r="Q2595" s="12">
        <f t="shared" si="407"/>
        <v>9999</v>
      </c>
      <c r="R2595" s="13">
        <f t="shared" si="408"/>
        <v>9999</v>
      </c>
      <c r="S2595" s="3" t="s">
        <v>31</v>
      </c>
      <c r="T2595" s="3" t="s">
        <v>28</v>
      </c>
      <c r="U2595" s="10">
        <v>0</v>
      </c>
      <c r="V2595" s="3">
        <v>0</v>
      </c>
      <c r="W2595" s="3">
        <f t="shared" si="409"/>
        <v>0</v>
      </c>
      <c r="AA2595" s="3">
        <v>48</v>
      </c>
    </row>
    <row r="2596" spans="1:27" x14ac:dyDescent="0.3">
      <c r="A2596" s="3" t="str">
        <f t="shared" si="400"/>
        <v>South9420049905190</v>
      </c>
      <c r="B2596" s="3" t="str">
        <f t="shared" si="401"/>
        <v>CY9420049905190</v>
      </c>
      <c r="C2596" s="10">
        <v>9420049905190</v>
      </c>
      <c r="D2596" s="10" t="str">
        <f t="shared" si="402"/>
        <v>9420049905</v>
      </c>
      <c r="E2596" s="3" t="s">
        <v>4</v>
      </c>
      <c r="F2596" s="3" t="s">
        <v>65</v>
      </c>
      <c r="H2596" s="3">
        <v>23.235299999999999</v>
      </c>
      <c r="I2596" s="10">
        <f t="shared" si="403"/>
        <v>0</v>
      </c>
      <c r="J2596" s="3">
        <v>0</v>
      </c>
      <c r="K2596" s="3">
        <v>0</v>
      </c>
      <c r="L2596" s="3">
        <f t="shared" si="404"/>
        <v>0</v>
      </c>
      <c r="N2596" s="11">
        <f t="shared" si="405"/>
        <v>23.235299999999999</v>
      </c>
      <c r="O2596" s="3">
        <v>0</v>
      </c>
      <c r="P2596" s="11">
        <f t="shared" si="406"/>
        <v>9999</v>
      </c>
      <c r="Q2596" s="12">
        <f t="shared" si="407"/>
        <v>9999</v>
      </c>
      <c r="R2596" s="13">
        <f t="shared" si="408"/>
        <v>9999</v>
      </c>
      <c r="S2596" s="3" t="s">
        <v>31</v>
      </c>
      <c r="T2596" s="3" t="s">
        <v>28</v>
      </c>
      <c r="U2596" s="10">
        <v>0</v>
      </c>
      <c r="V2596" s="3">
        <v>0</v>
      </c>
      <c r="W2596" s="3">
        <f t="shared" si="409"/>
        <v>0</v>
      </c>
      <c r="AA2596" s="3">
        <v>48</v>
      </c>
    </row>
    <row r="2597" spans="1:27" x14ac:dyDescent="0.3">
      <c r="A2597" s="3" t="str">
        <f t="shared" si="400"/>
        <v>South9420049902838</v>
      </c>
      <c r="B2597" s="3" t="str">
        <f t="shared" si="401"/>
        <v>CY9420049902838</v>
      </c>
      <c r="C2597" s="10">
        <v>9420049902838</v>
      </c>
      <c r="D2597" s="10" t="str">
        <f t="shared" si="402"/>
        <v>9420049902</v>
      </c>
      <c r="E2597" s="3" t="s">
        <v>4</v>
      </c>
      <c r="F2597" s="3" t="s">
        <v>65</v>
      </c>
      <c r="H2597" s="3">
        <v>0</v>
      </c>
      <c r="I2597" s="10">
        <f t="shared" si="403"/>
        <v>0</v>
      </c>
      <c r="J2597" s="3">
        <v>0</v>
      </c>
      <c r="K2597" s="3">
        <v>0</v>
      </c>
      <c r="L2597" s="3">
        <f t="shared" si="404"/>
        <v>0</v>
      </c>
      <c r="N2597" s="11">
        <f t="shared" si="405"/>
        <v>0</v>
      </c>
      <c r="O2597" s="3">
        <v>0</v>
      </c>
      <c r="P2597" s="11">
        <f t="shared" si="406"/>
        <v>9999</v>
      </c>
      <c r="Q2597" s="12">
        <f t="shared" si="407"/>
        <v>9999</v>
      </c>
      <c r="R2597" s="13">
        <f t="shared" si="408"/>
        <v>-30</v>
      </c>
      <c r="S2597" s="3" t="s">
        <v>31</v>
      </c>
      <c r="T2597" s="3" t="s">
        <v>28</v>
      </c>
      <c r="U2597" s="10">
        <v>0</v>
      </c>
      <c r="V2597" s="3">
        <v>0</v>
      </c>
      <c r="W2597" s="3">
        <f t="shared" si="409"/>
        <v>0</v>
      </c>
      <c r="AA2597" s="3">
        <v>48</v>
      </c>
    </row>
    <row r="2598" spans="1:27" x14ac:dyDescent="0.3">
      <c r="A2598" s="3" t="str">
        <f t="shared" si="400"/>
        <v>South9410039905190</v>
      </c>
      <c r="B2598" s="3" t="str">
        <f t="shared" si="401"/>
        <v>CY9410039905190</v>
      </c>
      <c r="C2598" s="10">
        <v>9410039905190</v>
      </c>
      <c r="D2598" s="10" t="str">
        <f t="shared" si="402"/>
        <v>9410039905</v>
      </c>
      <c r="E2598" s="3" t="s">
        <v>4</v>
      </c>
      <c r="F2598" s="3" t="s">
        <v>65</v>
      </c>
      <c r="H2598" s="3">
        <v>22.437000000000001</v>
      </c>
      <c r="I2598" s="10">
        <f t="shared" si="403"/>
        <v>0</v>
      </c>
      <c r="J2598" s="3">
        <v>0</v>
      </c>
      <c r="K2598" s="3">
        <v>0</v>
      </c>
      <c r="L2598" s="3">
        <f t="shared" si="404"/>
        <v>0</v>
      </c>
      <c r="N2598" s="11">
        <f t="shared" si="405"/>
        <v>22.437000000000001</v>
      </c>
      <c r="O2598" s="3">
        <v>0</v>
      </c>
      <c r="P2598" s="11">
        <f t="shared" si="406"/>
        <v>9999</v>
      </c>
      <c r="Q2598" s="12">
        <f t="shared" si="407"/>
        <v>9999</v>
      </c>
      <c r="R2598" s="13">
        <f t="shared" si="408"/>
        <v>9999</v>
      </c>
      <c r="S2598" s="3" t="s">
        <v>31</v>
      </c>
      <c r="T2598" s="3" t="s">
        <v>32</v>
      </c>
      <c r="U2598" s="10">
        <v>0</v>
      </c>
      <c r="V2598" s="3">
        <v>0</v>
      </c>
      <c r="W2598" s="3">
        <f t="shared" si="409"/>
        <v>0</v>
      </c>
      <c r="AA2598" s="3">
        <v>48</v>
      </c>
    </row>
    <row r="2599" spans="1:27" x14ac:dyDescent="0.3">
      <c r="A2599" s="3" t="str">
        <f t="shared" si="400"/>
        <v>South9330019900820</v>
      </c>
      <c r="B2599" s="3" t="str">
        <f t="shared" si="401"/>
        <v>CMR9330019900820</v>
      </c>
      <c r="C2599" s="10">
        <v>9330019900820</v>
      </c>
      <c r="D2599" s="10" t="str">
        <f t="shared" si="402"/>
        <v>9330019900</v>
      </c>
      <c r="E2599" s="3" t="s">
        <v>5</v>
      </c>
      <c r="F2599" s="3" t="s">
        <v>65</v>
      </c>
      <c r="H2599" s="3">
        <v>201.26000000000002</v>
      </c>
      <c r="I2599" s="10">
        <f t="shared" si="403"/>
        <v>17.237470287696059</v>
      </c>
      <c r="J2599" s="3">
        <v>350.27181478651914</v>
      </c>
      <c r="K2599" s="3">
        <v>348</v>
      </c>
      <c r="L2599" s="3">
        <f t="shared" si="404"/>
        <v>0</v>
      </c>
      <c r="N2599" s="11">
        <f t="shared" si="405"/>
        <v>-149.01181478651912</v>
      </c>
      <c r="O2599" s="3">
        <v>350.27181478651914</v>
      </c>
      <c r="P2599" s="11">
        <f t="shared" si="406"/>
        <v>-12.762529712303943</v>
      </c>
      <c r="Q2599" s="12">
        <f t="shared" si="407"/>
        <v>-11.422699086569743</v>
      </c>
      <c r="R2599" s="13">
        <f t="shared" si="408"/>
        <v>-9.2235664855163968</v>
      </c>
      <c r="S2599" s="3" t="s">
        <v>29</v>
      </c>
      <c r="T2599" s="3" t="s">
        <v>35</v>
      </c>
      <c r="U2599" s="10">
        <v>0</v>
      </c>
      <c r="V2599" s="3">
        <v>0</v>
      </c>
      <c r="W2599" s="3">
        <f t="shared" si="409"/>
        <v>0</v>
      </c>
      <c r="AA2599" s="3">
        <v>48</v>
      </c>
    </row>
    <row r="2600" spans="1:27" x14ac:dyDescent="0.3">
      <c r="A2600" s="3" t="str">
        <f t="shared" si="400"/>
        <v>South9360039900320</v>
      </c>
      <c r="B2600" s="3" t="str">
        <f t="shared" si="401"/>
        <v>CMR9360039900320</v>
      </c>
      <c r="C2600" s="10">
        <v>9360039900320</v>
      </c>
      <c r="D2600" s="10" t="str">
        <f t="shared" si="402"/>
        <v>9360039900</v>
      </c>
      <c r="E2600" s="3" t="s">
        <v>5</v>
      </c>
      <c r="F2600" s="3" t="s">
        <v>65</v>
      </c>
      <c r="H2600" s="3">
        <v>149.31999999999996</v>
      </c>
      <c r="I2600" s="10">
        <f t="shared" si="403"/>
        <v>14.698266566491228</v>
      </c>
      <c r="J2600" s="3">
        <v>304.77063262769292</v>
      </c>
      <c r="K2600" s="3">
        <v>384</v>
      </c>
      <c r="L2600" s="3">
        <f t="shared" si="404"/>
        <v>0</v>
      </c>
      <c r="N2600" s="11">
        <f t="shared" si="405"/>
        <v>-155.45063262769295</v>
      </c>
      <c r="O2600" s="3">
        <v>304.77063262769292</v>
      </c>
      <c r="P2600" s="11">
        <f t="shared" si="406"/>
        <v>-15.301733433508772</v>
      </c>
      <c r="Q2600" s="12">
        <f t="shared" si="407"/>
        <v>-12.305361826171442</v>
      </c>
      <c r="R2600" s="13">
        <f t="shared" si="408"/>
        <v>-20.402843801646455</v>
      </c>
      <c r="S2600" s="3" t="s">
        <v>29</v>
      </c>
      <c r="T2600" s="3" t="s">
        <v>33</v>
      </c>
      <c r="U2600" s="10">
        <v>9360039900999</v>
      </c>
      <c r="V2600" s="3">
        <v>0.1</v>
      </c>
      <c r="W2600" s="3">
        <f t="shared" si="409"/>
        <v>38.400000000000006</v>
      </c>
      <c r="AA2600" s="3">
        <v>48</v>
      </c>
    </row>
    <row r="2601" spans="1:27" x14ac:dyDescent="0.3">
      <c r="A2601" s="3" t="str">
        <f t="shared" si="400"/>
        <v>South9431009913820</v>
      </c>
      <c r="B2601" s="3" t="str">
        <f t="shared" si="401"/>
        <v>CMR9431009913820</v>
      </c>
      <c r="C2601" s="10">
        <v>9431009913820</v>
      </c>
      <c r="D2601" s="10" t="str">
        <f t="shared" si="402"/>
        <v>9431009913</v>
      </c>
      <c r="E2601" s="3" t="s">
        <v>5</v>
      </c>
      <c r="F2601" s="3" t="s">
        <v>65</v>
      </c>
      <c r="H2601" s="3">
        <v>142.88000000000005</v>
      </c>
      <c r="I2601" s="10">
        <f t="shared" si="403"/>
        <v>20.46809648300578</v>
      </c>
      <c r="J2601" s="3">
        <v>209.4185946191385</v>
      </c>
      <c r="K2601" s="3">
        <v>192</v>
      </c>
      <c r="L2601" s="3">
        <f t="shared" si="404"/>
        <v>0</v>
      </c>
      <c r="N2601" s="11">
        <f t="shared" si="405"/>
        <v>-66.538594619138451</v>
      </c>
      <c r="O2601" s="3">
        <v>209.4185946191385</v>
      </c>
      <c r="P2601" s="11">
        <f t="shared" si="406"/>
        <v>-9.5319035169942214</v>
      </c>
      <c r="Q2601" s="12">
        <f t="shared" si="407"/>
        <v>-10.994269990652636</v>
      </c>
      <c r="R2601" s="13">
        <f t="shared" si="408"/>
        <v>-2.5561230746082235</v>
      </c>
      <c r="S2601" s="3" t="s">
        <v>29</v>
      </c>
      <c r="T2601" s="3" t="s">
        <v>35</v>
      </c>
      <c r="U2601" s="10">
        <v>0</v>
      </c>
      <c r="V2601" s="3">
        <v>0</v>
      </c>
      <c r="W2601" s="3">
        <f t="shared" si="409"/>
        <v>0</v>
      </c>
      <c r="AA2601" s="3">
        <v>48</v>
      </c>
    </row>
    <row r="2602" spans="1:27" x14ac:dyDescent="0.3">
      <c r="A2602" s="3" t="str">
        <f t="shared" si="400"/>
        <v>South9320019900820</v>
      </c>
      <c r="B2602" s="3" t="str">
        <f t="shared" si="401"/>
        <v>CMR9320019900820</v>
      </c>
      <c r="C2602" s="10">
        <v>9320019900820</v>
      </c>
      <c r="D2602" s="10" t="str">
        <f t="shared" si="402"/>
        <v>9320019900</v>
      </c>
      <c r="E2602" s="3" t="s">
        <v>5</v>
      </c>
      <c r="F2602" s="3" t="s">
        <v>65</v>
      </c>
      <c r="H2602" s="3">
        <v>109.74</v>
      </c>
      <c r="I2602" s="10">
        <f t="shared" si="403"/>
        <v>17.000904484716855</v>
      </c>
      <c r="J2602" s="3">
        <v>193.64852046310583</v>
      </c>
      <c r="K2602" s="3">
        <v>228</v>
      </c>
      <c r="L2602" s="3">
        <f t="shared" si="404"/>
        <v>0</v>
      </c>
      <c r="N2602" s="11">
        <f t="shared" si="405"/>
        <v>-83.90852046310583</v>
      </c>
      <c r="O2602" s="3">
        <v>193.64852046310583</v>
      </c>
      <c r="P2602" s="11">
        <f t="shared" si="406"/>
        <v>-12.999095515283143</v>
      </c>
      <c r="Q2602" s="12">
        <f t="shared" si="407"/>
        <v>-9.5767336522629201</v>
      </c>
      <c r="R2602" s="13">
        <f t="shared" si="408"/>
        <v>-2.0110700955308665</v>
      </c>
      <c r="S2602" s="3" t="s">
        <v>29</v>
      </c>
      <c r="T2602" s="3" t="s">
        <v>28</v>
      </c>
      <c r="U2602" s="10">
        <v>0</v>
      </c>
      <c r="V2602" s="3">
        <v>0</v>
      </c>
      <c r="W2602" s="3">
        <f t="shared" si="409"/>
        <v>0</v>
      </c>
      <c r="AA2602" s="3">
        <v>48</v>
      </c>
    </row>
    <row r="2603" spans="1:27" x14ac:dyDescent="0.3">
      <c r="A2603" s="3" t="str">
        <f t="shared" si="400"/>
        <v>South9432009901320</v>
      </c>
      <c r="B2603" s="3" t="str">
        <f t="shared" si="401"/>
        <v>CMR9432009901320</v>
      </c>
      <c r="C2603" s="10">
        <v>9432009901320</v>
      </c>
      <c r="D2603" s="10" t="str">
        <f t="shared" si="402"/>
        <v>9432009901</v>
      </c>
      <c r="E2603" s="3" t="s">
        <v>5</v>
      </c>
      <c r="F2603" s="3" t="s">
        <v>65</v>
      </c>
      <c r="H2603" s="3">
        <v>125.69999999999999</v>
      </c>
      <c r="I2603" s="10">
        <f t="shared" si="403"/>
        <v>23.332728892146637</v>
      </c>
      <c r="J2603" s="3">
        <v>161.6184723797673</v>
      </c>
      <c r="K2603" s="3">
        <v>168</v>
      </c>
      <c r="L2603" s="3">
        <f t="shared" si="404"/>
        <v>0</v>
      </c>
      <c r="N2603" s="11">
        <f t="shared" si="405"/>
        <v>-35.918472379767309</v>
      </c>
      <c r="O2603" s="3">
        <v>161.6184723797673</v>
      </c>
      <c r="P2603" s="11">
        <f t="shared" si="406"/>
        <v>-6.6672711078533631</v>
      </c>
      <c r="Q2603" s="12">
        <f t="shared" si="407"/>
        <v>-5.7990526759738286</v>
      </c>
      <c r="R2603" s="13">
        <f t="shared" si="408"/>
        <v>-3.1849715455509404</v>
      </c>
      <c r="S2603" s="3" t="s">
        <v>29</v>
      </c>
      <c r="T2603" s="3" t="s">
        <v>35</v>
      </c>
      <c r="U2603" s="10">
        <v>9432009900999</v>
      </c>
      <c r="V2603" s="3">
        <v>0.1</v>
      </c>
      <c r="W2603" s="3">
        <f t="shared" si="409"/>
        <v>16.8</v>
      </c>
      <c r="AA2603" s="3">
        <v>48</v>
      </c>
    </row>
    <row r="2604" spans="1:27" x14ac:dyDescent="0.3">
      <c r="A2604" s="3" t="str">
        <f t="shared" si="400"/>
        <v>South9330219913820</v>
      </c>
      <c r="B2604" s="3" t="str">
        <f t="shared" si="401"/>
        <v>CMR9330219913820</v>
      </c>
      <c r="C2604" s="10">
        <v>9330219913820</v>
      </c>
      <c r="D2604" s="10" t="str">
        <f t="shared" si="402"/>
        <v>9330219913</v>
      </c>
      <c r="E2604" s="3" t="s">
        <v>5</v>
      </c>
      <c r="F2604" s="3" t="s">
        <v>65</v>
      </c>
      <c r="H2604" s="3">
        <v>26.48</v>
      </c>
      <c r="I2604" s="10">
        <f t="shared" si="403"/>
        <v>5.2275441934499458</v>
      </c>
      <c r="J2604" s="3">
        <v>151.96428200365563</v>
      </c>
      <c r="K2604" s="3">
        <v>288</v>
      </c>
      <c r="L2604" s="3">
        <f t="shared" si="404"/>
        <v>0</v>
      </c>
      <c r="N2604" s="11">
        <f t="shared" si="405"/>
        <v>-125.48428200365562</v>
      </c>
      <c r="O2604" s="3">
        <v>151.96428200365563</v>
      </c>
      <c r="P2604" s="11">
        <f t="shared" si="406"/>
        <v>-24.772455806550052</v>
      </c>
      <c r="Q2604" s="12">
        <f t="shared" si="407"/>
        <v>-19.805738404462105</v>
      </c>
      <c r="R2604" s="13">
        <f t="shared" si="408"/>
        <v>-4.4253318049699377</v>
      </c>
      <c r="S2604" s="3" t="s">
        <v>29</v>
      </c>
      <c r="T2604" s="3" t="s">
        <v>35</v>
      </c>
      <c r="U2604" s="10">
        <v>0</v>
      </c>
      <c r="V2604" s="3">
        <v>0</v>
      </c>
      <c r="W2604" s="3">
        <f t="shared" si="409"/>
        <v>0</v>
      </c>
      <c r="AA2604" s="3">
        <v>48</v>
      </c>
    </row>
    <row r="2605" spans="1:27" x14ac:dyDescent="0.3">
      <c r="A2605" s="3" t="str">
        <f t="shared" si="400"/>
        <v>South9320029901320</v>
      </c>
      <c r="B2605" s="3" t="str">
        <f t="shared" si="401"/>
        <v>CMR9320029901320</v>
      </c>
      <c r="C2605" s="10">
        <v>9320029901320</v>
      </c>
      <c r="D2605" s="10" t="str">
        <f t="shared" si="402"/>
        <v>9320029901</v>
      </c>
      <c r="E2605" s="3" t="s">
        <v>5</v>
      </c>
      <c r="F2605" s="3" t="s">
        <v>65</v>
      </c>
      <c r="H2605" s="3">
        <v>176.73999999999995</v>
      </c>
      <c r="I2605" s="10">
        <f t="shared" si="403"/>
        <v>36.049309163722519</v>
      </c>
      <c r="J2605" s="3">
        <v>147.08187543676311</v>
      </c>
      <c r="K2605" s="3">
        <v>108</v>
      </c>
      <c r="L2605" s="3">
        <f t="shared" si="404"/>
        <v>0</v>
      </c>
      <c r="N2605" s="11">
        <f t="shared" si="405"/>
        <v>29.658124563236839</v>
      </c>
      <c r="O2605" s="3">
        <v>147.08187543676311</v>
      </c>
      <c r="P2605" s="11">
        <f t="shared" si="406"/>
        <v>6.0493091637225191</v>
      </c>
      <c r="Q2605" s="12">
        <f t="shared" si="407"/>
        <v>6.4832968764394616</v>
      </c>
      <c r="R2605" s="13">
        <f t="shared" si="408"/>
        <v>9.4573161093933802</v>
      </c>
      <c r="S2605" s="3" t="s">
        <v>29</v>
      </c>
      <c r="T2605" s="3" t="s">
        <v>28</v>
      </c>
      <c r="U2605" s="10">
        <v>9320029900999</v>
      </c>
      <c r="V2605" s="3">
        <v>0.1</v>
      </c>
      <c r="W2605" s="3">
        <f t="shared" si="409"/>
        <v>10.8</v>
      </c>
      <c r="AA2605" s="3">
        <v>48</v>
      </c>
    </row>
    <row r="2606" spans="1:27" x14ac:dyDescent="0.3">
      <c r="A2606" s="3" t="str">
        <f t="shared" si="400"/>
        <v>South9360049900320</v>
      </c>
      <c r="B2606" s="3" t="str">
        <f t="shared" si="401"/>
        <v>CMR9360049900320</v>
      </c>
      <c r="C2606" s="10">
        <v>9360049900320</v>
      </c>
      <c r="D2606" s="10" t="str">
        <f t="shared" si="402"/>
        <v>9360049900</v>
      </c>
      <c r="E2606" s="3" t="s">
        <v>5</v>
      </c>
      <c r="F2606" s="3" t="s">
        <v>65</v>
      </c>
      <c r="H2606" s="3">
        <v>112.44</v>
      </c>
      <c r="I2606" s="10">
        <f t="shared" si="403"/>
        <v>25.119625972535353</v>
      </c>
      <c r="J2606" s="3">
        <v>134.2854389507273</v>
      </c>
      <c r="K2606" s="3">
        <v>144</v>
      </c>
      <c r="L2606" s="3">
        <f t="shared" si="404"/>
        <v>0</v>
      </c>
      <c r="N2606" s="11">
        <f t="shared" si="405"/>
        <v>-21.845438950727299</v>
      </c>
      <c r="O2606" s="3">
        <v>134.2854389507273</v>
      </c>
      <c r="P2606" s="11">
        <f t="shared" si="406"/>
        <v>-4.8803740274646472</v>
      </c>
      <c r="Q2606" s="12">
        <f t="shared" si="407"/>
        <v>-4.8803740274646472</v>
      </c>
      <c r="R2606" s="13">
        <f t="shared" si="408"/>
        <v>-12.795776026595203</v>
      </c>
      <c r="S2606" s="3" t="s">
        <v>29</v>
      </c>
      <c r="T2606" s="3" t="s">
        <v>70</v>
      </c>
      <c r="U2606" s="10">
        <v>9360049900999</v>
      </c>
      <c r="V2606" s="3">
        <v>0.1</v>
      </c>
      <c r="W2606" s="3">
        <f t="shared" si="409"/>
        <v>14.4</v>
      </c>
      <c r="AA2606" s="3">
        <v>48</v>
      </c>
    </row>
    <row r="2607" spans="1:27" x14ac:dyDescent="0.3">
      <c r="A2607" s="3" t="str">
        <f t="shared" si="400"/>
        <v>South9437019900320</v>
      </c>
      <c r="B2607" s="3" t="str">
        <f t="shared" si="401"/>
        <v>CMR9437019900320</v>
      </c>
      <c r="C2607" s="10">
        <v>9437019900320</v>
      </c>
      <c r="D2607" s="10" t="str">
        <f t="shared" si="402"/>
        <v>9437019900</v>
      </c>
      <c r="E2607" s="3" t="s">
        <v>5</v>
      </c>
      <c r="F2607" s="3" t="s">
        <v>65</v>
      </c>
      <c r="H2607" s="3">
        <v>78.12</v>
      </c>
      <c r="I2607" s="10">
        <f t="shared" si="403"/>
        <v>18.617832420906129</v>
      </c>
      <c r="J2607" s="3">
        <v>125.87931543353838</v>
      </c>
      <c r="K2607" s="3">
        <v>144</v>
      </c>
      <c r="L2607" s="3">
        <f t="shared" si="404"/>
        <v>0</v>
      </c>
      <c r="N2607" s="11">
        <f t="shared" si="405"/>
        <v>-47.759315433538376</v>
      </c>
      <c r="O2607" s="3">
        <v>125.87931543353838</v>
      </c>
      <c r="P2607" s="11">
        <f t="shared" si="406"/>
        <v>-11.382167579093871</v>
      </c>
      <c r="Q2607" s="12">
        <f t="shared" si="407"/>
        <v>-13.603220875130813</v>
      </c>
      <c r="R2607" s="13">
        <f t="shared" si="408"/>
        <v>-12.572634329089414</v>
      </c>
      <c r="S2607" s="3" t="s">
        <v>29</v>
      </c>
      <c r="T2607" s="3" t="s">
        <v>35</v>
      </c>
      <c r="U2607" s="10">
        <v>0</v>
      </c>
      <c r="V2607" s="3">
        <v>0</v>
      </c>
      <c r="W2607" s="3">
        <f t="shared" si="409"/>
        <v>0</v>
      </c>
      <c r="AA2607" s="3">
        <v>48</v>
      </c>
    </row>
    <row r="2608" spans="1:27" x14ac:dyDescent="0.3">
      <c r="A2608" s="3" t="str">
        <f t="shared" si="400"/>
        <v>South9431009913810</v>
      </c>
      <c r="B2608" s="3" t="str">
        <f t="shared" si="401"/>
        <v>CMR9431009913810</v>
      </c>
      <c r="C2608" s="10">
        <v>9431009913810</v>
      </c>
      <c r="D2608" s="10" t="str">
        <f t="shared" si="402"/>
        <v>9431009913</v>
      </c>
      <c r="E2608" s="3" t="s">
        <v>5</v>
      </c>
      <c r="F2608" s="3" t="s">
        <v>65</v>
      </c>
      <c r="H2608" s="3">
        <v>46.129999999999995</v>
      </c>
      <c r="I2608" s="10">
        <f t="shared" si="403"/>
        <v>14.886070831879527</v>
      </c>
      <c r="J2608" s="3">
        <v>92.966103388160988</v>
      </c>
      <c r="K2608" s="3">
        <v>120</v>
      </c>
      <c r="L2608" s="3">
        <f t="shared" si="404"/>
        <v>0</v>
      </c>
      <c r="N2608" s="11">
        <f t="shared" si="405"/>
        <v>-46.836103388160993</v>
      </c>
      <c r="O2608" s="3">
        <v>92.966103388160988</v>
      </c>
      <c r="P2608" s="11">
        <f t="shared" si="406"/>
        <v>-15.113929168120473</v>
      </c>
      <c r="Q2608" s="12">
        <f t="shared" si="407"/>
        <v>-9.5533352037400654</v>
      </c>
      <c r="R2608" s="13">
        <f t="shared" si="408"/>
        <v>-1.8048507430937932</v>
      </c>
      <c r="S2608" s="3" t="s">
        <v>29</v>
      </c>
      <c r="T2608" s="3" t="s">
        <v>35</v>
      </c>
      <c r="U2608" s="10">
        <v>0</v>
      </c>
      <c r="V2608" s="3">
        <v>0</v>
      </c>
      <c r="W2608" s="3">
        <f t="shared" si="409"/>
        <v>0</v>
      </c>
      <c r="AA2608" s="3">
        <v>48</v>
      </c>
    </row>
    <row r="2609" spans="1:27" x14ac:dyDescent="0.3">
      <c r="A2609" s="3" t="str">
        <f t="shared" si="400"/>
        <v>South9320029900320</v>
      </c>
      <c r="B2609" s="3" t="str">
        <f t="shared" si="401"/>
        <v>CMR9320029900320</v>
      </c>
      <c r="C2609" s="10">
        <v>9320029900320</v>
      </c>
      <c r="D2609" s="10" t="str">
        <f t="shared" si="402"/>
        <v>9320029900</v>
      </c>
      <c r="E2609" s="3" t="s">
        <v>5</v>
      </c>
      <c r="F2609" s="3" t="s">
        <v>65</v>
      </c>
      <c r="H2609" s="3">
        <v>68.900000000000006</v>
      </c>
      <c r="I2609" s="10">
        <f t="shared" si="403"/>
        <v>24.690077042110303</v>
      </c>
      <c r="J2609" s="3">
        <v>83.717843264507295</v>
      </c>
      <c r="K2609" s="3">
        <v>120</v>
      </c>
      <c r="L2609" s="3">
        <f t="shared" si="404"/>
        <v>0</v>
      </c>
      <c r="N2609" s="11">
        <f t="shared" si="405"/>
        <v>-14.817843264507289</v>
      </c>
      <c r="O2609" s="3">
        <v>83.717843264507295</v>
      </c>
      <c r="P2609" s="11">
        <f t="shared" si="406"/>
        <v>-5.3099229578896976</v>
      </c>
      <c r="Q2609" s="12">
        <f t="shared" si="407"/>
        <v>-3.3382991197858849</v>
      </c>
      <c r="R2609" s="13">
        <f t="shared" si="408"/>
        <v>-2.4182637214499976</v>
      </c>
      <c r="S2609" s="3" t="s">
        <v>29</v>
      </c>
      <c r="T2609" s="3" t="s">
        <v>28</v>
      </c>
      <c r="U2609" s="10">
        <v>9320029900999</v>
      </c>
      <c r="V2609" s="3">
        <v>0.1</v>
      </c>
      <c r="W2609" s="3">
        <f t="shared" si="409"/>
        <v>12</v>
      </c>
      <c r="AA2609" s="3">
        <v>48</v>
      </c>
    </row>
    <row r="2610" spans="1:27" x14ac:dyDescent="0.3">
      <c r="A2610" s="3" t="str">
        <f t="shared" si="400"/>
        <v>South9330019900810</v>
      </c>
      <c r="B2610" s="3" t="str">
        <f t="shared" si="401"/>
        <v>CMR9330019900810</v>
      </c>
      <c r="C2610" s="10">
        <v>9330019900810</v>
      </c>
      <c r="D2610" s="10" t="str">
        <f t="shared" si="402"/>
        <v>9330019900</v>
      </c>
      <c r="E2610" s="3" t="s">
        <v>5</v>
      </c>
      <c r="F2610" s="3" t="s">
        <v>65</v>
      </c>
      <c r="H2610" s="3">
        <v>38.370000000000005</v>
      </c>
      <c r="I2610" s="10">
        <f t="shared" si="403"/>
        <v>14.879468399859876</v>
      </c>
      <c r="J2610" s="3">
        <v>77.361634775261223</v>
      </c>
      <c r="K2610" s="3">
        <v>120</v>
      </c>
      <c r="L2610" s="3">
        <f t="shared" si="404"/>
        <v>0</v>
      </c>
      <c r="N2610" s="11">
        <f t="shared" si="405"/>
        <v>-38.991634775261218</v>
      </c>
      <c r="O2610" s="3">
        <v>77.361634775261223</v>
      </c>
      <c r="P2610" s="11">
        <f t="shared" si="406"/>
        <v>-15.120531600140124</v>
      </c>
      <c r="Q2610" s="12">
        <f t="shared" si="407"/>
        <v>-11.32057206993025</v>
      </c>
      <c r="R2610" s="13">
        <f t="shared" si="408"/>
        <v>-9.2433968520070948</v>
      </c>
      <c r="S2610" s="3" t="s">
        <v>29</v>
      </c>
      <c r="T2610" s="3" t="s">
        <v>35</v>
      </c>
      <c r="U2610" s="10">
        <v>0</v>
      </c>
      <c r="V2610" s="3">
        <v>0</v>
      </c>
      <c r="W2610" s="3">
        <f t="shared" si="409"/>
        <v>0</v>
      </c>
      <c r="AA2610" s="3">
        <v>48</v>
      </c>
    </row>
    <row r="2611" spans="1:27" x14ac:dyDescent="0.3">
      <c r="A2611" s="3" t="str">
        <f t="shared" si="400"/>
        <v>South9432009901310</v>
      </c>
      <c r="B2611" s="3" t="str">
        <f t="shared" si="401"/>
        <v>CMR9432009901310</v>
      </c>
      <c r="C2611" s="10">
        <v>9432009901310</v>
      </c>
      <c r="D2611" s="10" t="str">
        <f t="shared" si="402"/>
        <v>9432009901</v>
      </c>
      <c r="E2611" s="3" t="s">
        <v>5</v>
      </c>
      <c r="F2611" s="3" t="s">
        <v>65</v>
      </c>
      <c r="H2611" s="3">
        <v>67.610000000000014</v>
      </c>
      <c r="I2611" s="10">
        <f t="shared" si="403"/>
        <v>27.046406639965969</v>
      </c>
      <c r="J2611" s="3">
        <v>74.993326359399603</v>
      </c>
      <c r="K2611" s="3">
        <v>72</v>
      </c>
      <c r="L2611" s="3">
        <f t="shared" si="404"/>
        <v>0</v>
      </c>
      <c r="N2611" s="11">
        <f t="shared" si="405"/>
        <v>-7.3833263593995895</v>
      </c>
      <c r="O2611" s="3">
        <v>74.993326359399603</v>
      </c>
      <c r="P2611" s="11">
        <f t="shared" si="406"/>
        <v>-2.9535933600340303</v>
      </c>
      <c r="Q2611" s="12">
        <f t="shared" si="407"/>
        <v>-4.1959182962994017</v>
      </c>
      <c r="R2611" s="13">
        <f t="shared" si="408"/>
        <v>-1.3984884331744118</v>
      </c>
      <c r="S2611" s="3" t="s">
        <v>29</v>
      </c>
      <c r="T2611" s="3" t="s">
        <v>35</v>
      </c>
      <c r="U2611" s="10">
        <v>9432009900999</v>
      </c>
      <c r="V2611" s="3">
        <v>0.1</v>
      </c>
      <c r="W2611" s="3">
        <f t="shared" si="409"/>
        <v>7.2</v>
      </c>
      <c r="AA2611" s="3">
        <v>48</v>
      </c>
    </row>
    <row r="2612" spans="1:27" x14ac:dyDescent="0.3">
      <c r="A2612" s="3" t="str">
        <f t="shared" si="400"/>
        <v>South9360039900310</v>
      </c>
      <c r="B2612" s="3" t="str">
        <f t="shared" si="401"/>
        <v>CMR9360039900310</v>
      </c>
      <c r="C2612" s="10">
        <v>9360039900310</v>
      </c>
      <c r="D2612" s="10" t="str">
        <f t="shared" si="402"/>
        <v>9360039900</v>
      </c>
      <c r="E2612" s="3" t="s">
        <v>5</v>
      </c>
      <c r="F2612" s="3" t="s">
        <v>65</v>
      </c>
      <c r="H2612" s="3">
        <v>44.240000000000009</v>
      </c>
      <c r="I2612" s="10">
        <f t="shared" si="403"/>
        <v>18.147313252099391</v>
      </c>
      <c r="J2612" s="3">
        <v>73.134793099273907</v>
      </c>
      <c r="K2612" s="3">
        <v>96</v>
      </c>
      <c r="L2612" s="3">
        <f t="shared" si="404"/>
        <v>0</v>
      </c>
      <c r="N2612" s="11">
        <f t="shared" si="405"/>
        <v>-28.894793099273897</v>
      </c>
      <c r="O2612" s="3">
        <v>73.134793099273907</v>
      </c>
      <c r="P2612" s="11">
        <f t="shared" si="406"/>
        <v>-11.852686747900613</v>
      </c>
      <c r="Q2612" s="12">
        <f t="shared" si="407"/>
        <v>-9.2960002524614147</v>
      </c>
      <c r="R2612" s="13">
        <f t="shared" si="408"/>
        <v>-10.711161244724483</v>
      </c>
      <c r="S2612" s="3" t="s">
        <v>29</v>
      </c>
      <c r="T2612" s="3" t="s">
        <v>33</v>
      </c>
      <c r="U2612" s="10">
        <v>9360039900999</v>
      </c>
      <c r="V2612" s="3">
        <v>0.1</v>
      </c>
      <c r="W2612" s="3">
        <f t="shared" si="409"/>
        <v>9.6000000000000014</v>
      </c>
      <c r="AA2612" s="3">
        <v>48</v>
      </c>
    </row>
    <row r="2613" spans="1:27" x14ac:dyDescent="0.3">
      <c r="A2613" s="3" t="str">
        <f t="shared" si="400"/>
        <v>South9437009900820</v>
      </c>
      <c r="B2613" s="3" t="str">
        <f t="shared" si="401"/>
        <v>CMR9437009900820</v>
      </c>
      <c r="C2613" s="10">
        <v>9437009900820</v>
      </c>
      <c r="D2613" s="10" t="str">
        <f t="shared" si="402"/>
        <v>9437009900</v>
      </c>
      <c r="E2613" s="3" t="s">
        <v>5</v>
      </c>
      <c r="F2613" s="3" t="s">
        <v>65</v>
      </c>
      <c r="H2613" s="3">
        <v>70.78</v>
      </c>
      <c r="I2613" s="10">
        <f t="shared" si="403"/>
        <v>37.692215656665347</v>
      </c>
      <c r="J2613" s="3">
        <v>56.335239598060248</v>
      </c>
      <c r="K2613" s="3">
        <v>36</v>
      </c>
      <c r="L2613" s="3">
        <f t="shared" si="404"/>
        <v>0</v>
      </c>
      <c r="N2613" s="11">
        <f t="shared" si="405"/>
        <v>14.444760401939753</v>
      </c>
      <c r="O2613" s="3">
        <v>56.335239598060248</v>
      </c>
      <c r="P2613" s="11">
        <f t="shared" si="406"/>
        <v>7.6922156566653461</v>
      </c>
      <c r="Q2613" s="12">
        <f t="shared" si="407"/>
        <v>6.3271880443832416</v>
      </c>
      <c r="R2613" s="13">
        <f t="shared" si="408"/>
        <v>5.1370180655364761</v>
      </c>
      <c r="S2613" s="3" t="s">
        <v>29</v>
      </c>
      <c r="T2613" s="3" t="s">
        <v>35</v>
      </c>
      <c r="U2613" s="10">
        <v>0</v>
      </c>
      <c r="V2613" s="3">
        <v>0</v>
      </c>
      <c r="W2613" s="3">
        <f t="shared" si="409"/>
        <v>0</v>
      </c>
      <c r="AA2613" s="3">
        <v>48</v>
      </c>
    </row>
    <row r="2614" spans="1:27" x14ac:dyDescent="0.3">
      <c r="A2614" s="3" t="str">
        <f t="shared" si="400"/>
        <v>South9330219913810</v>
      </c>
      <c r="B2614" s="3" t="str">
        <f t="shared" si="401"/>
        <v>CMR9330219913810</v>
      </c>
      <c r="C2614" s="10">
        <v>9330219913810</v>
      </c>
      <c r="D2614" s="10" t="str">
        <f t="shared" si="402"/>
        <v>9330219913</v>
      </c>
      <c r="E2614" s="3" t="s">
        <v>5</v>
      </c>
      <c r="F2614" s="3" t="s">
        <v>65</v>
      </c>
      <c r="H2614" s="3">
        <v>16.059999999999999</v>
      </c>
      <c r="I2614" s="10">
        <f t="shared" si="403"/>
        <v>11.61006879017479</v>
      </c>
      <c r="J2614" s="3">
        <v>41.498462128642259</v>
      </c>
      <c r="K2614" s="3">
        <v>60</v>
      </c>
      <c r="L2614" s="3">
        <f t="shared" si="404"/>
        <v>0</v>
      </c>
      <c r="N2614" s="11">
        <f t="shared" si="405"/>
        <v>-25.438462128642261</v>
      </c>
      <c r="O2614" s="3">
        <v>41.498462128642259</v>
      </c>
      <c r="P2614" s="11">
        <f t="shared" si="406"/>
        <v>-18.38993120982521</v>
      </c>
      <c r="Q2614" s="12">
        <f t="shared" si="407"/>
        <v>-11.673175630373857</v>
      </c>
      <c r="R2614" s="13">
        <f t="shared" si="408"/>
        <v>5.561298658189922</v>
      </c>
      <c r="S2614" s="3" t="s">
        <v>29</v>
      </c>
      <c r="T2614" s="3" t="s">
        <v>35</v>
      </c>
      <c r="U2614" s="10">
        <v>0</v>
      </c>
      <c r="V2614" s="3">
        <v>0</v>
      </c>
      <c r="W2614" s="3">
        <f t="shared" si="409"/>
        <v>0</v>
      </c>
      <c r="AA2614" s="3">
        <v>48</v>
      </c>
    </row>
    <row r="2615" spans="1:27" x14ac:dyDescent="0.3">
      <c r="A2615" s="3" t="str">
        <f t="shared" si="400"/>
        <v>South9320089901320</v>
      </c>
      <c r="B2615" s="3" t="str">
        <f t="shared" si="401"/>
        <v>CMR9320089901320</v>
      </c>
      <c r="C2615" s="10">
        <v>9320089901320</v>
      </c>
      <c r="D2615" s="10" t="str">
        <f t="shared" si="402"/>
        <v>9320089901</v>
      </c>
      <c r="E2615" s="3" t="s">
        <v>5</v>
      </c>
      <c r="F2615" s="3" t="s">
        <v>65</v>
      </c>
      <c r="H2615" s="3">
        <v>61.08</v>
      </c>
      <c r="I2615" s="10">
        <f t="shared" si="403"/>
        <v>47.177159779378911</v>
      </c>
      <c r="J2615" s="3">
        <v>38.84082909121927</v>
      </c>
      <c r="K2615" s="3">
        <v>0</v>
      </c>
      <c r="L2615" s="3">
        <f t="shared" si="404"/>
        <v>0</v>
      </c>
      <c r="N2615" s="11">
        <f t="shared" si="405"/>
        <v>22.239170908780729</v>
      </c>
      <c r="O2615" s="3">
        <v>38.84082909121927</v>
      </c>
      <c r="P2615" s="11">
        <f t="shared" si="406"/>
        <v>17.177159779378908</v>
      </c>
      <c r="Q2615" s="12">
        <f t="shared" si="407"/>
        <v>23.000676806607274</v>
      </c>
      <c r="R2615" s="13">
        <f t="shared" si="408"/>
        <v>31.812152870329982</v>
      </c>
      <c r="S2615" s="3" t="s">
        <v>31</v>
      </c>
      <c r="T2615" s="3" t="s">
        <v>28</v>
      </c>
      <c r="U2615" s="10">
        <v>9320089900999</v>
      </c>
      <c r="V2615" s="3">
        <v>0.1</v>
      </c>
      <c r="W2615" s="3">
        <f t="shared" si="409"/>
        <v>0</v>
      </c>
      <c r="AA2615" s="3">
        <v>48</v>
      </c>
    </row>
    <row r="2616" spans="1:27" x14ac:dyDescent="0.3">
      <c r="A2616" s="3" t="str">
        <f t="shared" si="400"/>
        <v>South9320019900810</v>
      </c>
      <c r="B2616" s="3" t="str">
        <f t="shared" si="401"/>
        <v>CMR9320019900810</v>
      </c>
      <c r="C2616" s="10">
        <v>9320019900810</v>
      </c>
      <c r="D2616" s="10" t="str">
        <f t="shared" si="402"/>
        <v>9320019900</v>
      </c>
      <c r="E2616" s="3" t="s">
        <v>5</v>
      </c>
      <c r="F2616" s="3" t="s">
        <v>65</v>
      </c>
      <c r="H2616" s="3">
        <v>36.679999999999993</v>
      </c>
      <c r="I2616" s="10">
        <f t="shared" si="403"/>
        <v>29.682956607309347</v>
      </c>
      <c r="J2616" s="3">
        <v>37.071778750268741</v>
      </c>
      <c r="K2616" s="3">
        <v>24</v>
      </c>
      <c r="L2616" s="3">
        <f t="shared" si="404"/>
        <v>0</v>
      </c>
      <c r="N2616" s="11">
        <f t="shared" si="405"/>
        <v>-0.39177875026874887</v>
      </c>
      <c r="O2616" s="3">
        <v>37.071778750268741</v>
      </c>
      <c r="P2616" s="11">
        <f t="shared" si="406"/>
        <v>-0.31704339269065324</v>
      </c>
      <c r="Q2616" s="12">
        <f t="shared" si="407"/>
        <v>1.7785497660751577</v>
      </c>
      <c r="R2616" s="13">
        <f t="shared" si="408"/>
        <v>9.9235296770641845</v>
      </c>
      <c r="S2616" s="3" t="s">
        <v>29</v>
      </c>
      <c r="T2616" s="3" t="s">
        <v>28</v>
      </c>
      <c r="U2616" s="10">
        <v>0</v>
      </c>
      <c r="V2616" s="3">
        <v>0</v>
      </c>
      <c r="W2616" s="3">
        <f t="shared" si="409"/>
        <v>0</v>
      </c>
      <c r="AA2616" s="3">
        <v>48</v>
      </c>
    </row>
    <row r="2617" spans="1:27" x14ac:dyDescent="0.3">
      <c r="A2617" s="3" t="str">
        <f t="shared" si="400"/>
        <v>South9432029901320</v>
      </c>
      <c r="B2617" s="3" t="str">
        <f t="shared" si="401"/>
        <v>CMR9432029901320</v>
      </c>
      <c r="C2617" s="10">
        <v>9432029901320</v>
      </c>
      <c r="D2617" s="10" t="str">
        <f t="shared" si="402"/>
        <v>9432029901</v>
      </c>
      <c r="E2617" s="3" t="s">
        <v>5</v>
      </c>
      <c r="F2617" s="3" t="s">
        <v>65</v>
      </c>
      <c r="H2617" s="3">
        <v>40.916000000000004</v>
      </c>
      <c r="I2617" s="10">
        <f t="shared" si="403"/>
        <v>34.239129212963498</v>
      </c>
      <c r="J2617" s="3">
        <v>35.850210803119843</v>
      </c>
      <c r="K2617" s="3">
        <v>24</v>
      </c>
      <c r="L2617" s="3">
        <f t="shared" si="404"/>
        <v>0</v>
      </c>
      <c r="N2617" s="11">
        <f t="shared" si="405"/>
        <v>5.0657891968801607</v>
      </c>
      <c r="O2617" s="3">
        <v>35.850210803119843</v>
      </c>
      <c r="P2617" s="11">
        <f t="shared" si="406"/>
        <v>4.2391292129634959</v>
      </c>
      <c r="Q2617" s="12">
        <f t="shared" si="407"/>
        <v>25.528597200539178</v>
      </c>
      <c r="R2617" s="13">
        <f t="shared" si="408"/>
        <v>34.940925816612058</v>
      </c>
      <c r="S2617" s="3" t="s">
        <v>31</v>
      </c>
      <c r="T2617" s="3" t="s">
        <v>35</v>
      </c>
      <c r="U2617" s="10">
        <v>9432029900999</v>
      </c>
      <c r="V2617" s="3">
        <v>0.1</v>
      </c>
      <c r="W2617" s="3">
        <f t="shared" si="409"/>
        <v>2.4000000000000004</v>
      </c>
      <c r="AA2617" s="3">
        <v>48</v>
      </c>
    </row>
    <row r="2618" spans="1:27" x14ac:dyDescent="0.3">
      <c r="A2618" s="3" t="str">
        <f t="shared" si="400"/>
        <v>South9431009913840</v>
      </c>
      <c r="B2618" s="3" t="str">
        <f t="shared" si="401"/>
        <v>CMR9431009913840</v>
      </c>
      <c r="C2618" s="10">
        <v>9431009913840</v>
      </c>
      <c r="D2618" s="10" t="str">
        <f t="shared" si="402"/>
        <v>9431009913</v>
      </c>
      <c r="E2618" s="3" t="s">
        <v>5</v>
      </c>
      <c r="F2618" s="3" t="s">
        <v>65</v>
      </c>
      <c r="H2618" s="3">
        <v>23.091999999999995</v>
      </c>
      <c r="I2618" s="10">
        <f t="shared" si="403"/>
        <v>19.674683351288518</v>
      </c>
      <c r="J2618" s="3">
        <v>35.210731864440923</v>
      </c>
      <c r="K2618" s="3">
        <v>72</v>
      </c>
      <c r="L2618" s="3">
        <f t="shared" si="404"/>
        <v>0</v>
      </c>
      <c r="N2618" s="11">
        <f t="shared" si="405"/>
        <v>-12.118731864440928</v>
      </c>
      <c r="O2618" s="3">
        <v>35.210731864440923</v>
      </c>
      <c r="P2618" s="11">
        <f t="shared" si="406"/>
        <v>-10.325316648711485</v>
      </c>
      <c r="Q2618" s="12">
        <f t="shared" si="407"/>
        <v>-11.562356332871174</v>
      </c>
      <c r="R2618" s="13">
        <f t="shared" si="408"/>
        <v>-5.4650966833710344</v>
      </c>
      <c r="S2618" s="3" t="s">
        <v>29</v>
      </c>
      <c r="T2618" s="3" t="s">
        <v>35</v>
      </c>
      <c r="U2618" s="10">
        <v>0</v>
      </c>
      <c r="V2618" s="3">
        <v>0</v>
      </c>
      <c r="W2618" s="3">
        <f t="shared" si="409"/>
        <v>0</v>
      </c>
      <c r="AA2618" s="3">
        <v>48</v>
      </c>
    </row>
    <row r="2619" spans="1:27" x14ac:dyDescent="0.3">
      <c r="A2619" s="3" t="str">
        <f t="shared" si="400"/>
        <v>South9437019900310</v>
      </c>
      <c r="B2619" s="3" t="str">
        <f t="shared" si="401"/>
        <v>CMR9437019900310</v>
      </c>
      <c r="C2619" s="10">
        <v>9437019900310</v>
      </c>
      <c r="D2619" s="10" t="str">
        <f t="shared" si="402"/>
        <v>9437019900</v>
      </c>
      <c r="E2619" s="3" t="s">
        <v>5</v>
      </c>
      <c r="F2619" s="3" t="s">
        <v>65</v>
      </c>
      <c r="H2619" s="3">
        <v>33.199999999999996</v>
      </c>
      <c r="I2619" s="10">
        <f t="shared" si="403"/>
        <v>29.445028783085355</v>
      </c>
      <c r="J2619" s="3">
        <v>33.825743806783109</v>
      </c>
      <c r="K2619" s="3">
        <v>36</v>
      </c>
      <c r="L2619" s="3">
        <f t="shared" si="404"/>
        <v>0</v>
      </c>
      <c r="N2619" s="11">
        <f t="shared" si="405"/>
        <v>-0.62574380678311314</v>
      </c>
      <c r="O2619" s="3">
        <v>33.825743806783109</v>
      </c>
      <c r="P2619" s="11">
        <f t="shared" si="406"/>
        <v>-0.55497121691464368</v>
      </c>
      <c r="Q2619" s="12">
        <f t="shared" si="407"/>
        <v>1.8809276825514381</v>
      </c>
      <c r="R2619" s="13">
        <f t="shared" si="408"/>
        <v>-5.621670159363906</v>
      </c>
      <c r="S2619" s="3" t="s">
        <v>29</v>
      </c>
      <c r="T2619" s="3" t="s">
        <v>35</v>
      </c>
      <c r="U2619" s="10">
        <v>0</v>
      </c>
      <c r="V2619" s="3">
        <v>0</v>
      </c>
      <c r="W2619" s="3">
        <f t="shared" si="409"/>
        <v>0</v>
      </c>
      <c r="AA2619" s="3">
        <v>48</v>
      </c>
    </row>
    <row r="2620" spans="1:27" x14ac:dyDescent="0.3">
      <c r="A2620" s="3" t="str">
        <f t="shared" si="400"/>
        <v>South9432009901840</v>
      </c>
      <c r="B2620" s="3" t="str">
        <f t="shared" si="401"/>
        <v>CMR9432009901840</v>
      </c>
      <c r="C2620" s="10">
        <v>9432009901840</v>
      </c>
      <c r="D2620" s="10" t="str">
        <f t="shared" si="402"/>
        <v>9432009901</v>
      </c>
      <c r="E2620" s="3" t="s">
        <v>5</v>
      </c>
      <c r="F2620" s="3" t="s">
        <v>65</v>
      </c>
      <c r="H2620" s="3">
        <v>23.783999999999999</v>
      </c>
      <c r="I2620" s="10">
        <f t="shared" si="403"/>
        <v>23.253494819487052</v>
      </c>
      <c r="J2620" s="3">
        <v>30.684419935108036</v>
      </c>
      <c r="K2620" s="3">
        <v>36</v>
      </c>
      <c r="L2620" s="3">
        <f t="shared" si="404"/>
        <v>0</v>
      </c>
      <c r="N2620" s="11">
        <f t="shared" si="405"/>
        <v>-6.9004199351080366</v>
      </c>
      <c r="O2620" s="3">
        <v>30.684419935108036</v>
      </c>
      <c r="P2620" s="11">
        <f t="shared" si="406"/>
        <v>-6.7465051805129468</v>
      </c>
      <c r="Q2620" s="12">
        <f t="shared" si="407"/>
        <v>-5.2291525418614366</v>
      </c>
      <c r="R2620" s="13">
        <f t="shared" si="408"/>
        <v>-1.9751548200886611</v>
      </c>
      <c r="S2620" s="3" t="s">
        <v>29</v>
      </c>
      <c r="T2620" s="3" t="s">
        <v>35</v>
      </c>
      <c r="U2620" s="10">
        <v>0</v>
      </c>
      <c r="V2620" s="3">
        <v>0</v>
      </c>
      <c r="W2620" s="3">
        <f t="shared" si="409"/>
        <v>0</v>
      </c>
      <c r="AA2620" s="3">
        <v>48</v>
      </c>
    </row>
    <row r="2621" spans="1:27" x14ac:dyDescent="0.3">
      <c r="A2621" s="3" t="str">
        <f t="shared" si="400"/>
        <v>South9320029901310</v>
      </c>
      <c r="B2621" s="3" t="str">
        <f t="shared" si="401"/>
        <v>CMR9320029901310</v>
      </c>
      <c r="C2621" s="10">
        <v>9320029901310</v>
      </c>
      <c r="D2621" s="10" t="str">
        <f t="shared" si="402"/>
        <v>9320029901</v>
      </c>
      <c r="E2621" s="3" t="s">
        <v>5</v>
      </c>
      <c r="F2621" s="3" t="s">
        <v>65</v>
      </c>
      <c r="H2621" s="3">
        <v>33.320000000000007</v>
      </c>
      <c r="I2621" s="10">
        <f t="shared" si="403"/>
        <v>33.816009033334296</v>
      </c>
      <c r="J2621" s="3">
        <v>29.559963714660697</v>
      </c>
      <c r="K2621" s="3">
        <v>24</v>
      </c>
      <c r="L2621" s="3">
        <f t="shared" si="404"/>
        <v>0</v>
      </c>
      <c r="N2621" s="11">
        <f t="shared" si="405"/>
        <v>3.7600362853393108</v>
      </c>
      <c r="O2621" s="3">
        <v>29.559963714660697</v>
      </c>
      <c r="P2621" s="11">
        <f t="shared" si="406"/>
        <v>3.8160090333342991</v>
      </c>
      <c r="Q2621" s="12">
        <f t="shared" si="407"/>
        <v>3.7827226678528829</v>
      </c>
      <c r="R2621" s="13">
        <f t="shared" si="408"/>
        <v>10.117410198257529</v>
      </c>
      <c r="S2621" s="3" t="s">
        <v>29</v>
      </c>
      <c r="T2621" s="3" t="s">
        <v>28</v>
      </c>
      <c r="U2621" s="10">
        <v>9320029900999</v>
      </c>
      <c r="V2621" s="3">
        <v>0.1</v>
      </c>
      <c r="W2621" s="3">
        <f t="shared" si="409"/>
        <v>2.4000000000000004</v>
      </c>
      <c r="AA2621" s="3">
        <v>48</v>
      </c>
    </row>
    <row r="2622" spans="1:27" x14ac:dyDescent="0.3">
      <c r="A2622" s="3" t="str">
        <f t="shared" si="400"/>
        <v>South9320089900320</v>
      </c>
      <c r="B2622" s="3" t="str">
        <f t="shared" si="401"/>
        <v>CMR9320089900320</v>
      </c>
      <c r="C2622" s="10">
        <v>9320089900320</v>
      </c>
      <c r="D2622" s="10" t="str">
        <f t="shared" si="402"/>
        <v>9320089900</v>
      </c>
      <c r="E2622" s="3" t="s">
        <v>5</v>
      </c>
      <c r="F2622" s="3" t="s">
        <v>65</v>
      </c>
      <c r="H2622" s="3">
        <v>65.800000000000011</v>
      </c>
      <c r="I2622" s="10">
        <f t="shared" si="403"/>
        <v>87.864013206556436</v>
      </c>
      <c r="J2622" s="3">
        <v>22.466535820067687</v>
      </c>
      <c r="K2622" s="3">
        <v>0</v>
      </c>
      <c r="L2622" s="3">
        <f t="shared" si="404"/>
        <v>0</v>
      </c>
      <c r="N2622" s="11">
        <f t="shared" si="405"/>
        <v>43.333464179932321</v>
      </c>
      <c r="O2622" s="3">
        <v>22.466535820067687</v>
      </c>
      <c r="P2622" s="11">
        <f t="shared" si="406"/>
        <v>57.864013206556422</v>
      </c>
      <c r="Q2622" s="12">
        <f t="shared" si="407"/>
        <v>54.788237341133311</v>
      </c>
      <c r="R2622" s="13">
        <f t="shared" si="408"/>
        <v>49.657770810926209</v>
      </c>
      <c r="S2622" s="3" t="s">
        <v>31</v>
      </c>
      <c r="T2622" s="3" t="s">
        <v>28</v>
      </c>
      <c r="U2622" s="10">
        <v>9320089900999</v>
      </c>
      <c r="V2622" s="3">
        <v>0.1</v>
      </c>
      <c r="W2622" s="3">
        <f t="shared" si="409"/>
        <v>0</v>
      </c>
      <c r="AA2622" s="3">
        <v>48</v>
      </c>
    </row>
    <row r="2623" spans="1:27" x14ac:dyDescent="0.3">
      <c r="A2623" s="3" t="str">
        <f t="shared" si="400"/>
        <v>South9320029900310</v>
      </c>
      <c r="B2623" s="3" t="str">
        <f t="shared" si="401"/>
        <v>CMR9320029900310</v>
      </c>
      <c r="C2623" s="10">
        <v>9320029900310</v>
      </c>
      <c r="D2623" s="10" t="str">
        <f t="shared" si="402"/>
        <v>9320029900</v>
      </c>
      <c r="E2623" s="3" t="s">
        <v>5</v>
      </c>
      <c r="F2623" s="3" t="s">
        <v>65</v>
      </c>
      <c r="H2623" s="3">
        <v>30.439999999999998</v>
      </c>
      <c r="I2623" s="10">
        <f t="shared" si="403"/>
        <v>41.47782233019953</v>
      </c>
      <c r="J2623" s="3">
        <v>22.016584977150774</v>
      </c>
      <c r="K2623" s="3">
        <v>12</v>
      </c>
      <c r="L2623" s="3">
        <f t="shared" si="404"/>
        <v>0</v>
      </c>
      <c r="N2623" s="11">
        <f t="shared" si="405"/>
        <v>8.4234150228492233</v>
      </c>
      <c r="O2623" s="3">
        <v>22.016584977150774</v>
      </c>
      <c r="P2623" s="11">
        <f t="shared" si="406"/>
        <v>11.477822330199531</v>
      </c>
      <c r="Q2623" s="12">
        <f t="shared" si="407"/>
        <v>13.287608270593944</v>
      </c>
      <c r="R2623" s="13">
        <f t="shared" si="408"/>
        <v>9.5182439109816208</v>
      </c>
      <c r="S2623" s="3" t="s">
        <v>30</v>
      </c>
      <c r="T2623" s="3" t="s">
        <v>28</v>
      </c>
      <c r="U2623" s="10">
        <v>9320029900999</v>
      </c>
      <c r="V2623" s="3">
        <v>0.1</v>
      </c>
      <c r="W2623" s="3">
        <f t="shared" si="409"/>
        <v>1.2000000000000002</v>
      </c>
      <c r="AA2623" s="3">
        <v>48</v>
      </c>
    </row>
    <row r="2624" spans="1:27" x14ac:dyDescent="0.3">
      <c r="A2624" s="3" t="str">
        <f t="shared" si="400"/>
        <v>South9330019900840</v>
      </c>
      <c r="B2624" s="3" t="str">
        <f t="shared" si="401"/>
        <v>CMR9330019900840</v>
      </c>
      <c r="C2624" s="10">
        <v>9330019900840</v>
      </c>
      <c r="D2624" s="10" t="str">
        <f t="shared" si="402"/>
        <v>9330019900</v>
      </c>
      <c r="E2624" s="3" t="s">
        <v>5</v>
      </c>
      <c r="F2624" s="3" t="s">
        <v>65</v>
      </c>
      <c r="H2624" s="3">
        <v>20.751999999999999</v>
      </c>
      <c r="I2624" s="10">
        <f t="shared" si="403"/>
        <v>30.198270977886601</v>
      </c>
      <c r="J2624" s="3">
        <v>20.61574983732957</v>
      </c>
      <c r="K2624" s="3">
        <v>0</v>
      </c>
      <c r="L2624" s="3">
        <f t="shared" si="404"/>
        <v>0</v>
      </c>
      <c r="N2624" s="11">
        <f t="shared" si="405"/>
        <v>0.13625016267042867</v>
      </c>
      <c r="O2624" s="3">
        <v>20.61574983732957</v>
      </c>
      <c r="P2624" s="11">
        <f t="shared" si="406"/>
        <v>0.19827097788660053</v>
      </c>
      <c r="Q2624" s="12">
        <f t="shared" si="407"/>
        <v>3.0975456617129535</v>
      </c>
      <c r="R2624" s="13">
        <f t="shared" si="408"/>
        <v>9.4476303331844651</v>
      </c>
      <c r="S2624" s="3" t="s">
        <v>29</v>
      </c>
      <c r="T2624" s="3" t="s">
        <v>35</v>
      </c>
      <c r="U2624" s="10">
        <v>0</v>
      </c>
      <c r="V2624" s="3">
        <v>0</v>
      </c>
      <c r="W2624" s="3">
        <f t="shared" si="409"/>
        <v>0</v>
      </c>
      <c r="AA2624" s="3">
        <v>48</v>
      </c>
    </row>
    <row r="2625" spans="1:27" x14ac:dyDescent="0.3">
      <c r="A2625" s="3" t="str">
        <f t="shared" si="400"/>
        <v>South9420039901320</v>
      </c>
      <c r="B2625" s="3" t="str">
        <f t="shared" si="401"/>
        <v>CMR9420039901320</v>
      </c>
      <c r="C2625" s="10">
        <v>9420039901320</v>
      </c>
      <c r="D2625" s="10" t="str">
        <f t="shared" si="402"/>
        <v>9420039901</v>
      </c>
      <c r="E2625" s="3" t="s">
        <v>5</v>
      </c>
      <c r="F2625" s="3" t="s">
        <v>65</v>
      </c>
      <c r="H2625" s="3">
        <v>17.34</v>
      </c>
      <c r="I2625" s="10">
        <f t="shared" si="403"/>
        <v>25.865591925043908</v>
      </c>
      <c r="J2625" s="3">
        <v>20.111660367467771</v>
      </c>
      <c r="K2625" s="3">
        <v>12</v>
      </c>
      <c r="L2625" s="3">
        <f t="shared" si="404"/>
        <v>0</v>
      </c>
      <c r="N2625" s="11">
        <f t="shared" si="405"/>
        <v>-2.7716603674677707</v>
      </c>
      <c r="O2625" s="3">
        <v>20.111660367467771</v>
      </c>
      <c r="P2625" s="11">
        <f t="shared" si="406"/>
        <v>-4.1344080749560899</v>
      </c>
      <c r="Q2625" s="12">
        <f t="shared" si="407"/>
        <v>11.908656445346045</v>
      </c>
      <c r="R2625" s="13">
        <f t="shared" si="408"/>
        <v>12.411220962330324</v>
      </c>
      <c r="S2625" s="3" t="s">
        <v>29</v>
      </c>
      <c r="T2625" s="3" t="s">
        <v>28</v>
      </c>
      <c r="U2625" s="10">
        <v>9420039900999</v>
      </c>
      <c r="V2625" s="3">
        <v>0.1</v>
      </c>
      <c r="W2625" s="3">
        <f t="shared" si="409"/>
        <v>1.2000000000000002</v>
      </c>
      <c r="AA2625" s="3">
        <v>48</v>
      </c>
    </row>
    <row r="2626" spans="1:27" x14ac:dyDescent="0.3">
      <c r="A2626" s="3" t="str">
        <f t="shared" si="400"/>
        <v>South9360049900310</v>
      </c>
      <c r="B2626" s="3" t="str">
        <f t="shared" si="401"/>
        <v>CMR9360049900310</v>
      </c>
      <c r="C2626" s="10">
        <v>9360049900310</v>
      </c>
      <c r="D2626" s="10" t="str">
        <f t="shared" si="402"/>
        <v>9360049900</v>
      </c>
      <c r="E2626" s="3" t="s">
        <v>5</v>
      </c>
      <c r="F2626" s="3" t="s">
        <v>65</v>
      </c>
      <c r="H2626" s="3">
        <v>20.939999999999998</v>
      </c>
      <c r="I2626" s="10">
        <f t="shared" si="403"/>
        <v>34.426834257448071</v>
      </c>
      <c r="J2626" s="3">
        <v>18.247393742400003</v>
      </c>
      <c r="K2626" s="3">
        <v>36</v>
      </c>
      <c r="L2626" s="3">
        <f t="shared" si="404"/>
        <v>0</v>
      </c>
      <c r="N2626" s="11">
        <f t="shared" si="405"/>
        <v>2.6926062575999943</v>
      </c>
      <c r="O2626" s="3">
        <v>18.247393742400003</v>
      </c>
      <c r="P2626" s="11">
        <f t="shared" si="406"/>
        <v>4.4268342574480677</v>
      </c>
      <c r="Q2626" s="12">
        <f t="shared" si="407"/>
        <v>4.4268342574480677</v>
      </c>
      <c r="R2626" s="13">
        <f t="shared" si="408"/>
        <v>-1.0585234656142879</v>
      </c>
      <c r="S2626" s="3" t="s">
        <v>31</v>
      </c>
      <c r="T2626" s="3" t="s">
        <v>70</v>
      </c>
      <c r="U2626" s="10">
        <v>0</v>
      </c>
      <c r="V2626" s="3">
        <v>0</v>
      </c>
      <c r="W2626" s="3">
        <f t="shared" si="409"/>
        <v>0</v>
      </c>
      <c r="AA2626" s="3">
        <v>48</v>
      </c>
    </row>
    <row r="2627" spans="1:27" x14ac:dyDescent="0.3">
      <c r="A2627" s="3" t="str">
        <f t="shared" si="400"/>
        <v>South9360109922210</v>
      </c>
      <c r="B2627" s="3" t="str">
        <f t="shared" si="401"/>
        <v>CMR9360109922210</v>
      </c>
      <c r="C2627" s="10">
        <v>9360109922210</v>
      </c>
      <c r="D2627" s="10" t="str">
        <f t="shared" si="402"/>
        <v>9360109922</v>
      </c>
      <c r="E2627" s="3" t="s">
        <v>5</v>
      </c>
      <c r="F2627" s="3" t="s">
        <v>65</v>
      </c>
      <c r="H2627" s="3">
        <v>87.857000000000014</v>
      </c>
      <c r="I2627" s="10">
        <f t="shared" si="403"/>
        <v>157.47699185851457</v>
      </c>
      <c r="J2627" s="3">
        <v>16.737111681483334</v>
      </c>
      <c r="K2627" s="3">
        <v>0</v>
      </c>
      <c r="L2627" s="3">
        <f t="shared" si="404"/>
        <v>0</v>
      </c>
      <c r="N2627" s="11">
        <f t="shared" si="405"/>
        <v>71.119888318516672</v>
      </c>
      <c r="O2627" s="3">
        <v>16.737111681483334</v>
      </c>
      <c r="P2627" s="11">
        <f t="shared" si="406"/>
        <v>127.47699185851458</v>
      </c>
      <c r="Q2627" s="12">
        <f t="shared" si="407"/>
        <v>127.47699185851458</v>
      </c>
      <c r="R2627" s="13">
        <f t="shared" si="408"/>
        <v>127.47699185851458</v>
      </c>
      <c r="S2627" s="3" t="s">
        <v>31</v>
      </c>
      <c r="T2627" s="3" t="s">
        <v>33</v>
      </c>
      <c r="U2627" s="10">
        <v>0</v>
      </c>
      <c r="V2627" s="3">
        <v>0</v>
      </c>
      <c r="W2627" s="3">
        <f t="shared" si="409"/>
        <v>0</v>
      </c>
      <c r="AA2627" s="3">
        <v>48</v>
      </c>
    </row>
    <row r="2628" spans="1:27" x14ac:dyDescent="0.3">
      <c r="A2628" s="3" t="str">
        <f t="shared" ref="A2628:A2691" si="410">_xlfn.CONCAT(F2628,C2628)</f>
        <v>South9420019901320</v>
      </c>
      <c r="B2628" s="3" t="str">
        <f t="shared" ref="B2628:B2691" si="411">_xlfn.CONCAT(E2628,C2628)</f>
        <v>CMR9420019901320</v>
      </c>
      <c r="C2628" s="10">
        <v>9420019901320</v>
      </c>
      <c r="D2628" s="10" t="str">
        <f t="shared" ref="D2628:D2691" si="412">LEFT(C2628,10)</f>
        <v>9420019901</v>
      </c>
      <c r="E2628" s="3" t="s">
        <v>5</v>
      </c>
      <c r="F2628" s="3" t="s">
        <v>65</v>
      </c>
      <c r="H2628" s="3">
        <v>30.259999999999998</v>
      </c>
      <c r="I2628" s="10">
        <f t="shared" ref="I2628:I2691" si="413">IFERROR(H2628/J2628*30,0)</f>
        <v>56.566579253029595</v>
      </c>
      <c r="J2628" s="3">
        <v>16.048345365543383</v>
      </c>
      <c r="K2628" s="3">
        <v>24</v>
      </c>
      <c r="L2628" s="3">
        <f t="shared" ref="L2628:L2691" si="414">M2628*G2628</f>
        <v>0</v>
      </c>
      <c r="N2628" s="11">
        <f t="shared" ref="N2628:N2691" si="415">H2628-J2628+L2628</f>
        <v>14.211654634456615</v>
      </c>
      <c r="O2628" s="3">
        <v>16.048345365543383</v>
      </c>
      <c r="P2628" s="11">
        <f t="shared" ref="P2628:P2691" si="416">IF(O2628=0,9999,N2628/O2628*30)</f>
        <v>26.566579253029591</v>
      </c>
      <c r="Q2628" s="12">
        <f t="shared" ref="Q2628:Q2691" si="417">IF(SUMIF($A:$A,$A2628,$O:$O)=0,9999,SUMIF($A:$A,$A2628,$N:$N)*30/SUMIF($A:$A,$A2628,$O:$O))</f>
        <v>15.934514503376121</v>
      </c>
      <c r="R2628" s="13">
        <f t="shared" ref="R2628:R2691" si="418">IF(SUMIF($C:$C,$C2628,$O:$O)=0,9999,SUMIF($C:$C,$C2628,$N:$N)*30/SUMIF($C:$C,$C2628,$O:$O))</f>
        <v>9.1596073909749496</v>
      </c>
      <c r="S2628" s="3" t="s">
        <v>30</v>
      </c>
      <c r="T2628" s="3" t="s">
        <v>28</v>
      </c>
      <c r="U2628" s="10">
        <v>9420019900999</v>
      </c>
      <c r="V2628" s="3">
        <v>0.1</v>
      </c>
      <c r="W2628" s="3">
        <f t="shared" ref="W2628:W2691" si="419">IFERROR(K2628*V2628,0)</f>
        <v>2.4000000000000004</v>
      </c>
      <c r="AA2628" s="3">
        <v>48</v>
      </c>
    </row>
    <row r="2629" spans="1:27" x14ac:dyDescent="0.3">
      <c r="A2629" s="3" t="str">
        <f t="shared" si="410"/>
        <v>South9360109922240</v>
      </c>
      <c r="B2629" s="3" t="str">
        <f t="shared" si="411"/>
        <v>CMR9360109922240</v>
      </c>
      <c r="C2629" s="10">
        <v>9360109922240</v>
      </c>
      <c r="D2629" s="10" t="str">
        <f t="shared" si="412"/>
        <v>9360109922</v>
      </c>
      <c r="E2629" s="3" t="s">
        <v>5</v>
      </c>
      <c r="F2629" s="3" t="s">
        <v>65</v>
      </c>
      <c r="H2629" s="3">
        <v>54.183999999999962</v>
      </c>
      <c r="I2629" s="10">
        <f t="shared" si="413"/>
        <v>101.38440738202188</v>
      </c>
      <c r="J2629" s="3">
        <v>16.033234715028243</v>
      </c>
      <c r="K2629" s="3">
        <v>0</v>
      </c>
      <c r="L2629" s="3">
        <f t="shared" si="414"/>
        <v>0</v>
      </c>
      <c r="N2629" s="11">
        <f t="shared" si="415"/>
        <v>38.150765284971719</v>
      </c>
      <c r="O2629" s="3">
        <v>16.033234715028243</v>
      </c>
      <c r="P2629" s="11">
        <f t="shared" si="416"/>
        <v>71.384407382021877</v>
      </c>
      <c r="Q2629" s="12">
        <f t="shared" si="417"/>
        <v>71.384407382021877</v>
      </c>
      <c r="R2629" s="13">
        <f t="shared" si="418"/>
        <v>71.384407382021877</v>
      </c>
      <c r="S2629" s="3" t="s">
        <v>31</v>
      </c>
      <c r="T2629" s="3" t="s">
        <v>33</v>
      </c>
      <c r="U2629" s="10">
        <v>0</v>
      </c>
      <c r="V2629" s="3">
        <v>0</v>
      </c>
      <c r="W2629" s="3">
        <f t="shared" si="419"/>
        <v>0</v>
      </c>
      <c r="AA2629" s="3">
        <v>48</v>
      </c>
    </row>
    <row r="2630" spans="1:27" x14ac:dyDescent="0.3">
      <c r="A2630" s="3" t="str">
        <f t="shared" si="410"/>
        <v>South9432029900320</v>
      </c>
      <c r="B2630" s="3" t="str">
        <f t="shared" si="411"/>
        <v>CMR9432029900320</v>
      </c>
      <c r="C2630" s="10">
        <v>9432029900320</v>
      </c>
      <c r="D2630" s="10" t="str">
        <f t="shared" si="412"/>
        <v>9432029900</v>
      </c>
      <c r="E2630" s="3" t="s">
        <v>5</v>
      </c>
      <c r="F2630" s="3" t="s">
        <v>65</v>
      </c>
      <c r="H2630" s="3">
        <v>18.096</v>
      </c>
      <c r="I2630" s="10">
        <f t="shared" si="413"/>
        <v>34.893539321093691</v>
      </c>
      <c r="J2630" s="3">
        <v>15.558180986009079</v>
      </c>
      <c r="K2630" s="3">
        <v>0</v>
      </c>
      <c r="L2630" s="3">
        <f t="shared" si="414"/>
        <v>0</v>
      </c>
      <c r="N2630" s="11">
        <f t="shared" si="415"/>
        <v>2.5378190139909211</v>
      </c>
      <c r="O2630" s="3">
        <v>15.558180986009079</v>
      </c>
      <c r="P2630" s="11">
        <f t="shared" si="416"/>
        <v>4.8935393210936908</v>
      </c>
      <c r="Q2630" s="12">
        <f t="shared" si="417"/>
        <v>49.784725359943224</v>
      </c>
      <c r="R2630" s="13">
        <f t="shared" si="418"/>
        <v>44.067510562075888</v>
      </c>
      <c r="S2630" s="3" t="s">
        <v>31</v>
      </c>
      <c r="T2630" s="3" t="s">
        <v>35</v>
      </c>
      <c r="U2630" s="10">
        <v>9432029900999</v>
      </c>
      <c r="V2630" s="3">
        <v>0.1</v>
      </c>
      <c r="W2630" s="3">
        <f t="shared" si="419"/>
        <v>0</v>
      </c>
      <c r="AA2630" s="3">
        <v>48</v>
      </c>
    </row>
    <row r="2631" spans="1:27" x14ac:dyDescent="0.3">
      <c r="A2631" s="3" t="str">
        <f t="shared" si="410"/>
        <v>South9420039900320</v>
      </c>
      <c r="B2631" s="3" t="str">
        <f t="shared" si="411"/>
        <v>CMR9420039900320</v>
      </c>
      <c r="C2631" s="10">
        <v>9420039900320</v>
      </c>
      <c r="D2631" s="10" t="str">
        <f t="shared" si="412"/>
        <v>9420039900</v>
      </c>
      <c r="E2631" s="3" t="s">
        <v>5</v>
      </c>
      <c r="F2631" s="3" t="s">
        <v>65</v>
      </c>
      <c r="H2631" s="3">
        <v>8.6199999999999974</v>
      </c>
      <c r="I2631" s="10">
        <f t="shared" si="413"/>
        <v>17.708635648642495</v>
      </c>
      <c r="J2631" s="3">
        <v>14.603044815585418</v>
      </c>
      <c r="K2631" s="3">
        <v>36</v>
      </c>
      <c r="L2631" s="3">
        <f t="shared" si="414"/>
        <v>0</v>
      </c>
      <c r="N2631" s="11">
        <f t="shared" si="415"/>
        <v>-5.983044815585421</v>
      </c>
      <c r="O2631" s="3">
        <v>14.603044815585418</v>
      </c>
      <c r="P2631" s="11">
        <f t="shared" si="416"/>
        <v>-12.291364351357505</v>
      </c>
      <c r="Q2631" s="12">
        <f t="shared" si="417"/>
        <v>-9.5242381697124934</v>
      </c>
      <c r="R2631" s="13">
        <f t="shared" si="418"/>
        <v>23.422416878504819</v>
      </c>
      <c r="S2631" s="3" t="s">
        <v>30</v>
      </c>
      <c r="T2631" s="3" t="s">
        <v>28</v>
      </c>
      <c r="U2631" s="10">
        <v>9420039900999</v>
      </c>
      <c r="V2631" s="3">
        <v>0.1</v>
      </c>
      <c r="W2631" s="3">
        <f t="shared" si="419"/>
        <v>3.6</v>
      </c>
      <c r="AA2631" s="3">
        <v>48</v>
      </c>
    </row>
    <row r="2632" spans="1:27" x14ac:dyDescent="0.3">
      <c r="A2632" s="3" t="str">
        <f t="shared" si="410"/>
        <v>South9360039900840</v>
      </c>
      <c r="B2632" s="3" t="str">
        <f t="shared" si="411"/>
        <v>CMR9360039900840</v>
      </c>
      <c r="C2632" s="10">
        <v>9360039900840</v>
      </c>
      <c r="D2632" s="10" t="str">
        <f t="shared" si="412"/>
        <v>9360039900</v>
      </c>
      <c r="E2632" s="3" t="s">
        <v>5</v>
      </c>
      <c r="F2632" s="3" t="s">
        <v>65</v>
      </c>
      <c r="H2632" s="3">
        <v>2.9840000000000004</v>
      </c>
      <c r="I2632" s="10">
        <f t="shared" si="413"/>
        <v>6.1302474473221755</v>
      </c>
      <c r="J2632" s="3">
        <v>14.602999433424875</v>
      </c>
      <c r="K2632" s="3">
        <v>36</v>
      </c>
      <c r="L2632" s="3">
        <f t="shared" si="414"/>
        <v>0</v>
      </c>
      <c r="N2632" s="11">
        <f t="shared" si="415"/>
        <v>-11.618999433424875</v>
      </c>
      <c r="O2632" s="3">
        <v>14.602999433424875</v>
      </c>
      <c r="P2632" s="11">
        <f t="shared" si="416"/>
        <v>-23.869752552677827</v>
      </c>
      <c r="Q2632" s="12">
        <f t="shared" si="417"/>
        <v>-18.178119473509245</v>
      </c>
      <c r="R2632" s="13">
        <f t="shared" si="418"/>
        <v>-18.707730516871298</v>
      </c>
      <c r="S2632" s="3" t="s">
        <v>30</v>
      </c>
      <c r="T2632" s="3" t="s">
        <v>33</v>
      </c>
      <c r="U2632" s="10">
        <v>0</v>
      </c>
      <c r="V2632" s="3">
        <v>0</v>
      </c>
      <c r="W2632" s="3">
        <f t="shared" si="419"/>
        <v>0</v>
      </c>
      <c r="AA2632" s="3">
        <v>48</v>
      </c>
    </row>
    <row r="2633" spans="1:27" x14ac:dyDescent="0.3">
      <c r="A2633" s="3" t="str">
        <f t="shared" si="410"/>
        <v>South9100309901320</v>
      </c>
      <c r="B2633" s="3" t="str">
        <f t="shared" si="411"/>
        <v>CMR9100309901320</v>
      </c>
      <c r="C2633" s="10">
        <v>9100309901320</v>
      </c>
      <c r="D2633" s="10" t="str">
        <f t="shared" si="412"/>
        <v>9100309901</v>
      </c>
      <c r="E2633" s="3" t="s">
        <v>5</v>
      </c>
      <c r="F2633" s="3" t="s">
        <v>65</v>
      </c>
      <c r="H2633" s="3">
        <v>52.92</v>
      </c>
      <c r="I2633" s="10">
        <f t="shared" si="413"/>
        <v>110.31201476966332</v>
      </c>
      <c r="J2633" s="3">
        <v>14.391904665280419</v>
      </c>
      <c r="K2633" s="3">
        <v>0</v>
      </c>
      <c r="L2633" s="3">
        <f t="shared" si="414"/>
        <v>0</v>
      </c>
      <c r="N2633" s="11">
        <f t="shared" si="415"/>
        <v>38.52809533471958</v>
      </c>
      <c r="O2633" s="3">
        <v>14.391904665280419</v>
      </c>
      <c r="P2633" s="11">
        <f t="shared" si="416"/>
        <v>80.312014769663321</v>
      </c>
      <c r="Q2633" s="12">
        <f t="shared" si="417"/>
        <v>66.355128993098944</v>
      </c>
      <c r="R2633" s="13">
        <f t="shared" si="418"/>
        <v>38.292230513753402</v>
      </c>
      <c r="S2633" s="3" t="s">
        <v>29</v>
      </c>
      <c r="T2633" s="3" t="s">
        <v>34</v>
      </c>
      <c r="U2633" s="10">
        <v>0</v>
      </c>
      <c r="V2633" s="3">
        <v>0</v>
      </c>
      <c r="W2633" s="3">
        <f t="shared" si="419"/>
        <v>0</v>
      </c>
      <c r="AA2633" s="3">
        <v>48</v>
      </c>
    </row>
    <row r="2634" spans="1:27" x14ac:dyDescent="0.3">
      <c r="A2634" s="3" t="str">
        <f t="shared" si="410"/>
        <v>South9437009900810</v>
      </c>
      <c r="B2634" s="3" t="str">
        <f t="shared" si="411"/>
        <v>CMR9437009900810</v>
      </c>
      <c r="C2634" s="10">
        <v>9437009900810</v>
      </c>
      <c r="D2634" s="10" t="str">
        <f t="shared" si="412"/>
        <v>9437009900</v>
      </c>
      <c r="E2634" s="3" t="s">
        <v>5</v>
      </c>
      <c r="F2634" s="3" t="s">
        <v>65</v>
      </c>
      <c r="H2634" s="3">
        <v>17.839999999999996</v>
      </c>
      <c r="I2634" s="10">
        <f t="shared" si="413"/>
        <v>38.242343402556962</v>
      </c>
      <c r="J2634" s="3">
        <v>13.994958268279534</v>
      </c>
      <c r="K2634" s="3">
        <v>12</v>
      </c>
      <c r="L2634" s="3">
        <f t="shared" si="414"/>
        <v>0</v>
      </c>
      <c r="N2634" s="11">
        <f t="shared" si="415"/>
        <v>3.8450417317204622</v>
      </c>
      <c r="O2634" s="3">
        <v>13.994958268279534</v>
      </c>
      <c r="P2634" s="11">
        <f t="shared" si="416"/>
        <v>8.2423434025569655</v>
      </c>
      <c r="Q2634" s="12">
        <f t="shared" si="417"/>
        <v>9.0021693032899215</v>
      </c>
      <c r="R2634" s="13">
        <f t="shared" si="418"/>
        <v>12.39250820735101</v>
      </c>
      <c r="S2634" s="3" t="s">
        <v>29</v>
      </c>
      <c r="T2634" s="3" t="s">
        <v>35</v>
      </c>
      <c r="U2634" s="10">
        <v>0</v>
      </c>
      <c r="V2634" s="3">
        <v>0</v>
      </c>
      <c r="W2634" s="3">
        <f t="shared" si="419"/>
        <v>0</v>
      </c>
      <c r="AA2634" s="3">
        <v>48</v>
      </c>
    </row>
    <row r="2635" spans="1:27" x14ac:dyDescent="0.3">
      <c r="A2635" s="3" t="str">
        <f t="shared" si="410"/>
        <v>South9330219913840</v>
      </c>
      <c r="B2635" s="3" t="str">
        <f t="shared" si="411"/>
        <v>CMR9330219913840</v>
      </c>
      <c r="C2635" s="10">
        <v>9330219913840</v>
      </c>
      <c r="D2635" s="10" t="str">
        <f t="shared" si="412"/>
        <v>9330219913</v>
      </c>
      <c r="E2635" s="3" t="s">
        <v>5</v>
      </c>
      <c r="F2635" s="3" t="s">
        <v>65</v>
      </c>
      <c r="H2635" s="3">
        <v>8.0160000000000018</v>
      </c>
      <c r="I2635" s="10">
        <f t="shared" si="413"/>
        <v>17.455663875575429</v>
      </c>
      <c r="J2635" s="3">
        <v>13.776617246651272</v>
      </c>
      <c r="K2635" s="3">
        <v>24</v>
      </c>
      <c r="L2635" s="3">
        <f t="shared" si="414"/>
        <v>0</v>
      </c>
      <c r="N2635" s="11">
        <f t="shared" si="415"/>
        <v>-5.76061724665127</v>
      </c>
      <c r="O2635" s="3">
        <v>13.776617246651272</v>
      </c>
      <c r="P2635" s="11">
        <f t="shared" si="416"/>
        <v>-12.54433612442457</v>
      </c>
      <c r="Q2635" s="12">
        <f t="shared" si="417"/>
        <v>-5.9070169669014438</v>
      </c>
      <c r="R2635" s="13">
        <f t="shared" si="418"/>
        <v>13.994224541941199</v>
      </c>
      <c r="S2635" s="3" t="s">
        <v>30</v>
      </c>
      <c r="T2635" s="3" t="s">
        <v>35</v>
      </c>
      <c r="U2635" s="10">
        <v>0</v>
      </c>
      <c r="V2635" s="3">
        <v>0</v>
      </c>
      <c r="W2635" s="3">
        <f t="shared" si="419"/>
        <v>0</v>
      </c>
      <c r="AA2635" s="3">
        <v>48</v>
      </c>
    </row>
    <row r="2636" spans="1:27" x14ac:dyDescent="0.3">
      <c r="A2636" s="3" t="str">
        <f t="shared" si="410"/>
        <v>South9431009913210</v>
      </c>
      <c r="B2636" s="3" t="str">
        <f t="shared" si="411"/>
        <v>CMR9431009913210</v>
      </c>
      <c r="C2636" s="10">
        <v>9431009913210</v>
      </c>
      <c r="D2636" s="10" t="str">
        <f t="shared" si="412"/>
        <v>9431009913</v>
      </c>
      <c r="E2636" s="3" t="s">
        <v>5</v>
      </c>
      <c r="F2636" s="3" t="s">
        <v>65</v>
      </c>
      <c r="H2636" s="3">
        <v>13.513999999999999</v>
      </c>
      <c r="I2636" s="10">
        <f t="shared" si="413"/>
        <v>30.760003159724445</v>
      </c>
      <c r="J2636" s="3">
        <v>13.180102677324687</v>
      </c>
      <c r="K2636" s="3">
        <v>0</v>
      </c>
      <c r="L2636" s="3">
        <f t="shared" si="414"/>
        <v>0</v>
      </c>
      <c r="N2636" s="11">
        <f t="shared" si="415"/>
        <v>0.33389732267531258</v>
      </c>
      <c r="O2636" s="3">
        <v>13.180102677324687</v>
      </c>
      <c r="P2636" s="11">
        <f t="shared" si="416"/>
        <v>0.76000315972444488</v>
      </c>
      <c r="Q2636" s="12">
        <f t="shared" si="417"/>
        <v>11.229733569022715</v>
      </c>
      <c r="R2636" s="13">
        <f t="shared" si="418"/>
        <v>26.053752707382994</v>
      </c>
      <c r="S2636" s="3" t="s">
        <v>30</v>
      </c>
      <c r="T2636" s="3" t="s">
        <v>35</v>
      </c>
      <c r="U2636" s="10">
        <v>0</v>
      </c>
      <c r="V2636" s="3">
        <v>0</v>
      </c>
      <c r="W2636" s="3">
        <f t="shared" si="419"/>
        <v>0</v>
      </c>
      <c r="AA2636" s="3">
        <v>48</v>
      </c>
    </row>
    <row r="2637" spans="1:27" x14ac:dyDescent="0.3">
      <c r="A2637" s="3" t="str">
        <f t="shared" si="410"/>
        <v>South9101109900320</v>
      </c>
      <c r="B2637" s="3" t="str">
        <f t="shared" si="411"/>
        <v>CMR9101109900320</v>
      </c>
      <c r="C2637" s="10">
        <v>9101109900320</v>
      </c>
      <c r="D2637" s="10" t="str">
        <f t="shared" si="412"/>
        <v>9101109900</v>
      </c>
      <c r="E2637" s="3" t="s">
        <v>5</v>
      </c>
      <c r="F2637" s="3" t="s">
        <v>65</v>
      </c>
      <c r="H2637" s="3">
        <v>24.7</v>
      </c>
      <c r="I2637" s="10">
        <f t="shared" si="413"/>
        <v>58.547159927763609</v>
      </c>
      <c r="J2637" s="3">
        <v>12.656463625464621</v>
      </c>
      <c r="K2637" s="3">
        <v>0</v>
      </c>
      <c r="L2637" s="3">
        <f t="shared" si="414"/>
        <v>0</v>
      </c>
      <c r="N2637" s="11">
        <f t="shared" si="415"/>
        <v>12.043536374535378</v>
      </c>
      <c r="O2637" s="3">
        <v>12.656463625464621</v>
      </c>
      <c r="P2637" s="11">
        <f t="shared" si="416"/>
        <v>28.547159927763609</v>
      </c>
      <c r="Q2637" s="12">
        <f t="shared" si="417"/>
        <v>17.984320918051871</v>
      </c>
      <c r="R2637" s="13">
        <f t="shared" si="418"/>
        <v>45.040599103158151</v>
      </c>
      <c r="S2637" s="3" t="s">
        <v>29</v>
      </c>
      <c r="T2637" s="3" t="s">
        <v>34</v>
      </c>
      <c r="U2637" s="10">
        <v>0</v>
      </c>
      <c r="V2637" s="3">
        <v>0</v>
      </c>
      <c r="W2637" s="3">
        <f t="shared" si="419"/>
        <v>0</v>
      </c>
      <c r="AA2637" s="3">
        <v>48</v>
      </c>
    </row>
    <row r="2638" spans="1:27" x14ac:dyDescent="0.3">
      <c r="A2638" s="3" t="str">
        <f t="shared" si="410"/>
        <v>South9432009901210</v>
      </c>
      <c r="B2638" s="3" t="str">
        <f t="shared" si="411"/>
        <v>CMR9432009901210</v>
      </c>
      <c r="C2638" s="10">
        <v>9432009901210</v>
      </c>
      <c r="D2638" s="10" t="str">
        <f t="shared" si="412"/>
        <v>9432009901</v>
      </c>
      <c r="E2638" s="3" t="s">
        <v>5</v>
      </c>
      <c r="F2638" s="3" t="s">
        <v>65</v>
      </c>
      <c r="H2638" s="3">
        <v>10.595999999999998</v>
      </c>
      <c r="I2638" s="10">
        <f t="shared" si="413"/>
        <v>26.897796395897124</v>
      </c>
      <c r="J2638" s="3">
        <v>11.818068488632326</v>
      </c>
      <c r="K2638" s="3">
        <v>0</v>
      </c>
      <c r="L2638" s="3">
        <f t="shared" si="414"/>
        <v>0</v>
      </c>
      <c r="N2638" s="11">
        <f t="shared" si="415"/>
        <v>-1.2220684886323276</v>
      </c>
      <c r="O2638" s="3">
        <v>11.818068488632326</v>
      </c>
      <c r="P2638" s="11">
        <f t="shared" si="416"/>
        <v>-3.102203604102876</v>
      </c>
      <c r="Q2638" s="12">
        <f t="shared" si="417"/>
        <v>6.6723384393672891</v>
      </c>
      <c r="R2638" s="13">
        <f t="shared" si="418"/>
        <v>10.799641646358246</v>
      </c>
      <c r="S2638" s="3" t="s">
        <v>30</v>
      </c>
      <c r="T2638" s="3" t="s">
        <v>35</v>
      </c>
      <c r="U2638" s="10">
        <v>0</v>
      </c>
      <c r="V2638" s="3">
        <v>0</v>
      </c>
      <c r="W2638" s="3">
        <f t="shared" si="419"/>
        <v>0</v>
      </c>
      <c r="AA2638" s="3">
        <v>48</v>
      </c>
    </row>
    <row r="2639" spans="1:27" x14ac:dyDescent="0.3">
      <c r="A2639" s="3" t="str">
        <f t="shared" si="410"/>
        <v>South9432029901310</v>
      </c>
      <c r="B2639" s="3" t="str">
        <f t="shared" si="411"/>
        <v>CMR9432029901310</v>
      </c>
      <c r="C2639" s="10">
        <v>9432029901310</v>
      </c>
      <c r="D2639" s="10" t="str">
        <f t="shared" si="412"/>
        <v>9432029901</v>
      </c>
      <c r="E2639" s="3" t="s">
        <v>5</v>
      </c>
      <c r="F2639" s="3" t="s">
        <v>65</v>
      </c>
      <c r="H2639" s="3">
        <v>13.07</v>
      </c>
      <c r="I2639" s="10">
        <f t="shared" si="413"/>
        <v>34.222034541736456</v>
      </c>
      <c r="J2639" s="3">
        <v>11.457530367512291</v>
      </c>
      <c r="K2639" s="3">
        <v>36</v>
      </c>
      <c r="L2639" s="3">
        <f t="shared" si="414"/>
        <v>0</v>
      </c>
      <c r="N2639" s="11">
        <f t="shared" si="415"/>
        <v>1.6124696324877092</v>
      </c>
      <c r="O2639" s="3">
        <v>11.457530367512291</v>
      </c>
      <c r="P2639" s="11">
        <f t="shared" si="416"/>
        <v>4.2220345417364555</v>
      </c>
      <c r="Q2639" s="12">
        <f t="shared" si="417"/>
        <v>26.075910130304269</v>
      </c>
      <c r="R2639" s="13">
        <f t="shared" si="418"/>
        <v>43.777640765882907</v>
      </c>
      <c r="S2639" s="3" t="s">
        <v>31</v>
      </c>
      <c r="T2639" s="3" t="s">
        <v>35</v>
      </c>
      <c r="U2639" s="10">
        <v>9432029900999</v>
      </c>
      <c r="V2639" s="3">
        <v>0.1</v>
      </c>
      <c r="W2639" s="3">
        <f t="shared" si="419"/>
        <v>3.6</v>
      </c>
      <c r="AA2639" s="3">
        <v>48</v>
      </c>
    </row>
    <row r="2640" spans="1:27" x14ac:dyDescent="0.3">
      <c r="A2640" s="3" t="str">
        <f t="shared" si="410"/>
        <v>South9320029902219</v>
      </c>
      <c r="B2640" s="3" t="str">
        <f t="shared" si="411"/>
        <v>CMR9320029902219</v>
      </c>
      <c r="C2640" s="10">
        <v>9320029902219</v>
      </c>
      <c r="D2640" s="10" t="str">
        <f t="shared" si="412"/>
        <v>9320029902</v>
      </c>
      <c r="E2640" s="3" t="s">
        <v>5</v>
      </c>
      <c r="F2640" s="3" t="s">
        <v>65</v>
      </c>
      <c r="H2640" s="3">
        <v>13.942500000000003</v>
      </c>
      <c r="I2640" s="10">
        <f t="shared" si="413"/>
        <v>38.552746049509651</v>
      </c>
      <c r="J2640" s="3">
        <v>10.8494217107868</v>
      </c>
      <c r="K2640" s="3">
        <v>0</v>
      </c>
      <c r="L2640" s="3">
        <f t="shared" si="414"/>
        <v>0</v>
      </c>
      <c r="N2640" s="11">
        <f t="shared" si="415"/>
        <v>3.0930782892132029</v>
      </c>
      <c r="O2640" s="3">
        <v>10.8494217107868</v>
      </c>
      <c r="P2640" s="11">
        <f t="shared" si="416"/>
        <v>8.5527460495096559</v>
      </c>
      <c r="Q2640" s="12">
        <f t="shared" si="417"/>
        <v>17.350040587828875</v>
      </c>
      <c r="R2640" s="13">
        <f t="shared" si="418"/>
        <v>24.165952135270057</v>
      </c>
      <c r="S2640" s="3" t="s">
        <v>29</v>
      </c>
      <c r="T2640" s="3" t="s">
        <v>28</v>
      </c>
      <c r="U2640" s="10">
        <v>9320029900999</v>
      </c>
      <c r="V2640" s="3">
        <v>0.1</v>
      </c>
      <c r="W2640" s="3">
        <f t="shared" si="419"/>
        <v>0</v>
      </c>
      <c r="AA2640" s="3">
        <v>48</v>
      </c>
    </row>
    <row r="2641" spans="1:27" x14ac:dyDescent="0.3">
      <c r="A2641" s="3" t="str">
        <f t="shared" si="410"/>
        <v>South9181709900320</v>
      </c>
      <c r="B2641" s="3" t="str">
        <f t="shared" si="411"/>
        <v>CMR9181709900320</v>
      </c>
      <c r="C2641" s="10">
        <v>9181709900320</v>
      </c>
      <c r="D2641" s="10" t="str">
        <f t="shared" si="412"/>
        <v>9181709900</v>
      </c>
      <c r="E2641" s="3" t="s">
        <v>5</v>
      </c>
      <c r="F2641" s="3" t="s">
        <v>65</v>
      </c>
      <c r="H2641" s="3">
        <v>26.520000000000003</v>
      </c>
      <c r="I2641" s="10">
        <f t="shared" si="413"/>
        <v>73.754350714272903</v>
      </c>
      <c r="J2641" s="3">
        <v>10.787160246073944</v>
      </c>
      <c r="K2641" s="3">
        <v>0</v>
      </c>
      <c r="L2641" s="3">
        <f t="shared" si="414"/>
        <v>0</v>
      </c>
      <c r="N2641" s="11">
        <f t="shared" si="415"/>
        <v>15.73283975392606</v>
      </c>
      <c r="O2641" s="3">
        <v>10.787160246073944</v>
      </c>
      <c r="P2641" s="11">
        <f t="shared" si="416"/>
        <v>43.75435071427291</v>
      </c>
      <c r="Q2641" s="12">
        <f t="shared" si="417"/>
        <v>76.713631515220129</v>
      </c>
      <c r="R2641" s="13">
        <f t="shared" si="418"/>
        <v>36.002851558501796</v>
      </c>
      <c r="S2641" s="3" t="s">
        <v>29</v>
      </c>
      <c r="T2641" s="3" t="s">
        <v>34</v>
      </c>
      <c r="U2641" s="10">
        <v>0</v>
      </c>
      <c r="V2641" s="3">
        <v>0</v>
      </c>
      <c r="W2641" s="3">
        <f t="shared" si="419"/>
        <v>0</v>
      </c>
      <c r="AA2641" s="3">
        <v>48</v>
      </c>
    </row>
    <row r="2642" spans="1:27" x14ac:dyDescent="0.3">
      <c r="A2642" s="3" t="str">
        <f t="shared" si="410"/>
        <v>South9320029901840</v>
      </c>
      <c r="B2642" s="3" t="str">
        <f t="shared" si="411"/>
        <v>CMR9320029901840</v>
      </c>
      <c r="C2642" s="10">
        <v>9320029901840</v>
      </c>
      <c r="D2642" s="10" t="str">
        <f t="shared" si="412"/>
        <v>9320029901</v>
      </c>
      <c r="E2642" s="3" t="s">
        <v>5</v>
      </c>
      <c r="F2642" s="3" t="s">
        <v>65</v>
      </c>
      <c r="H2642" s="3">
        <v>10.500000000000002</v>
      </c>
      <c r="I2642" s="10">
        <f t="shared" si="413"/>
        <v>29.648554851563748</v>
      </c>
      <c r="J2642" s="3">
        <v>10.624463876133445</v>
      </c>
      <c r="K2642" s="3">
        <v>0</v>
      </c>
      <c r="L2642" s="3">
        <f t="shared" si="414"/>
        <v>0</v>
      </c>
      <c r="N2642" s="11">
        <f t="shared" si="415"/>
        <v>-0.12446387613344356</v>
      </c>
      <c r="O2642" s="3">
        <v>10.624463876133445</v>
      </c>
      <c r="P2642" s="11">
        <f t="shared" si="416"/>
        <v>-0.35144514843625113</v>
      </c>
      <c r="Q2642" s="12">
        <f t="shared" si="417"/>
        <v>0.53561527875549786</v>
      </c>
      <c r="R2642" s="13">
        <f t="shared" si="418"/>
        <v>12.080184680245301</v>
      </c>
      <c r="S2642" s="3" t="s">
        <v>30</v>
      </c>
      <c r="T2642" s="3" t="s">
        <v>28</v>
      </c>
      <c r="U2642" s="10">
        <v>0</v>
      </c>
      <c r="V2642" s="3">
        <v>0</v>
      </c>
      <c r="W2642" s="3">
        <f t="shared" si="419"/>
        <v>0</v>
      </c>
      <c r="AA2642" s="3">
        <v>48</v>
      </c>
    </row>
    <row r="2643" spans="1:27" x14ac:dyDescent="0.3">
      <c r="A2643" s="3" t="str">
        <f t="shared" si="410"/>
        <v>South9437019900240</v>
      </c>
      <c r="B2643" s="3" t="str">
        <f t="shared" si="411"/>
        <v>CMR9437019900240</v>
      </c>
      <c r="C2643" s="10">
        <v>9437019900240</v>
      </c>
      <c r="D2643" s="10" t="str">
        <f t="shared" si="412"/>
        <v>9437019900</v>
      </c>
      <c r="E2643" s="3" t="s">
        <v>5</v>
      </c>
      <c r="F2643" s="3" t="s">
        <v>65</v>
      </c>
      <c r="H2643" s="3">
        <v>16.588000000000001</v>
      </c>
      <c r="I2643" s="10">
        <f t="shared" si="413"/>
        <v>49.282142623773574</v>
      </c>
      <c r="J2643" s="3">
        <v>10.097775248918254</v>
      </c>
      <c r="K2643" s="3">
        <v>0</v>
      </c>
      <c r="L2643" s="3">
        <f t="shared" si="414"/>
        <v>0</v>
      </c>
      <c r="N2643" s="11">
        <f t="shared" si="415"/>
        <v>6.4902247510817475</v>
      </c>
      <c r="O2643" s="3">
        <v>10.097775248918254</v>
      </c>
      <c r="P2643" s="11">
        <f t="shared" si="416"/>
        <v>19.28214262377357</v>
      </c>
      <c r="Q2643" s="12">
        <f t="shared" si="417"/>
        <v>26.021499641017726</v>
      </c>
      <c r="R2643" s="13">
        <f t="shared" si="418"/>
        <v>10.080966563011508</v>
      </c>
      <c r="S2643" s="3" t="s">
        <v>29</v>
      </c>
      <c r="T2643" s="3" t="s">
        <v>35</v>
      </c>
      <c r="U2643" s="10">
        <v>0</v>
      </c>
      <c r="V2643" s="3">
        <v>0</v>
      </c>
      <c r="W2643" s="3">
        <f t="shared" si="419"/>
        <v>0</v>
      </c>
      <c r="AA2643" s="3">
        <v>48</v>
      </c>
    </row>
    <row r="2644" spans="1:27" x14ac:dyDescent="0.3">
      <c r="A2644" s="3" t="str">
        <f t="shared" si="410"/>
        <v>South9320019900840</v>
      </c>
      <c r="B2644" s="3" t="str">
        <f t="shared" si="411"/>
        <v>CMR9320019900840</v>
      </c>
      <c r="C2644" s="10">
        <v>9320019900840</v>
      </c>
      <c r="D2644" s="10" t="str">
        <f t="shared" si="412"/>
        <v>9320019900</v>
      </c>
      <c r="E2644" s="3" t="s">
        <v>5</v>
      </c>
      <c r="F2644" s="3" t="s">
        <v>65</v>
      </c>
      <c r="H2644" s="3">
        <v>19.915999999999997</v>
      </c>
      <c r="I2644" s="10">
        <f t="shared" si="413"/>
        <v>59.178832506303458</v>
      </c>
      <c r="J2644" s="3">
        <v>10.096177546867946</v>
      </c>
      <c r="K2644" s="3">
        <v>0</v>
      </c>
      <c r="L2644" s="3">
        <f t="shared" si="414"/>
        <v>0</v>
      </c>
      <c r="N2644" s="11">
        <f t="shared" si="415"/>
        <v>9.8198224531320513</v>
      </c>
      <c r="O2644" s="3">
        <v>10.096177546867946</v>
      </c>
      <c r="P2644" s="11">
        <f t="shared" si="416"/>
        <v>29.178832506303461</v>
      </c>
      <c r="Q2644" s="12">
        <f t="shared" si="417"/>
        <v>24.276608575949112</v>
      </c>
      <c r="R2644" s="13">
        <f t="shared" si="418"/>
        <v>30.390251247234943</v>
      </c>
      <c r="S2644" s="3" t="s">
        <v>30</v>
      </c>
      <c r="T2644" s="3" t="s">
        <v>28</v>
      </c>
      <c r="U2644" s="10">
        <v>0</v>
      </c>
      <c r="V2644" s="3">
        <v>0</v>
      </c>
      <c r="W2644" s="3">
        <f t="shared" si="419"/>
        <v>0</v>
      </c>
      <c r="AA2644" s="3">
        <v>48</v>
      </c>
    </row>
    <row r="2645" spans="1:27" x14ac:dyDescent="0.3">
      <c r="A2645" s="3" t="str">
        <f t="shared" si="410"/>
        <v>South9420039901310</v>
      </c>
      <c r="B2645" s="3" t="str">
        <f t="shared" si="411"/>
        <v>CMR9420039901310</v>
      </c>
      <c r="C2645" s="10">
        <v>9420039901310</v>
      </c>
      <c r="D2645" s="10" t="str">
        <f t="shared" si="412"/>
        <v>9420039901</v>
      </c>
      <c r="E2645" s="3" t="s">
        <v>5</v>
      </c>
      <c r="F2645" s="3" t="s">
        <v>65</v>
      </c>
      <c r="H2645" s="3">
        <v>4.32</v>
      </c>
      <c r="I2645" s="10">
        <f t="shared" si="413"/>
        <v>14.877301379362075</v>
      </c>
      <c r="J2645" s="3">
        <v>8.7112572835139499</v>
      </c>
      <c r="K2645" s="3">
        <v>12</v>
      </c>
      <c r="L2645" s="3">
        <f t="shared" si="414"/>
        <v>0</v>
      </c>
      <c r="N2645" s="11">
        <f t="shared" si="415"/>
        <v>-4.3912572835139496</v>
      </c>
      <c r="O2645" s="3">
        <v>8.7112572835139499</v>
      </c>
      <c r="P2645" s="11">
        <f t="shared" si="416"/>
        <v>-15.122698620637927</v>
      </c>
      <c r="Q2645" s="12">
        <f t="shared" si="417"/>
        <v>-10.979969900531877</v>
      </c>
      <c r="R2645" s="13">
        <f t="shared" si="418"/>
        <v>-0.5574194861834727</v>
      </c>
      <c r="S2645" s="3" t="s">
        <v>30</v>
      </c>
      <c r="T2645" s="3" t="s">
        <v>28</v>
      </c>
      <c r="U2645" s="10">
        <v>9420039900999</v>
      </c>
      <c r="V2645" s="3">
        <v>0.1</v>
      </c>
      <c r="W2645" s="3">
        <f t="shared" si="419"/>
        <v>1.2000000000000002</v>
      </c>
      <c r="AA2645" s="3">
        <v>48</v>
      </c>
    </row>
    <row r="2646" spans="1:27" x14ac:dyDescent="0.3">
      <c r="A2646" s="3" t="str">
        <f t="shared" si="410"/>
        <v>South9320029902839</v>
      </c>
      <c r="B2646" s="3" t="str">
        <f t="shared" si="411"/>
        <v>CMR9320029902839</v>
      </c>
      <c r="C2646" s="10">
        <v>9320029902839</v>
      </c>
      <c r="D2646" s="10" t="str">
        <f t="shared" si="412"/>
        <v>9320029902</v>
      </c>
      <c r="E2646" s="3" t="s">
        <v>5</v>
      </c>
      <c r="F2646" s="3" t="s">
        <v>65</v>
      </c>
      <c r="H2646" s="3">
        <v>10.0542</v>
      </c>
      <c r="I2646" s="10">
        <f t="shared" si="413"/>
        <v>35.809676784124761</v>
      </c>
      <c r="J2646" s="3">
        <v>8.4230305070420961</v>
      </c>
      <c r="K2646" s="3">
        <v>5.76</v>
      </c>
      <c r="L2646" s="3">
        <f t="shared" si="414"/>
        <v>0</v>
      </c>
      <c r="N2646" s="11">
        <f t="shared" si="415"/>
        <v>1.6311694929579037</v>
      </c>
      <c r="O2646" s="3">
        <v>8.4230305070420961</v>
      </c>
      <c r="P2646" s="11">
        <f t="shared" si="416"/>
        <v>5.8096767841247647</v>
      </c>
      <c r="Q2646" s="12">
        <f t="shared" si="417"/>
        <v>3.8296277518276853</v>
      </c>
      <c r="R2646" s="13">
        <f t="shared" si="418"/>
        <v>29.839396520491132</v>
      </c>
      <c r="S2646" s="3" t="s">
        <v>30</v>
      </c>
      <c r="T2646" s="3" t="s">
        <v>28</v>
      </c>
      <c r="U2646" s="10">
        <v>0</v>
      </c>
      <c r="V2646" s="3">
        <v>0</v>
      </c>
      <c r="W2646" s="3">
        <f t="shared" si="419"/>
        <v>0</v>
      </c>
      <c r="AA2646" s="3">
        <v>48</v>
      </c>
    </row>
    <row r="2647" spans="1:27" x14ac:dyDescent="0.3">
      <c r="A2647" s="3" t="str">
        <f t="shared" si="410"/>
        <v>South9330209902219</v>
      </c>
      <c r="B2647" s="3" t="str">
        <f t="shared" si="411"/>
        <v>CMR9330209902219</v>
      </c>
      <c r="C2647" s="10">
        <v>9330209902219</v>
      </c>
      <c r="D2647" s="10" t="str">
        <f t="shared" si="412"/>
        <v>9330209902</v>
      </c>
      <c r="E2647" s="3" t="s">
        <v>5</v>
      </c>
      <c r="F2647" s="3" t="s">
        <v>65</v>
      </c>
      <c r="H2647" s="3">
        <v>8.8335000000000008</v>
      </c>
      <c r="I2647" s="10">
        <f t="shared" si="413"/>
        <v>34.019721390557372</v>
      </c>
      <c r="J2647" s="3">
        <v>7.7897463344175328</v>
      </c>
      <c r="K2647" s="3">
        <v>0</v>
      </c>
      <c r="L2647" s="3">
        <f t="shared" si="414"/>
        <v>0</v>
      </c>
      <c r="N2647" s="11">
        <f t="shared" si="415"/>
        <v>1.043753665582468</v>
      </c>
      <c r="O2647" s="3">
        <v>7.7897463344175328</v>
      </c>
      <c r="P2647" s="11">
        <f t="shared" si="416"/>
        <v>4.0197213905573719</v>
      </c>
      <c r="Q2647" s="12">
        <f t="shared" si="417"/>
        <v>6.5511398758742372</v>
      </c>
      <c r="R2647" s="13">
        <f t="shared" si="418"/>
        <v>25.495735371468772</v>
      </c>
      <c r="S2647" s="3" t="s">
        <v>30</v>
      </c>
      <c r="T2647" s="3" t="s">
        <v>35</v>
      </c>
      <c r="U2647" s="10">
        <v>9330209900999</v>
      </c>
      <c r="V2647" s="3">
        <v>0.1</v>
      </c>
      <c r="W2647" s="3">
        <f t="shared" si="419"/>
        <v>0</v>
      </c>
      <c r="AA2647" s="3">
        <v>48</v>
      </c>
    </row>
    <row r="2648" spans="1:27" x14ac:dyDescent="0.3">
      <c r="A2648" s="3" t="str">
        <f t="shared" si="410"/>
        <v>South9420019901310</v>
      </c>
      <c r="B2648" s="3" t="str">
        <f t="shared" si="411"/>
        <v>CMR9420019901310</v>
      </c>
      <c r="C2648" s="10">
        <v>9420019901310</v>
      </c>
      <c r="D2648" s="10" t="str">
        <f t="shared" si="412"/>
        <v>9420019901</v>
      </c>
      <c r="E2648" s="3" t="s">
        <v>5</v>
      </c>
      <c r="F2648" s="3" t="s">
        <v>65</v>
      </c>
      <c r="H2648" s="3">
        <v>11.5</v>
      </c>
      <c r="I2648" s="10">
        <f t="shared" si="413"/>
        <v>44.378650997530784</v>
      </c>
      <c r="J2648" s="3">
        <v>7.7740082730138802</v>
      </c>
      <c r="K2648" s="3">
        <v>12</v>
      </c>
      <c r="L2648" s="3">
        <f t="shared" si="414"/>
        <v>0</v>
      </c>
      <c r="N2648" s="11">
        <f t="shared" si="415"/>
        <v>3.7259917269861198</v>
      </c>
      <c r="O2648" s="3">
        <v>7.7740082730138802</v>
      </c>
      <c r="P2648" s="11">
        <f t="shared" si="416"/>
        <v>14.378650997530784</v>
      </c>
      <c r="Q2648" s="12">
        <f t="shared" si="417"/>
        <v>4.331069593542928</v>
      </c>
      <c r="R2648" s="13">
        <f t="shared" si="418"/>
        <v>38.280373310321046</v>
      </c>
      <c r="S2648" s="3" t="s">
        <v>30</v>
      </c>
      <c r="T2648" s="3" t="s">
        <v>28</v>
      </c>
      <c r="U2648" s="10">
        <v>9420019900999</v>
      </c>
      <c r="V2648" s="3">
        <v>0.1</v>
      </c>
      <c r="W2648" s="3">
        <f t="shared" si="419"/>
        <v>1.2000000000000002</v>
      </c>
      <c r="AA2648" s="3">
        <v>48</v>
      </c>
    </row>
    <row r="2649" spans="1:27" x14ac:dyDescent="0.3">
      <c r="A2649" s="3" t="str">
        <f t="shared" si="410"/>
        <v>South9360039900210</v>
      </c>
      <c r="B2649" s="3" t="str">
        <f t="shared" si="411"/>
        <v>CMR9360039900210</v>
      </c>
      <c r="C2649" s="10">
        <v>9360039900210</v>
      </c>
      <c r="D2649" s="10" t="str">
        <f t="shared" si="412"/>
        <v>9360039900</v>
      </c>
      <c r="E2649" s="3" t="s">
        <v>5</v>
      </c>
      <c r="F2649" s="3" t="s">
        <v>65</v>
      </c>
      <c r="H2649" s="3">
        <v>18.055999999999997</v>
      </c>
      <c r="I2649" s="10">
        <f t="shared" si="413"/>
        <v>76.714254921641626</v>
      </c>
      <c r="J2649" s="3">
        <v>7.0610084208376795</v>
      </c>
      <c r="K2649" s="3">
        <v>0</v>
      </c>
      <c r="L2649" s="3">
        <f t="shared" si="414"/>
        <v>0</v>
      </c>
      <c r="N2649" s="11">
        <f t="shared" si="415"/>
        <v>10.994991579162317</v>
      </c>
      <c r="O2649" s="3">
        <v>7.0610084208376795</v>
      </c>
      <c r="P2649" s="11">
        <f t="shared" si="416"/>
        <v>46.714254921641619</v>
      </c>
      <c r="Q2649" s="12">
        <f t="shared" si="417"/>
        <v>22.045668820633136</v>
      </c>
      <c r="R2649" s="13">
        <f t="shared" si="418"/>
        <v>-6.5668161431774514</v>
      </c>
      <c r="S2649" s="3" t="s">
        <v>30</v>
      </c>
      <c r="T2649" s="3" t="s">
        <v>33</v>
      </c>
      <c r="U2649" s="10">
        <v>0</v>
      </c>
      <c r="V2649" s="3">
        <v>0</v>
      </c>
      <c r="W2649" s="3">
        <f t="shared" si="419"/>
        <v>0</v>
      </c>
      <c r="AA2649" s="3">
        <v>48</v>
      </c>
    </row>
    <row r="2650" spans="1:27" x14ac:dyDescent="0.3">
      <c r="A2650" s="3" t="str">
        <f t="shared" si="410"/>
        <v>South9101069900320</v>
      </c>
      <c r="B2650" s="3" t="str">
        <f t="shared" si="411"/>
        <v>CMR9101069900320</v>
      </c>
      <c r="C2650" s="10">
        <v>9101069900320</v>
      </c>
      <c r="D2650" s="10" t="str">
        <f t="shared" si="412"/>
        <v>9101069900</v>
      </c>
      <c r="E2650" s="3" t="s">
        <v>5</v>
      </c>
      <c r="F2650" s="3" t="s">
        <v>65</v>
      </c>
      <c r="H2650" s="3">
        <v>18.64</v>
      </c>
      <c r="I2650" s="10">
        <f t="shared" si="413"/>
        <v>79.638296445642709</v>
      </c>
      <c r="J2650" s="3">
        <v>7.0217473873475331</v>
      </c>
      <c r="K2650" s="3">
        <v>0</v>
      </c>
      <c r="L2650" s="3">
        <f t="shared" si="414"/>
        <v>0</v>
      </c>
      <c r="N2650" s="11">
        <f t="shared" si="415"/>
        <v>11.618252612652467</v>
      </c>
      <c r="O2650" s="3">
        <v>7.0217473873475331</v>
      </c>
      <c r="P2650" s="11">
        <f t="shared" si="416"/>
        <v>49.638296445642709</v>
      </c>
      <c r="Q2650" s="12">
        <f t="shared" si="417"/>
        <v>45.562505759431531</v>
      </c>
      <c r="R2650" s="13">
        <f t="shared" si="418"/>
        <v>25.087060035412687</v>
      </c>
      <c r="S2650" s="3" t="s">
        <v>29</v>
      </c>
      <c r="T2650" s="3" t="s">
        <v>34</v>
      </c>
      <c r="U2650" s="10">
        <v>0</v>
      </c>
      <c r="V2650" s="3">
        <v>0</v>
      </c>
      <c r="W2650" s="3">
        <f t="shared" si="419"/>
        <v>0</v>
      </c>
      <c r="AA2650" s="3">
        <v>48</v>
      </c>
    </row>
    <row r="2651" spans="1:27" x14ac:dyDescent="0.3">
      <c r="A2651" s="3" t="str">
        <f t="shared" si="410"/>
        <v>South9221709900320</v>
      </c>
      <c r="B2651" s="3" t="str">
        <f t="shared" si="411"/>
        <v>CMR9221709900320</v>
      </c>
      <c r="C2651" s="10">
        <v>9221709900320</v>
      </c>
      <c r="D2651" s="10" t="str">
        <f t="shared" si="412"/>
        <v>9221709900</v>
      </c>
      <c r="E2651" s="3" t="s">
        <v>5</v>
      </c>
      <c r="F2651" s="3" t="s">
        <v>65</v>
      </c>
      <c r="H2651" s="3">
        <v>17.679999999999996</v>
      </c>
      <c r="I2651" s="10">
        <f t="shared" si="413"/>
        <v>76.084794682179719</v>
      </c>
      <c r="J2651" s="3">
        <v>6.97116949865711</v>
      </c>
      <c r="K2651" s="3">
        <v>0</v>
      </c>
      <c r="L2651" s="3">
        <f t="shared" si="414"/>
        <v>0</v>
      </c>
      <c r="N2651" s="11">
        <f t="shared" si="415"/>
        <v>10.708830501342886</v>
      </c>
      <c r="O2651" s="3">
        <v>6.97116949865711</v>
      </c>
      <c r="P2651" s="11">
        <f t="shared" si="416"/>
        <v>46.084794682179705</v>
      </c>
      <c r="Q2651" s="12">
        <f t="shared" si="417"/>
        <v>46.084794682179712</v>
      </c>
      <c r="R2651" s="13">
        <f t="shared" si="418"/>
        <v>46.084794682179712</v>
      </c>
      <c r="S2651" s="3" t="s">
        <v>31</v>
      </c>
      <c r="T2651" s="3" t="s">
        <v>34</v>
      </c>
      <c r="U2651" s="10">
        <v>0</v>
      </c>
      <c r="V2651" s="3">
        <v>0</v>
      </c>
      <c r="W2651" s="3">
        <f t="shared" si="419"/>
        <v>0</v>
      </c>
      <c r="AA2651" s="3">
        <v>48</v>
      </c>
    </row>
    <row r="2652" spans="1:27" x14ac:dyDescent="0.3">
      <c r="A2652" s="3" t="str">
        <f t="shared" si="410"/>
        <v>South9320029900840</v>
      </c>
      <c r="B2652" s="3" t="str">
        <f t="shared" si="411"/>
        <v>CMR9320029900840</v>
      </c>
      <c r="C2652" s="10">
        <v>9320029900840</v>
      </c>
      <c r="D2652" s="10" t="str">
        <f t="shared" si="412"/>
        <v>9320029900</v>
      </c>
      <c r="E2652" s="3" t="s">
        <v>5</v>
      </c>
      <c r="F2652" s="3" t="s">
        <v>65</v>
      </c>
      <c r="H2652" s="3">
        <v>4.22</v>
      </c>
      <c r="I2652" s="10">
        <f t="shared" si="413"/>
        <v>18.800646560317745</v>
      </c>
      <c r="J2652" s="3">
        <v>6.7338109672894335</v>
      </c>
      <c r="K2652" s="3">
        <v>0</v>
      </c>
      <c r="L2652" s="3">
        <f t="shared" si="414"/>
        <v>0</v>
      </c>
      <c r="N2652" s="11">
        <f t="shared" si="415"/>
        <v>-2.5138109672894338</v>
      </c>
      <c r="O2652" s="3">
        <v>6.7338109672894335</v>
      </c>
      <c r="P2652" s="11">
        <f t="shared" si="416"/>
        <v>-11.199353439682255</v>
      </c>
      <c r="Q2652" s="12">
        <f t="shared" si="417"/>
        <v>0.72115782148626306</v>
      </c>
      <c r="R2652" s="13">
        <f t="shared" si="418"/>
        <v>3.8494905204534557</v>
      </c>
      <c r="S2652" s="3" t="s">
        <v>30</v>
      </c>
      <c r="T2652" s="3" t="s">
        <v>28</v>
      </c>
      <c r="U2652" s="10">
        <v>0</v>
      </c>
      <c r="V2652" s="3">
        <v>0</v>
      </c>
      <c r="W2652" s="3">
        <f t="shared" si="419"/>
        <v>0</v>
      </c>
      <c r="AA2652" s="3">
        <v>48</v>
      </c>
    </row>
    <row r="2653" spans="1:27" x14ac:dyDescent="0.3">
      <c r="A2653" s="3" t="str">
        <f t="shared" si="410"/>
        <v>South9360049900840</v>
      </c>
      <c r="B2653" s="3" t="str">
        <f t="shared" si="411"/>
        <v>CMR9360049900840</v>
      </c>
      <c r="C2653" s="10">
        <v>9360049900840</v>
      </c>
      <c r="D2653" s="10" t="str">
        <f t="shared" si="412"/>
        <v>9360049900</v>
      </c>
      <c r="E2653" s="3" t="s">
        <v>5</v>
      </c>
      <c r="F2653" s="3" t="s">
        <v>65</v>
      </c>
      <c r="H2653" s="3">
        <v>7.9240000000000004</v>
      </c>
      <c r="I2653" s="10">
        <f t="shared" si="413"/>
        <v>36.192880683986793</v>
      </c>
      <c r="J2653" s="3">
        <v>6.5681425602902355</v>
      </c>
      <c r="K2653" s="3">
        <v>12</v>
      </c>
      <c r="L2653" s="3">
        <f t="shared" si="414"/>
        <v>0</v>
      </c>
      <c r="N2653" s="11">
        <f t="shared" si="415"/>
        <v>1.3558574397097649</v>
      </c>
      <c r="O2653" s="3">
        <v>6.5681425602902355</v>
      </c>
      <c r="P2653" s="11">
        <f t="shared" si="416"/>
        <v>6.1928806839867914</v>
      </c>
      <c r="Q2653" s="12">
        <f t="shared" si="417"/>
        <v>6.1928806839867914</v>
      </c>
      <c r="R2653" s="13">
        <f t="shared" si="418"/>
        <v>27.610530652502934</v>
      </c>
      <c r="S2653" s="3" t="s">
        <v>31</v>
      </c>
      <c r="T2653" s="3" t="s">
        <v>70</v>
      </c>
      <c r="U2653" s="10">
        <v>0</v>
      </c>
      <c r="V2653" s="3">
        <v>0</v>
      </c>
      <c r="W2653" s="3">
        <f t="shared" si="419"/>
        <v>0</v>
      </c>
      <c r="AA2653" s="3">
        <v>48</v>
      </c>
    </row>
    <row r="2654" spans="1:27" x14ac:dyDescent="0.3">
      <c r="A2654" s="3" t="str">
        <f t="shared" si="410"/>
        <v>South9330019900210</v>
      </c>
      <c r="B2654" s="3" t="str">
        <f t="shared" si="411"/>
        <v>CMR9330019900210</v>
      </c>
      <c r="C2654" s="10">
        <v>9330019900210</v>
      </c>
      <c r="D2654" s="10" t="str">
        <f t="shared" si="412"/>
        <v>9330019900</v>
      </c>
      <c r="E2654" s="3" t="s">
        <v>5</v>
      </c>
      <c r="F2654" s="3" t="s">
        <v>65</v>
      </c>
      <c r="H2654" s="3">
        <v>24.616</v>
      </c>
      <c r="I2654" s="10">
        <f t="shared" si="413"/>
        <v>112.90178510854703</v>
      </c>
      <c r="J2654" s="3">
        <v>6.5409063221631438</v>
      </c>
      <c r="K2654" s="3">
        <v>0</v>
      </c>
      <c r="L2654" s="3">
        <f t="shared" si="414"/>
        <v>0</v>
      </c>
      <c r="N2654" s="11">
        <f t="shared" si="415"/>
        <v>18.075093677836854</v>
      </c>
      <c r="O2654" s="3">
        <v>6.5409063221631438</v>
      </c>
      <c r="P2654" s="11">
        <f t="shared" si="416"/>
        <v>82.901785108547031</v>
      </c>
      <c r="Q2654" s="12">
        <f t="shared" si="417"/>
        <v>45.192664907333445</v>
      </c>
      <c r="R2654" s="13">
        <f t="shared" si="418"/>
        <v>31.282836342770231</v>
      </c>
      <c r="S2654" s="3" t="s">
        <v>30</v>
      </c>
      <c r="T2654" s="3" t="s">
        <v>35</v>
      </c>
      <c r="U2654" s="10">
        <v>0</v>
      </c>
      <c r="V2654" s="3">
        <v>0</v>
      </c>
      <c r="W2654" s="3">
        <f t="shared" si="419"/>
        <v>0</v>
      </c>
      <c r="AA2654" s="3">
        <v>48</v>
      </c>
    </row>
    <row r="2655" spans="1:27" x14ac:dyDescent="0.3">
      <c r="A2655" s="3" t="str">
        <f t="shared" si="410"/>
        <v>South9320029902297</v>
      </c>
      <c r="B2655" s="3" t="str">
        <f t="shared" si="411"/>
        <v>CMR9320029902297</v>
      </c>
      <c r="C2655" s="10">
        <v>9320029902297</v>
      </c>
      <c r="D2655" s="10" t="str">
        <f t="shared" si="412"/>
        <v>9320029902</v>
      </c>
      <c r="E2655" s="3" t="s">
        <v>5</v>
      </c>
      <c r="F2655" s="3" t="s">
        <v>65</v>
      </c>
      <c r="H2655" s="3">
        <v>13.298999999999999</v>
      </c>
      <c r="I2655" s="10">
        <f t="shared" si="413"/>
        <v>63.950039078802824</v>
      </c>
      <c r="J2655" s="3">
        <v>6.238776484692476</v>
      </c>
      <c r="K2655" s="3">
        <v>0</v>
      </c>
      <c r="L2655" s="3">
        <f t="shared" si="414"/>
        <v>0</v>
      </c>
      <c r="N2655" s="11">
        <f t="shared" si="415"/>
        <v>7.0602235153075235</v>
      </c>
      <c r="O2655" s="3">
        <v>6.238776484692476</v>
      </c>
      <c r="P2655" s="11">
        <f t="shared" si="416"/>
        <v>33.950039078802831</v>
      </c>
      <c r="Q2655" s="12">
        <f t="shared" si="417"/>
        <v>24.724246668720696</v>
      </c>
      <c r="R2655" s="13">
        <f t="shared" si="418"/>
        <v>18.208892829292608</v>
      </c>
      <c r="S2655" s="3" t="s">
        <v>30</v>
      </c>
      <c r="T2655" s="3" t="s">
        <v>28</v>
      </c>
      <c r="U2655" s="10">
        <v>9320029900999</v>
      </c>
      <c r="V2655" s="3">
        <v>0.1</v>
      </c>
      <c r="W2655" s="3">
        <f t="shared" si="419"/>
        <v>0</v>
      </c>
      <c r="AA2655" s="3">
        <v>48</v>
      </c>
    </row>
    <row r="2656" spans="1:27" x14ac:dyDescent="0.3">
      <c r="A2656" s="3" t="str">
        <f t="shared" si="410"/>
        <v>South9360119922320</v>
      </c>
      <c r="B2656" s="3" t="str">
        <f t="shared" si="411"/>
        <v>CMR9360119922320</v>
      </c>
      <c r="C2656" s="10">
        <v>9360119922320</v>
      </c>
      <c r="D2656" s="10" t="str">
        <f t="shared" si="412"/>
        <v>9360119922</v>
      </c>
      <c r="E2656" s="3" t="s">
        <v>5</v>
      </c>
      <c r="F2656" s="3" t="s">
        <v>65</v>
      </c>
      <c r="H2656" s="3">
        <v>31.060000000000002</v>
      </c>
      <c r="I2656" s="10">
        <f t="shared" si="413"/>
        <v>151.89078142022498</v>
      </c>
      <c r="J2656" s="3">
        <v>6.1346711846985498</v>
      </c>
      <c r="K2656" s="3">
        <v>0</v>
      </c>
      <c r="L2656" s="3">
        <f t="shared" si="414"/>
        <v>0</v>
      </c>
      <c r="N2656" s="11">
        <f t="shared" si="415"/>
        <v>24.925328815301452</v>
      </c>
      <c r="O2656" s="3">
        <v>6.1346711846985498</v>
      </c>
      <c r="P2656" s="11">
        <f t="shared" si="416"/>
        <v>121.89078142022497</v>
      </c>
      <c r="Q2656" s="12">
        <f t="shared" si="417"/>
        <v>22.766031492088672</v>
      </c>
      <c r="R2656" s="13">
        <f t="shared" si="418"/>
        <v>5.798507580120047</v>
      </c>
      <c r="S2656" s="3" t="s">
        <v>29</v>
      </c>
      <c r="T2656" s="3" t="s">
        <v>33</v>
      </c>
      <c r="U2656" s="10">
        <v>9360119922999</v>
      </c>
      <c r="V2656" s="3">
        <v>0.1</v>
      </c>
      <c r="W2656" s="3">
        <f t="shared" si="419"/>
        <v>0</v>
      </c>
      <c r="AA2656" s="3">
        <v>48</v>
      </c>
    </row>
    <row r="2657" spans="1:27" x14ac:dyDescent="0.3">
      <c r="A2657" s="3" t="str">
        <f t="shared" si="410"/>
        <v>South9330209902839</v>
      </c>
      <c r="B2657" s="3" t="str">
        <f t="shared" si="411"/>
        <v>CMR9330209902839</v>
      </c>
      <c r="C2657" s="10">
        <v>9330209902839</v>
      </c>
      <c r="D2657" s="10" t="str">
        <f t="shared" si="412"/>
        <v>9330209902</v>
      </c>
      <c r="E2657" s="3" t="s">
        <v>5</v>
      </c>
      <c r="F2657" s="3" t="s">
        <v>65</v>
      </c>
      <c r="H2657" s="3">
        <v>5.4405000000000001</v>
      </c>
      <c r="I2657" s="10">
        <f t="shared" si="413"/>
        <v>26.838042375295821</v>
      </c>
      <c r="J2657" s="3">
        <v>6.0814793313776851</v>
      </c>
      <c r="K2657" s="3">
        <v>0</v>
      </c>
      <c r="L2657" s="3">
        <f t="shared" si="414"/>
        <v>0</v>
      </c>
      <c r="N2657" s="11">
        <f t="shared" si="415"/>
        <v>-0.64097933137768504</v>
      </c>
      <c r="O2657" s="3">
        <v>6.0814793313776851</v>
      </c>
      <c r="P2657" s="11">
        <f t="shared" si="416"/>
        <v>-3.1619576247041801</v>
      </c>
      <c r="Q2657" s="12">
        <f t="shared" si="417"/>
        <v>24.210595410114362</v>
      </c>
      <c r="R2657" s="13">
        <f t="shared" si="418"/>
        <v>43.473852368581014</v>
      </c>
      <c r="S2657" s="3" t="s">
        <v>30</v>
      </c>
      <c r="T2657" s="3" t="s">
        <v>35</v>
      </c>
      <c r="U2657" s="10">
        <v>0</v>
      </c>
      <c r="V2657" s="3">
        <v>0</v>
      </c>
      <c r="W2657" s="3">
        <f t="shared" si="419"/>
        <v>0</v>
      </c>
      <c r="AA2657" s="3">
        <v>48</v>
      </c>
    </row>
    <row r="2658" spans="1:27" x14ac:dyDescent="0.3">
      <c r="A2658" s="3" t="str">
        <f t="shared" si="410"/>
        <v>South9320029902097</v>
      </c>
      <c r="B2658" s="3" t="str">
        <f t="shared" si="411"/>
        <v>CMR9320029902097</v>
      </c>
      <c r="C2658" s="10">
        <v>9320029902097</v>
      </c>
      <c r="D2658" s="10" t="str">
        <f t="shared" si="412"/>
        <v>9320029902</v>
      </c>
      <c r="E2658" s="3" t="s">
        <v>5</v>
      </c>
      <c r="F2658" s="3" t="s">
        <v>65</v>
      </c>
      <c r="H2658" s="3">
        <v>4.2763499999999999</v>
      </c>
      <c r="I2658" s="10">
        <f t="shared" si="413"/>
        <v>22.17304026190833</v>
      </c>
      <c r="J2658" s="3">
        <v>5.7858777364146015</v>
      </c>
      <c r="K2658" s="3">
        <v>0</v>
      </c>
      <c r="L2658" s="3">
        <f t="shared" si="414"/>
        <v>0</v>
      </c>
      <c r="N2658" s="11">
        <f t="shared" si="415"/>
        <v>-1.5095277364146016</v>
      </c>
      <c r="O2658" s="3">
        <v>5.7858777364146015</v>
      </c>
      <c r="P2658" s="11">
        <f t="shared" si="416"/>
        <v>-7.8269597380916682</v>
      </c>
      <c r="Q2658" s="12">
        <f t="shared" si="417"/>
        <v>47.427443692319891</v>
      </c>
      <c r="R2658" s="13">
        <f t="shared" si="418"/>
        <v>32.356577789682831</v>
      </c>
      <c r="S2658" s="3" t="s">
        <v>30</v>
      </c>
      <c r="T2658" s="3" t="s">
        <v>28</v>
      </c>
      <c r="U2658" s="10">
        <v>0</v>
      </c>
      <c r="V2658" s="3">
        <v>0</v>
      </c>
      <c r="W2658" s="3">
        <f t="shared" si="419"/>
        <v>0</v>
      </c>
      <c r="AA2658" s="3">
        <v>48</v>
      </c>
    </row>
    <row r="2659" spans="1:27" x14ac:dyDescent="0.3">
      <c r="A2659" s="3" t="str">
        <f t="shared" si="410"/>
        <v>South9330209902297</v>
      </c>
      <c r="B2659" s="3" t="str">
        <f t="shared" si="411"/>
        <v>CMR9330209902297</v>
      </c>
      <c r="C2659" s="10">
        <v>9330209902297</v>
      </c>
      <c r="D2659" s="10" t="str">
        <f t="shared" si="412"/>
        <v>9330209902</v>
      </c>
      <c r="E2659" s="3" t="s">
        <v>5</v>
      </c>
      <c r="F2659" s="3" t="s">
        <v>65</v>
      </c>
      <c r="H2659" s="3">
        <v>4.6995000000000005</v>
      </c>
      <c r="I2659" s="10">
        <f t="shared" si="413"/>
        <v>24.862595495947911</v>
      </c>
      <c r="J2659" s="3">
        <v>5.6705664548569619</v>
      </c>
      <c r="K2659" s="3">
        <v>0</v>
      </c>
      <c r="L2659" s="3">
        <f t="shared" si="414"/>
        <v>0</v>
      </c>
      <c r="N2659" s="11">
        <f t="shared" si="415"/>
        <v>-0.97106645485696141</v>
      </c>
      <c r="O2659" s="3">
        <v>5.6705664548569619</v>
      </c>
      <c r="P2659" s="11">
        <f t="shared" si="416"/>
        <v>-5.1374045040520881</v>
      </c>
      <c r="Q2659" s="12">
        <f t="shared" si="417"/>
        <v>26.065703831359425</v>
      </c>
      <c r="R2659" s="13">
        <f t="shared" si="418"/>
        <v>19.916688006569078</v>
      </c>
      <c r="S2659" s="3" t="s">
        <v>30</v>
      </c>
      <c r="T2659" s="3" t="s">
        <v>35</v>
      </c>
      <c r="U2659" s="10">
        <v>9330209900999</v>
      </c>
      <c r="V2659" s="3">
        <v>0.1</v>
      </c>
      <c r="W2659" s="3">
        <f t="shared" si="419"/>
        <v>0</v>
      </c>
      <c r="AA2659" s="3">
        <v>48</v>
      </c>
    </row>
    <row r="2660" spans="1:27" x14ac:dyDescent="0.3">
      <c r="A2660" s="3" t="str">
        <f t="shared" si="410"/>
        <v>South9320089901310</v>
      </c>
      <c r="B2660" s="3" t="str">
        <f t="shared" si="411"/>
        <v>CMR9320089901310</v>
      </c>
      <c r="C2660" s="10">
        <v>9320089901310</v>
      </c>
      <c r="D2660" s="10" t="str">
        <f t="shared" si="412"/>
        <v>9320089901</v>
      </c>
      <c r="E2660" s="3" t="s">
        <v>5</v>
      </c>
      <c r="F2660" s="3" t="s">
        <v>65</v>
      </c>
      <c r="H2660" s="3">
        <v>24.21</v>
      </c>
      <c r="I2660" s="10">
        <f t="shared" si="413"/>
        <v>128.09524821634415</v>
      </c>
      <c r="J2660" s="3">
        <v>5.6699995519999993</v>
      </c>
      <c r="K2660" s="3">
        <v>0</v>
      </c>
      <c r="L2660" s="3">
        <f t="shared" si="414"/>
        <v>0</v>
      </c>
      <c r="N2660" s="11">
        <f t="shared" si="415"/>
        <v>18.540000448000001</v>
      </c>
      <c r="O2660" s="3">
        <v>5.6699995519999993</v>
      </c>
      <c r="P2660" s="11">
        <f t="shared" si="416"/>
        <v>98.095248216344146</v>
      </c>
      <c r="Q2660" s="12">
        <f t="shared" si="417"/>
        <v>76.032898960037244</v>
      </c>
      <c r="R2660" s="13">
        <f t="shared" si="418"/>
        <v>65.473015604420794</v>
      </c>
      <c r="S2660" s="3" t="s">
        <v>31</v>
      </c>
      <c r="T2660" s="3" t="s">
        <v>28</v>
      </c>
      <c r="U2660" s="10">
        <v>9320089900999</v>
      </c>
      <c r="V2660" s="3">
        <v>0.1</v>
      </c>
      <c r="W2660" s="3">
        <f t="shared" si="419"/>
        <v>0</v>
      </c>
      <c r="AA2660" s="3">
        <v>48</v>
      </c>
    </row>
    <row r="2661" spans="1:27" x14ac:dyDescent="0.3">
      <c r="A2661" s="3" t="str">
        <f t="shared" si="410"/>
        <v>South9330219913210</v>
      </c>
      <c r="B2661" s="3" t="str">
        <f t="shared" si="411"/>
        <v>CMR9330219913210</v>
      </c>
      <c r="C2661" s="10">
        <v>9330219913210</v>
      </c>
      <c r="D2661" s="10" t="str">
        <f t="shared" si="412"/>
        <v>9330219913</v>
      </c>
      <c r="E2661" s="3" t="s">
        <v>5</v>
      </c>
      <c r="F2661" s="3" t="s">
        <v>65</v>
      </c>
      <c r="H2661" s="3">
        <v>17.988</v>
      </c>
      <c r="I2661" s="10">
        <f t="shared" si="413"/>
        <v>102.09793013814054</v>
      </c>
      <c r="J2661" s="3">
        <v>5.2855136168760355</v>
      </c>
      <c r="K2661" s="3">
        <v>0</v>
      </c>
      <c r="L2661" s="3">
        <f t="shared" si="414"/>
        <v>0</v>
      </c>
      <c r="N2661" s="11">
        <f t="shared" si="415"/>
        <v>12.702486383123965</v>
      </c>
      <c r="O2661" s="3">
        <v>5.2855136168760355</v>
      </c>
      <c r="P2661" s="11">
        <f t="shared" si="416"/>
        <v>72.097930138140541</v>
      </c>
      <c r="Q2661" s="12">
        <f t="shared" si="417"/>
        <v>44.241438158824813</v>
      </c>
      <c r="R2661" s="13">
        <f t="shared" si="418"/>
        <v>24.081536979765296</v>
      </c>
      <c r="S2661" s="3" t="s">
        <v>30</v>
      </c>
      <c r="T2661" s="3" t="s">
        <v>35</v>
      </c>
      <c r="U2661" s="10">
        <v>0</v>
      </c>
      <c r="V2661" s="3">
        <v>0</v>
      </c>
      <c r="W2661" s="3">
        <f t="shared" si="419"/>
        <v>0</v>
      </c>
      <c r="AA2661" s="3">
        <v>48</v>
      </c>
    </row>
    <row r="2662" spans="1:27" x14ac:dyDescent="0.3">
      <c r="A2662" s="3" t="str">
        <f t="shared" si="410"/>
        <v>South9330209902097</v>
      </c>
      <c r="B2662" s="3" t="str">
        <f t="shared" si="411"/>
        <v>CMR9330209902097</v>
      </c>
      <c r="C2662" s="10">
        <v>9330209902097</v>
      </c>
      <c r="D2662" s="10" t="str">
        <f t="shared" si="412"/>
        <v>9330209902</v>
      </c>
      <c r="E2662" s="3" t="s">
        <v>5</v>
      </c>
      <c r="F2662" s="3" t="s">
        <v>65</v>
      </c>
      <c r="H2662" s="3">
        <v>3.4846499999999998</v>
      </c>
      <c r="I2662" s="10">
        <f t="shared" si="413"/>
        <v>22.722090537857735</v>
      </c>
      <c r="J2662" s="3">
        <v>4.6007870545988983</v>
      </c>
      <c r="K2662" s="3">
        <v>0</v>
      </c>
      <c r="L2662" s="3">
        <f t="shared" si="414"/>
        <v>0</v>
      </c>
      <c r="N2662" s="11">
        <f t="shared" si="415"/>
        <v>-1.1161370545988984</v>
      </c>
      <c r="O2662" s="3">
        <v>4.6007870545988983</v>
      </c>
      <c r="P2662" s="11">
        <f t="shared" si="416"/>
        <v>-7.2779094621422624</v>
      </c>
      <c r="Q2662" s="12">
        <f t="shared" si="417"/>
        <v>38.463820908551696</v>
      </c>
      <c r="R2662" s="13">
        <f t="shared" si="418"/>
        <v>23.62392331129497</v>
      </c>
      <c r="S2662" s="3" t="s">
        <v>30</v>
      </c>
      <c r="T2662" s="3" t="s">
        <v>35</v>
      </c>
      <c r="U2662" s="10">
        <v>0</v>
      </c>
      <c r="V2662" s="3">
        <v>0</v>
      </c>
      <c r="W2662" s="3">
        <f t="shared" si="419"/>
        <v>0</v>
      </c>
      <c r="AA2662" s="3">
        <v>48</v>
      </c>
    </row>
    <row r="2663" spans="1:27" x14ac:dyDescent="0.3">
      <c r="A2663" s="3" t="str">
        <f t="shared" si="410"/>
        <v>South9420039901840</v>
      </c>
      <c r="B2663" s="3" t="str">
        <f t="shared" si="411"/>
        <v>CMR9420039901840</v>
      </c>
      <c r="C2663" s="10">
        <v>9420039901840</v>
      </c>
      <c r="D2663" s="10" t="str">
        <f t="shared" si="412"/>
        <v>9420039901</v>
      </c>
      <c r="E2663" s="3" t="s">
        <v>5</v>
      </c>
      <c r="F2663" s="3" t="s">
        <v>65</v>
      </c>
      <c r="H2663" s="3">
        <v>4.4840000000000009</v>
      </c>
      <c r="I2663" s="10">
        <f t="shared" si="413"/>
        <v>29.440463690029194</v>
      </c>
      <c r="J2663" s="3">
        <v>4.5692215114654884</v>
      </c>
      <c r="K2663" s="3">
        <v>12</v>
      </c>
      <c r="L2663" s="3">
        <f t="shared" si="414"/>
        <v>0</v>
      </c>
      <c r="N2663" s="11">
        <f t="shared" si="415"/>
        <v>-8.5221511465487509E-2</v>
      </c>
      <c r="O2663" s="3">
        <v>4.5692215114654884</v>
      </c>
      <c r="P2663" s="11">
        <f t="shared" si="416"/>
        <v>-0.55953630997080539</v>
      </c>
      <c r="Q2663" s="12">
        <f t="shared" si="417"/>
        <v>2.7933321281896744</v>
      </c>
      <c r="R2663" s="13">
        <f t="shared" si="418"/>
        <v>8.7861449633385647</v>
      </c>
      <c r="S2663" s="3" t="s">
        <v>30</v>
      </c>
      <c r="T2663" s="3" t="s">
        <v>28</v>
      </c>
      <c r="U2663" s="10">
        <v>0</v>
      </c>
      <c r="V2663" s="3">
        <v>0</v>
      </c>
      <c r="W2663" s="3">
        <f t="shared" si="419"/>
        <v>0</v>
      </c>
      <c r="AA2663" s="3">
        <v>48</v>
      </c>
    </row>
    <row r="2664" spans="1:27" x14ac:dyDescent="0.3">
      <c r="A2664" s="3" t="str">
        <f t="shared" si="410"/>
        <v>South9320029901210</v>
      </c>
      <c r="B2664" s="3" t="str">
        <f t="shared" si="411"/>
        <v>CMR9320029901210</v>
      </c>
      <c r="C2664" s="10">
        <v>9320029901210</v>
      </c>
      <c r="D2664" s="10" t="str">
        <f t="shared" si="412"/>
        <v>9320029901</v>
      </c>
      <c r="E2664" s="3" t="s">
        <v>5</v>
      </c>
      <c r="F2664" s="3" t="s">
        <v>65</v>
      </c>
      <c r="H2664" s="3">
        <v>3.2149999999999994</v>
      </c>
      <c r="I2664" s="10">
        <f t="shared" si="413"/>
        <v>21.281795465937545</v>
      </c>
      <c r="J2664" s="3">
        <v>4.5320424282045408</v>
      </c>
      <c r="K2664" s="3">
        <v>0</v>
      </c>
      <c r="L2664" s="3">
        <f t="shared" si="414"/>
        <v>0</v>
      </c>
      <c r="N2664" s="11">
        <f t="shared" si="415"/>
        <v>-1.3170424282045414</v>
      </c>
      <c r="O2664" s="3">
        <v>4.5320424282045408</v>
      </c>
      <c r="P2664" s="11">
        <f t="shared" si="416"/>
        <v>-8.7182045340624548</v>
      </c>
      <c r="Q2664" s="12">
        <f t="shared" si="417"/>
        <v>40.917220555407773</v>
      </c>
      <c r="R2664" s="13">
        <f t="shared" si="418"/>
        <v>31.098176860777059</v>
      </c>
      <c r="S2664" s="3" t="s">
        <v>30</v>
      </c>
      <c r="T2664" s="3" t="s">
        <v>28</v>
      </c>
      <c r="U2664" s="10">
        <v>0</v>
      </c>
      <c r="V2664" s="3">
        <v>0</v>
      </c>
      <c r="W2664" s="3">
        <f t="shared" si="419"/>
        <v>0</v>
      </c>
      <c r="AA2664" s="3">
        <v>48</v>
      </c>
    </row>
    <row r="2665" spans="1:27" x14ac:dyDescent="0.3">
      <c r="A2665" s="3" t="str">
        <f t="shared" si="410"/>
        <v>South9410059900820</v>
      </c>
      <c r="B2665" s="3" t="str">
        <f t="shared" si="411"/>
        <v>CMR9410059900820</v>
      </c>
      <c r="C2665" s="10">
        <v>9410059900820</v>
      </c>
      <c r="D2665" s="10" t="str">
        <f t="shared" si="412"/>
        <v>9410059900</v>
      </c>
      <c r="E2665" s="3" t="s">
        <v>5</v>
      </c>
      <c r="F2665" s="3" t="s">
        <v>65</v>
      </c>
      <c r="H2665" s="3">
        <v>2.4800000000000004</v>
      </c>
      <c r="I2665" s="10">
        <f t="shared" si="413"/>
        <v>16.990342011390151</v>
      </c>
      <c r="J2665" s="3">
        <v>4.3789583488150505</v>
      </c>
      <c r="K2665" s="3">
        <v>0</v>
      </c>
      <c r="L2665" s="3">
        <f t="shared" si="414"/>
        <v>0</v>
      </c>
      <c r="N2665" s="11">
        <f t="shared" si="415"/>
        <v>-1.8989583488150501</v>
      </c>
      <c r="O2665" s="3">
        <v>4.3789583488150505</v>
      </c>
      <c r="P2665" s="11">
        <f t="shared" si="416"/>
        <v>-13.009657988609845</v>
      </c>
      <c r="Q2665" s="12">
        <f t="shared" si="417"/>
        <v>-9.4789251355922151</v>
      </c>
      <c r="R2665" s="13">
        <f t="shared" si="418"/>
        <v>1.7095469951111055</v>
      </c>
      <c r="S2665" s="3" t="s">
        <v>30</v>
      </c>
      <c r="T2665" s="3" t="s">
        <v>32</v>
      </c>
      <c r="U2665" s="10">
        <v>0</v>
      </c>
      <c r="V2665" s="3">
        <v>0</v>
      </c>
      <c r="W2665" s="3">
        <f t="shared" si="419"/>
        <v>0</v>
      </c>
      <c r="AA2665" s="3">
        <v>48</v>
      </c>
    </row>
    <row r="2666" spans="1:27" x14ac:dyDescent="0.3">
      <c r="A2666" s="3" t="str">
        <f t="shared" si="410"/>
        <v>South9437009900840</v>
      </c>
      <c r="B2666" s="3" t="str">
        <f t="shared" si="411"/>
        <v>CMR9437009900840</v>
      </c>
      <c r="C2666" s="10">
        <v>9437009900840</v>
      </c>
      <c r="D2666" s="10" t="str">
        <f t="shared" si="412"/>
        <v>9437009900</v>
      </c>
      <c r="E2666" s="3" t="s">
        <v>5</v>
      </c>
      <c r="F2666" s="3" t="s">
        <v>65</v>
      </c>
      <c r="H2666" s="3">
        <v>10.9</v>
      </c>
      <c r="I2666" s="10">
        <f t="shared" si="413"/>
        <v>76.427508059209572</v>
      </c>
      <c r="J2666" s="3">
        <v>4.2785642016048469</v>
      </c>
      <c r="K2666" s="3">
        <v>0</v>
      </c>
      <c r="L2666" s="3">
        <f t="shared" si="414"/>
        <v>0</v>
      </c>
      <c r="N2666" s="11">
        <f t="shared" si="415"/>
        <v>6.6214357983951535</v>
      </c>
      <c r="O2666" s="3">
        <v>4.2785642016048469</v>
      </c>
      <c r="P2666" s="11">
        <f t="shared" si="416"/>
        <v>46.427508059209572</v>
      </c>
      <c r="Q2666" s="12">
        <f t="shared" si="417"/>
        <v>25.430967017625093</v>
      </c>
      <c r="R2666" s="13">
        <f t="shared" si="418"/>
        <v>20.229042425225856</v>
      </c>
      <c r="S2666" s="3" t="s">
        <v>30</v>
      </c>
      <c r="T2666" s="3" t="s">
        <v>35</v>
      </c>
      <c r="U2666" s="10">
        <v>0</v>
      </c>
      <c r="V2666" s="3">
        <v>0</v>
      </c>
      <c r="W2666" s="3">
        <f t="shared" si="419"/>
        <v>0</v>
      </c>
      <c r="AA2666" s="3">
        <v>48</v>
      </c>
    </row>
    <row r="2667" spans="1:27" x14ac:dyDescent="0.3">
      <c r="A2667" s="3" t="str">
        <f t="shared" si="410"/>
        <v>South9410039913320</v>
      </c>
      <c r="B2667" s="3" t="str">
        <f t="shared" si="411"/>
        <v>CMR9410039913320</v>
      </c>
      <c r="C2667" s="10">
        <v>9410039913320</v>
      </c>
      <c r="D2667" s="10" t="str">
        <f t="shared" si="412"/>
        <v>9410039913</v>
      </c>
      <c r="E2667" s="3" t="s">
        <v>5</v>
      </c>
      <c r="F2667" s="3" t="s">
        <v>65</v>
      </c>
      <c r="H2667" s="3">
        <v>0.82000000000000006</v>
      </c>
      <c r="I2667" s="10">
        <f t="shared" si="413"/>
        <v>6.1857743048754488</v>
      </c>
      <c r="J2667" s="3">
        <v>3.9768667247705745</v>
      </c>
      <c r="K2667" s="3">
        <v>0</v>
      </c>
      <c r="L2667" s="3">
        <f t="shared" si="414"/>
        <v>0</v>
      </c>
      <c r="N2667" s="11">
        <f t="shared" si="415"/>
        <v>-3.1568667247705742</v>
      </c>
      <c r="O2667" s="3">
        <v>3.9768667247705745</v>
      </c>
      <c r="P2667" s="11">
        <f t="shared" si="416"/>
        <v>-23.814225695124552</v>
      </c>
      <c r="Q2667" s="12">
        <f t="shared" si="417"/>
        <v>-18.228644233260439</v>
      </c>
      <c r="R2667" s="13">
        <f t="shared" si="418"/>
        <v>-24.610155052378161</v>
      </c>
      <c r="S2667" s="3" t="s">
        <v>30</v>
      </c>
      <c r="T2667" s="3" t="s">
        <v>32</v>
      </c>
      <c r="U2667" s="10">
        <v>9410039913999</v>
      </c>
      <c r="V2667" s="3">
        <v>0.1</v>
      </c>
      <c r="W2667" s="3">
        <f t="shared" si="419"/>
        <v>0</v>
      </c>
      <c r="AA2667" s="3">
        <v>48</v>
      </c>
    </row>
    <row r="2668" spans="1:27" x14ac:dyDescent="0.3">
      <c r="A2668" s="3" t="str">
        <f t="shared" si="410"/>
        <v>South9432029901840</v>
      </c>
      <c r="B2668" s="3" t="str">
        <f t="shared" si="411"/>
        <v>CMR9432029901840</v>
      </c>
      <c r="C2668" s="10">
        <v>9432029901840</v>
      </c>
      <c r="D2668" s="10" t="str">
        <f t="shared" si="412"/>
        <v>9432029901</v>
      </c>
      <c r="E2668" s="3" t="s">
        <v>5</v>
      </c>
      <c r="F2668" s="3" t="s">
        <v>65</v>
      </c>
      <c r="H2668" s="3">
        <v>20.496000000000002</v>
      </c>
      <c r="I2668" s="10">
        <f t="shared" si="413"/>
        <v>171.03796173597345</v>
      </c>
      <c r="J2668" s="3">
        <v>3.5949913911460967</v>
      </c>
      <c r="K2668" s="3">
        <v>0</v>
      </c>
      <c r="L2668" s="3">
        <f t="shared" si="414"/>
        <v>0</v>
      </c>
      <c r="N2668" s="11">
        <f t="shared" si="415"/>
        <v>16.901008608853907</v>
      </c>
      <c r="O2668" s="3">
        <v>3.5949913911460967</v>
      </c>
      <c r="P2668" s="11">
        <f t="shared" si="416"/>
        <v>141.03796173597348</v>
      </c>
      <c r="Q2668" s="12">
        <f t="shared" si="417"/>
        <v>67.505422851470854</v>
      </c>
      <c r="R2668" s="13">
        <f t="shared" si="418"/>
        <v>45.487316805056096</v>
      </c>
      <c r="S2668" s="3" t="s">
        <v>31</v>
      </c>
      <c r="T2668" s="3" t="s">
        <v>35</v>
      </c>
      <c r="U2668" s="10">
        <v>0</v>
      </c>
      <c r="V2668" s="3">
        <v>0</v>
      </c>
      <c r="W2668" s="3">
        <f t="shared" si="419"/>
        <v>0</v>
      </c>
      <c r="AA2668" s="3">
        <v>48</v>
      </c>
    </row>
    <row r="2669" spans="1:27" x14ac:dyDescent="0.3">
      <c r="A2669" s="3" t="str">
        <f t="shared" si="410"/>
        <v>South9320019900210</v>
      </c>
      <c r="B2669" s="3" t="str">
        <f t="shared" si="411"/>
        <v>CMR9320019900210</v>
      </c>
      <c r="C2669" s="10">
        <v>9320019900210</v>
      </c>
      <c r="D2669" s="10" t="str">
        <f t="shared" si="412"/>
        <v>9320019900</v>
      </c>
      <c r="E2669" s="3" t="s">
        <v>5</v>
      </c>
      <c r="F2669" s="3" t="s">
        <v>65</v>
      </c>
      <c r="H2669" s="3">
        <v>3.4009999999999998</v>
      </c>
      <c r="I2669" s="10">
        <f t="shared" si="413"/>
        <v>29.637557267135421</v>
      </c>
      <c r="J2669" s="3">
        <v>3.4425914079342603</v>
      </c>
      <c r="K2669" s="3">
        <v>0</v>
      </c>
      <c r="L2669" s="3">
        <f t="shared" si="414"/>
        <v>0</v>
      </c>
      <c r="N2669" s="11">
        <f t="shared" si="415"/>
        <v>-4.1591407934260527E-2</v>
      </c>
      <c r="O2669" s="3">
        <v>3.4425914079342603</v>
      </c>
      <c r="P2669" s="11">
        <f t="shared" si="416"/>
        <v>-0.36244273286458006</v>
      </c>
      <c r="Q2669" s="12">
        <f t="shared" si="417"/>
        <v>2.2746381944889169</v>
      </c>
      <c r="R2669" s="13">
        <f t="shared" si="418"/>
        <v>72.211571713659765</v>
      </c>
      <c r="S2669" s="3" t="s">
        <v>31</v>
      </c>
      <c r="T2669" s="3" t="s">
        <v>28</v>
      </c>
      <c r="U2669" s="10">
        <v>0</v>
      </c>
      <c r="V2669" s="3">
        <v>0</v>
      </c>
      <c r="W2669" s="3">
        <f t="shared" si="419"/>
        <v>0</v>
      </c>
      <c r="AA2669" s="3">
        <v>48</v>
      </c>
    </row>
    <row r="2670" spans="1:27" x14ac:dyDescent="0.3">
      <c r="A2670" s="3" t="str">
        <f t="shared" si="410"/>
        <v>South9310029900320</v>
      </c>
      <c r="B2670" s="3" t="str">
        <f t="shared" si="411"/>
        <v>CMR9310029900320</v>
      </c>
      <c r="C2670" s="10">
        <v>9310029900320</v>
      </c>
      <c r="D2670" s="10" t="str">
        <f t="shared" si="412"/>
        <v>9310029900</v>
      </c>
      <c r="E2670" s="3" t="s">
        <v>5</v>
      </c>
      <c r="F2670" s="3" t="s">
        <v>65</v>
      </c>
      <c r="H2670" s="3">
        <v>8.4999999999999982</v>
      </c>
      <c r="I2670" s="10">
        <f t="shared" si="413"/>
        <v>75.703268687599021</v>
      </c>
      <c r="J2670" s="3">
        <v>3.3684146592440545</v>
      </c>
      <c r="K2670" s="3">
        <v>0</v>
      </c>
      <c r="L2670" s="3">
        <f t="shared" si="414"/>
        <v>0</v>
      </c>
      <c r="N2670" s="11">
        <f t="shared" si="415"/>
        <v>5.1315853407559437</v>
      </c>
      <c r="O2670" s="3">
        <v>3.3684146592440545</v>
      </c>
      <c r="P2670" s="11">
        <f t="shared" si="416"/>
        <v>45.703268687599021</v>
      </c>
      <c r="Q2670" s="12">
        <f t="shared" si="417"/>
        <v>54.033991735927053</v>
      </c>
      <c r="R2670" s="13">
        <f t="shared" si="418"/>
        <v>63.892856759683227</v>
      </c>
      <c r="S2670" s="3" t="s">
        <v>31</v>
      </c>
      <c r="T2670" s="3" t="s">
        <v>32</v>
      </c>
      <c r="U2670" s="10">
        <v>9310029900999</v>
      </c>
      <c r="V2670" s="3">
        <v>0.1</v>
      </c>
      <c r="W2670" s="3">
        <f t="shared" si="419"/>
        <v>0</v>
      </c>
      <c r="AA2670" s="3">
        <v>48</v>
      </c>
    </row>
    <row r="2671" spans="1:27" x14ac:dyDescent="0.3">
      <c r="A2671" s="3" t="str">
        <f t="shared" si="410"/>
        <v>South9420019901840</v>
      </c>
      <c r="B2671" s="3" t="str">
        <f t="shared" si="411"/>
        <v>CMR9420019901840</v>
      </c>
      <c r="C2671" s="10">
        <v>9420019901840</v>
      </c>
      <c r="D2671" s="10" t="str">
        <f t="shared" si="412"/>
        <v>9420019901</v>
      </c>
      <c r="E2671" s="3" t="s">
        <v>5</v>
      </c>
      <c r="F2671" s="3" t="s">
        <v>65</v>
      </c>
      <c r="H2671" s="3">
        <v>8.4320000000000004</v>
      </c>
      <c r="I2671" s="10">
        <f t="shared" si="413"/>
        <v>75.105151332512278</v>
      </c>
      <c r="J2671" s="3">
        <v>3.36807789495121</v>
      </c>
      <c r="K2671" s="3">
        <v>12</v>
      </c>
      <c r="L2671" s="3">
        <f t="shared" si="414"/>
        <v>0</v>
      </c>
      <c r="N2671" s="11">
        <f t="shared" si="415"/>
        <v>5.0639221050487908</v>
      </c>
      <c r="O2671" s="3">
        <v>3.36807789495121</v>
      </c>
      <c r="P2671" s="11">
        <f t="shared" si="416"/>
        <v>45.105151332512278</v>
      </c>
      <c r="Q2671" s="12">
        <f t="shared" si="417"/>
        <v>22.656482180821961</v>
      </c>
      <c r="R2671" s="13">
        <f t="shared" si="418"/>
        <v>13.508670420487539</v>
      </c>
      <c r="S2671" s="3" t="s">
        <v>31</v>
      </c>
      <c r="T2671" s="3" t="s">
        <v>28</v>
      </c>
      <c r="U2671" s="10">
        <v>0</v>
      </c>
      <c r="V2671" s="3">
        <v>0</v>
      </c>
      <c r="W2671" s="3">
        <f t="shared" si="419"/>
        <v>0</v>
      </c>
      <c r="AA2671" s="3">
        <v>48</v>
      </c>
    </row>
    <row r="2672" spans="1:27" x14ac:dyDescent="0.3">
      <c r="A2672" s="3" t="str">
        <f t="shared" si="410"/>
        <v>South9437019900210</v>
      </c>
      <c r="B2672" s="3" t="str">
        <f t="shared" si="411"/>
        <v>CMR9437019900210</v>
      </c>
      <c r="C2672" s="10">
        <v>9437019900210</v>
      </c>
      <c r="D2672" s="10" t="str">
        <f t="shared" si="412"/>
        <v>9437019900</v>
      </c>
      <c r="E2672" s="3" t="s">
        <v>5</v>
      </c>
      <c r="F2672" s="3" t="s">
        <v>65</v>
      </c>
      <c r="H2672" s="3">
        <v>2.9180000000000001</v>
      </c>
      <c r="I2672" s="10">
        <f t="shared" si="413"/>
        <v>26.329508441953294</v>
      </c>
      <c r="J2672" s="3">
        <v>3.3247867195467369</v>
      </c>
      <c r="K2672" s="3">
        <v>0</v>
      </c>
      <c r="L2672" s="3">
        <f t="shared" si="414"/>
        <v>0</v>
      </c>
      <c r="N2672" s="11">
        <f t="shared" si="415"/>
        <v>-0.40678671954673673</v>
      </c>
      <c r="O2672" s="3">
        <v>3.3247867195467369</v>
      </c>
      <c r="P2672" s="11">
        <f t="shared" si="416"/>
        <v>-3.6704915580467068</v>
      </c>
      <c r="Q2672" s="12">
        <f t="shared" si="417"/>
        <v>25.817339791881153</v>
      </c>
      <c r="R2672" s="13">
        <f t="shared" si="418"/>
        <v>21.676130298195474</v>
      </c>
      <c r="S2672" s="3" t="s">
        <v>30</v>
      </c>
      <c r="T2672" s="3" t="s">
        <v>35</v>
      </c>
      <c r="U2672" s="10">
        <v>0</v>
      </c>
      <c r="V2672" s="3">
        <v>0</v>
      </c>
      <c r="W2672" s="3">
        <f t="shared" si="419"/>
        <v>0</v>
      </c>
      <c r="AA2672" s="3">
        <v>48</v>
      </c>
    </row>
    <row r="2673" spans="1:27" x14ac:dyDescent="0.3">
      <c r="A2673" s="3" t="str">
        <f t="shared" si="410"/>
        <v>South9432029900310</v>
      </c>
      <c r="B2673" s="3" t="str">
        <f t="shared" si="411"/>
        <v>CMR9432029900310</v>
      </c>
      <c r="C2673" s="10">
        <v>9432029900310</v>
      </c>
      <c r="D2673" s="10" t="str">
        <f t="shared" si="412"/>
        <v>9432029900</v>
      </c>
      <c r="E2673" s="3" t="s">
        <v>5</v>
      </c>
      <c r="F2673" s="3" t="s">
        <v>65</v>
      </c>
      <c r="H2673" s="3">
        <v>1.6700000000000002</v>
      </c>
      <c r="I2673" s="10">
        <f t="shared" si="413"/>
        <v>16.115573121454457</v>
      </c>
      <c r="J2673" s="3">
        <v>3.1087941845085556</v>
      </c>
      <c r="K2673" s="3">
        <v>0</v>
      </c>
      <c r="L2673" s="3">
        <f t="shared" si="414"/>
        <v>0</v>
      </c>
      <c r="N2673" s="11">
        <f t="shared" si="415"/>
        <v>-1.4387941845085555</v>
      </c>
      <c r="O2673" s="3">
        <v>3.1087941845085556</v>
      </c>
      <c r="P2673" s="11">
        <f t="shared" si="416"/>
        <v>-13.884426878545543</v>
      </c>
      <c r="Q2673" s="12">
        <f t="shared" si="417"/>
        <v>-8.6758455690912193</v>
      </c>
      <c r="R2673" s="13">
        <f t="shared" si="418"/>
        <v>63.07750694482106</v>
      </c>
      <c r="S2673" s="3" t="s">
        <v>31</v>
      </c>
      <c r="T2673" s="3" t="s">
        <v>35</v>
      </c>
      <c r="U2673" s="10">
        <v>9432029900999</v>
      </c>
      <c r="V2673" s="3">
        <v>0.1</v>
      </c>
      <c r="W2673" s="3">
        <f t="shared" si="419"/>
        <v>0</v>
      </c>
      <c r="AA2673" s="3">
        <v>48</v>
      </c>
    </row>
    <row r="2674" spans="1:27" x14ac:dyDescent="0.3">
      <c r="A2674" s="3" t="str">
        <f t="shared" si="410"/>
        <v>South9320089902219</v>
      </c>
      <c r="B2674" s="3" t="str">
        <f t="shared" si="411"/>
        <v>CMR9320089902219</v>
      </c>
      <c r="C2674" s="10">
        <v>9320089902219</v>
      </c>
      <c r="D2674" s="10" t="str">
        <f t="shared" si="412"/>
        <v>9320089902</v>
      </c>
      <c r="E2674" s="3" t="s">
        <v>5</v>
      </c>
      <c r="F2674" s="3" t="s">
        <v>65</v>
      </c>
      <c r="H2674" s="3">
        <v>3.2564999999999995</v>
      </c>
      <c r="I2674" s="10">
        <f t="shared" si="413"/>
        <v>36.412956062430112</v>
      </c>
      <c r="J2674" s="3">
        <v>2.6829736051229029</v>
      </c>
      <c r="K2674" s="3">
        <v>0</v>
      </c>
      <c r="L2674" s="3">
        <f t="shared" si="414"/>
        <v>0</v>
      </c>
      <c r="N2674" s="11">
        <f t="shared" si="415"/>
        <v>0.57352639487709656</v>
      </c>
      <c r="O2674" s="3">
        <v>2.6829736051229029</v>
      </c>
      <c r="P2674" s="11">
        <f t="shared" si="416"/>
        <v>6.412956062430113</v>
      </c>
      <c r="Q2674" s="12">
        <f t="shared" si="417"/>
        <v>2.3978000187044062</v>
      </c>
      <c r="R2674" s="13">
        <f t="shared" si="418"/>
        <v>61.197046460796265</v>
      </c>
      <c r="S2674" s="3" t="s">
        <v>31</v>
      </c>
      <c r="T2674" s="3" t="s">
        <v>28</v>
      </c>
      <c r="U2674" s="10">
        <v>9320089900999</v>
      </c>
      <c r="V2674" s="3">
        <v>0.1</v>
      </c>
      <c r="W2674" s="3">
        <f t="shared" si="419"/>
        <v>0</v>
      </c>
      <c r="AA2674" s="3">
        <v>48</v>
      </c>
    </row>
    <row r="2675" spans="1:27" x14ac:dyDescent="0.3">
      <c r="A2675" s="3" t="str">
        <f t="shared" si="410"/>
        <v>South9420039900310</v>
      </c>
      <c r="B2675" s="3" t="str">
        <f t="shared" si="411"/>
        <v>CMR9420039900310</v>
      </c>
      <c r="C2675" s="10">
        <v>9420039900310</v>
      </c>
      <c r="D2675" s="10" t="str">
        <f t="shared" si="412"/>
        <v>9420039900</v>
      </c>
      <c r="E2675" s="3" t="s">
        <v>5</v>
      </c>
      <c r="F2675" s="3" t="s">
        <v>65</v>
      </c>
      <c r="H2675" s="3">
        <v>3.2099999999999991</v>
      </c>
      <c r="I2675" s="10">
        <f t="shared" si="413"/>
        <v>35.95039490807563</v>
      </c>
      <c r="J2675" s="3">
        <v>2.6786910198410046</v>
      </c>
      <c r="K2675" s="3">
        <v>24</v>
      </c>
      <c r="L2675" s="3">
        <f t="shared" si="414"/>
        <v>0</v>
      </c>
      <c r="N2675" s="11">
        <f t="shared" si="415"/>
        <v>0.53130898015899453</v>
      </c>
      <c r="O2675" s="3">
        <v>2.6786910198410046</v>
      </c>
      <c r="P2675" s="11">
        <f t="shared" si="416"/>
        <v>5.9503949080756318</v>
      </c>
      <c r="Q2675" s="12">
        <f t="shared" si="417"/>
        <v>14.627080087392914</v>
      </c>
      <c r="R2675" s="13">
        <f t="shared" si="418"/>
        <v>25.372275431898188</v>
      </c>
      <c r="S2675" s="3" t="s">
        <v>31</v>
      </c>
      <c r="T2675" s="3" t="s">
        <v>28</v>
      </c>
      <c r="U2675" s="10">
        <v>9420039900999</v>
      </c>
      <c r="V2675" s="3">
        <v>0.1</v>
      </c>
      <c r="W2675" s="3">
        <f t="shared" si="419"/>
        <v>2.4000000000000004</v>
      </c>
      <c r="AA2675" s="3">
        <v>48</v>
      </c>
    </row>
    <row r="2676" spans="1:27" x14ac:dyDescent="0.3">
      <c r="A2676" s="3" t="str">
        <f t="shared" si="410"/>
        <v>South9181309900320</v>
      </c>
      <c r="B2676" s="3" t="str">
        <f t="shared" si="411"/>
        <v>CMR9181309900320</v>
      </c>
      <c r="C2676" s="10">
        <v>9181309900320</v>
      </c>
      <c r="D2676" s="10" t="str">
        <f t="shared" si="412"/>
        <v>9181309900</v>
      </c>
      <c r="E2676" s="3" t="s">
        <v>5</v>
      </c>
      <c r="F2676" s="3" t="s">
        <v>65</v>
      </c>
      <c r="H2676" s="3">
        <v>11.82</v>
      </c>
      <c r="I2676" s="10">
        <f t="shared" si="413"/>
        <v>133.26914140987284</v>
      </c>
      <c r="J2676" s="3">
        <v>2.6607810048795781</v>
      </c>
      <c r="K2676" s="3">
        <v>0</v>
      </c>
      <c r="L2676" s="3">
        <f t="shared" si="414"/>
        <v>0</v>
      </c>
      <c r="N2676" s="11">
        <f t="shared" si="415"/>
        <v>9.1592189951204226</v>
      </c>
      <c r="O2676" s="3">
        <v>2.6607810048795781</v>
      </c>
      <c r="P2676" s="11">
        <f t="shared" si="416"/>
        <v>103.26914140987282</v>
      </c>
      <c r="Q2676" s="12">
        <f t="shared" si="417"/>
        <v>60.613361759163702</v>
      </c>
      <c r="R2676" s="13">
        <f t="shared" si="418"/>
        <v>61.057190306933194</v>
      </c>
      <c r="S2676" s="3" t="s">
        <v>29</v>
      </c>
      <c r="T2676" s="3" t="s">
        <v>34</v>
      </c>
      <c r="U2676" s="10">
        <v>0</v>
      </c>
      <c r="V2676" s="3">
        <v>0</v>
      </c>
      <c r="W2676" s="3">
        <f t="shared" si="419"/>
        <v>0</v>
      </c>
      <c r="AA2676" s="3">
        <v>48</v>
      </c>
    </row>
    <row r="2677" spans="1:27" x14ac:dyDescent="0.3">
      <c r="A2677" s="3" t="str">
        <f t="shared" si="410"/>
        <v>South9320039902297</v>
      </c>
      <c r="B2677" s="3" t="str">
        <f t="shared" si="411"/>
        <v>CMR9320039902297</v>
      </c>
      <c r="C2677" s="10">
        <v>9320039902297</v>
      </c>
      <c r="D2677" s="10" t="str">
        <f t="shared" si="412"/>
        <v>9320039902</v>
      </c>
      <c r="E2677" s="3" t="s">
        <v>5</v>
      </c>
      <c r="F2677" s="3" t="s">
        <v>65</v>
      </c>
      <c r="H2677" s="3">
        <v>2.028</v>
      </c>
      <c r="I2677" s="10">
        <f t="shared" si="413"/>
        <v>23.356151452188143</v>
      </c>
      <c r="J2677" s="3">
        <v>2.6048812076143713</v>
      </c>
      <c r="K2677" s="3">
        <v>0</v>
      </c>
      <c r="L2677" s="3">
        <f t="shared" si="414"/>
        <v>0</v>
      </c>
      <c r="N2677" s="11">
        <f t="shared" si="415"/>
        <v>-0.57688120761437123</v>
      </c>
      <c r="O2677" s="3">
        <v>2.6048812076143713</v>
      </c>
      <c r="P2677" s="11">
        <f t="shared" si="416"/>
        <v>-6.6438485478118565</v>
      </c>
      <c r="Q2677" s="12">
        <f t="shared" si="417"/>
        <v>-0.45208929013644295</v>
      </c>
      <c r="R2677" s="13">
        <f t="shared" si="418"/>
        <v>2.7993874025720751</v>
      </c>
      <c r="S2677" s="3" t="s">
        <v>30</v>
      </c>
      <c r="T2677" s="3" t="s">
        <v>28</v>
      </c>
      <c r="U2677" s="10">
        <v>9320039900999</v>
      </c>
      <c r="V2677" s="3">
        <v>0.1</v>
      </c>
      <c r="W2677" s="3">
        <f t="shared" si="419"/>
        <v>0</v>
      </c>
      <c r="AA2677" s="3">
        <v>48</v>
      </c>
    </row>
    <row r="2678" spans="1:27" x14ac:dyDescent="0.3">
      <c r="A2678" s="3" t="str">
        <f t="shared" si="410"/>
        <v>South9320039902219</v>
      </c>
      <c r="B2678" s="3" t="str">
        <f t="shared" si="411"/>
        <v>CMR9320039902219</v>
      </c>
      <c r="C2678" s="10">
        <v>9320039902219</v>
      </c>
      <c r="D2678" s="10" t="str">
        <f t="shared" si="412"/>
        <v>9320039902</v>
      </c>
      <c r="E2678" s="3" t="s">
        <v>5</v>
      </c>
      <c r="F2678" s="3" t="s">
        <v>65</v>
      </c>
      <c r="H2678" s="3">
        <v>3.7050000000000001</v>
      </c>
      <c r="I2678" s="10">
        <f t="shared" si="413"/>
        <v>42.823384762625224</v>
      </c>
      <c r="J2678" s="3">
        <v>2.595544481505065</v>
      </c>
      <c r="K2678" s="3">
        <v>0</v>
      </c>
      <c r="L2678" s="3">
        <f t="shared" si="414"/>
        <v>0</v>
      </c>
      <c r="N2678" s="11">
        <f t="shared" si="415"/>
        <v>1.1094555184949351</v>
      </c>
      <c r="O2678" s="3">
        <v>2.595544481505065</v>
      </c>
      <c r="P2678" s="11">
        <f t="shared" si="416"/>
        <v>12.82338476262523</v>
      </c>
      <c r="Q2678" s="12">
        <f t="shared" si="417"/>
        <v>88.352927753379888</v>
      </c>
      <c r="R2678" s="13">
        <f t="shared" si="418"/>
        <v>37.449963075784481</v>
      </c>
      <c r="S2678" s="3" t="s">
        <v>30</v>
      </c>
      <c r="T2678" s="3" t="s">
        <v>28</v>
      </c>
      <c r="U2678" s="10">
        <v>9320039900999</v>
      </c>
      <c r="V2678" s="3">
        <v>0.1</v>
      </c>
      <c r="W2678" s="3">
        <f t="shared" si="419"/>
        <v>0</v>
      </c>
      <c r="AA2678" s="3">
        <v>48</v>
      </c>
    </row>
    <row r="2679" spans="1:27" x14ac:dyDescent="0.3">
      <c r="A2679" s="3" t="str">
        <f t="shared" si="410"/>
        <v>South9320039902839</v>
      </c>
      <c r="B2679" s="3" t="str">
        <f t="shared" si="411"/>
        <v>CMR9320039902839</v>
      </c>
      <c r="C2679" s="10">
        <v>9320039902839</v>
      </c>
      <c r="D2679" s="10" t="str">
        <f t="shared" si="412"/>
        <v>9320039902</v>
      </c>
      <c r="E2679" s="3" t="s">
        <v>5</v>
      </c>
      <c r="F2679" s="3" t="s">
        <v>65</v>
      </c>
      <c r="H2679" s="3">
        <v>3.6035999999999997</v>
      </c>
      <c r="I2679" s="10">
        <f t="shared" si="413"/>
        <v>45.440241290686203</v>
      </c>
      <c r="J2679" s="3">
        <v>2.3791246905671399</v>
      </c>
      <c r="K2679" s="3">
        <v>0</v>
      </c>
      <c r="L2679" s="3">
        <f t="shared" si="414"/>
        <v>0</v>
      </c>
      <c r="N2679" s="11">
        <f t="shared" si="415"/>
        <v>1.2244753094328598</v>
      </c>
      <c r="O2679" s="3">
        <v>2.3791246905671399</v>
      </c>
      <c r="P2679" s="11">
        <f t="shared" si="416"/>
        <v>15.440241290686203</v>
      </c>
      <c r="Q2679" s="12">
        <f t="shared" si="417"/>
        <v>18.685681994303057</v>
      </c>
      <c r="R2679" s="13">
        <f t="shared" si="418"/>
        <v>25.893509310912197</v>
      </c>
      <c r="S2679" s="3" t="s">
        <v>30</v>
      </c>
      <c r="T2679" s="3" t="s">
        <v>28</v>
      </c>
      <c r="U2679" s="10">
        <v>0</v>
      </c>
      <c r="V2679" s="3">
        <v>0</v>
      </c>
      <c r="W2679" s="3">
        <f t="shared" si="419"/>
        <v>0</v>
      </c>
      <c r="AA2679" s="3">
        <v>48</v>
      </c>
    </row>
    <row r="2680" spans="1:27" x14ac:dyDescent="0.3">
      <c r="A2680" s="3" t="str">
        <f t="shared" si="410"/>
        <v>South9320089901210</v>
      </c>
      <c r="B2680" s="3" t="str">
        <f t="shared" si="411"/>
        <v>CMR9320089901210</v>
      </c>
      <c r="C2680" s="10">
        <v>9320089901210</v>
      </c>
      <c r="D2680" s="10" t="str">
        <f t="shared" si="412"/>
        <v>9320089901</v>
      </c>
      <c r="E2680" s="3" t="s">
        <v>5</v>
      </c>
      <c r="F2680" s="3" t="s">
        <v>65</v>
      </c>
      <c r="H2680" s="3">
        <v>16.004999999999999</v>
      </c>
      <c r="I2680" s="10">
        <f t="shared" si="413"/>
        <v>205.30472078454935</v>
      </c>
      <c r="J2680" s="3">
        <v>2.3387187501834332</v>
      </c>
      <c r="K2680" s="3">
        <v>0</v>
      </c>
      <c r="L2680" s="3">
        <f t="shared" si="414"/>
        <v>0</v>
      </c>
      <c r="N2680" s="11">
        <f t="shared" si="415"/>
        <v>13.666281249816565</v>
      </c>
      <c r="O2680" s="3">
        <v>2.3387187501834332</v>
      </c>
      <c r="P2680" s="11">
        <f t="shared" si="416"/>
        <v>175.30472078454935</v>
      </c>
      <c r="Q2680" s="12">
        <f t="shared" si="417"/>
        <v>89.25174553693455</v>
      </c>
      <c r="R2680" s="13">
        <f t="shared" si="418"/>
        <v>56.5397382176292</v>
      </c>
      <c r="S2680" s="3" t="s">
        <v>31</v>
      </c>
      <c r="T2680" s="3" t="s">
        <v>28</v>
      </c>
      <c r="U2680" s="10">
        <v>0</v>
      </c>
      <c r="V2680" s="3">
        <v>0</v>
      </c>
      <c r="W2680" s="3">
        <f t="shared" si="419"/>
        <v>0</v>
      </c>
      <c r="AA2680" s="3">
        <v>48</v>
      </c>
    </row>
    <row r="2681" spans="1:27" x14ac:dyDescent="0.3">
      <c r="A2681" s="3" t="str">
        <f t="shared" si="410"/>
        <v>South9320029900210</v>
      </c>
      <c r="B2681" s="3" t="str">
        <f t="shared" si="411"/>
        <v>CMR9320029900210</v>
      </c>
      <c r="C2681" s="10">
        <v>9320029900210</v>
      </c>
      <c r="D2681" s="10" t="str">
        <f t="shared" si="412"/>
        <v>9320029900</v>
      </c>
      <c r="E2681" s="3" t="s">
        <v>5</v>
      </c>
      <c r="F2681" s="3" t="s">
        <v>65</v>
      </c>
      <c r="H2681" s="3">
        <v>1.8049999999999999</v>
      </c>
      <c r="I2681" s="10">
        <f t="shared" si="413"/>
        <v>24.877551684128505</v>
      </c>
      <c r="J2681" s="3">
        <v>2.1766611396308289</v>
      </c>
      <c r="K2681" s="3">
        <v>12</v>
      </c>
      <c r="L2681" s="3">
        <f t="shared" si="414"/>
        <v>0</v>
      </c>
      <c r="N2681" s="11">
        <f t="shared" si="415"/>
        <v>-0.37166113963082892</v>
      </c>
      <c r="O2681" s="3">
        <v>2.1766611396308289</v>
      </c>
      <c r="P2681" s="11">
        <f t="shared" si="416"/>
        <v>-5.1224483158714946</v>
      </c>
      <c r="Q2681" s="12">
        <f t="shared" si="417"/>
        <v>9.9004523855982338</v>
      </c>
      <c r="R2681" s="13">
        <f t="shared" si="418"/>
        <v>20.758348619970487</v>
      </c>
      <c r="S2681" s="3" t="s">
        <v>31</v>
      </c>
      <c r="T2681" s="3" t="s">
        <v>28</v>
      </c>
      <c r="U2681" s="10">
        <v>0</v>
      </c>
      <c r="V2681" s="3">
        <v>0</v>
      </c>
      <c r="W2681" s="3">
        <f t="shared" si="419"/>
        <v>0</v>
      </c>
      <c r="AA2681" s="3">
        <v>48</v>
      </c>
    </row>
    <row r="2682" spans="1:27" x14ac:dyDescent="0.3">
      <c r="A2682" s="3" t="str">
        <f t="shared" si="410"/>
        <v>South9420039901210</v>
      </c>
      <c r="B2682" s="3" t="str">
        <f t="shared" si="411"/>
        <v>CMR9420039901210</v>
      </c>
      <c r="C2682" s="10">
        <v>9420039901210</v>
      </c>
      <c r="D2682" s="10" t="str">
        <f t="shared" si="412"/>
        <v>9420039901</v>
      </c>
      <c r="E2682" s="3" t="s">
        <v>5</v>
      </c>
      <c r="F2682" s="3" t="s">
        <v>65</v>
      </c>
      <c r="H2682" s="3">
        <v>1.3740000000000001</v>
      </c>
      <c r="I2682" s="10">
        <f t="shared" si="413"/>
        <v>21.103609036761956</v>
      </c>
      <c r="J2682" s="3">
        <v>1.9532204149629477</v>
      </c>
      <c r="K2682" s="3">
        <v>0</v>
      </c>
      <c r="L2682" s="3">
        <f t="shared" si="414"/>
        <v>0</v>
      </c>
      <c r="N2682" s="11">
        <f t="shared" si="415"/>
        <v>-0.57922041496294763</v>
      </c>
      <c r="O2682" s="3">
        <v>1.9532204149629477</v>
      </c>
      <c r="P2682" s="11">
        <f t="shared" si="416"/>
        <v>-8.8963909632380442</v>
      </c>
      <c r="Q2682" s="12">
        <f t="shared" si="417"/>
        <v>-2.2921373667115859</v>
      </c>
      <c r="R2682" s="13">
        <f t="shared" si="418"/>
        <v>-10.289621700239787</v>
      </c>
      <c r="S2682" s="3" t="s">
        <v>31</v>
      </c>
      <c r="T2682" s="3" t="s">
        <v>28</v>
      </c>
      <c r="U2682" s="10">
        <v>0</v>
      </c>
      <c r="V2682" s="3">
        <v>0</v>
      </c>
      <c r="W2682" s="3">
        <f t="shared" si="419"/>
        <v>0</v>
      </c>
      <c r="AA2682" s="3">
        <v>48</v>
      </c>
    </row>
    <row r="2683" spans="1:27" x14ac:dyDescent="0.3">
      <c r="A2683" s="3" t="str">
        <f t="shared" si="410"/>
        <v>South9420039900840</v>
      </c>
      <c r="B2683" s="3" t="str">
        <f t="shared" si="411"/>
        <v>CMR9420039900840</v>
      </c>
      <c r="C2683" s="10">
        <v>9420039900840</v>
      </c>
      <c r="D2683" s="10" t="str">
        <f t="shared" si="412"/>
        <v>9420039900</v>
      </c>
      <c r="E2683" s="3" t="s">
        <v>5</v>
      </c>
      <c r="F2683" s="3" t="s">
        <v>65</v>
      </c>
      <c r="H2683" s="3">
        <v>0.83200000000000007</v>
      </c>
      <c r="I2683" s="10">
        <f t="shared" si="413"/>
        <v>13.200351272724079</v>
      </c>
      <c r="J2683" s="3">
        <v>1.8908587721885037</v>
      </c>
      <c r="K2683" s="3">
        <v>12</v>
      </c>
      <c r="L2683" s="3">
        <f t="shared" si="414"/>
        <v>0</v>
      </c>
      <c r="N2683" s="11">
        <f t="shared" si="415"/>
        <v>-1.0588587721885037</v>
      </c>
      <c r="O2683" s="3">
        <v>1.8908587721885037</v>
      </c>
      <c r="P2683" s="11">
        <f t="shared" si="416"/>
        <v>-16.799648727275923</v>
      </c>
      <c r="Q2683" s="12">
        <f t="shared" si="417"/>
        <v>-12.461920197916253</v>
      </c>
      <c r="R2683" s="13">
        <f t="shared" si="418"/>
        <v>-9.128082310210873</v>
      </c>
      <c r="S2683" s="3" t="s">
        <v>31</v>
      </c>
      <c r="T2683" s="3" t="s">
        <v>28</v>
      </c>
      <c r="U2683" s="10">
        <v>0</v>
      </c>
      <c r="V2683" s="3">
        <v>0</v>
      </c>
      <c r="W2683" s="3">
        <f t="shared" si="419"/>
        <v>0</v>
      </c>
      <c r="AA2683" s="3">
        <v>48</v>
      </c>
    </row>
    <row r="2684" spans="1:27" x14ac:dyDescent="0.3">
      <c r="A2684" s="3" t="str">
        <f t="shared" si="410"/>
        <v>South9360049900210</v>
      </c>
      <c r="B2684" s="3" t="str">
        <f t="shared" si="411"/>
        <v>CMR9360049900210</v>
      </c>
      <c r="C2684" s="10">
        <v>9360049900210</v>
      </c>
      <c r="D2684" s="10" t="str">
        <f t="shared" si="412"/>
        <v>9360049900</v>
      </c>
      <c r="E2684" s="3" t="s">
        <v>5</v>
      </c>
      <c r="F2684" s="3" t="s">
        <v>65</v>
      </c>
      <c r="H2684" s="3">
        <v>4.4130000000000003</v>
      </c>
      <c r="I2684" s="10">
        <f t="shared" si="413"/>
        <v>70.552903683844306</v>
      </c>
      <c r="J2684" s="3">
        <v>1.8764642287899991</v>
      </c>
      <c r="K2684" s="3">
        <v>0</v>
      </c>
      <c r="L2684" s="3">
        <f t="shared" si="414"/>
        <v>0</v>
      </c>
      <c r="N2684" s="11">
        <f t="shared" si="415"/>
        <v>2.5365357712100014</v>
      </c>
      <c r="O2684" s="3">
        <v>1.8764642287899991</v>
      </c>
      <c r="P2684" s="11">
        <f t="shared" si="416"/>
        <v>40.55290368384432</v>
      </c>
      <c r="Q2684" s="12">
        <f t="shared" si="417"/>
        <v>40.55290368384432</v>
      </c>
      <c r="R2684" s="13">
        <f t="shared" si="418"/>
        <v>16.599900440963403</v>
      </c>
      <c r="S2684" s="3" t="s">
        <v>31</v>
      </c>
      <c r="T2684" s="3" t="s">
        <v>70</v>
      </c>
      <c r="U2684" s="10">
        <v>0</v>
      </c>
      <c r="V2684" s="3">
        <v>0</v>
      </c>
      <c r="W2684" s="3">
        <f t="shared" si="419"/>
        <v>0</v>
      </c>
      <c r="AA2684" s="3">
        <v>48</v>
      </c>
    </row>
    <row r="2685" spans="1:27" x14ac:dyDescent="0.3">
      <c r="A2685" s="3" t="str">
        <f t="shared" si="410"/>
        <v>South9360119922310</v>
      </c>
      <c r="B2685" s="3" t="str">
        <f t="shared" si="411"/>
        <v>CMR9360119922310</v>
      </c>
      <c r="C2685" s="10">
        <v>9360119922310</v>
      </c>
      <c r="D2685" s="10" t="str">
        <f t="shared" si="412"/>
        <v>9360119922</v>
      </c>
      <c r="E2685" s="3" t="s">
        <v>5</v>
      </c>
      <c r="F2685" s="3" t="s">
        <v>65</v>
      </c>
      <c r="H2685" s="3">
        <v>9.0699999999999985</v>
      </c>
      <c r="I2685" s="10">
        <f t="shared" si="413"/>
        <v>162.88140866024128</v>
      </c>
      <c r="J2685" s="3">
        <v>1.6705405622294236</v>
      </c>
      <c r="K2685" s="3">
        <v>0</v>
      </c>
      <c r="L2685" s="3">
        <f t="shared" si="414"/>
        <v>0</v>
      </c>
      <c r="N2685" s="11">
        <f t="shared" si="415"/>
        <v>7.3994594377705747</v>
      </c>
      <c r="O2685" s="3">
        <v>1.6705405622294236</v>
      </c>
      <c r="P2685" s="11">
        <f t="shared" si="416"/>
        <v>132.88140866024128</v>
      </c>
      <c r="Q2685" s="12">
        <f t="shared" si="417"/>
        <v>19.044494463801296</v>
      </c>
      <c r="R2685" s="13">
        <f t="shared" si="418"/>
        <v>13.901872457836575</v>
      </c>
      <c r="S2685" s="3" t="s">
        <v>30</v>
      </c>
      <c r="T2685" s="3" t="s">
        <v>33</v>
      </c>
      <c r="U2685" s="10">
        <v>9360119922999</v>
      </c>
      <c r="V2685" s="3">
        <v>0.1</v>
      </c>
      <c r="W2685" s="3">
        <f t="shared" si="419"/>
        <v>0</v>
      </c>
      <c r="AA2685" s="3">
        <v>48</v>
      </c>
    </row>
    <row r="2686" spans="1:27" x14ac:dyDescent="0.3">
      <c r="A2686" s="3" t="str">
        <f t="shared" si="410"/>
        <v>South9420049901320</v>
      </c>
      <c r="B2686" s="3" t="str">
        <f t="shared" si="411"/>
        <v>CMR9420049901320</v>
      </c>
      <c r="C2686" s="10">
        <v>9420049901320</v>
      </c>
      <c r="D2686" s="10" t="str">
        <f t="shared" si="412"/>
        <v>9420049901</v>
      </c>
      <c r="E2686" s="3" t="s">
        <v>5</v>
      </c>
      <c r="F2686" s="3" t="s">
        <v>65</v>
      </c>
      <c r="H2686" s="3">
        <v>0.04</v>
      </c>
      <c r="I2686" s="10">
        <f t="shared" si="413"/>
        <v>0.7350762281604708</v>
      </c>
      <c r="J2686" s="3">
        <v>1.6324837534237797</v>
      </c>
      <c r="K2686" s="3">
        <v>0</v>
      </c>
      <c r="L2686" s="3">
        <f t="shared" si="414"/>
        <v>0</v>
      </c>
      <c r="N2686" s="11">
        <f t="shared" si="415"/>
        <v>-1.5924837534237797</v>
      </c>
      <c r="O2686" s="3">
        <v>1.6324837534237797</v>
      </c>
      <c r="P2686" s="11">
        <f t="shared" si="416"/>
        <v>-29.264923771839527</v>
      </c>
      <c r="Q2686" s="12">
        <f t="shared" si="417"/>
        <v>-24.37170660712102</v>
      </c>
      <c r="R2686" s="13">
        <f t="shared" si="418"/>
        <v>68.696520476184929</v>
      </c>
      <c r="S2686" s="3" t="s">
        <v>31</v>
      </c>
      <c r="T2686" s="3" t="s">
        <v>28</v>
      </c>
      <c r="U2686" s="10">
        <v>9420049900999</v>
      </c>
      <c r="V2686" s="3">
        <v>0.1</v>
      </c>
      <c r="W2686" s="3">
        <f t="shared" si="419"/>
        <v>0</v>
      </c>
      <c r="AA2686" s="3">
        <v>48</v>
      </c>
    </row>
    <row r="2687" spans="1:27" x14ac:dyDescent="0.3">
      <c r="A2687" s="3" t="str">
        <f t="shared" si="410"/>
        <v>South9320039902097</v>
      </c>
      <c r="B2687" s="3" t="str">
        <f t="shared" si="411"/>
        <v>CMR9320039902097</v>
      </c>
      <c r="C2687" s="10">
        <v>9320039902097</v>
      </c>
      <c r="D2687" s="10" t="str">
        <f t="shared" si="412"/>
        <v>9320039902</v>
      </c>
      <c r="E2687" s="3" t="s">
        <v>5</v>
      </c>
      <c r="F2687" s="3" t="s">
        <v>65</v>
      </c>
      <c r="H2687" s="3">
        <v>0.90870000000000017</v>
      </c>
      <c r="I2687" s="10">
        <f t="shared" si="413"/>
        <v>16.787555291625303</v>
      </c>
      <c r="J2687" s="3">
        <v>1.623881472104489</v>
      </c>
      <c r="K2687" s="3">
        <v>0</v>
      </c>
      <c r="L2687" s="3">
        <f t="shared" si="414"/>
        <v>0</v>
      </c>
      <c r="N2687" s="11">
        <f t="shared" si="415"/>
        <v>-0.71518147210448879</v>
      </c>
      <c r="O2687" s="3">
        <v>1.623881472104489</v>
      </c>
      <c r="P2687" s="11">
        <f t="shared" si="416"/>
        <v>-13.212444708374694</v>
      </c>
      <c r="Q2687" s="12">
        <f t="shared" si="417"/>
        <v>68.153281934647396</v>
      </c>
      <c r="R2687" s="13">
        <f t="shared" si="418"/>
        <v>14.813342582695007</v>
      </c>
      <c r="S2687" s="3" t="s">
        <v>30</v>
      </c>
      <c r="T2687" s="3" t="s">
        <v>28</v>
      </c>
      <c r="U2687" s="10">
        <v>0</v>
      </c>
      <c r="V2687" s="3">
        <v>0</v>
      </c>
      <c r="W2687" s="3">
        <f t="shared" si="419"/>
        <v>0</v>
      </c>
      <c r="AA2687" s="3">
        <v>48</v>
      </c>
    </row>
    <row r="2688" spans="1:27" x14ac:dyDescent="0.3">
      <c r="A2688" s="3" t="str">
        <f t="shared" si="410"/>
        <v>South9330239902219</v>
      </c>
      <c r="B2688" s="3" t="str">
        <f t="shared" si="411"/>
        <v>CMR9330239902219</v>
      </c>
      <c r="C2688" s="10">
        <v>9330239902219</v>
      </c>
      <c r="D2688" s="10" t="str">
        <f t="shared" si="412"/>
        <v>9330239902</v>
      </c>
      <c r="E2688" s="3" t="s">
        <v>5</v>
      </c>
      <c r="F2688" s="3" t="s">
        <v>65</v>
      </c>
      <c r="H2688" s="3">
        <v>1.6964999999999999</v>
      </c>
      <c r="I2688" s="10">
        <f t="shared" si="413"/>
        <v>33.662489771915062</v>
      </c>
      <c r="J2688" s="3">
        <v>1.5119202514385073</v>
      </c>
      <c r="K2688" s="3">
        <v>0</v>
      </c>
      <c r="L2688" s="3">
        <f t="shared" si="414"/>
        <v>0</v>
      </c>
      <c r="N2688" s="11">
        <f t="shared" si="415"/>
        <v>0.18457974856149262</v>
      </c>
      <c r="O2688" s="3">
        <v>1.5119202514385073</v>
      </c>
      <c r="P2688" s="11">
        <f t="shared" si="416"/>
        <v>3.6624897719150598</v>
      </c>
      <c r="Q2688" s="12">
        <f t="shared" si="417"/>
        <v>3.6624897719150598</v>
      </c>
      <c r="R2688" s="13">
        <f t="shared" si="418"/>
        <v>227.02142686726842</v>
      </c>
      <c r="S2688" s="3" t="s">
        <v>31</v>
      </c>
      <c r="T2688" s="3" t="s">
        <v>35</v>
      </c>
      <c r="U2688" s="10">
        <v>9330239900999</v>
      </c>
      <c r="V2688" s="3">
        <v>0.1</v>
      </c>
      <c r="W2688" s="3">
        <f t="shared" si="419"/>
        <v>0</v>
      </c>
      <c r="AA2688" s="3">
        <v>48</v>
      </c>
    </row>
    <row r="2689" spans="1:27" x14ac:dyDescent="0.3">
      <c r="A2689" s="3" t="str">
        <f t="shared" si="410"/>
        <v>South9420019901210</v>
      </c>
      <c r="B2689" s="3" t="str">
        <f t="shared" si="411"/>
        <v>CMR9420019901210</v>
      </c>
      <c r="C2689" s="10">
        <v>9420019901210</v>
      </c>
      <c r="D2689" s="10" t="str">
        <f t="shared" si="412"/>
        <v>9420019901</v>
      </c>
      <c r="E2689" s="3" t="s">
        <v>5</v>
      </c>
      <c r="F2689" s="3" t="s">
        <v>65</v>
      </c>
      <c r="H2689" s="3">
        <v>0.35600000000000004</v>
      </c>
      <c r="I2689" s="10">
        <f t="shared" si="413"/>
        <v>7.5332712171993919</v>
      </c>
      <c r="J2689" s="3">
        <v>1.4177108047850764</v>
      </c>
      <c r="K2689" s="3">
        <v>12</v>
      </c>
      <c r="L2689" s="3">
        <f t="shared" si="414"/>
        <v>0</v>
      </c>
      <c r="N2689" s="11">
        <f t="shared" si="415"/>
        <v>-1.0617108047850763</v>
      </c>
      <c r="O2689" s="3">
        <v>1.4177108047850764</v>
      </c>
      <c r="P2689" s="11">
        <f t="shared" si="416"/>
        <v>-22.466728782800608</v>
      </c>
      <c r="Q2689" s="12">
        <f t="shared" si="417"/>
        <v>-21.74440569274741</v>
      </c>
      <c r="R2689" s="13">
        <f t="shared" si="418"/>
        <v>7.9005308736412605</v>
      </c>
      <c r="S2689" s="3" t="s">
        <v>31</v>
      </c>
      <c r="T2689" s="3" t="s">
        <v>28</v>
      </c>
      <c r="U2689" s="10">
        <v>0</v>
      </c>
      <c r="V2689" s="3">
        <v>0</v>
      </c>
      <c r="W2689" s="3">
        <f t="shared" si="419"/>
        <v>0</v>
      </c>
      <c r="AA2689" s="3">
        <v>48</v>
      </c>
    </row>
    <row r="2690" spans="1:27" x14ac:dyDescent="0.3">
      <c r="A2690" s="3" t="str">
        <f t="shared" si="410"/>
        <v>South9320089900210</v>
      </c>
      <c r="B2690" s="3" t="str">
        <f t="shared" si="411"/>
        <v>CMR9320089900210</v>
      </c>
      <c r="C2690" s="10">
        <v>9320089900210</v>
      </c>
      <c r="D2690" s="10" t="str">
        <f t="shared" si="412"/>
        <v>9320089900</v>
      </c>
      <c r="E2690" s="3" t="s">
        <v>5</v>
      </c>
      <c r="F2690" s="3" t="s">
        <v>65</v>
      </c>
      <c r="H2690" s="3">
        <v>1.9310000000000003</v>
      </c>
      <c r="I2690" s="10">
        <f t="shared" si="413"/>
        <v>41.701643681880867</v>
      </c>
      <c r="J2690" s="3">
        <v>1.3891538770489824</v>
      </c>
      <c r="K2690" s="3">
        <v>0</v>
      </c>
      <c r="L2690" s="3">
        <f t="shared" si="414"/>
        <v>0</v>
      </c>
      <c r="N2690" s="11">
        <f t="shared" si="415"/>
        <v>0.54184612295101786</v>
      </c>
      <c r="O2690" s="3">
        <v>1.3891538770489824</v>
      </c>
      <c r="P2690" s="11">
        <f t="shared" si="416"/>
        <v>11.701643681880867</v>
      </c>
      <c r="Q2690" s="12">
        <f t="shared" si="417"/>
        <v>13.483010368549389</v>
      </c>
      <c r="R2690" s="13">
        <f t="shared" si="418"/>
        <v>36.265259284265305</v>
      </c>
      <c r="S2690" s="3" t="s">
        <v>31</v>
      </c>
      <c r="T2690" s="3" t="s">
        <v>28</v>
      </c>
      <c r="U2690" s="10">
        <v>0</v>
      </c>
      <c r="V2690" s="3">
        <v>0</v>
      </c>
      <c r="W2690" s="3">
        <f t="shared" si="419"/>
        <v>0</v>
      </c>
      <c r="AA2690" s="3">
        <v>48</v>
      </c>
    </row>
    <row r="2691" spans="1:27" x14ac:dyDescent="0.3">
      <c r="A2691" s="3" t="str">
        <f t="shared" si="410"/>
        <v>South9410039913310</v>
      </c>
      <c r="B2691" s="3" t="str">
        <f t="shared" si="411"/>
        <v>CMR9410039913310</v>
      </c>
      <c r="C2691" s="10">
        <v>9410039913310</v>
      </c>
      <c r="D2691" s="10" t="str">
        <f t="shared" si="412"/>
        <v>9410039913</v>
      </c>
      <c r="E2691" s="3" t="s">
        <v>5</v>
      </c>
      <c r="F2691" s="3" t="s">
        <v>65</v>
      </c>
      <c r="H2691" s="3">
        <v>2.9</v>
      </c>
      <c r="I2691" s="10">
        <f t="shared" si="413"/>
        <v>63.800528503345205</v>
      </c>
      <c r="J2691" s="3">
        <v>1.3636250677051742</v>
      </c>
      <c r="K2691" s="3">
        <v>0</v>
      </c>
      <c r="L2691" s="3">
        <f t="shared" si="414"/>
        <v>0</v>
      </c>
      <c r="N2691" s="11">
        <f t="shared" si="415"/>
        <v>1.5363749322948257</v>
      </c>
      <c r="O2691" s="3">
        <v>1.3636250677051742</v>
      </c>
      <c r="P2691" s="11">
        <f t="shared" si="416"/>
        <v>33.800528503345205</v>
      </c>
      <c r="Q2691" s="12">
        <f t="shared" si="417"/>
        <v>34.389297677541755</v>
      </c>
      <c r="R2691" s="13">
        <f t="shared" si="418"/>
        <v>1.878232723294978</v>
      </c>
      <c r="S2691" s="3" t="s">
        <v>31</v>
      </c>
      <c r="T2691" s="3" t="s">
        <v>32</v>
      </c>
      <c r="U2691" s="10">
        <v>9410039913999</v>
      </c>
      <c r="V2691" s="3">
        <v>0.1</v>
      </c>
      <c r="W2691" s="3">
        <f t="shared" si="419"/>
        <v>0</v>
      </c>
      <c r="AA2691" s="3">
        <v>48</v>
      </c>
    </row>
    <row r="2692" spans="1:27" x14ac:dyDescent="0.3">
      <c r="A2692" s="3" t="str">
        <f t="shared" ref="A2692:A2755" si="420">_xlfn.CONCAT(F2692,C2692)</f>
        <v>South9432029901210</v>
      </c>
      <c r="B2692" s="3" t="str">
        <f t="shared" ref="B2692:B2755" si="421">_xlfn.CONCAT(E2692,C2692)</f>
        <v>CMR9432029901210</v>
      </c>
      <c r="C2692" s="10">
        <v>9432029901210</v>
      </c>
      <c r="D2692" s="10" t="str">
        <f t="shared" ref="D2692:D2755" si="422">LEFT(C2692,10)</f>
        <v>9432029901</v>
      </c>
      <c r="E2692" s="3" t="s">
        <v>5</v>
      </c>
      <c r="F2692" s="3" t="s">
        <v>65</v>
      </c>
      <c r="H2692" s="3">
        <v>1.4810000000000003</v>
      </c>
      <c r="I2692" s="10">
        <f t="shared" ref="I2692:I2755" si="423">IFERROR(H2692/J2692*30,0)</f>
        <v>34.615749971550962</v>
      </c>
      <c r="J2692" s="3">
        <v>1.2835197861237995</v>
      </c>
      <c r="K2692" s="3">
        <v>12</v>
      </c>
      <c r="L2692" s="3">
        <f t="shared" ref="L2692:L2755" si="424">M2692*G2692</f>
        <v>0</v>
      </c>
      <c r="N2692" s="11">
        <f t="shared" ref="N2692:N2755" si="425">H2692-J2692+L2692</f>
        <v>0.19748021387620085</v>
      </c>
      <c r="O2692" s="3">
        <v>1.2835197861237995</v>
      </c>
      <c r="P2692" s="11">
        <f t="shared" ref="P2692:P2755" si="426">IF(O2692=0,9999,N2692/O2692*30)</f>
        <v>4.6157499715509633</v>
      </c>
      <c r="Q2692" s="12">
        <f t="shared" ref="Q2692:Q2755" si="427">IF(SUMIF($A:$A,$A2692,$O:$O)=0,9999,SUMIF($A:$A,$A2692,$N:$N)*30/SUMIF($A:$A,$A2692,$O:$O))</f>
        <v>1.747116957626246</v>
      </c>
      <c r="R2692" s="13">
        <f t="shared" ref="R2692:R2755" si="428">IF(SUMIF($C:$C,$C2692,$O:$O)=0,9999,SUMIF($C:$C,$C2692,$N:$N)*30/SUMIF($C:$C,$C2692,$O:$O))</f>
        <v>66.700184019047626</v>
      </c>
      <c r="S2692" s="3" t="s">
        <v>31</v>
      </c>
      <c r="T2692" s="3" t="s">
        <v>35</v>
      </c>
      <c r="U2692" s="10">
        <v>0</v>
      </c>
      <c r="V2692" s="3">
        <v>0</v>
      </c>
      <c r="W2692" s="3">
        <f t="shared" ref="W2692:W2755" si="429">IFERROR(K2692*V2692,0)</f>
        <v>0</v>
      </c>
      <c r="AA2692" s="3">
        <v>48</v>
      </c>
    </row>
    <row r="2693" spans="1:27" x14ac:dyDescent="0.3">
      <c r="A2693" s="3" t="str">
        <f t="shared" si="420"/>
        <v>South9437009900210</v>
      </c>
      <c r="B2693" s="3" t="str">
        <f t="shared" si="421"/>
        <v>CMR9437009900210</v>
      </c>
      <c r="C2693" s="10">
        <v>9437009900210</v>
      </c>
      <c r="D2693" s="10" t="str">
        <f t="shared" si="422"/>
        <v>9437009900</v>
      </c>
      <c r="E2693" s="3" t="s">
        <v>5</v>
      </c>
      <c r="F2693" s="3" t="s">
        <v>65</v>
      </c>
      <c r="H2693" s="3">
        <v>1.1550000000000002</v>
      </c>
      <c r="I2693" s="10">
        <f t="shared" si="423"/>
        <v>30.97792341396719</v>
      </c>
      <c r="J2693" s="3">
        <v>1.1185385003688519</v>
      </c>
      <c r="K2693" s="3">
        <v>0</v>
      </c>
      <c r="L2693" s="3">
        <f t="shared" si="424"/>
        <v>0</v>
      </c>
      <c r="N2693" s="11">
        <f t="shared" si="425"/>
        <v>3.6461499631148309E-2</v>
      </c>
      <c r="O2693" s="3">
        <v>1.1185385003688519</v>
      </c>
      <c r="P2693" s="11">
        <f t="shared" si="426"/>
        <v>0.97792341396719062</v>
      </c>
      <c r="Q2693" s="12">
        <f t="shared" si="427"/>
        <v>18.523600325187157</v>
      </c>
      <c r="R2693" s="13">
        <f t="shared" si="428"/>
        <v>46.768930863463687</v>
      </c>
      <c r="S2693" s="3" t="s">
        <v>31</v>
      </c>
      <c r="T2693" s="3" t="s">
        <v>35</v>
      </c>
      <c r="U2693" s="10">
        <v>0</v>
      </c>
      <c r="V2693" s="3">
        <v>0</v>
      </c>
      <c r="W2693" s="3">
        <f t="shared" si="429"/>
        <v>0</v>
      </c>
      <c r="AA2693" s="3">
        <v>48</v>
      </c>
    </row>
    <row r="2694" spans="1:27" x14ac:dyDescent="0.3">
      <c r="A2694" s="3" t="str">
        <f t="shared" si="420"/>
        <v>South9160509902219</v>
      </c>
      <c r="B2694" s="3" t="str">
        <f t="shared" si="421"/>
        <v>CMR9160509902219</v>
      </c>
      <c r="C2694" s="10">
        <v>9160509902219</v>
      </c>
      <c r="D2694" s="10" t="str">
        <f t="shared" si="422"/>
        <v>9160509902</v>
      </c>
      <c r="E2694" s="3" t="s">
        <v>5</v>
      </c>
      <c r="F2694" s="3" t="s">
        <v>65</v>
      </c>
      <c r="H2694" s="3">
        <v>42.120000000000005</v>
      </c>
      <c r="I2694" s="10">
        <f t="shared" si="423"/>
        <v>1196.8229202267134</v>
      </c>
      <c r="J2694" s="3">
        <v>1.055795288212426</v>
      </c>
      <c r="K2694" s="3">
        <v>0</v>
      </c>
      <c r="L2694" s="3">
        <f t="shared" si="424"/>
        <v>0</v>
      </c>
      <c r="N2694" s="11">
        <f t="shared" si="425"/>
        <v>41.064204711787582</v>
      </c>
      <c r="O2694" s="3">
        <v>1.055795288212426</v>
      </c>
      <c r="P2694" s="11">
        <f t="shared" si="426"/>
        <v>1166.8229202267134</v>
      </c>
      <c r="Q2694" s="12">
        <f t="shared" si="427"/>
        <v>618.44509984814113</v>
      </c>
      <c r="R2694" s="13">
        <f t="shared" si="428"/>
        <v>65.8644667568567</v>
      </c>
      <c r="S2694" s="3" t="s">
        <v>30</v>
      </c>
      <c r="T2694" s="3" t="s">
        <v>34</v>
      </c>
      <c r="U2694" s="10">
        <v>0</v>
      </c>
      <c r="V2694" s="3">
        <v>0</v>
      </c>
      <c r="W2694" s="3">
        <f t="shared" si="429"/>
        <v>0</v>
      </c>
      <c r="AA2694" s="3">
        <v>48</v>
      </c>
    </row>
    <row r="2695" spans="1:27" x14ac:dyDescent="0.3">
      <c r="A2695" s="3" t="str">
        <f t="shared" si="420"/>
        <v>South9320089902839</v>
      </c>
      <c r="B2695" s="3" t="str">
        <f t="shared" si="421"/>
        <v>CMR9320089902839</v>
      </c>
      <c r="C2695" s="10">
        <v>9320089902839</v>
      </c>
      <c r="D2695" s="10" t="str">
        <f t="shared" si="422"/>
        <v>9320089902</v>
      </c>
      <c r="E2695" s="3" t="s">
        <v>5</v>
      </c>
      <c r="F2695" s="3" t="s">
        <v>65</v>
      </c>
      <c r="H2695" s="3">
        <v>1.6847999999999999</v>
      </c>
      <c r="I2695" s="10">
        <f t="shared" si="423"/>
        <v>49.116529763000095</v>
      </c>
      <c r="J2695" s="3">
        <v>1.0290629294025415</v>
      </c>
      <c r="K2695" s="3">
        <v>0</v>
      </c>
      <c r="L2695" s="3">
        <f t="shared" si="424"/>
        <v>0</v>
      </c>
      <c r="N2695" s="11">
        <f t="shared" si="425"/>
        <v>0.65573707059745834</v>
      </c>
      <c r="O2695" s="3">
        <v>1.0290629294025415</v>
      </c>
      <c r="P2695" s="11">
        <f t="shared" si="426"/>
        <v>19.116529763000095</v>
      </c>
      <c r="Q2695" s="12">
        <f t="shared" si="427"/>
        <v>24.765484339213891</v>
      </c>
      <c r="R2695" s="13">
        <f t="shared" si="428"/>
        <v>23.218371468264344</v>
      </c>
      <c r="S2695" s="3" t="s">
        <v>31</v>
      </c>
      <c r="T2695" s="3" t="s">
        <v>28</v>
      </c>
      <c r="U2695" s="10">
        <v>0</v>
      </c>
      <c r="V2695" s="3">
        <v>0</v>
      </c>
      <c r="W2695" s="3">
        <f t="shared" si="429"/>
        <v>0</v>
      </c>
      <c r="AA2695" s="3">
        <v>48</v>
      </c>
    </row>
    <row r="2696" spans="1:27" x14ac:dyDescent="0.3">
      <c r="A2696" s="3" t="str">
        <f t="shared" si="420"/>
        <v>South9360119922240</v>
      </c>
      <c r="B2696" s="3" t="str">
        <f t="shared" si="421"/>
        <v>CMR9360119922240</v>
      </c>
      <c r="C2696" s="10">
        <v>9360119922240</v>
      </c>
      <c r="D2696" s="10" t="str">
        <f t="shared" si="422"/>
        <v>9360119922</v>
      </c>
      <c r="E2696" s="3" t="s">
        <v>5</v>
      </c>
      <c r="F2696" s="3" t="s">
        <v>65</v>
      </c>
      <c r="H2696" s="3">
        <v>18.888000000000002</v>
      </c>
      <c r="I2696" s="10">
        <f t="shared" si="423"/>
        <v>596.99849591700843</v>
      </c>
      <c r="J2696" s="3">
        <v>0.94914811992888382</v>
      </c>
      <c r="K2696" s="3">
        <v>0</v>
      </c>
      <c r="L2696" s="3">
        <f t="shared" si="424"/>
        <v>0</v>
      </c>
      <c r="N2696" s="11">
        <f t="shared" si="425"/>
        <v>17.93885188007112</v>
      </c>
      <c r="O2696" s="3">
        <v>0.94914811992888382</v>
      </c>
      <c r="P2696" s="11">
        <f t="shared" si="426"/>
        <v>566.99849591700854</v>
      </c>
      <c r="Q2696" s="12">
        <f t="shared" si="427"/>
        <v>200.1089562165939</v>
      </c>
      <c r="R2696" s="13">
        <f t="shared" si="428"/>
        <v>79.889481963770294</v>
      </c>
      <c r="S2696" s="3" t="s">
        <v>31</v>
      </c>
      <c r="T2696" s="3" t="s">
        <v>33</v>
      </c>
      <c r="U2696" s="10">
        <v>0</v>
      </c>
      <c r="V2696" s="3">
        <v>0</v>
      </c>
      <c r="W2696" s="3">
        <f t="shared" si="429"/>
        <v>0</v>
      </c>
      <c r="AA2696" s="3">
        <v>48</v>
      </c>
    </row>
    <row r="2697" spans="1:27" x14ac:dyDescent="0.3">
      <c r="A2697" s="3" t="str">
        <f t="shared" si="420"/>
        <v>South9310039902219</v>
      </c>
      <c r="B2697" s="3" t="str">
        <f t="shared" si="421"/>
        <v>CMR9310039902219</v>
      </c>
      <c r="C2697" s="10">
        <v>9310039902219</v>
      </c>
      <c r="D2697" s="10" t="str">
        <f t="shared" si="422"/>
        <v>9310039902</v>
      </c>
      <c r="E2697" s="3" t="s">
        <v>5</v>
      </c>
      <c r="F2697" s="3" t="s">
        <v>65</v>
      </c>
      <c r="H2697" s="3">
        <v>2.1644999999999999</v>
      </c>
      <c r="I2697" s="10">
        <f t="shared" si="423"/>
        <v>69.596393050265974</v>
      </c>
      <c r="J2697" s="3">
        <v>0.93302249087967415</v>
      </c>
      <c r="K2697" s="3">
        <v>0</v>
      </c>
      <c r="L2697" s="3">
        <f t="shared" si="424"/>
        <v>0</v>
      </c>
      <c r="N2697" s="11">
        <f t="shared" si="425"/>
        <v>1.2314775091203258</v>
      </c>
      <c r="O2697" s="3">
        <v>0.93302249087967415</v>
      </c>
      <c r="P2697" s="11">
        <f t="shared" si="426"/>
        <v>39.596393050265974</v>
      </c>
      <c r="Q2697" s="12">
        <f t="shared" si="427"/>
        <v>114.44970559225817</v>
      </c>
      <c r="R2697" s="13">
        <f t="shared" si="428"/>
        <v>50.261699549000284</v>
      </c>
      <c r="S2697" s="3" t="s">
        <v>30</v>
      </c>
      <c r="T2697" s="3" t="s">
        <v>32</v>
      </c>
      <c r="U2697" s="10">
        <v>9310039900999</v>
      </c>
      <c r="V2697" s="3">
        <v>0.1</v>
      </c>
      <c r="W2697" s="3">
        <f t="shared" si="429"/>
        <v>0</v>
      </c>
      <c r="AA2697" s="3">
        <v>48</v>
      </c>
    </row>
    <row r="2698" spans="1:27" x14ac:dyDescent="0.3">
      <c r="A2698" s="3" t="str">
        <f t="shared" si="420"/>
        <v>South9432029900840</v>
      </c>
      <c r="B2698" s="3" t="str">
        <f t="shared" si="421"/>
        <v>CMR9432029900840</v>
      </c>
      <c r="C2698" s="10">
        <v>9432029900840</v>
      </c>
      <c r="D2698" s="10" t="str">
        <f t="shared" si="422"/>
        <v>9432029900</v>
      </c>
      <c r="E2698" s="3" t="s">
        <v>5</v>
      </c>
      <c r="F2698" s="3" t="s">
        <v>65</v>
      </c>
      <c r="H2698" s="3">
        <v>0.8480000000000002</v>
      </c>
      <c r="I2698" s="10">
        <f t="shared" si="423"/>
        <v>28.23932173811319</v>
      </c>
      <c r="J2698" s="3">
        <v>0.90087149528329213</v>
      </c>
      <c r="K2698" s="3">
        <v>0</v>
      </c>
      <c r="L2698" s="3">
        <f t="shared" si="424"/>
        <v>0</v>
      </c>
      <c r="N2698" s="11">
        <f t="shared" si="425"/>
        <v>-5.2871495283291936E-2</v>
      </c>
      <c r="O2698" s="3">
        <v>0.90087149528329213</v>
      </c>
      <c r="P2698" s="11">
        <f t="shared" si="426"/>
        <v>-1.7606782618868095</v>
      </c>
      <c r="Q2698" s="12">
        <f t="shared" si="427"/>
        <v>6.7679944161610308</v>
      </c>
      <c r="R2698" s="13">
        <f t="shared" si="428"/>
        <v>43.321758221941678</v>
      </c>
      <c r="S2698" s="3" t="s">
        <v>31</v>
      </c>
      <c r="T2698" s="3" t="s">
        <v>35</v>
      </c>
      <c r="U2698" s="10">
        <v>0</v>
      </c>
      <c r="V2698" s="3">
        <v>0</v>
      </c>
      <c r="W2698" s="3">
        <f t="shared" si="429"/>
        <v>0</v>
      </c>
      <c r="AA2698" s="3">
        <v>48</v>
      </c>
    </row>
    <row r="2699" spans="1:27" x14ac:dyDescent="0.3">
      <c r="A2699" s="3" t="str">
        <f t="shared" si="420"/>
        <v>South9420039902838</v>
      </c>
      <c r="B2699" s="3" t="str">
        <f t="shared" si="421"/>
        <v>CMR9420039902838</v>
      </c>
      <c r="C2699" s="10">
        <v>9420039902838</v>
      </c>
      <c r="D2699" s="10" t="str">
        <f t="shared" si="422"/>
        <v>9420039902</v>
      </c>
      <c r="E2699" s="3" t="s">
        <v>5</v>
      </c>
      <c r="F2699" s="3" t="s">
        <v>65</v>
      </c>
      <c r="H2699" s="3">
        <v>0.91200000000000003</v>
      </c>
      <c r="I2699" s="10">
        <f t="shared" si="423"/>
        <v>32.789385128049524</v>
      </c>
      <c r="J2699" s="3">
        <v>0.83441637875042118</v>
      </c>
      <c r="K2699" s="3">
        <v>0</v>
      </c>
      <c r="L2699" s="3">
        <f t="shared" si="424"/>
        <v>0</v>
      </c>
      <c r="N2699" s="11">
        <f t="shared" si="425"/>
        <v>7.7583621249578849E-2</v>
      </c>
      <c r="O2699" s="3">
        <v>0.83441637875042118</v>
      </c>
      <c r="P2699" s="11">
        <f t="shared" si="426"/>
        <v>2.7893851280495263</v>
      </c>
      <c r="Q2699" s="12">
        <f t="shared" si="427"/>
        <v>16.811330730072413</v>
      </c>
      <c r="R2699" s="13">
        <f t="shared" si="428"/>
        <v>35.173429095369414</v>
      </c>
      <c r="S2699" s="3" t="s">
        <v>31</v>
      </c>
      <c r="T2699" s="3" t="s">
        <v>28</v>
      </c>
      <c r="U2699" s="10">
        <v>0</v>
      </c>
      <c r="V2699" s="3">
        <v>0</v>
      </c>
      <c r="W2699" s="3">
        <f t="shared" si="429"/>
        <v>0</v>
      </c>
      <c r="AA2699" s="3">
        <v>48</v>
      </c>
    </row>
    <row r="2700" spans="1:27" x14ac:dyDescent="0.3">
      <c r="A2700" s="3" t="str">
        <f t="shared" si="420"/>
        <v>South9310039902839</v>
      </c>
      <c r="B2700" s="3" t="str">
        <f t="shared" si="421"/>
        <v>CMR9310039902839</v>
      </c>
      <c r="C2700" s="10">
        <v>9310039902839</v>
      </c>
      <c r="D2700" s="10" t="str">
        <f t="shared" si="422"/>
        <v>9310039902</v>
      </c>
      <c r="E2700" s="3" t="s">
        <v>5</v>
      </c>
      <c r="F2700" s="3" t="s">
        <v>65</v>
      </c>
      <c r="H2700" s="3">
        <v>1.1426999999999998</v>
      </c>
      <c r="I2700" s="10">
        <f t="shared" si="423"/>
        <v>42.003474861679756</v>
      </c>
      <c r="J2700" s="3">
        <v>0.81614676197361324</v>
      </c>
      <c r="K2700" s="3">
        <v>0</v>
      </c>
      <c r="L2700" s="3">
        <f t="shared" si="424"/>
        <v>0</v>
      </c>
      <c r="N2700" s="11">
        <f t="shared" si="425"/>
        <v>0.32655323802638658</v>
      </c>
      <c r="O2700" s="3">
        <v>0.81614676197361324</v>
      </c>
      <c r="P2700" s="11">
        <f t="shared" si="426"/>
        <v>12.003474861679756</v>
      </c>
      <c r="Q2700" s="12">
        <f t="shared" si="427"/>
        <v>13.728203322450369</v>
      </c>
      <c r="R2700" s="13">
        <f t="shared" si="428"/>
        <v>147.06389746158985</v>
      </c>
      <c r="S2700" s="3" t="s">
        <v>31</v>
      </c>
      <c r="T2700" s="3" t="s">
        <v>32</v>
      </c>
      <c r="U2700" s="10">
        <v>0</v>
      </c>
      <c r="V2700" s="3">
        <v>0</v>
      </c>
      <c r="W2700" s="3">
        <f t="shared" si="429"/>
        <v>0</v>
      </c>
      <c r="AA2700" s="3">
        <v>48</v>
      </c>
    </row>
    <row r="2701" spans="1:27" x14ac:dyDescent="0.3">
      <c r="A2701" s="3" t="str">
        <f t="shared" si="420"/>
        <v>South9420039902195</v>
      </c>
      <c r="B2701" s="3" t="str">
        <f t="shared" si="421"/>
        <v>CMR9420039902195</v>
      </c>
      <c r="C2701" s="10">
        <v>9420039902195</v>
      </c>
      <c r="D2701" s="10" t="str">
        <f t="shared" si="422"/>
        <v>9420039902</v>
      </c>
      <c r="E2701" s="3" t="s">
        <v>5</v>
      </c>
      <c r="F2701" s="3" t="s">
        <v>65</v>
      </c>
      <c r="H2701" s="3">
        <v>0.86260000000000003</v>
      </c>
      <c r="I2701" s="10">
        <f t="shared" si="423"/>
        <v>33.791140478213507</v>
      </c>
      <c r="J2701" s="3">
        <v>0.76582203600628929</v>
      </c>
      <c r="K2701" s="3">
        <v>0</v>
      </c>
      <c r="L2701" s="3">
        <f t="shared" si="424"/>
        <v>0</v>
      </c>
      <c r="N2701" s="11">
        <f t="shared" si="425"/>
        <v>9.6777963993710747E-2</v>
      </c>
      <c r="O2701" s="3">
        <v>0.76582203600628929</v>
      </c>
      <c r="P2701" s="11">
        <f t="shared" si="426"/>
        <v>3.791140478213503</v>
      </c>
      <c r="Q2701" s="12">
        <f t="shared" si="427"/>
        <v>11.054428235817861</v>
      </c>
      <c r="R2701" s="13">
        <f t="shared" si="428"/>
        <v>11.369139800998852</v>
      </c>
      <c r="S2701" s="3" t="s">
        <v>31</v>
      </c>
      <c r="T2701" s="3" t="s">
        <v>28</v>
      </c>
      <c r="U2701" s="10">
        <v>0</v>
      </c>
      <c r="V2701" s="3">
        <v>0</v>
      </c>
      <c r="W2701" s="3">
        <f t="shared" si="429"/>
        <v>0</v>
      </c>
      <c r="AA2701" s="3">
        <v>48</v>
      </c>
    </row>
    <row r="2702" spans="1:27" x14ac:dyDescent="0.3">
      <c r="A2702" s="3" t="str">
        <f t="shared" si="420"/>
        <v>South9410059900810</v>
      </c>
      <c r="B2702" s="3" t="str">
        <f t="shared" si="421"/>
        <v>CMR9410059900810</v>
      </c>
      <c r="C2702" s="10">
        <v>9410059900810</v>
      </c>
      <c r="D2702" s="10" t="str">
        <f t="shared" si="422"/>
        <v>9410059900</v>
      </c>
      <c r="E2702" s="3" t="s">
        <v>5</v>
      </c>
      <c r="F2702" s="3" t="s">
        <v>65</v>
      </c>
      <c r="H2702" s="3">
        <v>0.19</v>
      </c>
      <c r="I2702" s="10">
        <f t="shared" si="423"/>
        <v>8.0491406637266536</v>
      </c>
      <c r="J2702" s="3">
        <v>0.70815012907986241</v>
      </c>
      <c r="K2702" s="3">
        <v>0</v>
      </c>
      <c r="L2702" s="3">
        <f t="shared" si="424"/>
        <v>0</v>
      </c>
      <c r="N2702" s="11">
        <f t="shared" si="425"/>
        <v>-0.51815012907986246</v>
      </c>
      <c r="O2702" s="3">
        <v>0.70815012907986241</v>
      </c>
      <c r="P2702" s="11">
        <f t="shared" si="426"/>
        <v>-21.950859336273346</v>
      </c>
      <c r="Q2702" s="12">
        <f t="shared" si="427"/>
        <v>-22.12919051178746</v>
      </c>
      <c r="R2702" s="13">
        <f t="shared" si="428"/>
        <v>-2.4886755234162909</v>
      </c>
      <c r="S2702" s="3" t="s">
        <v>31</v>
      </c>
      <c r="T2702" s="3" t="s">
        <v>32</v>
      </c>
      <c r="U2702" s="10">
        <v>0</v>
      </c>
      <c r="V2702" s="3">
        <v>0</v>
      </c>
      <c r="W2702" s="3">
        <f t="shared" si="429"/>
        <v>0</v>
      </c>
      <c r="AA2702" s="3">
        <v>48</v>
      </c>
    </row>
    <row r="2703" spans="1:27" x14ac:dyDescent="0.3">
      <c r="A2703" s="3" t="str">
        <f t="shared" si="420"/>
        <v>South9420049901310</v>
      </c>
      <c r="B2703" s="3" t="str">
        <f t="shared" si="421"/>
        <v>CMR9420049901310</v>
      </c>
      <c r="C2703" s="10">
        <v>9420049901310</v>
      </c>
      <c r="D2703" s="10" t="str">
        <f t="shared" si="422"/>
        <v>9420049901</v>
      </c>
      <c r="E2703" s="3" t="s">
        <v>5</v>
      </c>
      <c r="F2703" s="3" t="s">
        <v>65</v>
      </c>
      <c r="H2703" s="3">
        <v>6.51</v>
      </c>
      <c r="I2703" s="10">
        <f t="shared" si="423"/>
        <v>296.75286236294892</v>
      </c>
      <c r="J2703" s="3">
        <v>0.65812339077334603</v>
      </c>
      <c r="K2703" s="3">
        <v>0</v>
      </c>
      <c r="L2703" s="3">
        <f t="shared" si="424"/>
        <v>0</v>
      </c>
      <c r="N2703" s="11">
        <f t="shared" si="425"/>
        <v>5.8518766092266539</v>
      </c>
      <c r="O2703" s="3">
        <v>0.65812339077334603</v>
      </c>
      <c r="P2703" s="11">
        <f t="shared" si="426"/>
        <v>266.75286236294892</v>
      </c>
      <c r="Q2703" s="12">
        <f t="shared" si="427"/>
        <v>502.01951179306695</v>
      </c>
      <c r="R2703" s="13">
        <f t="shared" si="428"/>
        <v>170.13190436797507</v>
      </c>
      <c r="S2703" s="3" t="s">
        <v>31</v>
      </c>
      <c r="T2703" s="3" t="s">
        <v>28</v>
      </c>
      <c r="U2703" s="10">
        <v>9420049900999</v>
      </c>
      <c r="V2703" s="3">
        <v>0.1</v>
      </c>
      <c r="W2703" s="3">
        <f t="shared" si="429"/>
        <v>0</v>
      </c>
      <c r="AA2703" s="3">
        <v>48</v>
      </c>
    </row>
    <row r="2704" spans="1:27" x14ac:dyDescent="0.3">
      <c r="A2704" s="3" t="str">
        <f t="shared" si="420"/>
        <v>South9330239999839</v>
      </c>
      <c r="B2704" s="3" t="str">
        <f t="shared" si="421"/>
        <v>CMR9330239999839</v>
      </c>
      <c r="C2704" s="10">
        <v>9330239999839</v>
      </c>
      <c r="D2704" s="10" t="str">
        <f t="shared" si="422"/>
        <v>9330239999</v>
      </c>
      <c r="E2704" s="3" t="s">
        <v>5</v>
      </c>
      <c r="F2704" s="3" t="s">
        <v>65</v>
      </c>
      <c r="H2704" s="3">
        <v>1.2323999999999997</v>
      </c>
      <c r="I2704" s="10">
        <f t="shared" si="423"/>
        <v>61.264417834930931</v>
      </c>
      <c r="J2704" s="3">
        <v>0.60348243412050817</v>
      </c>
      <c r="K2704" s="3">
        <v>0</v>
      </c>
      <c r="L2704" s="3">
        <f t="shared" si="424"/>
        <v>0</v>
      </c>
      <c r="N2704" s="11">
        <f t="shared" si="425"/>
        <v>0.62891756587949155</v>
      </c>
      <c r="O2704" s="3">
        <v>0.60348243412050817</v>
      </c>
      <c r="P2704" s="11">
        <f t="shared" si="426"/>
        <v>31.264417834930928</v>
      </c>
      <c r="Q2704" s="12">
        <f t="shared" si="427"/>
        <v>31.264417834930928</v>
      </c>
      <c r="R2704" s="13">
        <f t="shared" si="428"/>
        <v>52.88637890990077</v>
      </c>
      <c r="S2704" s="3" t="s">
        <v>31</v>
      </c>
      <c r="T2704" s="3" t="s">
        <v>35</v>
      </c>
      <c r="U2704" s="10">
        <v>0</v>
      </c>
      <c r="V2704" s="3">
        <v>0</v>
      </c>
      <c r="W2704" s="3">
        <f t="shared" si="429"/>
        <v>0</v>
      </c>
      <c r="AA2704" s="3">
        <v>48</v>
      </c>
    </row>
    <row r="2705" spans="1:27" x14ac:dyDescent="0.3">
      <c r="A2705" s="3" t="str">
        <f t="shared" si="420"/>
        <v>South9330239902839</v>
      </c>
      <c r="B2705" s="3" t="str">
        <f t="shared" si="421"/>
        <v>CMR9330239902839</v>
      </c>
      <c r="C2705" s="10">
        <v>9330239902839</v>
      </c>
      <c r="D2705" s="10" t="str">
        <f t="shared" si="422"/>
        <v>9330239902</v>
      </c>
      <c r="E2705" s="3" t="s">
        <v>5</v>
      </c>
      <c r="F2705" s="3" t="s">
        <v>65</v>
      </c>
      <c r="H2705" s="3">
        <v>1.2479999999999998</v>
      </c>
      <c r="I2705" s="10">
        <f t="shared" si="423"/>
        <v>63.481919746745881</v>
      </c>
      <c r="J2705" s="3">
        <v>0.58977422468259855</v>
      </c>
      <c r="K2705" s="3">
        <v>0</v>
      </c>
      <c r="L2705" s="3">
        <f t="shared" si="424"/>
        <v>0</v>
      </c>
      <c r="N2705" s="11">
        <f t="shared" si="425"/>
        <v>0.65822577531740123</v>
      </c>
      <c r="O2705" s="3">
        <v>0.58977422468259855</v>
      </c>
      <c r="P2705" s="11">
        <f t="shared" si="426"/>
        <v>33.481919746745881</v>
      </c>
      <c r="Q2705" s="12">
        <f t="shared" si="427"/>
        <v>33.481919746745881</v>
      </c>
      <c r="R2705" s="13">
        <f t="shared" si="428"/>
        <v>24.908924137972615</v>
      </c>
      <c r="S2705" s="3" t="s">
        <v>31</v>
      </c>
      <c r="T2705" s="3" t="s">
        <v>35</v>
      </c>
      <c r="U2705" s="10">
        <v>0</v>
      </c>
      <c r="V2705" s="3">
        <v>0</v>
      </c>
      <c r="W2705" s="3">
        <f t="shared" si="429"/>
        <v>0</v>
      </c>
      <c r="AA2705" s="3">
        <v>48</v>
      </c>
    </row>
    <row r="2706" spans="1:27" x14ac:dyDescent="0.3">
      <c r="A2706" s="3" t="str">
        <f t="shared" si="420"/>
        <v>South9432029900210</v>
      </c>
      <c r="B2706" s="3" t="str">
        <f t="shared" si="421"/>
        <v>CMR9432029900210</v>
      </c>
      <c r="C2706" s="10">
        <v>9432029900210</v>
      </c>
      <c r="D2706" s="10" t="str">
        <f t="shared" si="422"/>
        <v>9432029900</v>
      </c>
      <c r="E2706" s="3" t="s">
        <v>5</v>
      </c>
      <c r="F2706" s="3" t="s">
        <v>65</v>
      </c>
      <c r="H2706" s="3">
        <v>18.558</v>
      </c>
      <c r="I2706" s="10">
        <f t="shared" si="423"/>
        <v>1171.5536916816147</v>
      </c>
      <c r="J2706" s="3">
        <v>0.47521509594739209</v>
      </c>
      <c r="K2706" s="3">
        <v>0</v>
      </c>
      <c r="L2706" s="3">
        <f t="shared" si="424"/>
        <v>0</v>
      </c>
      <c r="N2706" s="11">
        <f t="shared" si="425"/>
        <v>18.082784904052609</v>
      </c>
      <c r="O2706" s="3">
        <v>0.47521509594739209</v>
      </c>
      <c r="P2706" s="11">
        <f t="shared" si="426"/>
        <v>1141.553691681615</v>
      </c>
      <c r="Q2706" s="12">
        <f t="shared" si="427"/>
        <v>853.12002990532335</v>
      </c>
      <c r="R2706" s="13">
        <f t="shared" si="428"/>
        <v>343.47422136245308</v>
      </c>
      <c r="S2706" s="3" t="s">
        <v>31</v>
      </c>
      <c r="T2706" s="3" t="s">
        <v>35</v>
      </c>
      <c r="U2706" s="10">
        <v>0</v>
      </c>
      <c r="V2706" s="3">
        <v>0</v>
      </c>
      <c r="W2706" s="3">
        <f t="shared" si="429"/>
        <v>0</v>
      </c>
      <c r="AA2706" s="3">
        <v>48</v>
      </c>
    </row>
    <row r="2707" spans="1:27" x14ac:dyDescent="0.3">
      <c r="A2707" s="3" t="str">
        <f t="shared" si="420"/>
        <v>South9420059902195</v>
      </c>
      <c r="B2707" s="3" t="str">
        <f t="shared" si="421"/>
        <v>CMR9420059902195</v>
      </c>
      <c r="C2707" s="10">
        <v>9420059902195</v>
      </c>
      <c r="D2707" s="10" t="str">
        <f t="shared" si="422"/>
        <v>9420059902</v>
      </c>
      <c r="E2707" s="3" t="s">
        <v>5</v>
      </c>
      <c r="F2707" s="3" t="s">
        <v>65</v>
      </c>
      <c r="H2707" s="3">
        <v>0.63175000000000014</v>
      </c>
      <c r="I2707" s="10">
        <f t="shared" si="423"/>
        <v>40.531183788061654</v>
      </c>
      <c r="J2707" s="3">
        <v>0.46760292270521864</v>
      </c>
      <c r="K2707" s="3">
        <v>0</v>
      </c>
      <c r="L2707" s="3">
        <f t="shared" si="424"/>
        <v>0</v>
      </c>
      <c r="N2707" s="11">
        <f t="shared" si="425"/>
        <v>0.16414707729478151</v>
      </c>
      <c r="O2707" s="3">
        <v>0.46760292270521864</v>
      </c>
      <c r="P2707" s="11">
        <f t="shared" si="426"/>
        <v>10.531183788061654</v>
      </c>
      <c r="Q2707" s="12">
        <f t="shared" si="427"/>
        <v>22.655032407971206</v>
      </c>
      <c r="R2707" s="13">
        <f t="shared" si="428"/>
        <v>24.314735260595061</v>
      </c>
      <c r="S2707" s="3" t="s">
        <v>31</v>
      </c>
      <c r="T2707" s="3" t="s">
        <v>28</v>
      </c>
      <c r="U2707" s="10">
        <v>0</v>
      </c>
      <c r="V2707" s="3">
        <v>0</v>
      </c>
      <c r="W2707" s="3">
        <f t="shared" si="429"/>
        <v>0</v>
      </c>
      <c r="AA2707" s="3">
        <v>48</v>
      </c>
    </row>
    <row r="2708" spans="1:27" x14ac:dyDescent="0.3">
      <c r="A2708" s="3" t="str">
        <f t="shared" si="420"/>
        <v>South9420019902838</v>
      </c>
      <c r="B2708" s="3" t="str">
        <f t="shared" si="421"/>
        <v>CMR9420019902838</v>
      </c>
      <c r="C2708" s="10">
        <v>9420019902838</v>
      </c>
      <c r="D2708" s="10" t="str">
        <f t="shared" si="422"/>
        <v>9420019902</v>
      </c>
      <c r="E2708" s="3" t="s">
        <v>5</v>
      </c>
      <c r="F2708" s="3" t="s">
        <v>65</v>
      </c>
      <c r="H2708" s="3">
        <v>0.97659999999999991</v>
      </c>
      <c r="I2708" s="10">
        <f t="shared" si="423"/>
        <v>63.554941186877272</v>
      </c>
      <c r="J2708" s="3">
        <v>0.46098697367765651</v>
      </c>
      <c r="K2708" s="3">
        <v>0</v>
      </c>
      <c r="L2708" s="3">
        <f t="shared" si="424"/>
        <v>0</v>
      </c>
      <c r="N2708" s="11">
        <f t="shared" si="425"/>
        <v>0.5156130263223434</v>
      </c>
      <c r="O2708" s="3">
        <v>0.46098697367765651</v>
      </c>
      <c r="P2708" s="11">
        <f t="shared" si="426"/>
        <v>33.554941186877265</v>
      </c>
      <c r="Q2708" s="12">
        <f t="shared" si="427"/>
        <v>58.340191865158189</v>
      </c>
      <c r="R2708" s="13">
        <f t="shared" si="428"/>
        <v>94.982382273186985</v>
      </c>
      <c r="S2708" s="3" t="s">
        <v>31</v>
      </c>
      <c r="T2708" s="3" t="s">
        <v>28</v>
      </c>
      <c r="U2708" s="10">
        <v>0</v>
      </c>
      <c r="V2708" s="3">
        <v>0</v>
      </c>
      <c r="W2708" s="3">
        <f t="shared" si="429"/>
        <v>0</v>
      </c>
      <c r="AA2708" s="3">
        <v>48</v>
      </c>
    </row>
    <row r="2709" spans="1:27" x14ac:dyDescent="0.3">
      <c r="A2709" s="3" t="str">
        <f t="shared" si="420"/>
        <v>South9310039902297</v>
      </c>
      <c r="B2709" s="3" t="str">
        <f t="shared" si="421"/>
        <v>CMR9310039902297</v>
      </c>
      <c r="C2709" s="10">
        <v>9310039902297</v>
      </c>
      <c r="D2709" s="10" t="str">
        <f t="shared" si="422"/>
        <v>9310039902</v>
      </c>
      <c r="E2709" s="3" t="s">
        <v>5</v>
      </c>
      <c r="F2709" s="3" t="s">
        <v>65</v>
      </c>
      <c r="H2709" s="3">
        <v>1.2577499999999999</v>
      </c>
      <c r="I2709" s="10">
        <f t="shared" si="423"/>
        <v>81.863656403630799</v>
      </c>
      <c r="J2709" s="3">
        <v>0.46091882109392923</v>
      </c>
      <c r="K2709" s="3">
        <v>0</v>
      </c>
      <c r="L2709" s="3">
        <f t="shared" si="424"/>
        <v>0</v>
      </c>
      <c r="N2709" s="11">
        <f t="shared" si="425"/>
        <v>0.79683117890607069</v>
      </c>
      <c r="O2709" s="3">
        <v>0.46091882109392923</v>
      </c>
      <c r="P2709" s="11">
        <f t="shared" si="426"/>
        <v>51.863656403630799</v>
      </c>
      <c r="Q2709" s="12">
        <f t="shared" si="427"/>
        <v>31.775110857362019</v>
      </c>
      <c r="R2709" s="13">
        <f t="shared" si="428"/>
        <v>108.69545438572041</v>
      </c>
      <c r="S2709" s="3" t="s">
        <v>31</v>
      </c>
      <c r="T2709" s="3" t="s">
        <v>32</v>
      </c>
      <c r="U2709" s="10">
        <v>9310039900999</v>
      </c>
      <c r="V2709" s="3">
        <v>0.1</v>
      </c>
      <c r="W2709" s="3">
        <f t="shared" si="429"/>
        <v>0</v>
      </c>
      <c r="AA2709" s="3">
        <v>48</v>
      </c>
    </row>
    <row r="2710" spans="1:27" x14ac:dyDescent="0.3">
      <c r="A2710" s="3" t="str">
        <f t="shared" si="420"/>
        <v>South9410039913840</v>
      </c>
      <c r="B2710" s="3" t="str">
        <f t="shared" si="421"/>
        <v>CMR9410039913840</v>
      </c>
      <c r="C2710" s="10">
        <v>9410039913840</v>
      </c>
      <c r="D2710" s="10" t="str">
        <f t="shared" si="422"/>
        <v>9410039913</v>
      </c>
      <c r="E2710" s="3" t="s">
        <v>5</v>
      </c>
      <c r="F2710" s="3" t="s">
        <v>65</v>
      </c>
      <c r="H2710" s="3">
        <v>0.52</v>
      </c>
      <c r="I2710" s="10">
        <f t="shared" si="423"/>
        <v>34.375615340366707</v>
      </c>
      <c r="J2710" s="3">
        <v>0.45381005825024995</v>
      </c>
      <c r="K2710" s="3">
        <v>0</v>
      </c>
      <c r="L2710" s="3">
        <f t="shared" si="424"/>
        <v>0</v>
      </c>
      <c r="N2710" s="11">
        <f t="shared" si="425"/>
        <v>6.618994174975007E-2</v>
      </c>
      <c r="O2710" s="3">
        <v>0.45381005825024995</v>
      </c>
      <c r="P2710" s="11">
        <f t="shared" si="426"/>
        <v>4.3756153403667062</v>
      </c>
      <c r="Q2710" s="12">
        <f t="shared" si="427"/>
        <v>42.044116980215264</v>
      </c>
      <c r="R2710" s="13">
        <f t="shared" si="428"/>
        <v>12.253991710375868</v>
      </c>
      <c r="S2710" s="3" t="s">
        <v>31</v>
      </c>
      <c r="T2710" s="3" t="s">
        <v>32</v>
      </c>
      <c r="U2710" s="10">
        <v>0</v>
      </c>
      <c r="V2710" s="3">
        <v>0</v>
      </c>
      <c r="W2710" s="3">
        <f t="shared" si="429"/>
        <v>0</v>
      </c>
      <c r="AA2710" s="3">
        <v>48</v>
      </c>
    </row>
    <row r="2711" spans="1:27" x14ac:dyDescent="0.3">
      <c r="A2711" s="3" t="str">
        <f t="shared" si="420"/>
        <v>South9310029900310</v>
      </c>
      <c r="B2711" s="3" t="str">
        <f t="shared" si="421"/>
        <v>CMR9310029900310</v>
      </c>
      <c r="C2711" s="10">
        <v>9310029900310</v>
      </c>
      <c r="D2711" s="10" t="str">
        <f t="shared" si="422"/>
        <v>9310029900</v>
      </c>
      <c r="E2711" s="3" t="s">
        <v>5</v>
      </c>
      <c r="F2711" s="3" t="s">
        <v>65</v>
      </c>
      <c r="H2711" s="3">
        <v>1.7700000000000005</v>
      </c>
      <c r="I2711" s="10">
        <f t="shared" si="423"/>
        <v>125.58887095708621</v>
      </c>
      <c r="J2711" s="3">
        <v>0.4228081644124686</v>
      </c>
      <c r="K2711" s="3">
        <v>0</v>
      </c>
      <c r="L2711" s="3">
        <f t="shared" si="424"/>
        <v>0</v>
      </c>
      <c r="N2711" s="11">
        <f t="shared" si="425"/>
        <v>1.3471918355875319</v>
      </c>
      <c r="O2711" s="3">
        <v>0.4228081644124686</v>
      </c>
      <c r="P2711" s="11">
        <f t="shared" si="426"/>
        <v>95.588870957086229</v>
      </c>
      <c r="Q2711" s="12">
        <f t="shared" si="427"/>
        <v>197.05332602411065</v>
      </c>
      <c r="R2711" s="13">
        <f t="shared" si="428"/>
        <v>309.77333263500134</v>
      </c>
      <c r="S2711" s="3" t="s">
        <v>31</v>
      </c>
      <c r="T2711" s="3" t="s">
        <v>32</v>
      </c>
      <c r="U2711" s="10">
        <v>9310029900999</v>
      </c>
      <c r="V2711" s="3">
        <v>0.1</v>
      </c>
      <c r="W2711" s="3">
        <f t="shared" si="429"/>
        <v>0</v>
      </c>
      <c r="AA2711" s="3">
        <v>48</v>
      </c>
    </row>
    <row r="2712" spans="1:27" x14ac:dyDescent="0.3">
      <c r="A2712" s="3" t="str">
        <f t="shared" si="420"/>
        <v>South9360119922210</v>
      </c>
      <c r="B2712" s="3" t="str">
        <f t="shared" si="421"/>
        <v>CMR9360119922210</v>
      </c>
      <c r="C2712" s="10">
        <v>9360119922210</v>
      </c>
      <c r="D2712" s="10" t="str">
        <f t="shared" si="422"/>
        <v>9360119922</v>
      </c>
      <c r="E2712" s="3" t="s">
        <v>5</v>
      </c>
      <c r="F2712" s="3" t="s">
        <v>65</v>
      </c>
      <c r="H2712" s="3">
        <v>1.6480000000000006</v>
      </c>
      <c r="I2712" s="10">
        <f t="shared" si="423"/>
        <v>118.00181491705867</v>
      </c>
      <c r="J2712" s="3">
        <v>0.41897660671363823</v>
      </c>
      <c r="K2712" s="3">
        <v>0</v>
      </c>
      <c r="L2712" s="3">
        <f t="shared" si="424"/>
        <v>0</v>
      </c>
      <c r="N2712" s="11">
        <f t="shared" si="425"/>
        <v>1.2290233932863623</v>
      </c>
      <c r="O2712" s="3">
        <v>0.41897660671363823</v>
      </c>
      <c r="P2712" s="11">
        <f t="shared" si="426"/>
        <v>88.001814917058667</v>
      </c>
      <c r="Q2712" s="12">
        <f t="shared" si="427"/>
        <v>21.801936897261733</v>
      </c>
      <c r="R2712" s="13">
        <f t="shared" si="428"/>
        <v>83.449892995261749</v>
      </c>
      <c r="S2712" s="3" t="s">
        <v>31</v>
      </c>
      <c r="T2712" s="3" t="s">
        <v>33</v>
      </c>
      <c r="U2712" s="10">
        <v>0</v>
      </c>
      <c r="V2712" s="3">
        <v>0</v>
      </c>
      <c r="W2712" s="3">
        <f t="shared" si="429"/>
        <v>0</v>
      </c>
      <c r="AA2712" s="3">
        <v>48</v>
      </c>
    </row>
    <row r="2713" spans="1:27" x14ac:dyDescent="0.3">
      <c r="A2713" s="3" t="str">
        <f t="shared" si="420"/>
        <v>South9310039902097</v>
      </c>
      <c r="B2713" s="3" t="str">
        <f t="shared" si="421"/>
        <v>CMR9310039902097</v>
      </c>
      <c r="C2713" s="10">
        <v>9310039902097</v>
      </c>
      <c r="D2713" s="10" t="str">
        <f t="shared" si="422"/>
        <v>9310039902</v>
      </c>
      <c r="E2713" s="3" t="s">
        <v>5</v>
      </c>
      <c r="F2713" s="3" t="s">
        <v>65</v>
      </c>
      <c r="H2713" s="3">
        <v>0.39877500000000005</v>
      </c>
      <c r="I2713" s="10">
        <f t="shared" si="423"/>
        <v>32.47436954007577</v>
      </c>
      <c r="J2713" s="3">
        <v>0.36839052364777919</v>
      </c>
      <c r="K2713" s="3">
        <v>0</v>
      </c>
      <c r="L2713" s="3">
        <f t="shared" si="424"/>
        <v>0</v>
      </c>
      <c r="N2713" s="11">
        <f t="shared" si="425"/>
        <v>3.0384476352220857E-2</v>
      </c>
      <c r="O2713" s="3">
        <v>0.36839052364777919</v>
      </c>
      <c r="P2713" s="11">
        <f t="shared" si="426"/>
        <v>2.4743695400757653</v>
      </c>
      <c r="Q2713" s="12">
        <f t="shared" si="427"/>
        <v>7.6629335769797136</v>
      </c>
      <c r="R2713" s="13">
        <f t="shared" si="428"/>
        <v>263.59855286489056</v>
      </c>
      <c r="S2713" s="3" t="s">
        <v>31</v>
      </c>
      <c r="T2713" s="3" t="s">
        <v>32</v>
      </c>
      <c r="U2713" s="10">
        <v>0</v>
      </c>
      <c r="V2713" s="3">
        <v>0</v>
      </c>
      <c r="W2713" s="3">
        <f t="shared" si="429"/>
        <v>0</v>
      </c>
      <c r="AA2713" s="3">
        <v>48</v>
      </c>
    </row>
    <row r="2714" spans="1:27" x14ac:dyDescent="0.3">
      <c r="A2714" s="3" t="str">
        <f t="shared" si="420"/>
        <v>South9420019902319</v>
      </c>
      <c r="B2714" s="3" t="str">
        <f t="shared" si="421"/>
        <v>CMR9420019902319</v>
      </c>
      <c r="C2714" s="10">
        <v>9420019902319</v>
      </c>
      <c r="D2714" s="10" t="str">
        <f t="shared" si="422"/>
        <v>9420019902</v>
      </c>
      <c r="E2714" s="3" t="s">
        <v>5</v>
      </c>
      <c r="F2714" s="3" t="s">
        <v>65</v>
      </c>
      <c r="H2714" s="3">
        <v>0.53200000000000003</v>
      </c>
      <c r="I2714" s="10">
        <f t="shared" si="423"/>
        <v>47.197418388456249</v>
      </c>
      <c r="J2714" s="3">
        <v>0.33815408861226121</v>
      </c>
      <c r="K2714" s="3">
        <v>0</v>
      </c>
      <c r="L2714" s="3">
        <f t="shared" si="424"/>
        <v>0</v>
      </c>
      <c r="N2714" s="11">
        <f t="shared" si="425"/>
        <v>0.19384591138773882</v>
      </c>
      <c r="O2714" s="3">
        <v>0.33815408861226121</v>
      </c>
      <c r="P2714" s="11">
        <f t="shared" si="426"/>
        <v>17.197418388456249</v>
      </c>
      <c r="Q2714" s="12">
        <f t="shared" si="427"/>
        <v>39.777869318123685</v>
      </c>
      <c r="R2714" s="13">
        <f t="shared" si="428"/>
        <v>129.12664609594353</v>
      </c>
      <c r="S2714" s="3" t="s">
        <v>31</v>
      </c>
      <c r="T2714" s="3" t="s">
        <v>28</v>
      </c>
      <c r="U2714" s="10">
        <v>9420019900999</v>
      </c>
      <c r="V2714" s="3">
        <v>0.1</v>
      </c>
      <c r="W2714" s="3">
        <f t="shared" si="429"/>
        <v>0</v>
      </c>
      <c r="AA2714" s="3">
        <v>48</v>
      </c>
    </row>
    <row r="2715" spans="1:27" x14ac:dyDescent="0.3">
      <c r="A2715" s="3" t="str">
        <f t="shared" si="420"/>
        <v>South9420059902838</v>
      </c>
      <c r="B2715" s="3" t="str">
        <f t="shared" si="421"/>
        <v>CMR9420059902838</v>
      </c>
      <c r="C2715" s="10">
        <v>9420059902838</v>
      </c>
      <c r="D2715" s="10" t="str">
        <f t="shared" si="422"/>
        <v>9420059902</v>
      </c>
      <c r="E2715" s="3" t="s">
        <v>5</v>
      </c>
      <c r="F2715" s="3" t="s">
        <v>65</v>
      </c>
      <c r="H2715" s="3">
        <v>0.23180000000000001</v>
      </c>
      <c r="I2715" s="10">
        <f t="shared" si="423"/>
        <v>21.470221822394763</v>
      </c>
      <c r="J2715" s="3">
        <v>0.32389045895867502</v>
      </c>
      <c r="K2715" s="3">
        <v>0</v>
      </c>
      <c r="L2715" s="3">
        <f t="shared" si="424"/>
        <v>0</v>
      </c>
      <c r="N2715" s="11">
        <f t="shared" si="425"/>
        <v>-9.2090458958675014E-2</v>
      </c>
      <c r="O2715" s="3">
        <v>0.32389045895867502</v>
      </c>
      <c r="P2715" s="11">
        <f t="shared" si="426"/>
        <v>-8.5297781776052357</v>
      </c>
      <c r="Q2715" s="12">
        <f t="shared" si="427"/>
        <v>-6.3956067622667563</v>
      </c>
      <c r="R2715" s="13">
        <f t="shared" si="428"/>
        <v>-19.691088593934413</v>
      </c>
      <c r="S2715" s="3" t="s">
        <v>31</v>
      </c>
      <c r="T2715" s="3" t="s">
        <v>28</v>
      </c>
      <c r="U2715" s="10">
        <v>0</v>
      </c>
      <c r="V2715" s="3">
        <v>0</v>
      </c>
      <c r="W2715" s="3">
        <f t="shared" si="429"/>
        <v>0</v>
      </c>
      <c r="AA2715" s="3">
        <v>48</v>
      </c>
    </row>
    <row r="2716" spans="1:27" x14ac:dyDescent="0.3">
      <c r="A2716" s="3" t="str">
        <f t="shared" si="420"/>
        <v>South9420019999195</v>
      </c>
      <c r="B2716" s="3" t="str">
        <f t="shared" si="421"/>
        <v>CMR9420019999195</v>
      </c>
      <c r="C2716" s="10">
        <v>9420019999195</v>
      </c>
      <c r="D2716" s="10" t="str">
        <f t="shared" si="422"/>
        <v>9420019999</v>
      </c>
      <c r="E2716" s="3" t="s">
        <v>5</v>
      </c>
      <c r="F2716" s="3" t="s">
        <v>65</v>
      </c>
      <c r="H2716" s="3">
        <v>0</v>
      </c>
      <c r="I2716" s="10">
        <f t="shared" si="423"/>
        <v>0</v>
      </c>
      <c r="J2716" s="3">
        <v>0.29623090772511601</v>
      </c>
      <c r="K2716" s="3">
        <v>0</v>
      </c>
      <c r="L2716" s="3">
        <f t="shared" si="424"/>
        <v>0</v>
      </c>
      <c r="N2716" s="11">
        <f t="shared" si="425"/>
        <v>-0.29623090772511601</v>
      </c>
      <c r="O2716" s="3">
        <v>0.29623090772511601</v>
      </c>
      <c r="P2716" s="11">
        <f t="shared" si="426"/>
        <v>-30</v>
      </c>
      <c r="Q2716" s="12">
        <f t="shared" si="427"/>
        <v>-29.999999999999996</v>
      </c>
      <c r="R2716" s="13">
        <f t="shared" si="428"/>
        <v>-25.598592451231163</v>
      </c>
      <c r="S2716" s="3" t="s">
        <v>31</v>
      </c>
      <c r="T2716" s="3" t="s">
        <v>28</v>
      </c>
      <c r="U2716" s="10">
        <v>0</v>
      </c>
      <c r="V2716" s="3">
        <v>0</v>
      </c>
      <c r="W2716" s="3">
        <f t="shared" si="429"/>
        <v>0</v>
      </c>
      <c r="AA2716" s="3">
        <v>48</v>
      </c>
    </row>
    <row r="2717" spans="1:27" x14ac:dyDescent="0.3">
      <c r="A2717" s="3" t="str">
        <f t="shared" si="420"/>
        <v>South9420039902295</v>
      </c>
      <c r="B2717" s="3" t="str">
        <f t="shared" si="421"/>
        <v>CMR9420039902295</v>
      </c>
      <c r="C2717" s="10">
        <v>9420039902295</v>
      </c>
      <c r="D2717" s="10" t="str">
        <f t="shared" si="422"/>
        <v>9420039902</v>
      </c>
      <c r="E2717" s="3" t="s">
        <v>5</v>
      </c>
      <c r="F2717" s="3" t="s">
        <v>65</v>
      </c>
      <c r="H2717" s="3">
        <v>0.49399999999999999</v>
      </c>
      <c r="I2717" s="10">
        <f t="shared" si="423"/>
        <v>61.946934315592543</v>
      </c>
      <c r="J2717" s="3">
        <v>0.2392370205844018</v>
      </c>
      <c r="K2717" s="3">
        <v>0</v>
      </c>
      <c r="L2717" s="3">
        <f t="shared" si="424"/>
        <v>0</v>
      </c>
      <c r="N2717" s="11">
        <f t="shared" si="425"/>
        <v>0.25476297941559822</v>
      </c>
      <c r="O2717" s="3">
        <v>0.2392370205844018</v>
      </c>
      <c r="P2717" s="11">
        <f t="shared" si="426"/>
        <v>31.946934315592546</v>
      </c>
      <c r="Q2717" s="12">
        <f t="shared" si="427"/>
        <v>38.046062116984061</v>
      </c>
      <c r="R2717" s="13">
        <f t="shared" si="428"/>
        <v>60.650053320416951</v>
      </c>
      <c r="S2717" s="3" t="s">
        <v>31</v>
      </c>
      <c r="T2717" s="3" t="s">
        <v>28</v>
      </c>
      <c r="U2717" s="10">
        <v>9420039900999</v>
      </c>
      <c r="V2717" s="3">
        <v>0.1</v>
      </c>
      <c r="W2717" s="3">
        <f t="shared" si="429"/>
        <v>0</v>
      </c>
      <c r="AA2717" s="3">
        <v>48</v>
      </c>
    </row>
    <row r="2718" spans="1:27" x14ac:dyDescent="0.3">
      <c r="A2718" s="3" t="str">
        <f t="shared" si="420"/>
        <v>South9420019902195</v>
      </c>
      <c r="B2718" s="3" t="str">
        <f t="shared" si="421"/>
        <v>CMR9420019902195</v>
      </c>
      <c r="C2718" s="10">
        <v>9420019902195</v>
      </c>
      <c r="D2718" s="10" t="str">
        <f t="shared" si="422"/>
        <v>9420019902</v>
      </c>
      <c r="E2718" s="3" t="s">
        <v>5</v>
      </c>
      <c r="F2718" s="3" t="s">
        <v>65</v>
      </c>
      <c r="H2718" s="3">
        <v>0</v>
      </c>
      <c r="I2718" s="10">
        <f t="shared" si="423"/>
        <v>0</v>
      </c>
      <c r="J2718" s="3">
        <v>0.23459808949136537</v>
      </c>
      <c r="K2718" s="3">
        <v>0</v>
      </c>
      <c r="L2718" s="3">
        <f t="shared" si="424"/>
        <v>0</v>
      </c>
      <c r="N2718" s="11">
        <f t="shared" si="425"/>
        <v>-0.23459808949136537</v>
      </c>
      <c r="O2718" s="3">
        <v>0.23459808949136537</v>
      </c>
      <c r="P2718" s="11">
        <f t="shared" si="426"/>
        <v>-30</v>
      </c>
      <c r="Q2718" s="12">
        <f t="shared" si="427"/>
        <v>-28.385984307384117</v>
      </c>
      <c r="R2718" s="13">
        <f t="shared" si="428"/>
        <v>45.855734013861159</v>
      </c>
      <c r="S2718" s="3" t="s">
        <v>31</v>
      </c>
      <c r="T2718" s="3" t="s">
        <v>28</v>
      </c>
      <c r="U2718" s="10">
        <v>0</v>
      </c>
      <c r="V2718" s="3">
        <v>0</v>
      </c>
      <c r="W2718" s="3">
        <f t="shared" si="429"/>
        <v>0</v>
      </c>
      <c r="AA2718" s="3">
        <v>48</v>
      </c>
    </row>
    <row r="2719" spans="1:27" x14ac:dyDescent="0.3">
      <c r="A2719" s="3" t="str">
        <f t="shared" si="420"/>
        <v>South9420039902319</v>
      </c>
      <c r="B2719" s="3" t="str">
        <f t="shared" si="421"/>
        <v>CMR9420039902319</v>
      </c>
      <c r="C2719" s="10">
        <v>9420039902319</v>
      </c>
      <c r="D2719" s="10" t="str">
        <f t="shared" si="422"/>
        <v>9420039902</v>
      </c>
      <c r="E2719" s="3" t="s">
        <v>5</v>
      </c>
      <c r="F2719" s="3" t="s">
        <v>65</v>
      </c>
      <c r="H2719" s="3">
        <v>0.85499999999999998</v>
      </c>
      <c r="I2719" s="10">
        <f t="shared" si="423"/>
        <v>116.52748743937548</v>
      </c>
      <c r="J2719" s="3">
        <v>0.22011973795748968</v>
      </c>
      <c r="K2719" s="3">
        <v>0</v>
      </c>
      <c r="L2719" s="3">
        <f t="shared" si="424"/>
        <v>0</v>
      </c>
      <c r="N2719" s="11">
        <f t="shared" si="425"/>
        <v>0.63488026204251025</v>
      </c>
      <c r="O2719" s="3">
        <v>0.22011973795748968</v>
      </c>
      <c r="P2719" s="11">
        <f t="shared" si="426"/>
        <v>86.527487439375463</v>
      </c>
      <c r="Q2719" s="12">
        <f t="shared" si="427"/>
        <v>57.016551610337352</v>
      </c>
      <c r="R2719" s="13">
        <f t="shared" si="428"/>
        <v>30.585208828369929</v>
      </c>
      <c r="S2719" s="3" t="s">
        <v>31</v>
      </c>
      <c r="T2719" s="3" t="s">
        <v>28</v>
      </c>
      <c r="U2719" s="10">
        <v>9420039900999</v>
      </c>
      <c r="V2719" s="3">
        <v>0.1</v>
      </c>
      <c r="W2719" s="3">
        <f t="shared" si="429"/>
        <v>0</v>
      </c>
      <c r="AA2719" s="3">
        <v>48</v>
      </c>
    </row>
    <row r="2720" spans="1:27" x14ac:dyDescent="0.3">
      <c r="A2720" s="3" t="str">
        <f t="shared" si="420"/>
        <v>South9420039900210</v>
      </c>
      <c r="B2720" s="3" t="str">
        <f t="shared" si="421"/>
        <v>CMR9420039900210</v>
      </c>
      <c r="C2720" s="10">
        <v>9420039900210</v>
      </c>
      <c r="D2720" s="10" t="str">
        <f t="shared" si="422"/>
        <v>9420039900</v>
      </c>
      <c r="E2720" s="3" t="s">
        <v>5</v>
      </c>
      <c r="F2720" s="3" t="s">
        <v>65</v>
      </c>
      <c r="H2720" s="3">
        <v>0.42600000000000005</v>
      </c>
      <c r="I2720" s="10">
        <f t="shared" si="423"/>
        <v>66.867693546597053</v>
      </c>
      <c r="J2720" s="3">
        <v>0.19112368502876803</v>
      </c>
      <c r="K2720" s="3">
        <v>0</v>
      </c>
      <c r="L2720" s="3">
        <f t="shared" si="424"/>
        <v>0</v>
      </c>
      <c r="N2720" s="11">
        <f t="shared" si="425"/>
        <v>0.23487631497123201</v>
      </c>
      <c r="O2720" s="3">
        <v>0.19112368502876803</v>
      </c>
      <c r="P2720" s="11">
        <f t="shared" si="426"/>
        <v>36.86769354659706</v>
      </c>
      <c r="Q2720" s="12">
        <f t="shared" si="427"/>
        <v>33.477881112527456</v>
      </c>
      <c r="R2720" s="13">
        <f t="shared" si="428"/>
        <v>66.549270263730406</v>
      </c>
      <c r="S2720" s="3" t="s">
        <v>31</v>
      </c>
      <c r="T2720" s="3" t="s">
        <v>28</v>
      </c>
      <c r="U2720" s="10">
        <v>0</v>
      </c>
      <c r="V2720" s="3">
        <v>0</v>
      </c>
      <c r="W2720" s="3">
        <f t="shared" si="429"/>
        <v>0</v>
      </c>
      <c r="AA2720" s="3">
        <v>48</v>
      </c>
    </row>
    <row r="2721" spans="1:27" x14ac:dyDescent="0.3">
      <c r="A2721" s="3" t="str">
        <f t="shared" si="420"/>
        <v>South9420059902319</v>
      </c>
      <c r="B2721" s="3" t="str">
        <f t="shared" si="421"/>
        <v>CMR9420059902319</v>
      </c>
      <c r="C2721" s="10">
        <v>9420059902319</v>
      </c>
      <c r="D2721" s="10" t="str">
        <f t="shared" si="422"/>
        <v>9420059902</v>
      </c>
      <c r="E2721" s="3" t="s">
        <v>5</v>
      </c>
      <c r="F2721" s="3" t="s">
        <v>65</v>
      </c>
      <c r="H2721" s="3">
        <v>1.4060000000000001</v>
      </c>
      <c r="I2721" s="10">
        <f t="shared" si="423"/>
        <v>232.66557508040569</v>
      </c>
      <c r="J2721" s="3">
        <v>0.18129024882784331</v>
      </c>
      <c r="K2721" s="3">
        <v>0</v>
      </c>
      <c r="L2721" s="3">
        <f t="shared" si="424"/>
        <v>0</v>
      </c>
      <c r="N2721" s="11">
        <f t="shared" si="425"/>
        <v>1.2247097511721567</v>
      </c>
      <c r="O2721" s="3">
        <v>0.18129024882784331</v>
      </c>
      <c r="P2721" s="11">
        <f t="shared" si="426"/>
        <v>202.66557508040566</v>
      </c>
      <c r="Q2721" s="12">
        <f t="shared" si="427"/>
        <v>136.6462990709812</v>
      </c>
      <c r="R2721" s="13">
        <f t="shared" si="428"/>
        <v>170.75579655594075</v>
      </c>
      <c r="S2721" s="3" t="s">
        <v>31</v>
      </c>
      <c r="T2721" s="3" t="s">
        <v>28</v>
      </c>
      <c r="U2721" s="10">
        <v>9420059900999</v>
      </c>
      <c r="V2721" s="3">
        <v>0.1</v>
      </c>
      <c r="W2721" s="3">
        <f t="shared" si="429"/>
        <v>0</v>
      </c>
      <c r="AA2721" s="3">
        <v>48</v>
      </c>
    </row>
    <row r="2722" spans="1:27" x14ac:dyDescent="0.3">
      <c r="A2722" s="3" t="str">
        <f t="shared" si="420"/>
        <v>South9420019999838</v>
      </c>
      <c r="B2722" s="3" t="str">
        <f t="shared" si="421"/>
        <v>CMR9420019999838</v>
      </c>
      <c r="C2722" s="10">
        <v>9420019999838</v>
      </c>
      <c r="D2722" s="10" t="str">
        <f t="shared" si="422"/>
        <v>9420019999</v>
      </c>
      <c r="E2722" s="3" t="s">
        <v>5</v>
      </c>
      <c r="F2722" s="3" t="s">
        <v>65</v>
      </c>
      <c r="H2722" s="3">
        <v>0.1216</v>
      </c>
      <c r="I2722" s="10">
        <f t="shared" si="423"/>
        <v>22.607063040279691</v>
      </c>
      <c r="J2722" s="3">
        <v>0.16136549862758587</v>
      </c>
      <c r="K2722" s="3">
        <v>0</v>
      </c>
      <c r="L2722" s="3">
        <f t="shared" si="424"/>
        <v>0</v>
      </c>
      <c r="N2722" s="11">
        <f t="shared" si="425"/>
        <v>-3.9765498627585869E-2</v>
      </c>
      <c r="O2722" s="3">
        <v>0.16136549862758587</v>
      </c>
      <c r="P2722" s="11">
        <f t="shared" si="426"/>
        <v>-7.3929369597203074</v>
      </c>
      <c r="Q2722" s="12">
        <f t="shared" si="427"/>
        <v>175.44535090293408</v>
      </c>
      <c r="R2722" s="13">
        <f t="shared" si="428"/>
        <v>115.48988822119654</v>
      </c>
      <c r="S2722" s="3" t="s">
        <v>31</v>
      </c>
      <c r="T2722" s="3" t="s">
        <v>28</v>
      </c>
      <c r="U2722" s="10">
        <v>0</v>
      </c>
      <c r="V2722" s="3">
        <v>0</v>
      </c>
      <c r="W2722" s="3">
        <f t="shared" si="429"/>
        <v>0</v>
      </c>
      <c r="AA2722" s="3">
        <v>48</v>
      </c>
    </row>
    <row r="2723" spans="1:27" x14ac:dyDescent="0.3">
      <c r="A2723" s="3" t="str">
        <f t="shared" si="420"/>
        <v>South9420059902295</v>
      </c>
      <c r="B2723" s="3" t="str">
        <f t="shared" si="421"/>
        <v>CMR9420059902295</v>
      </c>
      <c r="C2723" s="10">
        <v>9420059902295</v>
      </c>
      <c r="D2723" s="10" t="str">
        <f t="shared" si="422"/>
        <v>9420059902</v>
      </c>
      <c r="E2723" s="3" t="s">
        <v>5</v>
      </c>
      <c r="F2723" s="3" t="s">
        <v>65</v>
      </c>
      <c r="H2723" s="3">
        <v>0.55100000000000016</v>
      </c>
      <c r="I2723" s="10">
        <f t="shared" si="423"/>
        <v>110.38291856075701</v>
      </c>
      <c r="J2723" s="3">
        <v>0.14975143088739365</v>
      </c>
      <c r="K2723" s="3">
        <v>0</v>
      </c>
      <c r="L2723" s="3">
        <f t="shared" si="424"/>
        <v>0</v>
      </c>
      <c r="N2723" s="11">
        <f t="shared" si="425"/>
        <v>0.40124856911260653</v>
      </c>
      <c r="O2723" s="3">
        <v>0.14975143088739365</v>
      </c>
      <c r="P2723" s="11">
        <f t="shared" si="426"/>
        <v>80.382918560757005</v>
      </c>
      <c r="Q2723" s="12">
        <f t="shared" si="427"/>
        <v>80.044494365883239</v>
      </c>
      <c r="R2723" s="13">
        <f t="shared" si="428"/>
        <v>18.893711823657888</v>
      </c>
      <c r="S2723" s="3" t="s">
        <v>31</v>
      </c>
      <c r="T2723" s="3" t="s">
        <v>28</v>
      </c>
      <c r="U2723" s="10">
        <v>9420059900999</v>
      </c>
      <c r="V2723" s="3">
        <v>0.1</v>
      </c>
      <c r="W2723" s="3">
        <f t="shared" si="429"/>
        <v>0</v>
      </c>
      <c r="AA2723" s="3">
        <v>48</v>
      </c>
    </row>
    <row r="2724" spans="1:27" x14ac:dyDescent="0.3">
      <c r="A2724" s="3" t="str">
        <f t="shared" si="420"/>
        <v>South9420049901840</v>
      </c>
      <c r="B2724" s="3" t="str">
        <f t="shared" si="421"/>
        <v>CMR9420049901840</v>
      </c>
      <c r="C2724" s="10">
        <v>9420049901840</v>
      </c>
      <c r="D2724" s="10" t="str">
        <f t="shared" si="422"/>
        <v>9420049901</v>
      </c>
      <c r="E2724" s="3" t="s">
        <v>5</v>
      </c>
      <c r="F2724" s="3" t="s">
        <v>65</v>
      </c>
      <c r="H2724" s="3">
        <v>0.50800000000000012</v>
      </c>
      <c r="I2724" s="10">
        <f t="shared" si="423"/>
        <v>105.84597929800182</v>
      </c>
      <c r="J2724" s="3">
        <v>0.1439827955778355</v>
      </c>
      <c r="K2724" s="3">
        <v>0</v>
      </c>
      <c r="L2724" s="3">
        <f t="shared" si="424"/>
        <v>0</v>
      </c>
      <c r="N2724" s="11">
        <f t="shared" si="425"/>
        <v>0.36401720442216462</v>
      </c>
      <c r="O2724" s="3">
        <v>0.1439827955778355</v>
      </c>
      <c r="P2724" s="11">
        <f t="shared" si="426"/>
        <v>75.845979298001822</v>
      </c>
      <c r="Q2724" s="12">
        <f t="shared" si="427"/>
        <v>105.99583704909436</v>
      </c>
      <c r="R2724" s="13">
        <f t="shared" si="428"/>
        <v>99.630784822686721</v>
      </c>
      <c r="S2724" s="3" t="s">
        <v>31</v>
      </c>
      <c r="T2724" s="3" t="s">
        <v>28</v>
      </c>
      <c r="U2724" s="10">
        <v>0</v>
      </c>
      <c r="V2724" s="3">
        <v>0</v>
      </c>
      <c r="W2724" s="3">
        <f t="shared" si="429"/>
        <v>0</v>
      </c>
      <c r="AA2724" s="3">
        <v>48</v>
      </c>
    </row>
    <row r="2725" spans="1:27" x14ac:dyDescent="0.3">
      <c r="A2725" s="3" t="str">
        <f t="shared" si="420"/>
        <v>South9410039913210</v>
      </c>
      <c r="B2725" s="3" t="str">
        <f t="shared" si="421"/>
        <v>CMR9410039913210</v>
      </c>
      <c r="C2725" s="10">
        <v>9410039913210</v>
      </c>
      <c r="D2725" s="10" t="str">
        <f t="shared" si="422"/>
        <v>9410039913</v>
      </c>
      <c r="E2725" s="3" t="s">
        <v>5</v>
      </c>
      <c r="F2725" s="3" t="s">
        <v>65</v>
      </c>
      <c r="H2725" s="3">
        <v>1.2350000000000001</v>
      </c>
      <c r="I2725" s="10">
        <f t="shared" si="423"/>
        <v>260.58717246601367</v>
      </c>
      <c r="J2725" s="3">
        <v>0.14217890945814743</v>
      </c>
      <c r="K2725" s="3">
        <v>0</v>
      </c>
      <c r="L2725" s="3">
        <f t="shared" si="424"/>
        <v>0</v>
      </c>
      <c r="N2725" s="11">
        <f t="shared" si="425"/>
        <v>1.0928210905418527</v>
      </c>
      <c r="O2725" s="3">
        <v>0.14217890945814743</v>
      </c>
      <c r="P2725" s="11">
        <f t="shared" si="426"/>
        <v>230.58717246601364</v>
      </c>
      <c r="Q2725" s="12">
        <f t="shared" si="427"/>
        <v>234.56338328745275</v>
      </c>
      <c r="R2725" s="13">
        <f t="shared" si="428"/>
        <v>78.02259951781717</v>
      </c>
      <c r="S2725" s="3" t="s">
        <v>31</v>
      </c>
      <c r="T2725" s="3" t="s">
        <v>32</v>
      </c>
      <c r="U2725" s="10">
        <v>0</v>
      </c>
      <c r="V2725" s="3">
        <v>0</v>
      </c>
      <c r="W2725" s="3">
        <f t="shared" si="429"/>
        <v>0</v>
      </c>
      <c r="AA2725" s="3">
        <v>48</v>
      </c>
    </row>
    <row r="2726" spans="1:27" x14ac:dyDescent="0.3">
      <c r="A2726" s="3" t="str">
        <f t="shared" si="420"/>
        <v>South9420019902295</v>
      </c>
      <c r="B2726" s="3" t="str">
        <f t="shared" si="421"/>
        <v>CMR9420019902295</v>
      </c>
      <c r="C2726" s="10">
        <v>9420019902295</v>
      </c>
      <c r="D2726" s="10" t="str">
        <f t="shared" si="422"/>
        <v>9420019902</v>
      </c>
      <c r="E2726" s="3" t="s">
        <v>5</v>
      </c>
      <c r="F2726" s="3" t="s">
        <v>65</v>
      </c>
      <c r="H2726" s="3">
        <v>0.36100000000000004</v>
      </c>
      <c r="I2726" s="10">
        <f t="shared" si="423"/>
        <v>84.313993041127972</v>
      </c>
      <c r="J2726" s="3">
        <v>0.128448429606663</v>
      </c>
      <c r="K2726" s="3">
        <v>0</v>
      </c>
      <c r="L2726" s="3">
        <f t="shared" si="424"/>
        <v>0</v>
      </c>
      <c r="N2726" s="11">
        <f t="shared" si="425"/>
        <v>0.23255157039333704</v>
      </c>
      <c r="O2726" s="3">
        <v>0.128448429606663</v>
      </c>
      <c r="P2726" s="11">
        <f t="shared" si="426"/>
        <v>54.313993041127979</v>
      </c>
      <c r="Q2726" s="12">
        <f t="shared" si="427"/>
        <v>55.024213271387374</v>
      </c>
      <c r="R2726" s="13">
        <f t="shared" si="428"/>
        <v>39.953658255764203</v>
      </c>
      <c r="S2726" s="3" t="s">
        <v>31</v>
      </c>
      <c r="T2726" s="3" t="s">
        <v>28</v>
      </c>
      <c r="U2726" s="10">
        <v>9420019900999</v>
      </c>
      <c r="V2726" s="3">
        <v>0.1</v>
      </c>
      <c r="W2726" s="3">
        <f t="shared" si="429"/>
        <v>0</v>
      </c>
      <c r="AA2726" s="3">
        <v>48</v>
      </c>
    </row>
    <row r="2727" spans="1:27" x14ac:dyDescent="0.3">
      <c r="A2727" s="3" t="str">
        <f t="shared" si="420"/>
        <v>South9410059900840</v>
      </c>
      <c r="B2727" s="3" t="str">
        <f t="shared" si="421"/>
        <v>CMR9410059900840</v>
      </c>
      <c r="C2727" s="10">
        <v>9410059900840</v>
      </c>
      <c r="D2727" s="10" t="str">
        <f t="shared" si="422"/>
        <v>9410059900</v>
      </c>
      <c r="E2727" s="3" t="s">
        <v>5</v>
      </c>
      <c r="F2727" s="3" t="s">
        <v>65</v>
      </c>
      <c r="H2727" s="3">
        <v>3.6440000000000001</v>
      </c>
      <c r="I2727" s="10">
        <f t="shared" si="423"/>
        <v>944.36414716232969</v>
      </c>
      <c r="J2727" s="3">
        <v>0.11576043026251043</v>
      </c>
      <c r="K2727" s="3">
        <v>0</v>
      </c>
      <c r="L2727" s="3">
        <f t="shared" si="424"/>
        <v>0</v>
      </c>
      <c r="N2727" s="11">
        <f t="shared" si="425"/>
        <v>3.5282395697374898</v>
      </c>
      <c r="O2727" s="3">
        <v>0.11576043026251043</v>
      </c>
      <c r="P2727" s="11">
        <f t="shared" si="426"/>
        <v>914.3641471623298</v>
      </c>
      <c r="Q2727" s="12">
        <f t="shared" si="427"/>
        <v>1488.3329258977467</v>
      </c>
      <c r="R2727" s="13">
        <f t="shared" si="428"/>
        <v>376.09378425700692</v>
      </c>
      <c r="S2727" s="3" t="s">
        <v>31</v>
      </c>
      <c r="T2727" s="3" t="s">
        <v>32</v>
      </c>
      <c r="U2727" s="10">
        <v>0</v>
      </c>
      <c r="V2727" s="3">
        <v>0</v>
      </c>
      <c r="W2727" s="3">
        <f t="shared" si="429"/>
        <v>0</v>
      </c>
      <c r="AA2727" s="3">
        <v>48</v>
      </c>
    </row>
    <row r="2728" spans="1:27" x14ac:dyDescent="0.3">
      <c r="A2728" s="3" t="str">
        <f t="shared" si="420"/>
        <v>South9310029900210</v>
      </c>
      <c r="B2728" s="3" t="str">
        <f t="shared" si="421"/>
        <v>CMR9310029900210</v>
      </c>
      <c r="C2728" s="10">
        <v>9310029900210</v>
      </c>
      <c r="D2728" s="10" t="str">
        <f t="shared" si="422"/>
        <v>9310029900</v>
      </c>
      <c r="E2728" s="3" t="s">
        <v>5</v>
      </c>
      <c r="F2728" s="3" t="s">
        <v>65</v>
      </c>
      <c r="H2728" s="3">
        <v>0.94300000000000028</v>
      </c>
      <c r="I2728" s="10">
        <f t="shared" si="423"/>
        <v>260.21863713708592</v>
      </c>
      <c r="J2728" s="3">
        <v>0.1087162714832625</v>
      </c>
      <c r="K2728" s="3">
        <v>0</v>
      </c>
      <c r="L2728" s="3">
        <f t="shared" si="424"/>
        <v>0</v>
      </c>
      <c r="N2728" s="11">
        <f t="shared" si="425"/>
        <v>0.83428372851673782</v>
      </c>
      <c r="O2728" s="3">
        <v>0.1087162714832625</v>
      </c>
      <c r="P2728" s="11">
        <f t="shared" si="426"/>
        <v>230.21863713708595</v>
      </c>
      <c r="Q2728" s="12">
        <f t="shared" si="427"/>
        <v>404.80566656339505</v>
      </c>
      <c r="R2728" s="13">
        <f t="shared" si="428"/>
        <v>2174.2698828132511</v>
      </c>
      <c r="S2728" s="3" t="s">
        <v>31</v>
      </c>
      <c r="T2728" s="3" t="s">
        <v>32</v>
      </c>
      <c r="U2728" s="10">
        <v>0</v>
      </c>
      <c r="V2728" s="3">
        <v>0</v>
      </c>
      <c r="W2728" s="3">
        <f t="shared" si="429"/>
        <v>0</v>
      </c>
      <c r="AA2728" s="3">
        <v>48</v>
      </c>
    </row>
    <row r="2729" spans="1:27" x14ac:dyDescent="0.3">
      <c r="A2729" s="3" t="str">
        <f t="shared" si="420"/>
        <v>South9310029900840</v>
      </c>
      <c r="B2729" s="3" t="str">
        <f t="shared" si="421"/>
        <v>CMR9310029900840</v>
      </c>
      <c r="C2729" s="10">
        <v>9310029900840</v>
      </c>
      <c r="D2729" s="10" t="str">
        <f t="shared" si="422"/>
        <v>9310029900</v>
      </c>
      <c r="E2729" s="3" t="s">
        <v>5</v>
      </c>
      <c r="F2729" s="3" t="s">
        <v>65</v>
      </c>
      <c r="H2729" s="3">
        <v>0.91600000000000026</v>
      </c>
      <c r="I2729" s="10">
        <f t="shared" si="423"/>
        <v>269.91036203989131</v>
      </c>
      <c r="J2729" s="3">
        <v>0.10181157845262204</v>
      </c>
      <c r="K2729" s="3">
        <v>0</v>
      </c>
      <c r="L2729" s="3">
        <f t="shared" si="424"/>
        <v>0</v>
      </c>
      <c r="N2729" s="11">
        <f t="shared" si="425"/>
        <v>0.81418842154737825</v>
      </c>
      <c r="O2729" s="3">
        <v>0.10181157845262204</v>
      </c>
      <c r="P2729" s="11">
        <f t="shared" si="426"/>
        <v>239.91036203989128</v>
      </c>
      <c r="Q2729" s="12">
        <f t="shared" si="427"/>
        <v>470.92534439717809</v>
      </c>
      <c r="R2729" s="13">
        <f t="shared" si="428"/>
        <v>1357.0266447416436</v>
      </c>
      <c r="S2729" s="3" t="s">
        <v>31</v>
      </c>
      <c r="T2729" s="3" t="s">
        <v>32</v>
      </c>
      <c r="U2729" s="10">
        <v>0</v>
      </c>
      <c r="V2729" s="3">
        <v>0</v>
      </c>
      <c r="W2729" s="3">
        <f t="shared" si="429"/>
        <v>0</v>
      </c>
      <c r="AA2729" s="3">
        <v>48</v>
      </c>
    </row>
    <row r="2730" spans="1:27" x14ac:dyDescent="0.3">
      <c r="A2730" s="3" t="str">
        <f t="shared" si="420"/>
        <v>South9420049901210</v>
      </c>
      <c r="B2730" s="3" t="str">
        <f t="shared" si="421"/>
        <v>CMR9420049901210</v>
      </c>
      <c r="C2730" s="10">
        <v>9420049901210</v>
      </c>
      <c r="D2730" s="10" t="str">
        <f t="shared" si="422"/>
        <v>9420049901</v>
      </c>
      <c r="E2730" s="3" t="s">
        <v>5</v>
      </c>
      <c r="F2730" s="3" t="s">
        <v>65</v>
      </c>
      <c r="H2730" s="3">
        <v>2.3989999999999996</v>
      </c>
      <c r="I2730" s="10">
        <f t="shared" si="423"/>
        <v>742.05683869301049</v>
      </c>
      <c r="J2730" s="3">
        <v>9.6987179751299391E-2</v>
      </c>
      <c r="K2730" s="3">
        <v>0</v>
      </c>
      <c r="L2730" s="3">
        <f t="shared" si="424"/>
        <v>0</v>
      </c>
      <c r="N2730" s="11">
        <f t="shared" si="425"/>
        <v>2.3020128202487</v>
      </c>
      <c r="O2730" s="3">
        <v>9.6987179751299391E-2</v>
      </c>
      <c r="P2730" s="11">
        <f t="shared" si="426"/>
        <v>712.05683869301049</v>
      </c>
      <c r="Q2730" s="12">
        <f t="shared" si="427"/>
        <v>864.12003450014163</v>
      </c>
      <c r="R2730" s="13">
        <f t="shared" si="428"/>
        <v>1134.7604804875584</v>
      </c>
      <c r="S2730" s="3" t="s">
        <v>31</v>
      </c>
      <c r="T2730" s="3" t="s">
        <v>28</v>
      </c>
      <c r="U2730" s="10">
        <v>0</v>
      </c>
      <c r="V2730" s="3">
        <v>0</v>
      </c>
      <c r="W2730" s="3">
        <f t="shared" si="429"/>
        <v>0</v>
      </c>
      <c r="AA2730" s="3">
        <v>48</v>
      </c>
    </row>
    <row r="2731" spans="1:27" x14ac:dyDescent="0.3">
      <c r="A2731" s="3" t="str">
        <f t="shared" si="420"/>
        <v>South9410059900210</v>
      </c>
      <c r="B2731" s="3" t="str">
        <f t="shared" si="421"/>
        <v>CMR9410059900210</v>
      </c>
      <c r="C2731" s="10">
        <v>9410059900210</v>
      </c>
      <c r="D2731" s="10" t="str">
        <f t="shared" si="422"/>
        <v>9410059900</v>
      </c>
      <c r="E2731" s="3" t="s">
        <v>5</v>
      </c>
      <c r="F2731" s="3" t="s">
        <v>65</v>
      </c>
      <c r="H2731" s="3">
        <v>0.86499999999999999</v>
      </c>
      <c r="I2731" s="10">
        <f t="shared" si="423"/>
        <v>629.34821865419167</v>
      </c>
      <c r="J2731" s="3">
        <v>4.1233134901838435E-2</v>
      </c>
      <c r="K2731" s="3">
        <v>0</v>
      </c>
      <c r="L2731" s="3">
        <f t="shared" si="424"/>
        <v>0</v>
      </c>
      <c r="N2731" s="11">
        <f t="shared" si="425"/>
        <v>0.82376686509816155</v>
      </c>
      <c r="O2731" s="3">
        <v>4.1233134901838435E-2</v>
      </c>
      <c r="P2731" s="11">
        <f t="shared" si="426"/>
        <v>599.34821865419167</v>
      </c>
      <c r="Q2731" s="12">
        <f t="shared" si="427"/>
        <v>544.54617609326215</v>
      </c>
      <c r="R2731" s="13">
        <f t="shared" si="428"/>
        <v>190.32630093769362</v>
      </c>
      <c r="S2731" s="3" t="s">
        <v>31</v>
      </c>
      <c r="T2731" s="3" t="s">
        <v>32</v>
      </c>
      <c r="U2731" s="10">
        <v>0</v>
      </c>
      <c r="V2731" s="3">
        <v>0</v>
      </c>
      <c r="W2731" s="3">
        <f t="shared" si="429"/>
        <v>0</v>
      </c>
      <c r="AA2731" s="3">
        <v>48</v>
      </c>
    </row>
    <row r="2732" spans="1:27" x14ac:dyDescent="0.3">
      <c r="A2732" s="3" t="str">
        <f t="shared" si="420"/>
        <v>South9420049902319</v>
      </c>
      <c r="B2732" s="3" t="str">
        <f t="shared" si="421"/>
        <v>CMR9420049902319</v>
      </c>
      <c r="C2732" s="10">
        <v>9420049902319</v>
      </c>
      <c r="D2732" s="10" t="str">
        <f t="shared" si="422"/>
        <v>9420049902</v>
      </c>
      <c r="E2732" s="3" t="s">
        <v>5</v>
      </c>
      <c r="F2732" s="3" t="s">
        <v>65</v>
      </c>
      <c r="H2732" s="3">
        <v>5.1300000000000008</v>
      </c>
      <c r="I2732" s="10">
        <f t="shared" si="423"/>
        <v>0</v>
      </c>
      <c r="J2732" s="3">
        <v>0</v>
      </c>
      <c r="K2732" s="3">
        <v>0</v>
      </c>
      <c r="L2732" s="3">
        <f t="shared" si="424"/>
        <v>0</v>
      </c>
      <c r="N2732" s="11">
        <f t="shared" si="425"/>
        <v>5.1300000000000008</v>
      </c>
      <c r="O2732" s="3">
        <v>0</v>
      </c>
      <c r="P2732" s="11">
        <f t="shared" si="426"/>
        <v>9999</v>
      </c>
      <c r="Q2732" s="12">
        <f t="shared" si="427"/>
        <v>9999</v>
      </c>
      <c r="R2732" s="13">
        <f t="shared" si="428"/>
        <v>24424.26870277066</v>
      </c>
      <c r="S2732" s="3" t="s">
        <v>31</v>
      </c>
      <c r="T2732" s="3" t="s">
        <v>28</v>
      </c>
      <c r="U2732" s="10">
        <v>9420049900999</v>
      </c>
      <c r="V2732" s="3">
        <v>0.1</v>
      </c>
      <c r="W2732" s="3">
        <f t="shared" si="429"/>
        <v>0</v>
      </c>
      <c r="AA2732" s="3">
        <v>48</v>
      </c>
    </row>
    <row r="2733" spans="1:27" x14ac:dyDescent="0.3">
      <c r="A2733" s="3" t="str">
        <f t="shared" si="420"/>
        <v>South9420049902195</v>
      </c>
      <c r="B2733" s="3" t="str">
        <f t="shared" si="421"/>
        <v>CMR9420049902195</v>
      </c>
      <c r="C2733" s="10">
        <v>9420049902195</v>
      </c>
      <c r="D2733" s="10" t="str">
        <f t="shared" si="422"/>
        <v>9420049902</v>
      </c>
      <c r="E2733" s="3" t="s">
        <v>5</v>
      </c>
      <c r="F2733" s="3" t="s">
        <v>65</v>
      </c>
      <c r="H2733" s="3">
        <v>0</v>
      </c>
      <c r="I2733" s="10">
        <f t="shared" si="423"/>
        <v>0</v>
      </c>
      <c r="J2733" s="3">
        <v>0</v>
      </c>
      <c r="K2733" s="3">
        <v>0</v>
      </c>
      <c r="L2733" s="3">
        <f t="shared" si="424"/>
        <v>0</v>
      </c>
      <c r="N2733" s="11">
        <f t="shared" si="425"/>
        <v>0</v>
      </c>
      <c r="O2733" s="3">
        <v>0</v>
      </c>
      <c r="P2733" s="11">
        <f t="shared" si="426"/>
        <v>9999</v>
      </c>
      <c r="Q2733" s="12">
        <f t="shared" si="427"/>
        <v>9999</v>
      </c>
      <c r="R2733" s="13">
        <f t="shared" si="428"/>
        <v>-30</v>
      </c>
      <c r="S2733" s="3" t="s">
        <v>31</v>
      </c>
      <c r="T2733" s="3" t="s">
        <v>28</v>
      </c>
      <c r="U2733" s="10">
        <v>0</v>
      </c>
      <c r="V2733" s="3">
        <v>0</v>
      </c>
      <c r="W2733" s="3">
        <f t="shared" si="429"/>
        <v>0</v>
      </c>
      <c r="AA2733" s="3">
        <v>48</v>
      </c>
    </row>
    <row r="2734" spans="1:27" x14ac:dyDescent="0.3">
      <c r="A2734" s="3" t="str">
        <f t="shared" si="420"/>
        <v>South9101109900210</v>
      </c>
      <c r="B2734" s="3" t="str">
        <f t="shared" si="421"/>
        <v>CMR9101109900210</v>
      </c>
      <c r="C2734" s="10">
        <v>9101109900210</v>
      </c>
      <c r="D2734" s="10" t="str">
        <f t="shared" si="422"/>
        <v>9101109900</v>
      </c>
      <c r="E2734" s="3" t="s">
        <v>5</v>
      </c>
      <c r="F2734" s="3" t="s">
        <v>65</v>
      </c>
      <c r="H2734" s="3">
        <v>0</v>
      </c>
      <c r="I2734" s="10">
        <f t="shared" si="423"/>
        <v>0</v>
      </c>
      <c r="J2734" s="3">
        <v>0</v>
      </c>
      <c r="K2734" s="3">
        <v>0</v>
      </c>
      <c r="L2734" s="3">
        <f t="shared" si="424"/>
        <v>0</v>
      </c>
      <c r="N2734" s="11">
        <f t="shared" si="425"/>
        <v>0</v>
      </c>
      <c r="O2734" s="3">
        <v>0</v>
      </c>
      <c r="P2734" s="11">
        <f t="shared" si="426"/>
        <v>9999</v>
      </c>
      <c r="Q2734" s="12">
        <f t="shared" si="427"/>
        <v>9999</v>
      </c>
      <c r="R2734" s="13">
        <f t="shared" si="428"/>
        <v>9999</v>
      </c>
      <c r="S2734" s="3" t="s">
        <v>31</v>
      </c>
      <c r="T2734" s="3" t="s">
        <v>34</v>
      </c>
      <c r="U2734" s="10" t="s">
        <v>72</v>
      </c>
      <c r="V2734" s="3" t="s">
        <v>72</v>
      </c>
      <c r="W2734" s="3">
        <f t="shared" si="429"/>
        <v>0</v>
      </c>
      <c r="AA2734" s="3">
        <v>48</v>
      </c>
    </row>
    <row r="2735" spans="1:27" x14ac:dyDescent="0.3">
      <c r="A2735" s="3" t="str">
        <f t="shared" si="420"/>
        <v>South9100309901210</v>
      </c>
      <c r="B2735" s="3" t="str">
        <f t="shared" si="421"/>
        <v>CMR9100309901210</v>
      </c>
      <c r="C2735" s="10">
        <v>9100309901210</v>
      </c>
      <c r="D2735" s="10" t="str">
        <f t="shared" si="422"/>
        <v>9100309901</v>
      </c>
      <c r="E2735" s="3" t="s">
        <v>5</v>
      </c>
      <c r="F2735" s="3" t="s">
        <v>65</v>
      </c>
      <c r="H2735" s="3">
        <v>0</v>
      </c>
      <c r="I2735" s="10">
        <f t="shared" si="423"/>
        <v>0</v>
      </c>
      <c r="J2735" s="3">
        <v>0</v>
      </c>
      <c r="K2735" s="3">
        <v>0</v>
      </c>
      <c r="L2735" s="3">
        <f t="shared" si="424"/>
        <v>0</v>
      </c>
      <c r="N2735" s="11">
        <f t="shared" si="425"/>
        <v>0</v>
      </c>
      <c r="O2735" s="3">
        <v>0</v>
      </c>
      <c r="P2735" s="11">
        <f t="shared" si="426"/>
        <v>9999</v>
      </c>
      <c r="Q2735" s="12">
        <f t="shared" si="427"/>
        <v>9999</v>
      </c>
      <c r="R2735" s="13">
        <f t="shared" si="428"/>
        <v>9999</v>
      </c>
      <c r="S2735" s="3" t="s">
        <v>31</v>
      </c>
      <c r="T2735" s="3" t="s">
        <v>34</v>
      </c>
      <c r="U2735" s="10" t="s">
        <v>72</v>
      </c>
      <c r="V2735" s="3" t="s">
        <v>72</v>
      </c>
      <c r="W2735" s="3">
        <f t="shared" si="429"/>
        <v>0</v>
      </c>
      <c r="AA2735" s="3">
        <v>48</v>
      </c>
    </row>
    <row r="2736" spans="1:27" x14ac:dyDescent="0.3">
      <c r="A2736" s="3" t="str">
        <f t="shared" si="420"/>
        <v>South9420049902295</v>
      </c>
      <c r="B2736" s="3" t="str">
        <f t="shared" si="421"/>
        <v>CMR9420049902295</v>
      </c>
      <c r="C2736" s="10">
        <v>9420049902295</v>
      </c>
      <c r="D2736" s="10" t="str">
        <f t="shared" si="422"/>
        <v>9420049902</v>
      </c>
      <c r="E2736" s="3" t="s">
        <v>5</v>
      </c>
      <c r="F2736" s="3" t="s">
        <v>65</v>
      </c>
      <c r="H2736" s="3">
        <v>2.3370000000000006</v>
      </c>
      <c r="I2736" s="10">
        <f t="shared" si="423"/>
        <v>0</v>
      </c>
      <c r="J2736" s="3">
        <v>0</v>
      </c>
      <c r="K2736" s="3">
        <v>0</v>
      </c>
      <c r="L2736" s="3">
        <f t="shared" si="424"/>
        <v>0</v>
      </c>
      <c r="N2736" s="11">
        <f t="shared" si="425"/>
        <v>2.3370000000000006</v>
      </c>
      <c r="O2736" s="3">
        <v>0</v>
      </c>
      <c r="P2736" s="11">
        <f t="shared" si="426"/>
        <v>9999</v>
      </c>
      <c r="Q2736" s="12">
        <f t="shared" si="427"/>
        <v>9999</v>
      </c>
      <c r="R2736" s="13">
        <f t="shared" si="428"/>
        <v>15203.553616405226</v>
      </c>
      <c r="S2736" s="3" t="s">
        <v>31</v>
      </c>
      <c r="T2736" s="3" t="s">
        <v>28</v>
      </c>
      <c r="U2736" s="10">
        <v>9420049900999</v>
      </c>
      <c r="V2736" s="3">
        <v>0.1</v>
      </c>
      <c r="W2736" s="3">
        <f t="shared" si="429"/>
        <v>0</v>
      </c>
      <c r="AA2736" s="3">
        <v>48</v>
      </c>
    </row>
    <row r="2737" spans="1:27" x14ac:dyDescent="0.3">
      <c r="A2737" s="3" t="str">
        <f t="shared" si="420"/>
        <v>South9160509902097</v>
      </c>
      <c r="B2737" s="3" t="str">
        <f t="shared" si="421"/>
        <v>CMR9160509902097</v>
      </c>
      <c r="C2737" s="10">
        <v>9160509902097</v>
      </c>
      <c r="D2737" s="10" t="str">
        <f t="shared" si="422"/>
        <v>9160509902</v>
      </c>
      <c r="E2737" s="3" t="s">
        <v>5</v>
      </c>
      <c r="F2737" s="3" t="s">
        <v>65</v>
      </c>
      <c r="H2737" s="3">
        <v>0</v>
      </c>
      <c r="I2737" s="10">
        <f t="shared" si="423"/>
        <v>0</v>
      </c>
      <c r="J2737" s="3">
        <v>0</v>
      </c>
      <c r="K2737" s="3">
        <v>0</v>
      </c>
      <c r="L2737" s="3">
        <f t="shared" si="424"/>
        <v>0</v>
      </c>
      <c r="N2737" s="11">
        <f t="shared" si="425"/>
        <v>0</v>
      </c>
      <c r="O2737" s="3">
        <v>0</v>
      </c>
      <c r="P2737" s="11">
        <f t="shared" si="426"/>
        <v>9999</v>
      </c>
      <c r="Q2737" s="12">
        <f t="shared" si="427"/>
        <v>9999</v>
      </c>
      <c r="R2737" s="13">
        <f t="shared" si="428"/>
        <v>9999</v>
      </c>
      <c r="S2737" s="3" t="s">
        <v>31</v>
      </c>
      <c r="T2737" s="3" t="s">
        <v>34</v>
      </c>
      <c r="U2737" s="10" t="s">
        <v>72</v>
      </c>
      <c r="V2737" s="3" t="s">
        <v>72</v>
      </c>
      <c r="W2737" s="3">
        <f t="shared" si="429"/>
        <v>0</v>
      </c>
      <c r="AA2737" s="3">
        <v>48</v>
      </c>
    </row>
    <row r="2738" spans="1:27" x14ac:dyDescent="0.3">
      <c r="A2738" s="3" t="str">
        <f t="shared" si="420"/>
        <v>South9320089901840</v>
      </c>
      <c r="B2738" s="3" t="str">
        <f t="shared" si="421"/>
        <v>CMR9320089901840</v>
      </c>
      <c r="C2738" s="10">
        <v>9320089901840</v>
      </c>
      <c r="D2738" s="10" t="str">
        <f t="shared" si="422"/>
        <v>9320089901</v>
      </c>
      <c r="E2738" s="3" t="s">
        <v>5</v>
      </c>
      <c r="F2738" s="3" t="s">
        <v>65</v>
      </c>
      <c r="H2738" s="3">
        <v>0</v>
      </c>
      <c r="I2738" s="10">
        <f t="shared" si="423"/>
        <v>0</v>
      </c>
      <c r="J2738" s="3">
        <v>0</v>
      </c>
      <c r="K2738" s="3">
        <v>0</v>
      </c>
      <c r="L2738" s="3">
        <f t="shared" si="424"/>
        <v>0</v>
      </c>
      <c r="N2738" s="11">
        <f t="shared" si="425"/>
        <v>0</v>
      </c>
      <c r="O2738" s="3">
        <v>0</v>
      </c>
      <c r="P2738" s="11">
        <f t="shared" si="426"/>
        <v>9999</v>
      </c>
      <c r="Q2738" s="12">
        <f t="shared" si="427"/>
        <v>9999</v>
      </c>
      <c r="R2738" s="13">
        <f t="shared" si="428"/>
        <v>-30</v>
      </c>
      <c r="S2738" s="3" t="s">
        <v>31</v>
      </c>
      <c r="T2738" s="3" t="s">
        <v>28</v>
      </c>
      <c r="U2738" s="10">
        <v>0</v>
      </c>
      <c r="V2738" s="3">
        <v>0</v>
      </c>
      <c r="W2738" s="3">
        <f t="shared" si="429"/>
        <v>0</v>
      </c>
      <c r="AA2738" s="3">
        <v>48</v>
      </c>
    </row>
    <row r="2739" spans="1:27" x14ac:dyDescent="0.3">
      <c r="A2739" s="3" t="str">
        <f t="shared" si="420"/>
        <v>South9420049902838</v>
      </c>
      <c r="B2739" s="3" t="str">
        <f t="shared" si="421"/>
        <v>CMR9420049902838</v>
      </c>
      <c r="C2739" s="10">
        <v>9420049902838</v>
      </c>
      <c r="D2739" s="10" t="str">
        <f t="shared" si="422"/>
        <v>9420049902</v>
      </c>
      <c r="E2739" s="3" t="s">
        <v>5</v>
      </c>
      <c r="F2739" s="3" t="s">
        <v>65</v>
      </c>
      <c r="H2739" s="3">
        <v>0</v>
      </c>
      <c r="I2739" s="10">
        <f t="shared" si="423"/>
        <v>0</v>
      </c>
      <c r="J2739" s="3">
        <v>0</v>
      </c>
      <c r="K2739" s="3">
        <v>0</v>
      </c>
      <c r="L2739" s="3">
        <f t="shared" si="424"/>
        <v>0</v>
      </c>
      <c r="N2739" s="11">
        <f t="shared" si="425"/>
        <v>0</v>
      </c>
      <c r="O2739" s="3">
        <v>0</v>
      </c>
      <c r="P2739" s="11">
        <f t="shared" si="426"/>
        <v>9999</v>
      </c>
      <c r="Q2739" s="12">
        <f t="shared" si="427"/>
        <v>9999</v>
      </c>
      <c r="R2739" s="13">
        <f t="shared" si="428"/>
        <v>-30</v>
      </c>
      <c r="S2739" s="3" t="s">
        <v>31</v>
      </c>
      <c r="T2739" s="3" t="s">
        <v>28</v>
      </c>
      <c r="U2739" s="10">
        <v>0</v>
      </c>
      <c r="V2739" s="3">
        <v>0</v>
      </c>
      <c r="W2739" s="3">
        <f t="shared" si="429"/>
        <v>0</v>
      </c>
      <c r="AA2739" s="3">
        <v>48</v>
      </c>
    </row>
    <row r="2740" spans="1:27" x14ac:dyDescent="0.3">
      <c r="A2740" s="3" t="str">
        <f t="shared" si="420"/>
        <v>South9181709900210</v>
      </c>
      <c r="B2740" s="3" t="str">
        <f t="shared" si="421"/>
        <v>CMR9181709900210</v>
      </c>
      <c r="C2740" s="10">
        <v>9181709900210</v>
      </c>
      <c r="D2740" s="10" t="str">
        <f t="shared" si="422"/>
        <v>9181709900</v>
      </c>
      <c r="E2740" s="3" t="s">
        <v>5</v>
      </c>
      <c r="F2740" s="3" t="s">
        <v>65</v>
      </c>
      <c r="H2740" s="3">
        <v>0</v>
      </c>
      <c r="I2740" s="10">
        <f t="shared" si="423"/>
        <v>0</v>
      </c>
      <c r="J2740" s="3">
        <v>0</v>
      </c>
      <c r="K2740" s="3">
        <v>0</v>
      </c>
      <c r="L2740" s="3">
        <f t="shared" si="424"/>
        <v>0</v>
      </c>
      <c r="N2740" s="11">
        <f t="shared" si="425"/>
        <v>0</v>
      </c>
      <c r="O2740" s="3">
        <v>0</v>
      </c>
      <c r="P2740" s="11">
        <f t="shared" si="426"/>
        <v>9999</v>
      </c>
      <c r="Q2740" s="12">
        <f t="shared" si="427"/>
        <v>9999</v>
      </c>
      <c r="R2740" s="13">
        <f t="shared" si="428"/>
        <v>9999</v>
      </c>
      <c r="S2740" s="3" t="s">
        <v>31</v>
      </c>
      <c r="T2740" s="3" t="s">
        <v>34</v>
      </c>
      <c r="U2740" s="10" t="s">
        <v>72</v>
      </c>
      <c r="V2740" s="3" t="s">
        <v>72</v>
      </c>
      <c r="W2740" s="3">
        <f t="shared" si="429"/>
        <v>0</v>
      </c>
      <c r="AA2740" s="3">
        <v>48</v>
      </c>
    </row>
    <row r="2741" spans="1:27" x14ac:dyDescent="0.3">
      <c r="A2741" s="3" t="str">
        <f t="shared" si="420"/>
        <v>South9320089900310</v>
      </c>
      <c r="B2741" s="3" t="str">
        <f t="shared" si="421"/>
        <v>CMR9320089900310</v>
      </c>
      <c r="C2741" s="10">
        <v>9320089900310</v>
      </c>
      <c r="D2741" s="10" t="str">
        <f t="shared" si="422"/>
        <v>9320089900</v>
      </c>
      <c r="E2741" s="3" t="s">
        <v>5</v>
      </c>
      <c r="F2741" s="3" t="s">
        <v>65</v>
      </c>
      <c r="H2741" s="3">
        <v>0</v>
      </c>
      <c r="I2741" s="10">
        <f t="shared" si="423"/>
        <v>0</v>
      </c>
      <c r="J2741" s="3">
        <v>0</v>
      </c>
      <c r="K2741" s="3">
        <v>0</v>
      </c>
      <c r="L2741" s="3">
        <f t="shared" si="424"/>
        <v>0</v>
      </c>
      <c r="N2741" s="11">
        <f t="shared" si="425"/>
        <v>0</v>
      </c>
      <c r="O2741" s="3">
        <v>0</v>
      </c>
      <c r="P2741" s="11">
        <f t="shared" si="426"/>
        <v>9999</v>
      </c>
      <c r="Q2741" s="12">
        <f t="shared" si="427"/>
        <v>9999</v>
      </c>
      <c r="R2741" s="13">
        <f t="shared" si="428"/>
        <v>-29.999999999999996</v>
      </c>
      <c r="S2741" s="3" t="s">
        <v>31</v>
      </c>
      <c r="T2741" s="3" t="s">
        <v>28</v>
      </c>
      <c r="U2741" s="10">
        <v>9320089900999</v>
      </c>
      <c r="V2741" s="3">
        <v>0.1</v>
      </c>
      <c r="W2741" s="3">
        <f t="shared" si="429"/>
        <v>0</v>
      </c>
      <c r="AA2741" s="3">
        <v>48</v>
      </c>
    </row>
    <row r="2742" spans="1:27" x14ac:dyDescent="0.3">
      <c r="A2742" s="3" t="str">
        <f t="shared" si="420"/>
        <v>South9320089900840</v>
      </c>
      <c r="B2742" s="3" t="str">
        <f t="shared" si="421"/>
        <v>CMR9320089900840</v>
      </c>
      <c r="C2742" s="10">
        <v>9320089900840</v>
      </c>
      <c r="D2742" s="10" t="str">
        <f t="shared" si="422"/>
        <v>9320089900</v>
      </c>
      <c r="E2742" s="3" t="s">
        <v>5</v>
      </c>
      <c r="F2742" s="3" t="s">
        <v>65</v>
      </c>
      <c r="H2742" s="3">
        <v>0</v>
      </c>
      <c r="I2742" s="10">
        <f t="shared" si="423"/>
        <v>0</v>
      </c>
      <c r="J2742" s="3">
        <v>0</v>
      </c>
      <c r="K2742" s="3">
        <v>0</v>
      </c>
      <c r="L2742" s="3">
        <f t="shared" si="424"/>
        <v>0</v>
      </c>
      <c r="N2742" s="11">
        <f t="shared" si="425"/>
        <v>0</v>
      </c>
      <c r="O2742" s="3">
        <v>0</v>
      </c>
      <c r="P2742" s="11">
        <f t="shared" si="426"/>
        <v>9999</v>
      </c>
      <c r="Q2742" s="12">
        <f t="shared" si="427"/>
        <v>9999</v>
      </c>
      <c r="R2742" s="13">
        <f t="shared" si="428"/>
        <v>-29.999999999999996</v>
      </c>
      <c r="S2742" s="3" t="s">
        <v>31</v>
      </c>
      <c r="T2742" s="3" t="s">
        <v>28</v>
      </c>
      <c r="U2742" s="10">
        <v>0</v>
      </c>
      <c r="V2742" s="3">
        <v>0</v>
      </c>
      <c r="W2742" s="3">
        <f t="shared" si="429"/>
        <v>0</v>
      </c>
      <c r="AA2742" s="3">
        <v>48</v>
      </c>
    </row>
    <row r="2743" spans="1:27" x14ac:dyDescent="0.3">
      <c r="A2743" s="3" t="str">
        <f t="shared" si="420"/>
        <v>East9330019900820</v>
      </c>
      <c r="B2743" s="3" t="str">
        <f t="shared" si="421"/>
        <v>KGP9330019900820</v>
      </c>
      <c r="C2743" s="10">
        <v>9330019900820</v>
      </c>
      <c r="D2743" s="10" t="str">
        <f t="shared" si="422"/>
        <v>9330019900</v>
      </c>
      <c r="E2743" s="3" t="s">
        <v>6</v>
      </c>
      <c r="F2743" s="3" t="s">
        <v>66</v>
      </c>
      <c r="H2743" s="3">
        <v>192.1</v>
      </c>
      <c r="I2743" s="10">
        <f t="shared" si="423"/>
        <v>23.532384613056468</v>
      </c>
      <c r="J2743" s="3">
        <v>244.89655828600198</v>
      </c>
      <c r="K2743" s="3">
        <v>216</v>
      </c>
      <c r="L2743" s="3">
        <f t="shared" si="424"/>
        <v>0</v>
      </c>
      <c r="N2743" s="11">
        <f t="shared" si="425"/>
        <v>-52.796558286001982</v>
      </c>
      <c r="O2743" s="3">
        <v>244.89655828600198</v>
      </c>
      <c r="P2743" s="11">
        <f t="shared" si="426"/>
        <v>-6.46761538694353</v>
      </c>
      <c r="Q2743" s="12">
        <f t="shared" si="427"/>
        <v>-6.46761538694353</v>
      </c>
      <c r="R2743" s="13">
        <f t="shared" si="428"/>
        <v>-9.2235664855163968</v>
      </c>
      <c r="S2743" s="3" t="s">
        <v>29</v>
      </c>
      <c r="T2743" s="3" t="s">
        <v>35</v>
      </c>
      <c r="U2743" s="10">
        <v>0</v>
      </c>
      <c r="V2743" s="3">
        <v>0</v>
      </c>
      <c r="W2743" s="3">
        <f t="shared" si="429"/>
        <v>0</v>
      </c>
      <c r="AA2743" s="3">
        <v>48</v>
      </c>
    </row>
    <row r="2744" spans="1:27" x14ac:dyDescent="0.3">
      <c r="A2744" s="3" t="str">
        <f t="shared" si="420"/>
        <v>East9437019900320</v>
      </c>
      <c r="B2744" s="3" t="str">
        <f t="shared" si="421"/>
        <v>KGP9437019900320</v>
      </c>
      <c r="C2744" s="10">
        <v>9437019900320</v>
      </c>
      <c r="D2744" s="10" t="str">
        <f t="shared" si="422"/>
        <v>9437019900</v>
      </c>
      <c r="E2744" s="3" t="s">
        <v>6</v>
      </c>
      <c r="F2744" s="3" t="s">
        <v>66</v>
      </c>
      <c r="H2744" s="3">
        <v>91.47999999999999</v>
      </c>
      <c r="I2744" s="10">
        <f t="shared" si="423"/>
        <v>12.323526501739771</v>
      </c>
      <c r="J2744" s="3">
        <v>222.69599530723286</v>
      </c>
      <c r="K2744" s="3">
        <v>288</v>
      </c>
      <c r="L2744" s="3">
        <f t="shared" si="424"/>
        <v>0</v>
      </c>
      <c r="N2744" s="11">
        <f t="shared" si="425"/>
        <v>-131.21599530723287</v>
      </c>
      <c r="O2744" s="3">
        <v>222.69599530723286</v>
      </c>
      <c r="P2744" s="11">
        <f t="shared" si="426"/>
        <v>-17.676473498260229</v>
      </c>
      <c r="Q2744" s="12">
        <f t="shared" si="427"/>
        <v>-17.676473498260229</v>
      </c>
      <c r="R2744" s="13">
        <f t="shared" si="428"/>
        <v>-12.572634329089414</v>
      </c>
      <c r="S2744" s="3" t="s">
        <v>29</v>
      </c>
      <c r="T2744" s="3" t="s">
        <v>35</v>
      </c>
      <c r="U2744" s="10">
        <v>0</v>
      </c>
      <c r="V2744" s="3">
        <v>0</v>
      </c>
      <c r="W2744" s="3">
        <f t="shared" si="429"/>
        <v>0</v>
      </c>
      <c r="AA2744" s="3">
        <v>48</v>
      </c>
    </row>
    <row r="2745" spans="1:27" x14ac:dyDescent="0.3">
      <c r="A2745" s="3" t="str">
        <f t="shared" si="420"/>
        <v>East9431009913820</v>
      </c>
      <c r="B2745" s="3" t="str">
        <f t="shared" si="421"/>
        <v>KGP9431009913820</v>
      </c>
      <c r="C2745" s="10">
        <v>9431009913820</v>
      </c>
      <c r="D2745" s="10" t="str">
        <f t="shared" si="422"/>
        <v>9431009913</v>
      </c>
      <c r="E2745" s="3" t="s">
        <v>6</v>
      </c>
      <c r="F2745" s="3" t="s">
        <v>66</v>
      </c>
      <c r="H2745" s="3">
        <v>163.33999999999997</v>
      </c>
      <c r="I2745" s="10">
        <f t="shared" si="423"/>
        <v>26.363007658692919</v>
      </c>
      <c r="J2745" s="3">
        <v>185.87408779150473</v>
      </c>
      <c r="K2745" s="3">
        <v>144</v>
      </c>
      <c r="L2745" s="3">
        <f t="shared" si="424"/>
        <v>0</v>
      </c>
      <c r="N2745" s="11">
        <f t="shared" si="425"/>
        <v>-22.53408779150476</v>
      </c>
      <c r="O2745" s="3">
        <v>185.87408779150473</v>
      </c>
      <c r="P2745" s="11">
        <f t="shared" si="426"/>
        <v>-3.6369923413070815</v>
      </c>
      <c r="Q2745" s="12">
        <f t="shared" si="427"/>
        <v>-3.6369923413070815</v>
      </c>
      <c r="R2745" s="13">
        <f t="shared" si="428"/>
        <v>-2.5561230746082235</v>
      </c>
      <c r="S2745" s="3" t="s">
        <v>29</v>
      </c>
      <c r="T2745" s="3" t="s">
        <v>35</v>
      </c>
      <c r="U2745" s="10">
        <v>0</v>
      </c>
      <c r="V2745" s="3">
        <v>0</v>
      </c>
      <c r="W2745" s="3">
        <f t="shared" si="429"/>
        <v>0</v>
      </c>
      <c r="AA2745" s="3">
        <v>48</v>
      </c>
    </row>
    <row r="2746" spans="1:27" x14ac:dyDescent="0.3">
      <c r="A2746" s="3" t="str">
        <f t="shared" si="420"/>
        <v>East9360029900320</v>
      </c>
      <c r="B2746" s="3" t="str">
        <f t="shared" si="421"/>
        <v>KGP9360029900320</v>
      </c>
      <c r="C2746" s="10">
        <v>9360029900320</v>
      </c>
      <c r="D2746" s="10" t="str">
        <f t="shared" si="422"/>
        <v>9360029900</v>
      </c>
      <c r="E2746" s="3" t="s">
        <v>6</v>
      </c>
      <c r="F2746" s="3" t="s">
        <v>66</v>
      </c>
      <c r="H2746" s="3">
        <v>29.200000000000003</v>
      </c>
      <c r="I2746" s="10">
        <f t="shared" si="423"/>
        <v>6.9615648177407792</v>
      </c>
      <c r="J2746" s="3">
        <v>125.83377774025904</v>
      </c>
      <c r="K2746" s="3">
        <v>228</v>
      </c>
      <c r="L2746" s="3">
        <f t="shared" si="424"/>
        <v>0</v>
      </c>
      <c r="N2746" s="11">
        <f t="shared" si="425"/>
        <v>-96.633777740259035</v>
      </c>
      <c r="O2746" s="3">
        <v>125.83377774025904</v>
      </c>
      <c r="P2746" s="11">
        <f t="shared" si="426"/>
        <v>-23.038435182259221</v>
      </c>
      <c r="Q2746" s="12">
        <f t="shared" si="427"/>
        <v>-23.038435182259221</v>
      </c>
      <c r="R2746" s="13">
        <f t="shared" si="428"/>
        <v>-17.132899621612285</v>
      </c>
      <c r="S2746" s="3" t="s">
        <v>29</v>
      </c>
      <c r="T2746" s="3" t="s">
        <v>33</v>
      </c>
      <c r="U2746" s="10">
        <v>9360029900999</v>
      </c>
      <c r="V2746" s="3">
        <v>0.1</v>
      </c>
      <c r="W2746" s="3">
        <f t="shared" si="429"/>
        <v>22.8</v>
      </c>
      <c r="AA2746" s="3">
        <v>48</v>
      </c>
    </row>
    <row r="2747" spans="1:27" x14ac:dyDescent="0.3">
      <c r="A2747" s="3" t="str">
        <f t="shared" si="420"/>
        <v>East9360019900320</v>
      </c>
      <c r="B2747" s="3" t="str">
        <f t="shared" si="421"/>
        <v>KGP9360019900320</v>
      </c>
      <c r="C2747" s="10">
        <v>9360019900320</v>
      </c>
      <c r="D2747" s="10" t="str">
        <f t="shared" si="422"/>
        <v>9360019900</v>
      </c>
      <c r="E2747" s="3" t="s">
        <v>6</v>
      </c>
      <c r="F2747" s="3" t="s">
        <v>66</v>
      </c>
      <c r="H2747" s="3">
        <v>90.740000000000009</v>
      </c>
      <c r="I2747" s="10">
        <f t="shared" si="423"/>
        <v>25.917060058693515</v>
      </c>
      <c r="J2747" s="3">
        <v>105.03506160942342</v>
      </c>
      <c r="K2747" s="3">
        <v>96</v>
      </c>
      <c r="L2747" s="3">
        <f t="shared" si="424"/>
        <v>0</v>
      </c>
      <c r="N2747" s="11">
        <f t="shared" si="425"/>
        <v>-14.295061609423414</v>
      </c>
      <c r="O2747" s="3">
        <v>105.03506160942342</v>
      </c>
      <c r="P2747" s="11">
        <f t="shared" si="426"/>
        <v>-4.0829399413064857</v>
      </c>
      <c r="Q2747" s="12">
        <f t="shared" si="427"/>
        <v>-4.0829399413064857</v>
      </c>
      <c r="R2747" s="13">
        <f t="shared" si="428"/>
        <v>8.1280544165909951</v>
      </c>
      <c r="S2747" s="3" t="s">
        <v>29</v>
      </c>
      <c r="T2747" s="3" t="s">
        <v>33</v>
      </c>
      <c r="U2747" s="10">
        <v>9360019900999</v>
      </c>
      <c r="V2747" s="3">
        <v>0.1</v>
      </c>
      <c r="W2747" s="3">
        <f t="shared" si="429"/>
        <v>9.6000000000000014</v>
      </c>
      <c r="AA2747" s="3">
        <v>48</v>
      </c>
    </row>
    <row r="2748" spans="1:27" x14ac:dyDescent="0.3">
      <c r="A2748" s="3" t="str">
        <f t="shared" si="420"/>
        <v>East9320019900820</v>
      </c>
      <c r="B2748" s="3" t="str">
        <f t="shared" si="421"/>
        <v>KGP9320019900820</v>
      </c>
      <c r="C2748" s="10">
        <v>9320019900820</v>
      </c>
      <c r="D2748" s="10" t="str">
        <f t="shared" si="422"/>
        <v>9320019900</v>
      </c>
      <c r="E2748" s="3" t="s">
        <v>6</v>
      </c>
      <c r="F2748" s="3" t="s">
        <v>66</v>
      </c>
      <c r="H2748" s="3">
        <v>130.82</v>
      </c>
      <c r="I2748" s="10">
        <f t="shared" si="423"/>
        <v>42.098288443954914</v>
      </c>
      <c r="J2748" s="3">
        <v>93.224692619624804</v>
      </c>
      <c r="K2748" s="3">
        <v>36</v>
      </c>
      <c r="L2748" s="3">
        <f t="shared" si="424"/>
        <v>0</v>
      </c>
      <c r="N2748" s="11">
        <f t="shared" si="425"/>
        <v>37.595307380375189</v>
      </c>
      <c r="O2748" s="3">
        <v>93.224692619624804</v>
      </c>
      <c r="P2748" s="11">
        <f t="shared" si="426"/>
        <v>12.098288443954912</v>
      </c>
      <c r="Q2748" s="12">
        <f t="shared" si="427"/>
        <v>12.098288443954914</v>
      </c>
      <c r="R2748" s="13">
        <f t="shared" si="428"/>
        <v>-2.0110700955308665</v>
      </c>
      <c r="S2748" s="3" t="s">
        <v>29</v>
      </c>
      <c r="T2748" s="3" t="s">
        <v>28</v>
      </c>
      <c r="U2748" s="10">
        <v>0</v>
      </c>
      <c r="V2748" s="3">
        <v>0</v>
      </c>
      <c r="W2748" s="3">
        <f t="shared" si="429"/>
        <v>0</v>
      </c>
      <c r="AA2748" s="3">
        <v>48</v>
      </c>
    </row>
    <row r="2749" spans="1:27" x14ac:dyDescent="0.3">
      <c r="A2749" s="3" t="str">
        <f t="shared" si="420"/>
        <v>East9437009900820</v>
      </c>
      <c r="B2749" s="3" t="str">
        <f t="shared" si="421"/>
        <v>KGP9437009900820</v>
      </c>
      <c r="C2749" s="10">
        <v>9437009900820</v>
      </c>
      <c r="D2749" s="10" t="str">
        <f t="shared" si="422"/>
        <v>9437009900</v>
      </c>
      <c r="E2749" s="3" t="s">
        <v>6</v>
      </c>
      <c r="F2749" s="3" t="s">
        <v>66</v>
      </c>
      <c r="H2749" s="3">
        <v>107.52000000000001</v>
      </c>
      <c r="I2749" s="10">
        <f t="shared" si="423"/>
        <v>38.690790842133389</v>
      </c>
      <c r="J2749" s="3">
        <v>83.368675847467955</v>
      </c>
      <c r="K2749" s="3">
        <v>48</v>
      </c>
      <c r="L2749" s="3">
        <f t="shared" si="424"/>
        <v>0</v>
      </c>
      <c r="N2749" s="11">
        <f t="shared" si="425"/>
        <v>24.151324152532055</v>
      </c>
      <c r="O2749" s="3">
        <v>83.368675847467955</v>
      </c>
      <c r="P2749" s="11">
        <f t="shared" si="426"/>
        <v>8.6907908421333904</v>
      </c>
      <c r="Q2749" s="12">
        <f t="shared" si="427"/>
        <v>8.6907908421333904</v>
      </c>
      <c r="R2749" s="13">
        <f t="shared" si="428"/>
        <v>5.1370180655364761</v>
      </c>
      <c r="S2749" s="3" t="s">
        <v>29</v>
      </c>
      <c r="T2749" s="3" t="s">
        <v>35</v>
      </c>
      <c r="U2749" s="10">
        <v>0</v>
      </c>
      <c r="V2749" s="3">
        <v>0</v>
      </c>
      <c r="W2749" s="3">
        <f t="shared" si="429"/>
        <v>0</v>
      </c>
      <c r="AA2749" s="3">
        <v>48</v>
      </c>
    </row>
    <row r="2750" spans="1:27" x14ac:dyDescent="0.3">
      <c r="A2750" s="3" t="str">
        <f t="shared" si="420"/>
        <v>East9432009901320</v>
      </c>
      <c r="B2750" s="3" t="str">
        <f t="shared" si="421"/>
        <v>KGP9432009901320</v>
      </c>
      <c r="C2750" s="10">
        <v>9432009901320</v>
      </c>
      <c r="D2750" s="10" t="str">
        <f t="shared" si="422"/>
        <v>9432009901</v>
      </c>
      <c r="E2750" s="3" t="s">
        <v>6</v>
      </c>
      <c r="F2750" s="3" t="s">
        <v>66</v>
      </c>
      <c r="H2750" s="3">
        <v>54.085999999999991</v>
      </c>
      <c r="I2750" s="10">
        <f t="shared" si="423"/>
        <v>20.630728858502945</v>
      </c>
      <c r="J2750" s="3">
        <v>78.648699768610172</v>
      </c>
      <c r="K2750" s="3">
        <v>96</v>
      </c>
      <c r="L2750" s="3">
        <f t="shared" si="424"/>
        <v>0</v>
      </c>
      <c r="N2750" s="11">
        <f t="shared" si="425"/>
        <v>-24.56269976861018</v>
      </c>
      <c r="O2750" s="3">
        <v>78.648699768610172</v>
      </c>
      <c r="P2750" s="11">
        <f t="shared" si="426"/>
        <v>-9.3692711414970553</v>
      </c>
      <c r="Q2750" s="12">
        <f t="shared" si="427"/>
        <v>-9.3692711414970553</v>
      </c>
      <c r="R2750" s="13">
        <f t="shared" si="428"/>
        <v>-3.1849715455509404</v>
      </c>
      <c r="S2750" s="3" t="s">
        <v>29</v>
      </c>
      <c r="T2750" s="3" t="s">
        <v>35</v>
      </c>
      <c r="U2750" s="10">
        <v>9432009900999</v>
      </c>
      <c r="V2750" s="3">
        <v>0.1</v>
      </c>
      <c r="W2750" s="3">
        <f t="shared" si="429"/>
        <v>9.6000000000000014</v>
      </c>
      <c r="AA2750" s="3">
        <v>48</v>
      </c>
    </row>
    <row r="2751" spans="1:27" x14ac:dyDescent="0.3">
      <c r="A2751" s="3" t="str">
        <f t="shared" si="420"/>
        <v>East9437019900310</v>
      </c>
      <c r="B2751" s="3" t="str">
        <f t="shared" si="421"/>
        <v>KGP9437019900310</v>
      </c>
      <c r="C2751" s="10">
        <v>9437019900310</v>
      </c>
      <c r="D2751" s="10" t="str">
        <f t="shared" si="422"/>
        <v>9437019900</v>
      </c>
      <c r="E2751" s="3" t="s">
        <v>6</v>
      </c>
      <c r="F2751" s="3" t="s">
        <v>66</v>
      </c>
      <c r="H2751" s="3">
        <v>44.3</v>
      </c>
      <c r="I2751" s="10">
        <f t="shared" si="423"/>
        <v>18.141281685626328</v>
      </c>
      <c r="J2751" s="3">
        <v>73.258329980785817</v>
      </c>
      <c r="K2751" s="3">
        <v>84</v>
      </c>
      <c r="L2751" s="3">
        <f t="shared" si="424"/>
        <v>0</v>
      </c>
      <c r="N2751" s="11">
        <f t="shared" si="425"/>
        <v>-28.95832998078582</v>
      </c>
      <c r="O2751" s="3">
        <v>73.258329980785817</v>
      </c>
      <c r="P2751" s="11">
        <f t="shared" si="426"/>
        <v>-11.858718314373672</v>
      </c>
      <c r="Q2751" s="12">
        <f t="shared" si="427"/>
        <v>-11.858718314373672</v>
      </c>
      <c r="R2751" s="13">
        <f t="shared" si="428"/>
        <v>-5.621670159363906</v>
      </c>
      <c r="S2751" s="3" t="s">
        <v>29</v>
      </c>
      <c r="T2751" s="3" t="s">
        <v>35</v>
      </c>
      <c r="U2751" s="10">
        <v>0</v>
      </c>
      <c r="V2751" s="3">
        <v>0</v>
      </c>
      <c r="W2751" s="3">
        <f t="shared" si="429"/>
        <v>0</v>
      </c>
      <c r="AA2751" s="3">
        <v>48</v>
      </c>
    </row>
    <row r="2752" spans="1:27" x14ac:dyDescent="0.3">
      <c r="A2752" s="3" t="str">
        <f t="shared" si="420"/>
        <v>East9420069900820</v>
      </c>
      <c r="B2752" s="3" t="str">
        <f t="shared" si="421"/>
        <v>KGP9420069900820</v>
      </c>
      <c r="C2752" s="10">
        <v>9420069900820</v>
      </c>
      <c r="D2752" s="10" t="str">
        <f t="shared" si="422"/>
        <v>9420069900</v>
      </c>
      <c r="E2752" s="3" t="s">
        <v>6</v>
      </c>
      <c r="F2752" s="3" t="s">
        <v>66</v>
      </c>
      <c r="H2752" s="3">
        <v>67.11999999999999</v>
      </c>
      <c r="I2752" s="10">
        <f t="shared" si="423"/>
        <v>30.573457557554555</v>
      </c>
      <c r="J2752" s="3">
        <v>65.861049448182186</v>
      </c>
      <c r="K2752" s="3">
        <v>72</v>
      </c>
      <c r="L2752" s="3">
        <f t="shared" si="424"/>
        <v>0</v>
      </c>
      <c r="N2752" s="11">
        <f t="shared" si="425"/>
        <v>1.2589505518178044</v>
      </c>
      <c r="O2752" s="3">
        <v>65.861049448182186</v>
      </c>
      <c r="P2752" s="11">
        <f t="shared" si="426"/>
        <v>0.57345755755455197</v>
      </c>
      <c r="Q2752" s="12">
        <f t="shared" si="427"/>
        <v>0.57345755755455197</v>
      </c>
      <c r="R2752" s="13">
        <f t="shared" si="428"/>
        <v>-4.2232707352649248</v>
      </c>
      <c r="S2752" s="3" t="s">
        <v>29</v>
      </c>
      <c r="T2752" s="3" t="s">
        <v>28</v>
      </c>
      <c r="U2752" s="10">
        <v>0</v>
      </c>
      <c r="V2752" s="3">
        <v>0</v>
      </c>
      <c r="W2752" s="3">
        <f t="shared" si="429"/>
        <v>0</v>
      </c>
      <c r="AA2752" s="3">
        <v>48</v>
      </c>
    </row>
    <row r="2753" spans="1:27" x14ac:dyDescent="0.3">
      <c r="A2753" s="3" t="str">
        <f t="shared" si="420"/>
        <v>East9320029901320</v>
      </c>
      <c r="B2753" s="3" t="str">
        <f t="shared" si="421"/>
        <v>KGP9320029901320</v>
      </c>
      <c r="C2753" s="10">
        <v>9320029901320</v>
      </c>
      <c r="D2753" s="10" t="str">
        <f t="shared" si="422"/>
        <v>9320029901</v>
      </c>
      <c r="E2753" s="3" t="s">
        <v>6</v>
      </c>
      <c r="F2753" s="3" t="s">
        <v>66</v>
      </c>
      <c r="H2753" s="3">
        <v>107.56599999999997</v>
      </c>
      <c r="I2753" s="10">
        <f t="shared" si="423"/>
        <v>53.601560404840015</v>
      </c>
      <c r="J2753" s="3">
        <v>60.203098111834358</v>
      </c>
      <c r="K2753" s="3">
        <v>0</v>
      </c>
      <c r="L2753" s="3">
        <f t="shared" si="424"/>
        <v>0</v>
      </c>
      <c r="N2753" s="11">
        <f t="shared" si="425"/>
        <v>47.362901888165617</v>
      </c>
      <c r="O2753" s="3">
        <v>60.203098111834358</v>
      </c>
      <c r="P2753" s="11">
        <f t="shared" si="426"/>
        <v>23.601560404840015</v>
      </c>
      <c r="Q2753" s="12">
        <f t="shared" si="427"/>
        <v>23.601560404840015</v>
      </c>
      <c r="R2753" s="13">
        <f t="shared" si="428"/>
        <v>9.4573161093933802</v>
      </c>
      <c r="S2753" s="3" t="s">
        <v>29</v>
      </c>
      <c r="T2753" s="3" t="s">
        <v>28</v>
      </c>
      <c r="U2753" s="10">
        <v>9320029900999</v>
      </c>
      <c r="V2753" s="3">
        <v>0.1</v>
      </c>
      <c r="W2753" s="3">
        <f t="shared" si="429"/>
        <v>0</v>
      </c>
      <c r="AA2753" s="3">
        <v>48</v>
      </c>
    </row>
    <row r="2754" spans="1:27" x14ac:dyDescent="0.3">
      <c r="A2754" s="3" t="str">
        <f t="shared" si="420"/>
        <v>East9330019900810</v>
      </c>
      <c r="B2754" s="3" t="str">
        <f t="shared" si="421"/>
        <v>KGP9330019900810</v>
      </c>
      <c r="C2754" s="10">
        <v>9330019900810</v>
      </c>
      <c r="D2754" s="10" t="str">
        <f t="shared" si="422"/>
        <v>9330019900</v>
      </c>
      <c r="E2754" s="3" t="s">
        <v>6</v>
      </c>
      <c r="F2754" s="3" t="s">
        <v>66</v>
      </c>
      <c r="H2754" s="3">
        <v>31.499999999999996</v>
      </c>
      <c r="I2754" s="10">
        <f t="shared" si="423"/>
        <v>15.976488714068626</v>
      </c>
      <c r="J2754" s="3">
        <v>59.149417429115623</v>
      </c>
      <c r="K2754" s="3">
        <v>72</v>
      </c>
      <c r="L2754" s="3">
        <f t="shared" si="424"/>
        <v>0</v>
      </c>
      <c r="N2754" s="11">
        <f t="shared" si="425"/>
        <v>-27.649417429115626</v>
      </c>
      <c r="O2754" s="3">
        <v>59.149417429115623</v>
      </c>
      <c r="P2754" s="11">
        <f t="shared" si="426"/>
        <v>-14.023511285931374</v>
      </c>
      <c r="Q2754" s="12">
        <f t="shared" si="427"/>
        <v>-14.023511285931374</v>
      </c>
      <c r="R2754" s="13">
        <f t="shared" si="428"/>
        <v>-9.2433968520070948</v>
      </c>
      <c r="S2754" s="3" t="s">
        <v>29</v>
      </c>
      <c r="T2754" s="3" t="s">
        <v>35</v>
      </c>
      <c r="U2754" s="10">
        <v>0</v>
      </c>
      <c r="V2754" s="3">
        <v>0</v>
      </c>
      <c r="W2754" s="3">
        <f t="shared" si="429"/>
        <v>0</v>
      </c>
      <c r="AA2754" s="3">
        <v>48</v>
      </c>
    </row>
    <row r="2755" spans="1:27" x14ac:dyDescent="0.3">
      <c r="A2755" s="3" t="str">
        <f t="shared" si="420"/>
        <v>East9431009913810</v>
      </c>
      <c r="B2755" s="3" t="str">
        <f t="shared" si="421"/>
        <v>KGP9431009913810</v>
      </c>
      <c r="C2755" s="10">
        <v>9431009913810</v>
      </c>
      <c r="D2755" s="10" t="str">
        <f t="shared" si="422"/>
        <v>9431009913</v>
      </c>
      <c r="E2755" s="3" t="s">
        <v>6</v>
      </c>
      <c r="F2755" s="3" t="s">
        <v>66</v>
      </c>
      <c r="H2755" s="3">
        <v>53.460000000000008</v>
      </c>
      <c r="I2755" s="10">
        <f t="shared" si="423"/>
        <v>27.497031681964383</v>
      </c>
      <c r="J2755" s="3">
        <v>58.326295672559844</v>
      </c>
      <c r="K2755" s="3">
        <v>48</v>
      </c>
      <c r="L2755" s="3">
        <f t="shared" si="424"/>
        <v>0</v>
      </c>
      <c r="N2755" s="11">
        <f t="shared" si="425"/>
        <v>-4.8662956725598363</v>
      </c>
      <c r="O2755" s="3">
        <v>58.326295672559844</v>
      </c>
      <c r="P2755" s="11">
        <f t="shared" si="426"/>
        <v>-2.5029683180356153</v>
      </c>
      <c r="Q2755" s="12">
        <f t="shared" si="427"/>
        <v>-2.5029683180356153</v>
      </c>
      <c r="R2755" s="13">
        <f t="shared" si="428"/>
        <v>-1.8048507430937932</v>
      </c>
      <c r="S2755" s="3" t="s">
        <v>29</v>
      </c>
      <c r="T2755" s="3" t="s">
        <v>35</v>
      </c>
      <c r="U2755" s="10">
        <v>0</v>
      </c>
      <c r="V2755" s="3">
        <v>0</v>
      </c>
      <c r="W2755" s="3">
        <f t="shared" si="429"/>
        <v>0</v>
      </c>
      <c r="AA2755" s="3">
        <v>48</v>
      </c>
    </row>
    <row r="2756" spans="1:27" x14ac:dyDescent="0.3">
      <c r="A2756" s="3" t="str">
        <f t="shared" ref="A2756:A2819" si="430">_xlfn.CONCAT(F2756,C2756)</f>
        <v>East9360129900320</v>
      </c>
      <c r="B2756" s="3" t="str">
        <f t="shared" ref="B2756:B2819" si="431">_xlfn.CONCAT(E2756,C2756)</f>
        <v>KGP9360129900320</v>
      </c>
      <c r="C2756" s="10">
        <v>9360129900320</v>
      </c>
      <c r="D2756" s="10" t="str">
        <f t="shared" ref="D2756:D2819" si="432">LEFT(C2756,10)</f>
        <v>9360129900</v>
      </c>
      <c r="E2756" s="3" t="s">
        <v>6</v>
      </c>
      <c r="F2756" s="3" t="s">
        <v>66</v>
      </c>
      <c r="H2756" s="3">
        <v>44.079999999999991</v>
      </c>
      <c r="I2756" s="10">
        <f t="shared" ref="I2756:I2819" si="433">IFERROR(H2756/J2756*30,0)</f>
        <v>23.6937935200514</v>
      </c>
      <c r="J2756" s="3">
        <v>55.812084243955674</v>
      </c>
      <c r="K2756" s="3">
        <v>48</v>
      </c>
      <c r="L2756" s="3">
        <f t="shared" ref="L2756:L2819" si="434">M2756*G2756</f>
        <v>0</v>
      </c>
      <c r="N2756" s="11">
        <f t="shared" ref="N2756:N2819" si="435">H2756-J2756+L2756</f>
        <v>-11.732084243955683</v>
      </c>
      <c r="O2756" s="3">
        <v>55.812084243955674</v>
      </c>
      <c r="P2756" s="11">
        <f t="shared" ref="P2756:P2819" si="436">IF(O2756=0,9999,N2756/O2756*30)</f>
        <v>-6.3062064799486004</v>
      </c>
      <c r="Q2756" s="12">
        <f t="shared" ref="Q2756:Q2819" si="437">IF(SUMIF($A:$A,$A2756,$O:$O)=0,9999,SUMIF($A:$A,$A2756,$N:$N)*30/SUMIF($A:$A,$A2756,$O:$O))</f>
        <v>-6.3062064799486013</v>
      </c>
      <c r="R2756" s="13">
        <f t="shared" ref="R2756:R2819" si="438">IF(SUMIF($C:$C,$C2756,$O:$O)=0,9999,SUMIF($C:$C,$C2756,$N:$N)*30/SUMIF($C:$C,$C2756,$O:$O))</f>
        <v>0.89768962232814453</v>
      </c>
      <c r="S2756" s="3" t="s">
        <v>29</v>
      </c>
      <c r="T2756" s="3" t="s">
        <v>33</v>
      </c>
      <c r="U2756" s="10">
        <v>9360129900999</v>
      </c>
      <c r="V2756" s="3">
        <v>0.1</v>
      </c>
      <c r="W2756" s="3">
        <f t="shared" ref="W2756:W2819" si="439">IFERROR(K2756*V2756,0)</f>
        <v>4.8000000000000007</v>
      </c>
      <c r="AA2756" s="3">
        <v>48</v>
      </c>
    </row>
    <row r="2757" spans="1:27" x14ac:dyDescent="0.3">
      <c r="A2757" s="3" t="str">
        <f t="shared" si="430"/>
        <v>East9320039900320</v>
      </c>
      <c r="B2757" s="3" t="str">
        <f t="shared" si="431"/>
        <v>KGP9320039900320</v>
      </c>
      <c r="C2757" s="10">
        <v>9320039900320</v>
      </c>
      <c r="D2757" s="10" t="str">
        <f t="shared" si="432"/>
        <v>9320039900</v>
      </c>
      <c r="E2757" s="3" t="s">
        <v>6</v>
      </c>
      <c r="F2757" s="3" t="s">
        <v>66</v>
      </c>
      <c r="H2757" s="3">
        <v>33.448</v>
      </c>
      <c r="I2757" s="10">
        <f t="shared" si="433"/>
        <v>23.43016505590959</v>
      </c>
      <c r="J2757" s="3">
        <v>42.826842986618693</v>
      </c>
      <c r="K2757" s="3">
        <v>60</v>
      </c>
      <c r="L2757" s="3">
        <f t="shared" si="434"/>
        <v>0</v>
      </c>
      <c r="N2757" s="11">
        <f t="shared" si="435"/>
        <v>-9.3788429866186931</v>
      </c>
      <c r="O2757" s="3">
        <v>42.826842986618693</v>
      </c>
      <c r="P2757" s="11">
        <f t="shared" si="436"/>
        <v>-6.5698349440904096</v>
      </c>
      <c r="Q2757" s="12">
        <f t="shared" si="437"/>
        <v>-6.5698349440904105</v>
      </c>
      <c r="R2757" s="13">
        <f t="shared" si="438"/>
        <v>-10.513995057186442</v>
      </c>
      <c r="S2757" s="3" t="s">
        <v>29</v>
      </c>
      <c r="T2757" s="3" t="s">
        <v>28</v>
      </c>
      <c r="U2757" s="10">
        <v>9320039900999</v>
      </c>
      <c r="V2757" s="3">
        <v>0.1</v>
      </c>
      <c r="W2757" s="3">
        <f t="shared" si="439"/>
        <v>6</v>
      </c>
      <c r="AA2757" s="3">
        <v>48</v>
      </c>
    </row>
    <row r="2758" spans="1:27" x14ac:dyDescent="0.3">
      <c r="A2758" s="3" t="str">
        <f t="shared" si="430"/>
        <v>East9432009901310</v>
      </c>
      <c r="B2758" s="3" t="str">
        <f t="shared" si="431"/>
        <v>KGP9432009901310</v>
      </c>
      <c r="C2758" s="10">
        <v>9432009901310</v>
      </c>
      <c r="D2758" s="10" t="str">
        <f t="shared" si="432"/>
        <v>9432009901</v>
      </c>
      <c r="E2758" s="3" t="s">
        <v>6</v>
      </c>
      <c r="F2758" s="3" t="s">
        <v>66</v>
      </c>
      <c r="H2758" s="3">
        <v>30.969999999999995</v>
      </c>
      <c r="I2758" s="10">
        <f t="shared" si="433"/>
        <v>22.791712013424153</v>
      </c>
      <c r="J2758" s="3">
        <v>40.764818345053094</v>
      </c>
      <c r="K2758" s="3">
        <v>48</v>
      </c>
      <c r="L2758" s="3">
        <f t="shared" si="434"/>
        <v>0</v>
      </c>
      <c r="N2758" s="11">
        <f t="shared" si="435"/>
        <v>-9.7948183450530983</v>
      </c>
      <c r="O2758" s="3">
        <v>40.764818345053094</v>
      </c>
      <c r="P2758" s="11">
        <f t="shared" si="436"/>
        <v>-7.208287986575848</v>
      </c>
      <c r="Q2758" s="12">
        <f t="shared" si="437"/>
        <v>-7.208287986575848</v>
      </c>
      <c r="R2758" s="13">
        <f t="shared" si="438"/>
        <v>-1.3984884331744118</v>
      </c>
      <c r="S2758" s="3" t="s">
        <v>29</v>
      </c>
      <c r="T2758" s="3" t="s">
        <v>35</v>
      </c>
      <c r="U2758" s="10">
        <v>9432009900999</v>
      </c>
      <c r="V2758" s="3">
        <v>0.1</v>
      </c>
      <c r="W2758" s="3">
        <f t="shared" si="439"/>
        <v>4.8000000000000007</v>
      </c>
      <c r="AA2758" s="3">
        <v>48</v>
      </c>
    </row>
    <row r="2759" spans="1:27" x14ac:dyDescent="0.3">
      <c r="A2759" s="3" t="str">
        <f t="shared" si="430"/>
        <v>East9432019901320</v>
      </c>
      <c r="B2759" s="3" t="str">
        <f t="shared" si="431"/>
        <v>KGP9432019901320</v>
      </c>
      <c r="C2759" s="10">
        <v>9432019901320</v>
      </c>
      <c r="D2759" s="10" t="str">
        <f t="shared" si="432"/>
        <v>9432019901</v>
      </c>
      <c r="E2759" s="3" t="s">
        <v>6</v>
      </c>
      <c r="F2759" s="3" t="s">
        <v>66</v>
      </c>
      <c r="H2759" s="3">
        <v>38.74</v>
      </c>
      <c r="I2759" s="10">
        <f t="shared" si="433"/>
        <v>31.443397434969068</v>
      </c>
      <c r="J2759" s="3">
        <v>36.961654744963575</v>
      </c>
      <c r="K2759" s="3">
        <v>24</v>
      </c>
      <c r="L2759" s="3">
        <f t="shared" si="434"/>
        <v>0</v>
      </c>
      <c r="N2759" s="11">
        <f t="shared" si="435"/>
        <v>1.7783452550364274</v>
      </c>
      <c r="O2759" s="3">
        <v>36.961654744963575</v>
      </c>
      <c r="P2759" s="11">
        <f t="shared" si="436"/>
        <v>1.443397434969071</v>
      </c>
      <c r="Q2759" s="12">
        <f t="shared" si="437"/>
        <v>1.4433974349690712</v>
      </c>
      <c r="R2759" s="13">
        <f t="shared" si="438"/>
        <v>3.7792537227451724</v>
      </c>
      <c r="S2759" s="3" t="s">
        <v>29</v>
      </c>
      <c r="T2759" s="3" t="s">
        <v>35</v>
      </c>
      <c r="U2759" s="10">
        <v>9432019900999</v>
      </c>
      <c r="V2759" s="3">
        <v>0.1</v>
      </c>
      <c r="W2759" s="3">
        <f t="shared" si="439"/>
        <v>2.4000000000000004</v>
      </c>
      <c r="AA2759" s="3">
        <v>48</v>
      </c>
    </row>
    <row r="2760" spans="1:27" x14ac:dyDescent="0.3">
      <c r="A2760" s="3" t="str">
        <f t="shared" si="430"/>
        <v>East9360119922320</v>
      </c>
      <c r="B2760" s="3" t="str">
        <f t="shared" si="431"/>
        <v>KGP9360119922320</v>
      </c>
      <c r="C2760" s="10">
        <v>9360119922320</v>
      </c>
      <c r="D2760" s="10" t="str">
        <f t="shared" si="432"/>
        <v>9360119922</v>
      </c>
      <c r="E2760" s="3" t="s">
        <v>6</v>
      </c>
      <c r="F2760" s="3" t="s">
        <v>66</v>
      </c>
      <c r="H2760" s="3">
        <v>21.020000000000003</v>
      </c>
      <c r="I2760" s="10">
        <f t="shared" si="433"/>
        <v>17.826137166830776</v>
      </c>
      <c r="J2760" s="3">
        <v>35.375022311247676</v>
      </c>
      <c r="K2760" s="3">
        <v>48</v>
      </c>
      <c r="L2760" s="3">
        <f t="shared" si="434"/>
        <v>0</v>
      </c>
      <c r="N2760" s="11">
        <f t="shared" si="435"/>
        <v>-14.355022311247673</v>
      </c>
      <c r="O2760" s="3">
        <v>35.375022311247676</v>
      </c>
      <c r="P2760" s="11">
        <f t="shared" si="436"/>
        <v>-12.173862833169224</v>
      </c>
      <c r="Q2760" s="12">
        <f t="shared" si="437"/>
        <v>-12.173862833169226</v>
      </c>
      <c r="R2760" s="13">
        <f t="shared" si="438"/>
        <v>5.798507580120047</v>
      </c>
      <c r="S2760" s="3" t="s">
        <v>29</v>
      </c>
      <c r="T2760" s="3" t="s">
        <v>33</v>
      </c>
      <c r="U2760" s="10">
        <v>9360119922999</v>
      </c>
      <c r="V2760" s="3">
        <v>0.1</v>
      </c>
      <c r="W2760" s="3">
        <f t="shared" si="439"/>
        <v>4.8000000000000007</v>
      </c>
      <c r="AA2760" s="3">
        <v>48</v>
      </c>
    </row>
    <row r="2761" spans="1:27" x14ac:dyDescent="0.3">
      <c r="A2761" s="3" t="str">
        <f t="shared" si="430"/>
        <v>East9437019900240</v>
      </c>
      <c r="B2761" s="3" t="str">
        <f t="shared" si="431"/>
        <v>KGP9437019900240</v>
      </c>
      <c r="C2761" s="10">
        <v>9437019900240</v>
      </c>
      <c r="D2761" s="10" t="str">
        <f t="shared" si="432"/>
        <v>9437019900</v>
      </c>
      <c r="E2761" s="3" t="s">
        <v>6</v>
      </c>
      <c r="F2761" s="3" t="s">
        <v>66</v>
      </c>
      <c r="H2761" s="3">
        <v>27.977999999999994</v>
      </c>
      <c r="I2761" s="10">
        <f t="shared" si="433"/>
        <v>31.48776886216946</v>
      </c>
      <c r="J2761" s="3">
        <v>26.656064571421989</v>
      </c>
      <c r="K2761" s="3">
        <v>24</v>
      </c>
      <c r="L2761" s="3">
        <f t="shared" si="434"/>
        <v>0</v>
      </c>
      <c r="N2761" s="11">
        <f t="shared" si="435"/>
        <v>1.3219354285780049</v>
      </c>
      <c r="O2761" s="3">
        <v>26.656064571421989</v>
      </c>
      <c r="P2761" s="11">
        <f t="shared" si="436"/>
        <v>1.48776886216946</v>
      </c>
      <c r="Q2761" s="12">
        <f t="shared" si="437"/>
        <v>1.48776886216946</v>
      </c>
      <c r="R2761" s="13">
        <f t="shared" si="438"/>
        <v>10.080966563011508</v>
      </c>
      <c r="S2761" s="3" t="s">
        <v>29</v>
      </c>
      <c r="T2761" s="3" t="s">
        <v>35</v>
      </c>
      <c r="U2761" s="10">
        <v>0</v>
      </c>
      <c r="V2761" s="3">
        <v>0</v>
      </c>
      <c r="W2761" s="3">
        <f t="shared" si="439"/>
        <v>0</v>
      </c>
      <c r="AA2761" s="3">
        <v>48</v>
      </c>
    </row>
    <row r="2762" spans="1:27" x14ac:dyDescent="0.3">
      <c r="A2762" s="3" t="str">
        <f t="shared" si="430"/>
        <v>East9437009900810</v>
      </c>
      <c r="B2762" s="3" t="str">
        <f t="shared" si="431"/>
        <v>KGP9437009900810</v>
      </c>
      <c r="C2762" s="10">
        <v>9437009900810</v>
      </c>
      <c r="D2762" s="10" t="str">
        <f t="shared" si="432"/>
        <v>9437009900</v>
      </c>
      <c r="E2762" s="3" t="s">
        <v>6</v>
      </c>
      <c r="F2762" s="3" t="s">
        <v>66</v>
      </c>
      <c r="H2762" s="3">
        <v>39.349999999999994</v>
      </c>
      <c r="I2762" s="10">
        <f t="shared" si="433"/>
        <v>45.190913717854784</v>
      </c>
      <c r="J2762" s="3">
        <v>26.12250788665926</v>
      </c>
      <c r="K2762" s="3">
        <v>24</v>
      </c>
      <c r="L2762" s="3">
        <f t="shared" si="434"/>
        <v>0</v>
      </c>
      <c r="N2762" s="11">
        <f t="shared" si="435"/>
        <v>13.227492113340734</v>
      </c>
      <c r="O2762" s="3">
        <v>26.12250788665926</v>
      </c>
      <c r="P2762" s="11">
        <f t="shared" si="436"/>
        <v>15.190913717854787</v>
      </c>
      <c r="Q2762" s="12">
        <f t="shared" si="437"/>
        <v>15.190913717854787</v>
      </c>
      <c r="R2762" s="13">
        <f t="shared" si="438"/>
        <v>12.39250820735101</v>
      </c>
      <c r="S2762" s="3" t="s">
        <v>29</v>
      </c>
      <c r="T2762" s="3" t="s">
        <v>35</v>
      </c>
      <c r="U2762" s="10">
        <v>0</v>
      </c>
      <c r="V2762" s="3">
        <v>0</v>
      </c>
      <c r="W2762" s="3">
        <f t="shared" si="439"/>
        <v>0</v>
      </c>
      <c r="AA2762" s="3">
        <v>48</v>
      </c>
    </row>
    <row r="2763" spans="1:27" x14ac:dyDescent="0.3">
      <c r="A2763" s="3" t="str">
        <f t="shared" si="430"/>
        <v>East9320029902219</v>
      </c>
      <c r="B2763" s="3" t="str">
        <f t="shared" si="431"/>
        <v>KGP9320029902219</v>
      </c>
      <c r="C2763" s="10">
        <v>9320029902219</v>
      </c>
      <c r="D2763" s="10" t="str">
        <f t="shared" si="432"/>
        <v>9320029902</v>
      </c>
      <c r="E2763" s="3" t="s">
        <v>6</v>
      </c>
      <c r="F2763" s="3" t="s">
        <v>66</v>
      </c>
      <c r="H2763" s="3">
        <v>40.286999999999999</v>
      </c>
      <c r="I2763" s="10">
        <f t="shared" si="433"/>
        <v>46.490004653984968</v>
      </c>
      <c r="J2763" s="3">
        <v>25.997201097212667</v>
      </c>
      <c r="K2763" s="3">
        <v>0</v>
      </c>
      <c r="L2763" s="3">
        <f t="shared" si="434"/>
        <v>0</v>
      </c>
      <c r="N2763" s="11">
        <f t="shared" si="435"/>
        <v>14.289798902787332</v>
      </c>
      <c r="O2763" s="3">
        <v>25.997201097212667</v>
      </c>
      <c r="P2763" s="11">
        <f t="shared" si="436"/>
        <v>16.490004653984968</v>
      </c>
      <c r="Q2763" s="12">
        <f t="shared" si="437"/>
        <v>16.490004653984965</v>
      </c>
      <c r="R2763" s="13">
        <f t="shared" si="438"/>
        <v>24.165952135270057</v>
      </c>
      <c r="S2763" s="3" t="s">
        <v>29</v>
      </c>
      <c r="T2763" s="3" t="s">
        <v>28</v>
      </c>
      <c r="U2763" s="10">
        <v>9320029900999</v>
      </c>
      <c r="V2763" s="3">
        <v>0.1</v>
      </c>
      <c r="W2763" s="3">
        <f t="shared" si="439"/>
        <v>0</v>
      </c>
      <c r="AA2763" s="3">
        <v>48</v>
      </c>
    </row>
    <row r="2764" spans="1:27" x14ac:dyDescent="0.3">
      <c r="A2764" s="3" t="str">
        <f t="shared" si="430"/>
        <v>East9320039902219</v>
      </c>
      <c r="B2764" s="3" t="str">
        <f t="shared" si="431"/>
        <v>KGP9320039902219</v>
      </c>
      <c r="C2764" s="10">
        <v>9320039902219</v>
      </c>
      <c r="D2764" s="10" t="str">
        <f t="shared" si="432"/>
        <v>9320039902</v>
      </c>
      <c r="E2764" s="3" t="s">
        <v>6</v>
      </c>
      <c r="F2764" s="3" t="s">
        <v>66</v>
      </c>
      <c r="H2764" s="3">
        <v>30.225000000000001</v>
      </c>
      <c r="I2764" s="10">
        <f t="shared" si="433"/>
        <v>34.990240821255547</v>
      </c>
      <c r="J2764" s="3">
        <v>25.914368655878928</v>
      </c>
      <c r="K2764" s="3">
        <v>36</v>
      </c>
      <c r="L2764" s="3">
        <f t="shared" si="434"/>
        <v>0</v>
      </c>
      <c r="N2764" s="11">
        <f t="shared" si="435"/>
        <v>4.3106313441210737</v>
      </c>
      <c r="O2764" s="3">
        <v>25.914368655878928</v>
      </c>
      <c r="P2764" s="11">
        <f t="shared" si="436"/>
        <v>4.9902408212555445</v>
      </c>
      <c r="Q2764" s="12">
        <f t="shared" si="437"/>
        <v>4.9902408212555445</v>
      </c>
      <c r="R2764" s="13">
        <f t="shared" si="438"/>
        <v>37.449963075784481</v>
      </c>
      <c r="S2764" s="3" t="s">
        <v>30</v>
      </c>
      <c r="T2764" s="3" t="s">
        <v>28</v>
      </c>
      <c r="U2764" s="10">
        <v>9320039900999</v>
      </c>
      <c r="V2764" s="3">
        <v>0.1</v>
      </c>
      <c r="W2764" s="3">
        <f t="shared" si="439"/>
        <v>3.6</v>
      </c>
      <c r="AA2764" s="3">
        <v>48</v>
      </c>
    </row>
    <row r="2765" spans="1:27" x14ac:dyDescent="0.3">
      <c r="A2765" s="3" t="str">
        <f t="shared" si="430"/>
        <v>East9360029900310</v>
      </c>
      <c r="B2765" s="3" t="str">
        <f t="shared" si="431"/>
        <v>KGP9360029900310</v>
      </c>
      <c r="C2765" s="10">
        <v>9360029900310</v>
      </c>
      <c r="D2765" s="10" t="str">
        <f t="shared" si="432"/>
        <v>9360029900</v>
      </c>
      <c r="E2765" s="3" t="s">
        <v>6</v>
      </c>
      <c r="F2765" s="3" t="s">
        <v>66</v>
      </c>
      <c r="H2765" s="3">
        <v>14.660000000000002</v>
      </c>
      <c r="I2765" s="10">
        <f t="shared" si="433"/>
        <v>17.121587180728032</v>
      </c>
      <c r="J2765" s="3">
        <v>25.686870928358594</v>
      </c>
      <c r="K2765" s="3">
        <v>24</v>
      </c>
      <c r="L2765" s="3">
        <f t="shared" si="434"/>
        <v>0</v>
      </c>
      <c r="N2765" s="11">
        <f t="shared" si="435"/>
        <v>-11.026870928358592</v>
      </c>
      <c r="O2765" s="3">
        <v>25.686870928358594</v>
      </c>
      <c r="P2765" s="11">
        <f t="shared" si="436"/>
        <v>-12.878412819271968</v>
      </c>
      <c r="Q2765" s="12">
        <f t="shared" si="437"/>
        <v>-12.878412819271968</v>
      </c>
      <c r="R2765" s="13">
        <f t="shared" si="438"/>
        <v>-3.3162661745390394</v>
      </c>
      <c r="S2765" s="3" t="s">
        <v>29</v>
      </c>
      <c r="T2765" s="3" t="s">
        <v>33</v>
      </c>
      <c r="U2765" s="10">
        <v>9360029900999</v>
      </c>
      <c r="V2765" s="3">
        <v>0.1</v>
      </c>
      <c r="W2765" s="3">
        <f t="shared" si="439"/>
        <v>2.4000000000000004</v>
      </c>
      <c r="AA2765" s="3">
        <v>48</v>
      </c>
    </row>
    <row r="2766" spans="1:27" x14ac:dyDescent="0.3">
      <c r="A2766" s="3" t="str">
        <f t="shared" si="430"/>
        <v>East9431009913840</v>
      </c>
      <c r="B2766" s="3" t="str">
        <f t="shared" si="431"/>
        <v>KGP9431009913840</v>
      </c>
      <c r="C2766" s="10">
        <v>9431009913840</v>
      </c>
      <c r="D2766" s="10" t="str">
        <f t="shared" si="432"/>
        <v>9431009913</v>
      </c>
      <c r="E2766" s="3" t="s">
        <v>6</v>
      </c>
      <c r="F2766" s="3" t="s">
        <v>66</v>
      </c>
      <c r="H2766" s="3">
        <v>18.032</v>
      </c>
      <c r="I2766" s="10">
        <f t="shared" si="433"/>
        <v>23.047515442937225</v>
      </c>
      <c r="J2766" s="3">
        <v>23.471510468855072</v>
      </c>
      <c r="K2766" s="3">
        <v>48</v>
      </c>
      <c r="L2766" s="3">
        <f t="shared" si="434"/>
        <v>0</v>
      </c>
      <c r="N2766" s="11">
        <f t="shared" si="435"/>
        <v>-5.4395104688550724</v>
      </c>
      <c r="O2766" s="3">
        <v>23.471510468855072</v>
      </c>
      <c r="P2766" s="11">
        <f t="shared" si="436"/>
        <v>-6.9524845570627765</v>
      </c>
      <c r="Q2766" s="12">
        <f t="shared" si="437"/>
        <v>-6.9524845570627756</v>
      </c>
      <c r="R2766" s="13">
        <f t="shared" si="438"/>
        <v>-5.4650966833710344</v>
      </c>
      <c r="S2766" s="3" t="s">
        <v>29</v>
      </c>
      <c r="T2766" s="3" t="s">
        <v>35</v>
      </c>
      <c r="U2766" s="10">
        <v>0</v>
      </c>
      <c r="V2766" s="3">
        <v>0</v>
      </c>
      <c r="W2766" s="3">
        <f t="shared" si="439"/>
        <v>0</v>
      </c>
      <c r="AA2766" s="3">
        <v>48</v>
      </c>
    </row>
    <row r="2767" spans="1:27" x14ac:dyDescent="0.3">
      <c r="A2767" s="3" t="str">
        <f t="shared" si="430"/>
        <v>East9360019900310</v>
      </c>
      <c r="B2767" s="3" t="str">
        <f t="shared" si="431"/>
        <v>KGP9360019900310</v>
      </c>
      <c r="C2767" s="10">
        <v>9360019900310</v>
      </c>
      <c r="D2767" s="10" t="str">
        <f t="shared" si="432"/>
        <v>9360019900</v>
      </c>
      <c r="E2767" s="3" t="s">
        <v>6</v>
      </c>
      <c r="F2767" s="3" t="s">
        <v>66</v>
      </c>
      <c r="H2767" s="3">
        <v>19.47</v>
      </c>
      <c r="I2767" s="10">
        <f t="shared" si="433"/>
        <v>25.589313244999566</v>
      </c>
      <c r="J2767" s="3">
        <v>22.825934967760009</v>
      </c>
      <c r="K2767" s="3">
        <v>24</v>
      </c>
      <c r="L2767" s="3">
        <f t="shared" si="434"/>
        <v>0</v>
      </c>
      <c r="N2767" s="11">
        <f t="shared" si="435"/>
        <v>-3.3559349677600103</v>
      </c>
      <c r="O2767" s="3">
        <v>22.825934967760009</v>
      </c>
      <c r="P2767" s="11">
        <f t="shared" si="436"/>
        <v>-4.4106867550004329</v>
      </c>
      <c r="Q2767" s="12">
        <f t="shared" si="437"/>
        <v>-4.4106867550004329</v>
      </c>
      <c r="R2767" s="13">
        <f t="shared" si="438"/>
        <v>13.739643012449649</v>
      </c>
      <c r="S2767" s="3" t="s">
        <v>31</v>
      </c>
      <c r="T2767" s="3" t="s">
        <v>33</v>
      </c>
      <c r="U2767" s="10">
        <v>9360019900999</v>
      </c>
      <c r="V2767" s="3">
        <v>0.1</v>
      </c>
      <c r="W2767" s="3">
        <f t="shared" si="439"/>
        <v>2.4000000000000004</v>
      </c>
      <c r="AA2767" s="3">
        <v>48</v>
      </c>
    </row>
    <row r="2768" spans="1:27" x14ac:dyDescent="0.3">
      <c r="A2768" s="3" t="str">
        <f t="shared" si="430"/>
        <v>East9320019900810</v>
      </c>
      <c r="B2768" s="3" t="str">
        <f t="shared" si="431"/>
        <v>KGP9320019900810</v>
      </c>
      <c r="C2768" s="10">
        <v>9320019900810</v>
      </c>
      <c r="D2768" s="10" t="str">
        <f t="shared" si="432"/>
        <v>9320019900</v>
      </c>
      <c r="E2768" s="3" t="s">
        <v>6</v>
      </c>
      <c r="F2768" s="3" t="s">
        <v>66</v>
      </c>
      <c r="H2768" s="3">
        <v>42.96</v>
      </c>
      <c r="I2768" s="10">
        <f t="shared" si="433"/>
        <v>58.255248429135477</v>
      </c>
      <c r="J2768" s="3">
        <v>22.123328536960223</v>
      </c>
      <c r="K2768" s="3">
        <v>0</v>
      </c>
      <c r="L2768" s="3">
        <f t="shared" si="434"/>
        <v>0</v>
      </c>
      <c r="N2768" s="11">
        <f t="shared" si="435"/>
        <v>20.836671463039778</v>
      </c>
      <c r="O2768" s="3">
        <v>22.123328536960223</v>
      </c>
      <c r="P2768" s="11">
        <f t="shared" si="436"/>
        <v>28.255248429135477</v>
      </c>
      <c r="Q2768" s="12">
        <f t="shared" si="437"/>
        <v>28.25524842913547</v>
      </c>
      <c r="R2768" s="13">
        <f t="shared" si="438"/>
        <v>9.9235296770641845</v>
      </c>
      <c r="S2768" s="3" t="s">
        <v>29</v>
      </c>
      <c r="T2768" s="3" t="s">
        <v>28</v>
      </c>
      <c r="U2768" s="10">
        <v>0</v>
      </c>
      <c r="V2768" s="3">
        <v>0</v>
      </c>
      <c r="W2768" s="3">
        <f t="shared" si="439"/>
        <v>0</v>
      </c>
      <c r="AA2768" s="3">
        <v>48</v>
      </c>
    </row>
    <row r="2769" spans="1:27" x14ac:dyDescent="0.3">
      <c r="A2769" s="3" t="str">
        <f t="shared" si="430"/>
        <v>East9320099901320</v>
      </c>
      <c r="B2769" s="3" t="str">
        <f t="shared" si="431"/>
        <v>KGP9320099901320</v>
      </c>
      <c r="C2769" s="10">
        <v>9320099901320</v>
      </c>
      <c r="D2769" s="10" t="str">
        <f t="shared" si="432"/>
        <v>9320099901</v>
      </c>
      <c r="E2769" s="3" t="s">
        <v>6</v>
      </c>
      <c r="F2769" s="3" t="s">
        <v>66</v>
      </c>
      <c r="H2769" s="3">
        <v>37.699999999999989</v>
      </c>
      <c r="I2769" s="10">
        <f t="shared" si="433"/>
        <v>51.181542690276686</v>
      </c>
      <c r="J2769" s="3">
        <v>22.097809885180805</v>
      </c>
      <c r="K2769" s="3">
        <v>0</v>
      </c>
      <c r="L2769" s="3">
        <f t="shared" si="434"/>
        <v>0</v>
      </c>
      <c r="N2769" s="11">
        <f t="shared" si="435"/>
        <v>15.602190114819184</v>
      </c>
      <c r="O2769" s="3">
        <v>22.097809885180805</v>
      </c>
      <c r="P2769" s="11">
        <f t="shared" si="436"/>
        <v>21.181542690276693</v>
      </c>
      <c r="Q2769" s="12">
        <f t="shared" si="437"/>
        <v>21.181542690276693</v>
      </c>
      <c r="R2769" s="13">
        <f t="shared" si="438"/>
        <v>2.6817619389753564</v>
      </c>
      <c r="S2769" s="3" t="s">
        <v>31</v>
      </c>
      <c r="T2769" s="3" t="s">
        <v>28</v>
      </c>
      <c r="U2769" s="10">
        <v>9320099900999</v>
      </c>
      <c r="V2769" s="3">
        <v>0.1</v>
      </c>
      <c r="W2769" s="3">
        <f t="shared" si="439"/>
        <v>0</v>
      </c>
      <c r="AA2769" s="3">
        <v>48</v>
      </c>
    </row>
    <row r="2770" spans="1:27" x14ac:dyDescent="0.3">
      <c r="A2770" s="3" t="str">
        <f t="shared" si="430"/>
        <v>East9330019900840</v>
      </c>
      <c r="B2770" s="3" t="str">
        <f t="shared" si="431"/>
        <v>KGP9330019900840</v>
      </c>
      <c r="C2770" s="10">
        <v>9330019900840</v>
      </c>
      <c r="D2770" s="10" t="str">
        <f t="shared" si="432"/>
        <v>9330019900</v>
      </c>
      <c r="E2770" s="3" t="s">
        <v>6</v>
      </c>
      <c r="F2770" s="3" t="s">
        <v>66</v>
      </c>
      <c r="H2770" s="3">
        <v>22.255999999999993</v>
      </c>
      <c r="I2770" s="10">
        <f t="shared" si="433"/>
        <v>30.546621110138894</v>
      </c>
      <c r="J2770" s="3">
        <v>21.857736657439553</v>
      </c>
      <c r="K2770" s="3">
        <v>12</v>
      </c>
      <c r="L2770" s="3">
        <f t="shared" si="434"/>
        <v>0</v>
      </c>
      <c r="N2770" s="11">
        <f t="shared" si="435"/>
        <v>0.39826334256044049</v>
      </c>
      <c r="O2770" s="3">
        <v>21.857736657439553</v>
      </c>
      <c r="P2770" s="11">
        <f t="shared" si="436"/>
        <v>0.54662111013889436</v>
      </c>
      <c r="Q2770" s="12">
        <f t="shared" si="437"/>
        <v>0.54662111013889436</v>
      </c>
      <c r="R2770" s="13">
        <f t="shared" si="438"/>
        <v>9.4476303331844651</v>
      </c>
      <c r="S2770" s="3" t="s">
        <v>29</v>
      </c>
      <c r="T2770" s="3" t="s">
        <v>35</v>
      </c>
      <c r="U2770" s="10">
        <v>0</v>
      </c>
      <c r="V2770" s="3">
        <v>0</v>
      </c>
      <c r="W2770" s="3">
        <f t="shared" si="439"/>
        <v>0</v>
      </c>
      <c r="AA2770" s="3">
        <v>48</v>
      </c>
    </row>
    <row r="2771" spans="1:27" x14ac:dyDescent="0.3">
      <c r="A2771" s="3" t="str">
        <f t="shared" si="430"/>
        <v>East9330209902219</v>
      </c>
      <c r="B2771" s="3" t="str">
        <f t="shared" si="431"/>
        <v>KGP9330209902219</v>
      </c>
      <c r="C2771" s="10">
        <v>9330209902219</v>
      </c>
      <c r="D2771" s="10" t="str">
        <f t="shared" si="432"/>
        <v>9330209902</v>
      </c>
      <c r="E2771" s="3" t="s">
        <v>6</v>
      </c>
      <c r="F2771" s="3" t="s">
        <v>66</v>
      </c>
      <c r="H2771" s="3">
        <v>39.136500000000005</v>
      </c>
      <c r="I2771" s="10">
        <f t="shared" si="433"/>
        <v>54.735935388017978</v>
      </c>
      <c r="J2771" s="3">
        <v>21.450167822600445</v>
      </c>
      <c r="K2771" s="3">
        <v>0</v>
      </c>
      <c r="L2771" s="3">
        <f t="shared" si="434"/>
        <v>0</v>
      </c>
      <c r="N2771" s="11">
        <f t="shared" si="435"/>
        <v>17.68633217739956</v>
      </c>
      <c r="O2771" s="3">
        <v>21.450167822600445</v>
      </c>
      <c r="P2771" s="11">
        <f t="shared" si="436"/>
        <v>24.735935388017975</v>
      </c>
      <c r="Q2771" s="12">
        <f t="shared" si="437"/>
        <v>24.735935388017975</v>
      </c>
      <c r="R2771" s="13">
        <f t="shared" si="438"/>
        <v>25.495735371468772</v>
      </c>
      <c r="S2771" s="3" t="s">
        <v>30</v>
      </c>
      <c r="T2771" s="3" t="s">
        <v>35</v>
      </c>
      <c r="U2771" s="10">
        <v>9330209900999</v>
      </c>
      <c r="V2771" s="3">
        <v>0.1</v>
      </c>
      <c r="W2771" s="3">
        <f t="shared" si="439"/>
        <v>0</v>
      </c>
      <c r="AA2771" s="3">
        <v>48</v>
      </c>
    </row>
    <row r="2772" spans="1:27" x14ac:dyDescent="0.3">
      <c r="A2772" s="3" t="str">
        <f t="shared" si="430"/>
        <v>East9432009901840</v>
      </c>
      <c r="B2772" s="3" t="str">
        <f t="shared" si="431"/>
        <v>KGP9432009901840</v>
      </c>
      <c r="C2772" s="10">
        <v>9432009901840</v>
      </c>
      <c r="D2772" s="10" t="str">
        <f t="shared" si="432"/>
        <v>9432009901</v>
      </c>
      <c r="E2772" s="3" t="s">
        <v>6</v>
      </c>
      <c r="F2772" s="3" t="s">
        <v>66</v>
      </c>
      <c r="H2772" s="3">
        <v>17.972000000000001</v>
      </c>
      <c r="I2772" s="10">
        <f t="shared" si="433"/>
        <v>25.439358122429535</v>
      </c>
      <c r="J2772" s="3">
        <v>21.193930971262599</v>
      </c>
      <c r="K2772" s="3">
        <v>24</v>
      </c>
      <c r="L2772" s="3">
        <f t="shared" si="434"/>
        <v>0</v>
      </c>
      <c r="N2772" s="11">
        <f t="shared" si="435"/>
        <v>-3.2219309712625979</v>
      </c>
      <c r="O2772" s="3">
        <v>21.193930971262599</v>
      </c>
      <c r="P2772" s="11">
        <f t="shared" si="436"/>
        <v>-4.5606418775704665</v>
      </c>
      <c r="Q2772" s="12">
        <f t="shared" si="437"/>
        <v>-4.5606418775704674</v>
      </c>
      <c r="R2772" s="13">
        <f t="shared" si="438"/>
        <v>-1.9751548200886611</v>
      </c>
      <c r="S2772" s="3" t="s">
        <v>29</v>
      </c>
      <c r="T2772" s="3" t="s">
        <v>35</v>
      </c>
      <c r="U2772" s="10">
        <v>0</v>
      </c>
      <c r="V2772" s="3">
        <v>0</v>
      </c>
      <c r="W2772" s="3">
        <f t="shared" si="439"/>
        <v>0</v>
      </c>
      <c r="AA2772" s="3">
        <v>48</v>
      </c>
    </row>
    <row r="2773" spans="1:27" x14ac:dyDescent="0.3">
      <c r="A2773" s="3" t="str">
        <f t="shared" si="430"/>
        <v>East9432019901310</v>
      </c>
      <c r="B2773" s="3" t="str">
        <f t="shared" si="431"/>
        <v>KGP9432019901310</v>
      </c>
      <c r="C2773" s="10">
        <v>9432019901310</v>
      </c>
      <c r="D2773" s="10" t="str">
        <f t="shared" si="432"/>
        <v>9432019901</v>
      </c>
      <c r="E2773" s="3" t="s">
        <v>6</v>
      </c>
      <c r="F2773" s="3" t="s">
        <v>66</v>
      </c>
      <c r="H2773" s="3">
        <v>22.520000000000003</v>
      </c>
      <c r="I2773" s="10">
        <f t="shared" si="433"/>
        <v>32.953988479301074</v>
      </c>
      <c r="J2773" s="3">
        <v>20.50131201643028</v>
      </c>
      <c r="K2773" s="3">
        <v>12</v>
      </c>
      <c r="L2773" s="3">
        <f t="shared" si="434"/>
        <v>0</v>
      </c>
      <c r="N2773" s="11">
        <f t="shared" si="435"/>
        <v>2.0186879835697233</v>
      </c>
      <c r="O2773" s="3">
        <v>20.50131201643028</v>
      </c>
      <c r="P2773" s="11">
        <f t="shared" si="436"/>
        <v>2.9539884793010733</v>
      </c>
      <c r="Q2773" s="12">
        <f t="shared" si="437"/>
        <v>2.9539884793010733</v>
      </c>
      <c r="R2773" s="13">
        <f t="shared" si="438"/>
        <v>9.7787517796553676</v>
      </c>
      <c r="S2773" s="3" t="s">
        <v>29</v>
      </c>
      <c r="T2773" s="3" t="s">
        <v>35</v>
      </c>
      <c r="U2773" s="10">
        <v>9432019900999</v>
      </c>
      <c r="V2773" s="3">
        <v>0.1</v>
      </c>
      <c r="W2773" s="3">
        <f t="shared" si="439"/>
        <v>1.2000000000000002</v>
      </c>
      <c r="AA2773" s="3">
        <v>48</v>
      </c>
    </row>
    <row r="2774" spans="1:27" x14ac:dyDescent="0.3">
      <c r="A2774" s="3" t="str">
        <f t="shared" si="430"/>
        <v>East9320029901310</v>
      </c>
      <c r="B2774" s="3" t="str">
        <f t="shared" si="431"/>
        <v>KGP9320029901310</v>
      </c>
      <c r="C2774" s="10">
        <v>9320029901310</v>
      </c>
      <c r="D2774" s="10" t="str">
        <f t="shared" si="432"/>
        <v>9320029901</v>
      </c>
      <c r="E2774" s="3" t="s">
        <v>6</v>
      </c>
      <c r="F2774" s="3" t="s">
        <v>66</v>
      </c>
      <c r="H2774" s="3">
        <v>25.480000000000004</v>
      </c>
      <c r="I2774" s="10">
        <f t="shared" si="433"/>
        <v>39.21722099948996</v>
      </c>
      <c r="J2774" s="3">
        <v>19.491437193113239</v>
      </c>
      <c r="K2774" s="3">
        <v>5.76</v>
      </c>
      <c r="L2774" s="3">
        <f t="shared" si="434"/>
        <v>0</v>
      </c>
      <c r="N2774" s="11">
        <f t="shared" si="435"/>
        <v>5.9885628068867653</v>
      </c>
      <c r="O2774" s="3">
        <v>19.491437193113239</v>
      </c>
      <c r="P2774" s="11">
        <f t="shared" si="436"/>
        <v>9.2172209994899585</v>
      </c>
      <c r="Q2774" s="12">
        <f t="shared" si="437"/>
        <v>9.2172209994899585</v>
      </c>
      <c r="R2774" s="13">
        <f t="shared" si="438"/>
        <v>10.117410198257529</v>
      </c>
      <c r="S2774" s="3" t="s">
        <v>29</v>
      </c>
      <c r="T2774" s="3" t="s">
        <v>28</v>
      </c>
      <c r="U2774" s="10">
        <v>9320029900999</v>
      </c>
      <c r="V2774" s="3">
        <v>0.1</v>
      </c>
      <c r="W2774" s="3">
        <f t="shared" si="439"/>
        <v>0.57599999999999996</v>
      </c>
      <c r="AA2774" s="3">
        <v>48</v>
      </c>
    </row>
    <row r="2775" spans="1:27" x14ac:dyDescent="0.3">
      <c r="A2775" s="3" t="str">
        <f t="shared" si="430"/>
        <v>East9420069900810</v>
      </c>
      <c r="B2775" s="3" t="str">
        <f t="shared" si="431"/>
        <v>KGP9420069900810</v>
      </c>
      <c r="C2775" s="10">
        <v>9420069900810</v>
      </c>
      <c r="D2775" s="10" t="str">
        <f t="shared" si="432"/>
        <v>9420069900</v>
      </c>
      <c r="E2775" s="3" t="s">
        <v>6</v>
      </c>
      <c r="F2775" s="3" t="s">
        <v>66</v>
      </c>
      <c r="H2775" s="3">
        <v>32.06</v>
      </c>
      <c r="I2775" s="10">
        <f t="shared" si="433"/>
        <v>50.182978066053209</v>
      </c>
      <c r="J2775" s="3">
        <v>19.165861355099999</v>
      </c>
      <c r="K2775" s="3">
        <v>0</v>
      </c>
      <c r="L2775" s="3">
        <f t="shared" si="434"/>
        <v>0</v>
      </c>
      <c r="N2775" s="11">
        <f t="shared" si="435"/>
        <v>12.894138644900003</v>
      </c>
      <c r="O2775" s="3">
        <v>19.165861355099999</v>
      </c>
      <c r="P2775" s="11">
        <f t="shared" si="436"/>
        <v>20.182978066053209</v>
      </c>
      <c r="Q2775" s="12">
        <f t="shared" si="437"/>
        <v>20.182978066053209</v>
      </c>
      <c r="R2775" s="13">
        <f t="shared" si="438"/>
        <v>28.11286676931412</v>
      </c>
      <c r="S2775" s="3" t="s">
        <v>30</v>
      </c>
      <c r="T2775" s="3" t="s">
        <v>28</v>
      </c>
      <c r="U2775" s="10">
        <v>0</v>
      </c>
      <c r="V2775" s="3">
        <v>0</v>
      </c>
      <c r="W2775" s="3">
        <f t="shared" si="439"/>
        <v>0</v>
      </c>
      <c r="AA2775" s="3">
        <v>48</v>
      </c>
    </row>
    <row r="2776" spans="1:27" x14ac:dyDescent="0.3">
      <c r="A2776" s="3" t="str">
        <f t="shared" si="430"/>
        <v>East9160509901320</v>
      </c>
      <c r="B2776" s="3" t="str">
        <f t="shared" si="431"/>
        <v>KGP9160509901320</v>
      </c>
      <c r="C2776" s="10">
        <v>9160509901320</v>
      </c>
      <c r="D2776" s="10" t="str">
        <f t="shared" si="432"/>
        <v>9160509901</v>
      </c>
      <c r="E2776" s="3" t="s">
        <v>6</v>
      </c>
      <c r="F2776" s="3" t="s">
        <v>66</v>
      </c>
      <c r="H2776" s="3">
        <v>61.019999999999996</v>
      </c>
      <c r="I2776" s="10">
        <f t="shared" si="433"/>
        <v>98.95019830390838</v>
      </c>
      <c r="J2776" s="3">
        <v>18.500215576906974</v>
      </c>
      <c r="K2776" s="3">
        <v>0</v>
      </c>
      <c r="L2776" s="3">
        <f t="shared" si="434"/>
        <v>0</v>
      </c>
      <c r="N2776" s="11">
        <f t="shared" si="435"/>
        <v>42.519784423093022</v>
      </c>
      <c r="O2776" s="3">
        <v>18.500215576906974</v>
      </c>
      <c r="P2776" s="11">
        <f t="shared" si="436"/>
        <v>68.95019830390838</v>
      </c>
      <c r="Q2776" s="12">
        <f t="shared" si="437"/>
        <v>68.95019830390838</v>
      </c>
      <c r="R2776" s="13">
        <f t="shared" si="438"/>
        <v>20.628605749315501</v>
      </c>
      <c r="S2776" s="3" t="s">
        <v>29</v>
      </c>
      <c r="T2776" s="3" t="s">
        <v>34</v>
      </c>
      <c r="U2776" s="10">
        <v>0</v>
      </c>
      <c r="V2776" s="3">
        <v>0</v>
      </c>
      <c r="W2776" s="3">
        <f t="shared" si="439"/>
        <v>0</v>
      </c>
      <c r="AA2776" s="3">
        <v>48</v>
      </c>
    </row>
    <row r="2777" spans="1:27" x14ac:dyDescent="0.3">
      <c r="A2777" s="3" t="str">
        <f t="shared" si="430"/>
        <v>East9432009902319</v>
      </c>
      <c r="B2777" s="3" t="str">
        <f t="shared" si="431"/>
        <v>KGP9432009902319</v>
      </c>
      <c r="C2777" s="10">
        <v>9432009902319</v>
      </c>
      <c r="D2777" s="10" t="str">
        <f t="shared" si="432"/>
        <v>9432009902</v>
      </c>
      <c r="E2777" s="3" t="s">
        <v>6</v>
      </c>
      <c r="F2777" s="3" t="s">
        <v>66</v>
      </c>
      <c r="H2777" s="3">
        <v>24.110999999999994</v>
      </c>
      <c r="I2777" s="10">
        <f t="shared" si="433"/>
        <v>39.119752033912661</v>
      </c>
      <c r="J2777" s="3">
        <v>18.490147876524105</v>
      </c>
      <c r="K2777" s="3">
        <v>0</v>
      </c>
      <c r="L2777" s="3">
        <f t="shared" si="434"/>
        <v>0</v>
      </c>
      <c r="N2777" s="11">
        <f t="shared" si="435"/>
        <v>5.6208521234758884</v>
      </c>
      <c r="O2777" s="3">
        <v>18.490147876524105</v>
      </c>
      <c r="P2777" s="11">
        <f t="shared" si="436"/>
        <v>9.1197520339126648</v>
      </c>
      <c r="Q2777" s="12">
        <f t="shared" si="437"/>
        <v>9.1197520339126648</v>
      </c>
      <c r="R2777" s="13">
        <f t="shared" si="438"/>
        <v>18.627692690008107</v>
      </c>
      <c r="S2777" s="3" t="s">
        <v>30</v>
      </c>
      <c r="T2777" s="3" t="s">
        <v>35</v>
      </c>
      <c r="U2777" s="10">
        <v>9432009900999</v>
      </c>
      <c r="V2777" s="3">
        <v>0.1</v>
      </c>
      <c r="W2777" s="3">
        <f t="shared" si="439"/>
        <v>0</v>
      </c>
      <c r="AA2777" s="3">
        <v>48</v>
      </c>
    </row>
    <row r="2778" spans="1:27" x14ac:dyDescent="0.3">
      <c r="A2778" s="3" t="str">
        <f t="shared" si="430"/>
        <v>East9432009900320</v>
      </c>
      <c r="B2778" s="3" t="str">
        <f t="shared" si="431"/>
        <v>KGP9432009900320</v>
      </c>
      <c r="C2778" s="10">
        <v>9432009900320</v>
      </c>
      <c r="D2778" s="10" t="str">
        <f t="shared" si="432"/>
        <v>9432009900</v>
      </c>
      <c r="E2778" s="3" t="s">
        <v>6</v>
      </c>
      <c r="F2778" s="3" t="s">
        <v>66</v>
      </c>
      <c r="H2778" s="3">
        <v>48.66</v>
      </c>
      <c r="I2778" s="10">
        <f t="shared" si="433"/>
        <v>80.228652933978623</v>
      </c>
      <c r="J2778" s="3">
        <v>18.195494335437633</v>
      </c>
      <c r="K2778" s="3">
        <v>0</v>
      </c>
      <c r="L2778" s="3">
        <f t="shared" si="434"/>
        <v>0</v>
      </c>
      <c r="N2778" s="11">
        <f t="shared" si="435"/>
        <v>30.464505664562363</v>
      </c>
      <c r="O2778" s="3">
        <v>18.195494335437633</v>
      </c>
      <c r="P2778" s="11">
        <f t="shared" si="436"/>
        <v>50.228652933978623</v>
      </c>
      <c r="Q2778" s="12">
        <f t="shared" si="437"/>
        <v>50.228652933978623</v>
      </c>
      <c r="R2778" s="13">
        <f t="shared" si="438"/>
        <v>0.17373377487676703</v>
      </c>
      <c r="S2778" s="3" t="s">
        <v>29</v>
      </c>
      <c r="T2778" s="3" t="s">
        <v>35</v>
      </c>
      <c r="U2778" s="10">
        <v>9432009900999</v>
      </c>
      <c r="V2778" s="3">
        <v>0.1</v>
      </c>
      <c r="W2778" s="3">
        <f t="shared" si="439"/>
        <v>0</v>
      </c>
      <c r="AA2778" s="3">
        <v>48</v>
      </c>
    </row>
    <row r="2779" spans="1:27" x14ac:dyDescent="0.3">
      <c r="A2779" s="3" t="str">
        <f t="shared" si="430"/>
        <v>East9420039901320</v>
      </c>
      <c r="B2779" s="3" t="str">
        <f t="shared" si="431"/>
        <v>KGP9420039901320</v>
      </c>
      <c r="C2779" s="10">
        <v>9420039901320</v>
      </c>
      <c r="D2779" s="10" t="str">
        <f t="shared" si="432"/>
        <v>9420039901</v>
      </c>
      <c r="E2779" s="3" t="s">
        <v>6</v>
      </c>
      <c r="F2779" s="3" t="s">
        <v>66</v>
      </c>
      <c r="H2779" s="3">
        <v>17.585999999999999</v>
      </c>
      <c r="I2779" s="10">
        <f t="shared" si="433"/>
        <v>33.279745844093014</v>
      </c>
      <c r="J2779" s="3">
        <v>15.852885489918572</v>
      </c>
      <c r="K2779" s="3">
        <v>12</v>
      </c>
      <c r="L2779" s="3">
        <f t="shared" si="434"/>
        <v>0</v>
      </c>
      <c r="N2779" s="11">
        <f t="shared" si="435"/>
        <v>1.7331145100814265</v>
      </c>
      <c r="O2779" s="3">
        <v>15.852885489918572</v>
      </c>
      <c r="P2779" s="11">
        <f t="shared" si="436"/>
        <v>3.2797458440930085</v>
      </c>
      <c r="Q2779" s="12">
        <f t="shared" si="437"/>
        <v>3.2797458440930085</v>
      </c>
      <c r="R2779" s="13">
        <f t="shared" si="438"/>
        <v>12.411220962330324</v>
      </c>
      <c r="S2779" s="3" t="s">
        <v>29</v>
      </c>
      <c r="T2779" s="3" t="s">
        <v>28</v>
      </c>
      <c r="U2779" s="10">
        <v>9420039900999</v>
      </c>
      <c r="V2779" s="3">
        <v>0.1</v>
      </c>
      <c r="W2779" s="3">
        <f t="shared" si="439"/>
        <v>1.2000000000000002</v>
      </c>
      <c r="AA2779" s="3">
        <v>48</v>
      </c>
    </row>
    <row r="2780" spans="1:27" x14ac:dyDescent="0.3">
      <c r="A2780" s="3" t="str">
        <f t="shared" si="430"/>
        <v>East9161109900320</v>
      </c>
      <c r="B2780" s="3" t="str">
        <f t="shared" si="431"/>
        <v>KGP9161109900320</v>
      </c>
      <c r="C2780" s="10">
        <v>9161109900320</v>
      </c>
      <c r="D2780" s="10" t="str">
        <f t="shared" si="432"/>
        <v>9161109900</v>
      </c>
      <c r="E2780" s="3" t="s">
        <v>6</v>
      </c>
      <c r="F2780" s="3" t="s">
        <v>66</v>
      </c>
      <c r="H2780" s="3">
        <v>20.239999999999998</v>
      </c>
      <c r="I2780" s="10">
        <f t="shared" si="433"/>
        <v>38.444770824704563</v>
      </c>
      <c r="J2780" s="3">
        <v>15.794085566763581</v>
      </c>
      <c r="K2780" s="3">
        <v>48</v>
      </c>
      <c r="L2780" s="3">
        <f t="shared" si="434"/>
        <v>0</v>
      </c>
      <c r="N2780" s="11">
        <f t="shared" si="435"/>
        <v>4.4459144332364176</v>
      </c>
      <c r="O2780" s="3">
        <v>15.794085566763581</v>
      </c>
      <c r="P2780" s="11">
        <f t="shared" si="436"/>
        <v>8.4447708247045625</v>
      </c>
      <c r="Q2780" s="12">
        <f t="shared" si="437"/>
        <v>8.4447708247045625</v>
      </c>
      <c r="R2780" s="13">
        <f t="shared" si="438"/>
        <v>29.817154882232217</v>
      </c>
      <c r="S2780" s="3" t="s">
        <v>29</v>
      </c>
      <c r="T2780" s="3" t="s">
        <v>34</v>
      </c>
      <c r="U2780" s="10">
        <v>0</v>
      </c>
      <c r="V2780" s="3">
        <v>0</v>
      </c>
      <c r="W2780" s="3">
        <f t="shared" si="439"/>
        <v>0</v>
      </c>
      <c r="AA2780" s="3">
        <v>48</v>
      </c>
    </row>
    <row r="2781" spans="1:27" x14ac:dyDescent="0.3">
      <c r="A2781" s="3" t="str">
        <f t="shared" si="430"/>
        <v>East9320029997210</v>
      </c>
      <c r="B2781" s="3" t="str">
        <f t="shared" si="431"/>
        <v>KGP9320029997210</v>
      </c>
      <c r="C2781" s="10">
        <v>9320029997210</v>
      </c>
      <c r="D2781" s="10" t="str">
        <f t="shared" si="432"/>
        <v>9320029997</v>
      </c>
      <c r="E2781" s="3" t="s">
        <v>6</v>
      </c>
      <c r="F2781" s="3" t="s">
        <v>66</v>
      </c>
      <c r="H2781" s="3">
        <v>71.809999999999988</v>
      </c>
      <c r="I2781" s="10">
        <f t="shared" si="433"/>
        <v>156.53052757355894</v>
      </c>
      <c r="J2781" s="3">
        <v>13.76281057372417</v>
      </c>
      <c r="K2781" s="3">
        <v>0</v>
      </c>
      <c r="L2781" s="3">
        <f t="shared" si="434"/>
        <v>0</v>
      </c>
      <c r="N2781" s="11">
        <f t="shared" si="435"/>
        <v>58.047189426275821</v>
      </c>
      <c r="O2781" s="3">
        <v>13.76281057372417</v>
      </c>
      <c r="P2781" s="11">
        <f t="shared" si="436"/>
        <v>126.53052757355893</v>
      </c>
      <c r="Q2781" s="12">
        <f t="shared" si="437"/>
        <v>126.53052757355893</v>
      </c>
      <c r="R2781" s="13">
        <f t="shared" si="438"/>
        <v>157.52568978357704</v>
      </c>
      <c r="S2781" s="3" t="s">
        <v>31</v>
      </c>
      <c r="T2781" s="3" t="s">
        <v>28</v>
      </c>
      <c r="U2781" s="10">
        <v>0</v>
      </c>
      <c r="V2781" s="3">
        <v>0</v>
      </c>
      <c r="W2781" s="3">
        <f t="shared" si="439"/>
        <v>0</v>
      </c>
      <c r="AA2781" s="3">
        <v>48</v>
      </c>
    </row>
    <row r="2782" spans="1:27" x14ac:dyDescent="0.3">
      <c r="A2782" s="3" t="str">
        <f t="shared" si="430"/>
        <v>East9320089901320</v>
      </c>
      <c r="B2782" s="3" t="str">
        <f t="shared" si="431"/>
        <v>KGP9320089901320</v>
      </c>
      <c r="C2782" s="10">
        <v>9320089901320</v>
      </c>
      <c r="D2782" s="10" t="str">
        <f t="shared" si="432"/>
        <v>9320089901</v>
      </c>
      <c r="E2782" s="3" t="s">
        <v>6</v>
      </c>
      <c r="F2782" s="3" t="s">
        <v>66</v>
      </c>
      <c r="H2782" s="3">
        <v>45.92</v>
      </c>
      <c r="I2782" s="10">
        <f t="shared" si="433"/>
        <v>107.35005269371436</v>
      </c>
      <c r="J2782" s="3">
        <v>12.832783640362967</v>
      </c>
      <c r="K2782" s="3">
        <v>0</v>
      </c>
      <c r="L2782" s="3">
        <f t="shared" si="434"/>
        <v>0</v>
      </c>
      <c r="N2782" s="11">
        <f t="shared" si="435"/>
        <v>33.087216359637033</v>
      </c>
      <c r="O2782" s="3">
        <v>12.832783640362967</v>
      </c>
      <c r="P2782" s="11">
        <f t="shared" si="436"/>
        <v>77.350052693714346</v>
      </c>
      <c r="Q2782" s="12">
        <f t="shared" si="437"/>
        <v>77.35005269371436</v>
      </c>
      <c r="R2782" s="13">
        <f t="shared" si="438"/>
        <v>31.812152870329982</v>
      </c>
      <c r="S2782" s="3" t="s">
        <v>31</v>
      </c>
      <c r="T2782" s="3" t="s">
        <v>28</v>
      </c>
      <c r="U2782" s="10">
        <v>9320089900999</v>
      </c>
      <c r="V2782" s="3">
        <v>0.1</v>
      </c>
      <c r="W2782" s="3">
        <f t="shared" si="439"/>
        <v>0</v>
      </c>
      <c r="AA2782" s="3">
        <v>48</v>
      </c>
    </row>
    <row r="2783" spans="1:27" x14ac:dyDescent="0.3">
      <c r="A2783" s="3" t="str">
        <f t="shared" si="430"/>
        <v>East9432019901840</v>
      </c>
      <c r="B2783" s="3" t="str">
        <f t="shared" si="431"/>
        <v>KGP9432019901840</v>
      </c>
      <c r="C2783" s="10">
        <v>9432019901840</v>
      </c>
      <c r="D2783" s="10" t="str">
        <f t="shared" si="432"/>
        <v>9432019901</v>
      </c>
      <c r="E2783" s="3" t="s">
        <v>6</v>
      </c>
      <c r="F2783" s="3" t="s">
        <v>66</v>
      </c>
      <c r="H2783" s="3">
        <v>7.9400000000000022</v>
      </c>
      <c r="I2783" s="10">
        <f t="shared" si="433"/>
        <v>19.908693088970164</v>
      </c>
      <c r="J2783" s="3">
        <v>11.964622636729874</v>
      </c>
      <c r="K2783" s="3">
        <v>24</v>
      </c>
      <c r="L2783" s="3">
        <f t="shared" si="434"/>
        <v>0</v>
      </c>
      <c r="N2783" s="11">
        <f t="shared" si="435"/>
        <v>-4.0246226367298723</v>
      </c>
      <c r="O2783" s="3">
        <v>11.964622636729874</v>
      </c>
      <c r="P2783" s="11">
        <f t="shared" si="436"/>
        <v>-10.091306911029832</v>
      </c>
      <c r="Q2783" s="12">
        <f t="shared" si="437"/>
        <v>-10.091306911029832</v>
      </c>
      <c r="R2783" s="13">
        <f t="shared" si="438"/>
        <v>4.9551947325973327</v>
      </c>
      <c r="S2783" s="3" t="s">
        <v>30</v>
      </c>
      <c r="T2783" s="3" t="s">
        <v>35</v>
      </c>
      <c r="U2783" s="10">
        <v>0</v>
      </c>
      <c r="V2783" s="3">
        <v>0</v>
      </c>
      <c r="W2783" s="3">
        <f t="shared" si="439"/>
        <v>0</v>
      </c>
      <c r="AA2783" s="3">
        <v>48</v>
      </c>
    </row>
    <row r="2784" spans="1:27" x14ac:dyDescent="0.3">
      <c r="A2784" s="3" t="str">
        <f t="shared" si="430"/>
        <v>East9432009902295</v>
      </c>
      <c r="B2784" s="3" t="str">
        <f t="shared" si="431"/>
        <v>KGP9432009902295</v>
      </c>
      <c r="C2784" s="10">
        <v>9432009902295</v>
      </c>
      <c r="D2784" s="10" t="str">
        <f t="shared" si="432"/>
        <v>9432009902</v>
      </c>
      <c r="E2784" s="3" t="s">
        <v>6</v>
      </c>
      <c r="F2784" s="3" t="s">
        <v>66</v>
      </c>
      <c r="H2784" s="3">
        <v>27.502499999999998</v>
      </c>
      <c r="I2784" s="10">
        <f t="shared" si="433"/>
        <v>70.11450615625931</v>
      </c>
      <c r="J2784" s="3">
        <v>11.767536352052637</v>
      </c>
      <c r="K2784" s="3">
        <v>0</v>
      </c>
      <c r="L2784" s="3">
        <f t="shared" si="434"/>
        <v>0</v>
      </c>
      <c r="N2784" s="11">
        <f t="shared" si="435"/>
        <v>15.73496364794736</v>
      </c>
      <c r="O2784" s="3">
        <v>11.767536352052637</v>
      </c>
      <c r="P2784" s="11">
        <f t="shared" si="436"/>
        <v>40.114506156259317</v>
      </c>
      <c r="Q2784" s="12">
        <f t="shared" si="437"/>
        <v>40.114506156259317</v>
      </c>
      <c r="R2784" s="13">
        <f t="shared" si="438"/>
        <v>36.662124742386482</v>
      </c>
      <c r="S2784" s="3" t="s">
        <v>30</v>
      </c>
      <c r="T2784" s="3" t="s">
        <v>35</v>
      </c>
      <c r="U2784" s="10">
        <v>9432009900999</v>
      </c>
      <c r="V2784" s="3">
        <v>0.1</v>
      </c>
      <c r="W2784" s="3">
        <f t="shared" si="439"/>
        <v>0</v>
      </c>
      <c r="AA2784" s="3">
        <v>48</v>
      </c>
    </row>
    <row r="2785" spans="1:27" x14ac:dyDescent="0.3">
      <c r="A2785" s="3" t="str">
        <f t="shared" si="430"/>
        <v>East9161089900320</v>
      </c>
      <c r="B2785" s="3" t="str">
        <f t="shared" si="431"/>
        <v>KGP9161089900320</v>
      </c>
      <c r="C2785" s="10">
        <v>9161089900320</v>
      </c>
      <c r="D2785" s="10" t="str">
        <f t="shared" si="432"/>
        <v>9161089900</v>
      </c>
      <c r="E2785" s="3" t="s">
        <v>6</v>
      </c>
      <c r="F2785" s="3" t="s">
        <v>66</v>
      </c>
      <c r="H2785" s="3">
        <v>29.259999999999994</v>
      </c>
      <c r="I2785" s="10">
        <f t="shared" si="433"/>
        <v>74.856103339741679</v>
      </c>
      <c r="J2785" s="3">
        <v>11.726498720031145</v>
      </c>
      <c r="K2785" s="3">
        <v>0</v>
      </c>
      <c r="L2785" s="3">
        <f t="shared" si="434"/>
        <v>0</v>
      </c>
      <c r="N2785" s="11">
        <f t="shared" si="435"/>
        <v>17.533501279968849</v>
      </c>
      <c r="O2785" s="3">
        <v>11.726498720031145</v>
      </c>
      <c r="P2785" s="11">
        <f t="shared" si="436"/>
        <v>44.856103339741672</v>
      </c>
      <c r="Q2785" s="12">
        <f t="shared" si="437"/>
        <v>44.856103339741672</v>
      </c>
      <c r="R2785" s="13">
        <f t="shared" si="438"/>
        <v>27.706955085899509</v>
      </c>
      <c r="S2785" s="3" t="s">
        <v>29</v>
      </c>
      <c r="T2785" s="3" t="s">
        <v>34</v>
      </c>
      <c r="U2785" s="10">
        <v>0</v>
      </c>
      <c r="V2785" s="3">
        <v>0</v>
      </c>
      <c r="W2785" s="3">
        <f t="shared" si="439"/>
        <v>0</v>
      </c>
      <c r="AA2785" s="3">
        <v>48</v>
      </c>
    </row>
    <row r="2786" spans="1:27" x14ac:dyDescent="0.3">
      <c r="A2786" s="3" t="str">
        <f t="shared" si="430"/>
        <v>East9431009913210</v>
      </c>
      <c r="B2786" s="3" t="str">
        <f t="shared" si="431"/>
        <v>KGP9431009913210</v>
      </c>
      <c r="C2786" s="10">
        <v>9431009913210</v>
      </c>
      <c r="D2786" s="10" t="str">
        <f t="shared" si="432"/>
        <v>9431009913</v>
      </c>
      <c r="E2786" s="3" t="s">
        <v>6</v>
      </c>
      <c r="F2786" s="3" t="s">
        <v>66</v>
      </c>
      <c r="H2786" s="3">
        <v>20.143000000000001</v>
      </c>
      <c r="I2786" s="10">
        <f t="shared" si="433"/>
        <v>52.097316105302227</v>
      </c>
      <c r="J2786" s="3">
        <v>11.599253957316588</v>
      </c>
      <c r="K2786" s="3">
        <v>0</v>
      </c>
      <c r="L2786" s="3">
        <f t="shared" si="434"/>
        <v>0</v>
      </c>
      <c r="N2786" s="11">
        <f t="shared" si="435"/>
        <v>8.5437460426834129</v>
      </c>
      <c r="O2786" s="3">
        <v>11.599253957316588</v>
      </c>
      <c r="P2786" s="11">
        <f t="shared" si="436"/>
        <v>22.097316105302227</v>
      </c>
      <c r="Q2786" s="12">
        <f t="shared" si="437"/>
        <v>22.097316105302223</v>
      </c>
      <c r="R2786" s="13">
        <f t="shared" si="438"/>
        <v>26.053752707382994</v>
      </c>
      <c r="S2786" s="3" t="s">
        <v>30</v>
      </c>
      <c r="T2786" s="3" t="s">
        <v>35</v>
      </c>
      <c r="U2786" s="10">
        <v>0</v>
      </c>
      <c r="V2786" s="3">
        <v>0</v>
      </c>
      <c r="W2786" s="3">
        <f t="shared" si="439"/>
        <v>0</v>
      </c>
      <c r="AA2786" s="3">
        <v>48</v>
      </c>
    </row>
    <row r="2787" spans="1:27" x14ac:dyDescent="0.3">
      <c r="A2787" s="3" t="str">
        <f t="shared" si="430"/>
        <v>East9181309900320</v>
      </c>
      <c r="B2787" s="3" t="str">
        <f t="shared" si="431"/>
        <v>KGP9181309900320</v>
      </c>
      <c r="C2787" s="10">
        <v>9181309900320</v>
      </c>
      <c r="D2787" s="10" t="str">
        <f t="shared" si="432"/>
        <v>9181309900</v>
      </c>
      <c r="E2787" s="3" t="s">
        <v>6</v>
      </c>
      <c r="F2787" s="3" t="s">
        <v>66</v>
      </c>
      <c r="H2787" s="3">
        <v>28.42</v>
      </c>
      <c r="I2787" s="10">
        <f t="shared" si="433"/>
        <v>76.55436159587596</v>
      </c>
      <c r="J2787" s="3">
        <v>11.137183855059805</v>
      </c>
      <c r="K2787" s="3">
        <v>0</v>
      </c>
      <c r="L2787" s="3">
        <f t="shared" si="434"/>
        <v>0</v>
      </c>
      <c r="N2787" s="11">
        <f t="shared" si="435"/>
        <v>17.282816144940199</v>
      </c>
      <c r="O2787" s="3">
        <v>11.137183855059805</v>
      </c>
      <c r="P2787" s="11">
        <f t="shared" si="436"/>
        <v>46.55436159587596</v>
      </c>
      <c r="Q2787" s="12">
        <f t="shared" si="437"/>
        <v>46.554361595875967</v>
      </c>
      <c r="R2787" s="13">
        <f t="shared" si="438"/>
        <v>61.057190306933194</v>
      </c>
      <c r="S2787" s="3" t="s">
        <v>29</v>
      </c>
      <c r="T2787" s="3" t="s">
        <v>34</v>
      </c>
      <c r="U2787" s="10">
        <v>0</v>
      </c>
      <c r="V2787" s="3">
        <v>0</v>
      </c>
      <c r="W2787" s="3">
        <f t="shared" si="439"/>
        <v>0</v>
      </c>
      <c r="AA2787" s="3">
        <v>48</v>
      </c>
    </row>
    <row r="2788" spans="1:27" x14ac:dyDescent="0.3">
      <c r="A2788" s="3" t="str">
        <f t="shared" si="430"/>
        <v>East9320029900320</v>
      </c>
      <c r="B2788" s="3" t="str">
        <f t="shared" si="431"/>
        <v>KGP9320029900320</v>
      </c>
      <c r="C2788" s="10">
        <v>9320029900320</v>
      </c>
      <c r="D2788" s="10" t="str">
        <f t="shared" si="432"/>
        <v>9320029900</v>
      </c>
      <c r="E2788" s="3" t="s">
        <v>6</v>
      </c>
      <c r="F2788" s="3" t="s">
        <v>66</v>
      </c>
      <c r="H2788" s="3">
        <v>10.92</v>
      </c>
      <c r="I2788" s="10">
        <f t="shared" si="433"/>
        <v>29.888982928173672</v>
      </c>
      <c r="J2788" s="3">
        <v>10.960560310374454</v>
      </c>
      <c r="K2788" s="3">
        <v>12</v>
      </c>
      <c r="L2788" s="3">
        <f t="shared" si="434"/>
        <v>0</v>
      </c>
      <c r="N2788" s="11">
        <f t="shared" si="435"/>
        <v>-4.0560310374454289E-2</v>
      </c>
      <c r="O2788" s="3">
        <v>10.960560310374454</v>
      </c>
      <c r="P2788" s="11">
        <f t="shared" si="436"/>
        <v>-0.1110170718263269</v>
      </c>
      <c r="Q2788" s="12">
        <f t="shared" si="437"/>
        <v>-0.1110170718263269</v>
      </c>
      <c r="R2788" s="13">
        <f t="shared" si="438"/>
        <v>-2.4182637214499976</v>
      </c>
      <c r="S2788" s="3" t="s">
        <v>29</v>
      </c>
      <c r="T2788" s="3" t="s">
        <v>28</v>
      </c>
      <c r="U2788" s="10">
        <v>9320029900999</v>
      </c>
      <c r="V2788" s="3">
        <v>0.1</v>
      </c>
      <c r="W2788" s="3">
        <f t="shared" si="439"/>
        <v>1.2000000000000002</v>
      </c>
      <c r="AA2788" s="3">
        <v>48</v>
      </c>
    </row>
    <row r="2789" spans="1:27" x14ac:dyDescent="0.3">
      <c r="A2789" s="3" t="str">
        <f t="shared" si="430"/>
        <v>East9320029997840</v>
      </c>
      <c r="B2789" s="3" t="str">
        <f t="shared" si="431"/>
        <v>KGP9320029997840</v>
      </c>
      <c r="C2789" s="10">
        <v>9320029997840</v>
      </c>
      <c r="D2789" s="10" t="str">
        <f t="shared" si="432"/>
        <v>9320029997</v>
      </c>
      <c r="E2789" s="3" t="s">
        <v>6</v>
      </c>
      <c r="F2789" s="3" t="s">
        <v>66</v>
      </c>
      <c r="H2789" s="3">
        <v>50.103999999999985</v>
      </c>
      <c r="I2789" s="10">
        <f t="shared" si="433"/>
        <v>137.59796232240188</v>
      </c>
      <c r="J2789" s="3">
        <v>10.923998979563969</v>
      </c>
      <c r="K2789" s="3">
        <v>0</v>
      </c>
      <c r="L2789" s="3">
        <f t="shared" si="434"/>
        <v>0</v>
      </c>
      <c r="N2789" s="11">
        <f t="shared" si="435"/>
        <v>39.180001020436016</v>
      </c>
      <c r="O2789" s="3">
        <v>10.923998979563969</v>
      </c>
      <c r="P2789" s="11">
        <f t="shared" si="436"/>
        <v>107.59796232240188</v>
      </c>
      <c r="Q2789" s="12">
        <f t="shared" si="437"/>
        <v>107.59796232240187</v>
      </c>
      <c r="R2789" s="13">
        <f t="shared" si="438"/>
        <v>139.85257005555709</v>
      </c>
      <c r="S2789" s="3" t="s">
        <v>31</v>
      </c>
      <c r="T2789" s="3" t="s">
        <v>28</v>
      </c>
      <c r="U2789" s="10">
        <v>0</v>
      </c>
      <c r="V2789" s="3">
        <v>0</v>
      </c>
      <c r="W2789" s="3">
        <f t="shared" si="439"/>
        <v>0</v>
      </c>
      <c r="AA2789" s="3">
        <v>48</v>
      </c>
    </row>
    <row r="2790" spans="1:27" x14ac:dyDescent="0.3">
      <c r="A2790" s="3" t="str">
        <f t="shared" si="430"/>
        <v>East9320029902297</v>
      </c>
      <c r="B2790" s="3" t="str">
        <f t="shared" si="431"/>
        <v>KGP9320029902297</v>
      </c>
      <c r="C2790" s="10">
        <v>9320029902297</v>
      </c>
      <c r="D2790" s="10" t="str">
        <f t="shared" si="432"/>
        <v>9320029902</v>
      </c>
      <c r="E2790" s="3" t="s">
        <v>6</v>
      </c>
      <c r="F2790" s="3" t="s">
        <v>66</v>
      </c>
      <c r="H2790" s="3">
        <v>18.37875</v>
      </c>
      <c r="I2790" s="10">
        <f t="shared" si="433"/>
        <v>50.992806389773094</v>
      </c>
      <c r="J2790" s="3">
        <v>10.812554535350676</v>
      </c>
      <c r="K2790" s="3">
        <v>0</v>
      </c>
      <c r="L2790" s="3">
        <f t="shared" si="434"/>
        <v>0</v>
      </c>
      <c r="N2790" s="11">
        <f t="shared" si="435"/>
        <v>7.5661954646493239</v>
      </c>
      <c r="O2790" s="3">
        <v>10.812554535350676</v>
      </c>
      <c r="P2790" s="11">
        <f t="shared" si="436"/>
        <v>20.992806389773094</v>
      </c>
      <c r="Q2790" s="12">
        <f t="shared" si="437"/>
        <v>20.992806389773094</v>
      </c>
      <c r="R2790" s="13">
        <f t="shared" si="438"/>
        <v>18.208892829292608</v>
      </c>
      <c r="S2790" s="3" t="s">
        <v>30</v>
      </c>
      <c r="T2790" s="3" t="s">
        <v>28</v>
      </c>
      <c r="U2790" s="10">
        <v>9320029900999</v>
      </c>
      <c r="V2790" s="3">
        <v>0.1</v>
      </c>
      <c r="W2790" s="3">
        <f t="shared" si="439"/>
        <v>0</v>
      </c>
      <c r="AA2790" s="3">
        <v>48</v>
      </c>
    </row>
    <row r="2791" spans="1:27" x14ac:dyDescent="0.3">
      <c r="A2791" s="3" t="str">
        <f t="shared" si="430"/>
        <v>East9432019900320</v>
      </c>
      <c r="B2791" s="3" t="str">
        <f t="shared" si="431"/>
        <v>KGP9432019900320</v>
      </c>
      <c r="C2791" s="10">
        <v>9432019900320</v>
      </c>
      <c r="D2791" s="10" t="str">
        <f t="shared" si="432"/>
        <v>9432019900</v>
      </c>
      <c r="E2791" s="3" t="s">
        <v>6</v>
      </c>
      <c r="F2791" s="3" t="s">
        <v>66</v>
      </c>
      <c r="H2791" s="3">
        <v>19.066000000000003</v>
      </c>
      <c r="I2791" s="10">
        <f t="shared" si="433"/>
        <v>53.78286205272591</v>
      </c>
      <c r="J2791" s="3">
        <v>10.63498627944457</v>
      </c>
      <c r="K2791" s="3">
        <v>36</v>
      </c>
      <c r="L2791" s="3">
        <f t="shared" si="434"/>
        <v>0</v>
      </c>
      <c r="N2791" s="11">
        <f t="shared" si="435"/>
        <v>8.4310137205554323</v>
      </c>
      <c r="O2791" s="3">
        <v>10.63498627944457</v>
      </c>
      <c r="P2791" s="11">
        <f t="shared" si="436"/>
        <v>23.782862052725907</v>
      </c>
      <c r="Q2791" s="12">
        <f t="shared" si="437"/>
        <v>23.78286205272591</v>
      </c>
      <c r="R2791" s="13">
        <f t="shared" si="438"/>
        <v>27.973265276899198</v>
      </c>
      <c r="S2791" s="3" t="s">
        <v>29</v>
      </c>
      <c r="T2791" s="3" t="s">
        <v>35</v>
      </c>
      <c r="U2791" s="10">
        <v>9432019900999</v>
      </c>
      <c r="V2791" s="3">
        <v>0.1</v>
      </c>
      <c r="W2791" s="3">
        <f t="shared" si="439"/>
        <v>3.6</v>
      </c>
      <c r="AA2791" s="3">
        <v>48</v>
      </c>
    </row>
    <row r="2792" spans="1:27" x14ac:dyDescent="0.3">
      <c r="A2792" s="3" t="str">
        <f t="shared" si="430"/>
        <v>East9330209902297</v>
      </c>
      <c r="B2792" s="3" t="str">
        <f t="shared" si="431"/>
        <v>KGP9330209902297</v>
      </c>
      <c r="C2792" s="10">
        <v>9330209902297</v>
      </c>
      <c r="D2792" s="10" t="str">
        <f t="shared" si="432"/>
        <v>9330209902</v>
      </c>
      <c r="E2792" s="3" t="s">
        <v>6</v>
      </c>
      <c r="F2792" s="3" t="s">
        <v>66</v>
      </c>
      <c r="H2792" s="3">
        <v>14.517750000000005</v>
      </c>
      <c r="I2792" s="10">
        <f t="shared" si="433"/>
        <v>41.417787060869195</v>
      </c>
      <c r="J2792" s="3">
        <v>10.515590786150034</v>
      </c>
      <c r="K2792" s="3">
        <v>0</v>
      </c>
      <c r="L2792" s="3">
        <f t="shared" si="434"/>
        <v>0</v>
      </c>
      <c r="N2792" s="11">
        <f t="shared" si="435"/>
        <v>4.0021592138499713</v>
      </c>
      <c r="O2792" s="3">
        <v>10.515590786150034</v>
      </c>
      <c r="P2792" s="11">
        <f t="shared" si="436"/>
        <v>11.417787060869191</v>
      </c>
      <c r="Q2792" s="12">
        <f t="shared" si="437"/>
        <v>11.417787060869191</v>
      </c>
      <c r="R2792" s="13">
        <f t="shared" si="438"/>
        <v>19.916688006569078</v>
      </c>
      <c r="S2792" s="3" t="s">
        <v>30</v>
      </c>
      <c r="T2792" s="3" t="s">
        <v>35</v>
      </c>
      <c r="U2792" s="10">
        <v>9330209900999</v>
      </c>
      <c r="V2792" s="3">
        <v>0.1</v>
      </c>
      <c r="W2792" s="3">
        <f t="shared" si="439"/>
        <v>0</v>
      </c>
      <c r="AA2792" s="3">
        <v>48</v>
      </c>
    </row>
    <row r="2793" spans="1:27" x14ac:dyDescent="0.3">
      <c r="A2793" s="3" t="str">
        <f t="shared" si="430"/>
        <v>East9101069900320</v>
      </c>
      <c r="B2793" s="3" t="str">
        <f t="shared" si="431"/>
        <v>KGP9101069900320</v>
      </c>
      <c r="C2793" s="10">
        <v>9101069900320</v>
      </c>
      <c r="D2793" s="10" t="str">
        <f t="shared" si="432"/>
        <v>9101069900</v>
      </c>
      <c r="E2793" s="3" t="s">
        <v>6</v>
      </c>
      <c r="F2793" s="3" t="s">
        <v>66</v>
      </c>
      <c r="H2793" s="3">
        <v>14.06</v>
      </c>
      <c r="I2793" s="10">
        <f t="shared" si="433"/>
        <v>40.518447887131742</v>
      </c>
      <c r="J2793" s="3">
        <v>10.410072991319085</v>
      </c>
      <c r="K2793" s="3">
        <v>0</v>
      </c>
      <c r="L2793" s="3">
        <f t="shared" si="434"/>
        <v>0</v>
      </c>
      <c r="N2793" s="11">
        <f t="shared" si="435"/>
        <v>3.6499270086809155</v>
      </c>
      <c r="O2793" s="3">
        <v>10.410072991319085</v>
      </c>
      <c r="P2793" s="11">
        <f t="shared" si="436"/>
        <v>10.518447887131742</v>
      </c>
      <c r="Q2793" s="12">
        <f t="shared" si="437"/>
        <v>10.518447887131744</v>
      </c>
      <c r="R2793" s="13">
        <f t="shared" si="438"/>
        <v>25.087060035412687</v>
      </c>
      <c r="S2793" s="3" t="s">
        <v>29</v>
      </c>
      <c r="T2793" s="3" t="s">
        <v>34</v>
      </c>
      <c r="U2793" s="10">
        <v>0</v>
      </c>
      <c r="V2793" s="3">
        <v>0</v>
      </c>
      <c r="W2793" s="3">
        <f t="shared" si="439"/>
        <v>0</v>
      </c>
      <c r="AA2793" s="3">
        <v>48</v>
      </c>
    </row>
    <row r="2794" spans="1:27" x14ac:dyDescent="0.3">
      <c r="A2794" s="3" t="str">
        <f t="shared" si="430"/>
        <v>East9420039901310</v>
      </c>
      <c r="B2794" s="3" t="str">
        <f t="shared" si="431"/>
        <v>KGP9420039901310</v>
      </c>
      <c r="C2794" s="10">
        <v>9420039901310</v>
      </c>
      <c r="D2794" s="10" t="str">
        <f t="shared" si="432"/>
        <v>9420039901</v>
      </c>
      <c r="E2794" s="3" t="s">
        <v>6</v>
      </c>
      <c r="F2794" s="3" t="s">
        <v>66</v>
      </c>
      <c r="H2794" s="3">
        <v>8.0079999999999991</v>
      </c>
      <c r="I2794" s="10">
        <f t="shared" si="433"/>
        <v>23.540635184856715</v>
      </c>
      <c r="J2794" s="3">
        <v>10.205332103975778</v>
      </c>
      <c r="K2794" s="3">
        <v>12</v>
      </c>
      <c r="L2794" s="3">
        <f t="shared" si="434"/>
        <v>0</v>
      </c>
      <c r="N2794" s="11">
        <f t="shared" si="435"/>
        <v>-2.1973321039757785</v>
      </c>
      <c r="O2794" s="3">
        <v>10.205332103975778</v>
      </c>
      <c r="P2794" s="11">
        <f t="shared" si="436"/>
        <v>-6.4593648151432879</v>
      </c>
      <c r="Q2794" s="12">
        <f t="shared" si="437"/>
        <v>-6.459364815143287</v>
      </c>
      <c r="R2794" s="13">
        <f t="shared" si="438"/>
        <v>-0.5574194861834727</v>
      </c>
      <c r="S2794" s="3" t="s">
        <v>30</v>
      </c>
      <c r="T2794" s="3" t="s">
        <v>28</v>
      </c>
      <c r="U2794" s="10">
        <v>9420039900999</v>
      </c>
      <c r="V2794" s="3">
        <v>0.1</v>
      </c>
      <c r="W2794" s="3">
        <f t="shared" si="439"/>
        <v>1.2000000000000002</v>
      </c>
      <c r="AA2794" s="3">
        <v>48</v>
      </c>
    </row>
    <row r="2795" spans="1:27" x14ac:dyDescent="0.3">
      <c r="A2795" s="3" t="str">
        <f t="shared" si="430"/>
        <v>East9420039901840</v>
      </c>
      <c r="B2795" s="3" t="str">
        <f t="shared" si="431"/>
        <v>KGP9420039901840</v>
      </c>
      <c r="C2795" s="10">
        <v>9420039901840</v>
      </c>
      <c r="D2795" s="10" t="str">
        <f t="shared" si="432"/>
        <v>9420039901</v>
      </c>
      <c r="E2795" s="3" t="s">
        <v>6</v>
      </c>
      <c r="F2795" s="3" t="s">
        <v>66</v>
      </c>
      <c r="H2795" s="3">
        <v>4.7960000000000012</v>
      </c>
      <c r="I2795" s="10">
        <f t="shared" si="433"/>
        <v>14.126535690224058</v>
      </c>
      <c r="J2795" s="3">
        <v>10.185087352985549</v>
      </c>
      <c r="K2795" s="3">
        <v>12</v>
      </c>
      <c r="L2795" s="3">
        <f t="shared" si="434"/>
        <v>0</v>
      </c>
      <c r="N2795" s="11">
        <f t="shared" si="435"/>
        <v>-5.3890873529855483</v>
      </c>
      <c r="O2795" s="3">
        <v>10.185087352985549</v>
      </c>
      <c r="P2795" s="11">
        <f t="shared" si="436"/>
        <v>-15.873464309775944</v>
      </c>
      <c r="Q2795" s="12">
        <f t="shared" si="437"/>
        <v>-15.873464309775944</v>
      </c>
      <c r="R2795" s="13">
        <f t="shared" si="438"/>
        <v>8.7861449633385647</v>
      </c>
      <c r="S2795" s="3" t="s">
        <v>30</v>
      </c>
      <c r="T2795" s="3" t="s">
        <v>28</v>
      </c>
      <c r="U2795" s="10">
        <v>0</v>
      </c>
      <c r="V2795" s="3">
        <v>0</v>
      </c>
      <c r="W2795" s="3">
        <f t="shared" si="439"/>
        <v>0</v>
      </c>
      <c r="AA2795" s="3">
        <v>48</v>
      </c>
    </row>
    <row r="2796" spans="1:27" x14ac:dyDescent="0.3">
      <c r="A2796" s="3" t="str">
        <f t="shared" si="430"/>
        <v>East9432009901210</v>
      </c>
      <c r="B2796" s="3" t="str">
        <f t="shared" si="431"/>
        <v>KGP9432009901210</v>
      </c>
      <c r="C2796" s="10">
        <v>9432009901210</v>
      </c>
      <c r="D2796" s="10" t="str">
        <f t="shared" si="432"/>
        <v>9432009901</v>
      </c>
      <c r="E2796" s="3" t="s">
        <v>6</v>
      </c>
      <c r="F2796" s="3" t="s">
        <v>66</v>
      </c>
      <c r="H2796" s="3">
        <v>9.5910000000000011</v>
      </c>
      <c r="I2796" s="10">
        <f t="shared" si="433"/>
        <v>28.484634212542524</v>
      </c>
      <c r="J2796" s="3">
        <v>10.101235559251277</v>
      </c>
      <c r="K2796" s="3">
        <v>12</v>
      </c>
      <c r="L2796" s="3">
        <f t="shared" si="434"/>
        <v>0</v>
      </c>
      <c r="N2796" s="11">
        <f t="shared" si="435"/>
        <v>-0.51023555925127617</v>
      </c>
      <c r="O2796" s="3">
        <v>10.101235559251277</v>
      </c>
      <c r="P2796" s="11">
        <f t="shared" si="436"/>
        <v>-1.5153657874574775</v>
      </c>
      <c r="Q2796" s="12">
        <f t="shared" si="437"/>
        <v>-1.5153657874574775</v>
      </c>
      <c r="R2796" s="13">
        <f t="shared" si="438"/>
        <v>10.799641646358246</v>
      </c>
      <c r="S2796" s="3" t="s">
        <v>30</v>
      </c>
      <c r="T2796" s="3" t="s">
        <v>35</v>
      </c>
      <c r="U2796" s="10">
        <v>0</v>
      </c>
      <c r="V2796" s="3">
        <v>0</v>
      </c>
      <c r="W2796" s="3">
        <f t="shared" si="439"/>
        <v>0</v>
      </c>
      <c r="AA2796" s="3">
        <v>48</v>
      </c>
    </row>
    <row r="2797" spans="1:27" x14ac:dyDescent="0.3">
      <c r="A2797" s="3" t="str">
        <f t="shared" si="430"/>
        <v>East9320039902297</v>
      </c>
      <c r="B2797" s="3" t="str">
        <f t="shared" si="431"/>
        <v>KGP9320039902297</v>
      </c>
      <c r="C2797" s="10">
        <v>9320039902297</v>
      </c>
      <c r="D2797" s="10" t="str">
        <f t="shared" si="432"/>
        <v>9320039902</v>
      </c>
      <c r="E2797" s="3" t="s">
        <v>6</v>
      </c>
      <c r="F2797" s="3" t="s">
        <v>66</v>
      </c>
      <c r="H2797" s="3">
        <v>11.865750000000002</v>
      </c>
      <c r="I2797" s="10">
        <f t="shared" si="433"/>
        <v>35.627829003469408</v>
      </c>
      <c r="J2797" s="3">
        <v>9.9914171016520736</v>
      </c>
      <c r="K2797" s="3">
        <v>5.76</v>
      </c>
      <c r="L2797" s="3">
        <f t="shared" si="434"/>
        <v>0</v>
      </c>
      <c r="N2797" s="11">
        <f t="shared" si="435"/>
        <v>1.8743328983479284</v>
      </c>
      <c r="O2797" s="3">
        <v>9.9914171016520736</v>
      </c>
      <c r="P2797" s="11">
        <f t="shared" si="436"/>
        <v>5.6278290034694143</v>
      </c>
      <c r="Q2797" s="12">
        <f t="shared" si="437"/>
        <v>5.6278290034694134</v>
      </c>
      <c r="R2797" s="13">
        <f t="shared" si="438"/>
        <v>2.7993874025720751</v>
      </c>
      <c r="S2797" s="3" t="s">
        <v>30</v>
      </c>
      <c r="T2797" s="3" t="s">
        <v>28</v>
      </c>
      <c r="U2797" s="10">
        <v>9320039900999</v>
      </c>
      <c r="V2797" s="3">
        <v>0.1</v>
      </c>
      <c r="W2797" s="3">
        <f t="shared" si="439"/>
        <v>0.57599999999999996</v>
      </c>
      <c r="AA2797" s="3">
        <v>48</v>
      </c>
    </row>
    <row r="2798" spans="1:27" x14ac:dyDescent="0.3">
      <c r="A2798" s="3" t="str">
        <f t="shared" si="430"/>
        <v>East9320029901840</v>
      </c>
      <c r="B2798" s="3" t="str">
        <f t="shared" si="431"/>
        <v>KGP9320029901840</v>
      </c>
      <c r="C2798" s="10">
        <v>9320029901840</v>
      </c>
      <c r="D2798" s="10" t="str">
        <f t="shared" si="432"/>
        <v>9320029901</v>
      </c>
      <c r="E2798" s="3" t="s">
        <v>6</v>
      </c>
      <c r="F2798" s="3" t="s">
        <v>66</v>
      </c>
      <c r="H2798" s="3">
        <v>14.631999999999998</v>
      </c>
      <c r="I2798" s="10">
        <f t="shared" si="433"/>
        <v>44.990712112735103</v>
      </c>
      <c r="J2798" s="3">
        <v>9.7566804210628977</v>
      </c>
      <c r="K2798" s="3">
        <v>0</v>
      </c>
      <c r="L2798" s="3">
        <f t="shared" si="434"/>
        <v>0</v>
      </c>
      <c r="N2798" s="11">
        <f t="shared" si="435"/>
        <v>4.8753195789371002</v>
      </c>
      <c r="O2798" s="3">
        <v>9.7566804210628977</v>
      </c>
      <c r="P2798" s="11">
        <f t="shared" si="436"/>
        <v>14.990712112735103</v>
      </c>
      <c r="Q2798" s="12">
        <f t="shared" si="437"/>
        <v>14.990712112735105</v>
      </c>
      <c r="R2798" s="13">
        <f t="shared" si="438"/>
        <v>12.080184680245301</v>
      </c>
      <c r="S2798" s="3" t="s">
        <v>30</v>
      </c>
      <c r="T2798" s="3" t="s">
        <v>28</v>
      </c>
      <c r="U2798" s="10">
        <v>0</v>
      </c>
      <c r="V2798" s="3">
        <v>0</v>
      </c>
      <c r="W2798" s="3">
        <f t="shared" si="439"/>
        <v>0</v>
      </c>
      <c r="AA2798" s="3">
        <v>48</v>
      </c>
    </row>
    <row r="2799" spans="1:27" x14ac:dyDescent="0.3">
      <c r="A2799" s="3" t="str">
        <f t="shared" si="430"/>
        <v>East9437009900840</v>
      </c>
      <c r="B2799" s="3" t="str">
        <f t="shared" si="431"/>
        <v>KGP9437009900840</v>
      </c>
      <c r="C2799" s="10">
        <v>9437009900840</v>
      </c>
      <c r="D2799" s="10" t="str">
        <f t="shared" si="432"/>
        <v>9437009900</v>
      </c>
      <c r="E2799" s="3" t="s">
        <v>6</v>
      </c>
      <c r="F2799" s="3" t="s">
        <v>66</v>
      </c>
      <c r="H2799" s="3">
        <v>12.136000000000005</v>
      </c>
      <c r="I2799" s="10">
        <f t="shared" si="433"/>
        <v>38.374763071745377</v>
      </c>
      <c r="J2799" s="3">
        <v>9.4874852860802541</v>
      </c>
      <c r="K2799" s="3">
        <v>12</v>
      </c>
      <c r="L2799" s="3">
        <f t="shared" si="434"/>
        <v>0</v>
      </c>
      <c r="N2799" s="11">
        <f t="shared" si="435"/>
        <v>2.6485147139197505</v>
      </c>
      <c r="O2799" s="3">
        <v>9.4874852860802541</v>
      </c>
      <c r="P2799" s="11">
        <f t="shared" si="436"/>
        <v>8.3747630717453738</v>
      </c>
      <c r="Q2799" s="12">
        <f t="shared" si="437"/>
        <v>8.3747630717453738</v>
      </c>
      <c r="R2799" s="13">
        <f t="shared" si="438"/>
        <v>20.229042425225856</v>
      </c>
      <c r="S2799" s="3" t="s">
        <v>30</v>
      </c>
      <c r="T2799" s="3" t="s">
        <v>35</v>
      </c>
      <c r="U2799" s="10">
        <v>0</v>
      </c>
      <c r="V2799" s="3">
        <v>0</v>
      </c>
      <c r="W2799" s="3">
        <f t="shared" si="439"/>
        <v>0</v>
      </c>
      <c r="AA2799" s="3">
        <v>48</v>
      </c>
    </row>
    <row r="2800" spans="1:27" x14ac:dyDescent="0.3">
      <c r="A2800" s="3" t="str">
        <f t="shared" si="430"/>
        <v>East9320039900310</v>
      </c>
      <c r="B2800" s="3" t="str">
        <f t="shared" si="431"/>
        <v>KGP9320039900310</v>
      </c>
      <c r="C2800" s="10">
        <v>9320039900310</v>
      </c>
      <c r="D2800" s="10" t="str">
        <f t="shared" si="432"/>
        <v>9320039900</v>
      </c>
      <c r="E2800" s="3" t="s">
        <v>6</v>
      </c>
      <c r="F2800" s="3" t="s">
        <v>66</v>
      </c>
      <c r="H2800" s="3">
        <v>8.59</v>
      </c>
      <c r="I2800" s="10">
        <f t="shared" si="433"/>
        <v>27.554113843623231</v>
      </c>
      <c r="J2800" s="3">
        <v>9.3525054539047989</v>
      </c>
      <c r="K2800" s="3">
        <v>24</v>
      </c>
      <c r="L2800" s="3">
        <f t="shared" si="434"/>
        <v>0</v>
      </c>
      <c r="N2800" s="11">
        <f t="shared" si="435"/>
        <v>-0.76250545390479907</v>
      </c>
      <c r="O2800" s="3">
        <v>9.3525054539047989</v>
      </c>
      <c r="P2800" s="11">
        <f t="shared" si="436"/>
        <v>-2.4458861563767682</v>
      </c>
      <c r="Q2800" s="12">
        <f t="shared" si="437"/>
        <v>-2.4458861563767682</v>
      </c>
      <c r="R2800" s="13">
        <f t="shared" si="438"/>
        <v>11.051869163953389</v>
      </c>
      <c r="S2800" s="3" t="s">
        <v>30</v>
      </c>
      <c r="T2800" s="3" t="s">
        <v>28</v>
      </c>
      <c r="U2800" s="10">
        <v>9320039900999</v>
      </c>
      <c r="V2800" s="3">
        <v>0.1</v>
      </c>
      <c r="W2800" s="3">
        <f t="shared" si="439"/>
        <v>2.4000000000000004</v>
      </c>
      <c r="AA2800" s="3">
        <v>48</v>
      </c>
    </row>
    <row r="2801" spans="1:27" x14ac:dyDescent="0.3">
      <c r="A2801" s="3" t="str">
        <f t="shared" si="430"/>
        <v>East9360119922310</v>
      </c>
      <c r="B2801" s="3" t="str">
        <f t="shared" si="431"/>
        <v>KGP9360119922310</v>
      </c>
      <c r="C2801" s="10">
        <v>9360119922310</v>
      </c>
      <c r="D2801" s="10" t="str">
        <f t="shared" si="432"/>
        <v>9360119922</v>
      </c>
      <c r="E2801" s="3" t="s">
        <v>6</v>
      </c>
      <c r="F2801" s="3" t="s">
        <v>66</v>
      </c>
      <c r="H2801" s="3">
        <v>8.8300000000000018</v>
      </c>
      <c r="I2801" s="10">
        <f t="shared" si="433"/>
        <v>28.396674272111543</v>
      </c>
      <c r="J2801" s="3">
        <v>9.3285571916482883</v>
      </c>
      <c r="K2801" s="3">
        <v>12</v>
      </c>
      <c r="L2801" s="3">
        <f t="shared" si="434"/>
        <v>0</v>
      </c>
      <c r="N2801" s="11">
        <f t="shared" si="435"/>
        <v>-0.49855719164828649</v>
      </c>
      <c r="O2801" s="3">
        <v>9.3285571916482883</v>
      </c>
      <c r="P2801" s="11">
        <f t="shared" si="436"/>
        <v>-1.6033257278884572</v>
      </c>
      <c r="Q2801" s="12">
        <f t="shared" si="437"/>
        <v>-1.6033257278884572</v>
      </c>
      <c r="R2801" s="13">
        <f t="shared" si="438"/>
        <v>13.901872457836575</v>
      </c>
      <c r="S2801" s="3" t="s">
        <v>30</v>
      </c>
      <c r="T2801" s="3" t="s">
        <v>33</v>
      </c>
      <c r="U2801" s="10">
        <v>9360119922999</v>
      </c>
      <c r="V2801" s="3">
        <v>0.1</v>
      </c>
      <c r="W2801" s="3">
        <f t="shared" si="439"/>
        <v>1.2000000000000002</v>
      </c>
      <c r="AA2801" s="3">
        <v>48</v>
      </c>
    </row>
    <row r="2802" spans="1:27" x14ac:dyDescent="0.3">
      <c r="A2802" s="3" t="str">
        <f t="shared" si="430"/>
        <v>East9100309901320</v>
      </c>
      <c r="B2802" s="3" t="str">
        <f t="shared" si="431"/>
        <v>KGP9100309901320</v>
      </c>
      <c r="C2802" s="10">
        <v>9100309901320</v>
      </c>
      <c r="D2802" s="10" t="str">
        <f t="shared" si="432"/>
        <v>9100309901</v>
      </c>
      <c r="E2802" s="3" t="s">
        <v>6</v>
      </c>
      <c r="F2802" s="3" t="s">
        <v>66</v>
      </c>
      <c r="H2802" s="3">
        <v>39.299999999999997</v>
      </c>
      <c r="I2802" s="10">
        <f t="shared" si="433"/>
        <v>128.3833515524195</v>
      </c>
      <c r="J2802" s="3">
        <v>9.1834337220789024</v>
      </c>
      <c r="K2802" s="3">
        <v>0</v>
      </c>
      <c r="L2802" s="3">
        <f t="shared" si="434"/>
        <v>0</v>
      </c>
      <c r="N2802" s="11">
        <f t="shared" si="435"/>
        <v>30.116566277921095</v>
      </c>
      <c r="O2802" s="3">
        <v>9.1834337220789024</v>
      </c>
      <c r="P2802" s="11">
        <f t="shared" si="436"/>
        <v>98.383351552419484</v>
      </c>
      <c r="Q2802" s="12">
        <f t="shared" si="437"/>
        <v>98.383351552419484</v>
      </c>
      <c r="R2802" s="13">
        <f t="shared" si="438"/>
        <v>38.292230513753402</v>
      </c>
      <c r="S2802" s="3" t="s">
        <v>29</v>
      </c>
      <c r="T2802" s="3" t="s">
        <v>34</v>
      </c>
      <c r="U2802" s="10">
        <v>0</v>
      </c>
      <c r="V2802" s="3">
        <v>0</v>
      </c>
      <c r="W2802" s="3">
        <f t="shared" si="439"/>
        <v>0</v>
      </c>
      <c r="AA2802" s="3">
        <v>48</v>
      </c>
    </row>
    <row r="2803" spans="1:27" x14ac:dyDescent="0.3">
      <c r="A2803" s="3" t="str">
        <f t="shared" si="430"/>
        <v>East9310019902219</v>
      </c>
      <c r="B2803" s="3" t="str">
        <f t="shared" si="431"/>
        <v>KGP9310019902219</v>
      </c>
      <c r="C2803" s="10">
        <v>9310019902219</v>
      </c>
      <c r="D2803" s="10" t="str">
        <f t="shared" si="432"/>
        <v>9310019902</v>
      </c>
      <c r="E2803" s="3" t="s">
        <v>6</v>
      </c>
      <c r="F2803" s="3" t="s">
        <v>66</v>
      </c>
      <c r="H2803" s="3">
        <v>18.681000000000001</v>
      </c>
      <c r="I2803" s="10">
        <f t="shared" si="433"/>
        <v>61.121207910829611</v>
      </c>
      <c r="J2803" s="3">
        <v>9.1691577957297152</v>
      </c>
      <c r="K2803" s="3">
        <v>0</v>
      </c>
      <c r="L2803" s="3">
        <f t="shared" si="434"/>
        <v>0</v>
      </c>
      <c r="N2803" s="11">
        <f t="shared" si="435"/>
        <v>9.5118422042702857</v>
      </c>
      <c r="O2803" s="3">
        <v>9.1691577957297152</v>
      </c>
      <c r="P2803" s="11">
        <f t="shared" si="436"/>
        <v>31.121207910829611</v>
      </c>
      <c r="Q2803" s="12">
        <f t="shared" si="437"/>
        <v>31.121207910829604</v>
      </c>
      <c r="R2803" s="13">
        <f t="shared" si="438"/>
        <v>23.550066035894439</v>
      </c>
      <c r="S2803" s="3" t="s">
        <v>30</v>
      </c>
      <c r="T2803" s="3" t="s">
        <v>32</v>
      </c>
      <c r="U2803" s="10">
        <v>9310019900999</v>
      </c>
      <c r="V2803" s="3">
        <v>0.1</v>
      </c>
      <c r="W2803" s="3">
        <f t="shared" si="439"/>
        <v>0</v>
      </c>
      <c r="AA2803" s="3">
        <v>48</v>
      </c>
    </row>
    <row r="2804" spans="1:27" x14ac:dyDescent="0.3">
      <c r="A2804" s="3" t="str">
        <f t="shared" si="430"/>
        <v>East9101109900320</v>
      </c>
      <c r="B2804" s="3" t="str">
        <f t="shared" si="431"/>
        <v>KGP9101109900320</v>
      </c>
      <c r="C2804" s="10">
        <v>9101109900320</v>
      </c>
      <c r="D2804" s="10" t="str">
        <f t="shared" si="432"/>
        <v>9101109900</v>
      </c>
      <c r="E2804" s="3" t="s">
        <v>6</v>
      </c>
      <c r="F2804" s="3" t="s">
        <v>66</v>
      </c>
      <c r="H2804" s="3">
        <v>47.039999999999992</v>
      </c>
      <c r="I2804" s="10">
        <f t="shared" si="433"/>
        <v>154.83961885957345</v>
      </c>
      <c r="J2804" s="3">
        <v>9.1139464847161626</v>
      </c>
      <c r="K2804" s="3">
        <v>0</v>
      </c>
      <c r="L2804" s="3">
        <f t="shared" si="434"/>
        <v>0</v>
      </c>
      <c r="N2804" s="11">
        <f t="shared" si="435"/>
        <v>37.926053515283826</v>
      </c>
      <c r="O2804" s="3">
        <v>9.1139464847161626</v>
      </c>
      <c r="P2804" s="11">
        <f t="shared" si="436"/>
        <v>124.83961885957342</v>
      </c>
      <c r="Q2804" s="12">
        <f t="shared" si="437"/>
        <v>124.83961885957343</v>
      </c>
      <c r="R2804" s="13">
        <f t="shared" si="438"/>
        <v>45.040599103158151</v>
      </c>
      <c r="S2804" s="3" t="s">
        <v>29</v>
      </c>
      <c r="T2804" s="3" t="s">
        <v>34</v>
      </c>
      <c r="U2804" s="10">
        <v>0</v>
      </c>
      <c r="V2804" s="3">
        <v>0</v>
      </c>
      <c r="W2804" s="3">
        <f t="shared" si="439"/>
        <v>0</v>
      </c>
      <c r="AA2804" s="3">
        <v>48</v>
      </c>
    </row>
    <row r="2805" spans="1:27" x14ac:dyDescent="0.3">
      <c r="A2805" s="3" t="str">
        <f t="shared" si="430"/>
        <v>East9160709901320</v>
      </c>
      <c r="B2805" s="3" t="str">
        <f t="shared" si="431"/>
        <v>KGP9160709901320</v>
      </c>
      <c r="C2805" s="10">
        <v>9160709901320</v>
      </c>
      <c r="D2805" s="10" t="str">
        <f t="shared" si="432"/>
        <v>9160709901</v>
      </c>
      <c r="E2805" s="3" t="s">
        <v>6</v>
      </c>
      <c r="F2805" s="3" t="s">
        <v>66</v>
      </c>
      <c r="H2805" s="3">
        <v>19.179999999999996</v>
      </c>
      <c r="I2805" s="10">
        <f t="shared" si="433"/>
        <v>63.963720569317651</v>
      </c>
      <c r="J2805" s="3">
        <v>8.9957243712306791</v>
      </c>
      <c r="K2805" s="3">
        <v>0</v>
      </c>
      <c r="L2805" s="3">
        <f t="shared" si="434"/>
        <v>0</v>
      </c>
      <c r="N2805" s="11">
        <f t="shared" si="435"/>
        <v>10.184275628769317</v>
      </c>
      <c r="O2805" s="3">
        <v>8.9957243712306791</v>
      </c>
      <c r="P2805" s="11">
        <f t="shared" si="436"/>
        <v>33.963720569317651</v>
      </c>
      <c r="Q2805" s="12">
        <f t="shared" si="437"/>
        <v>33.963720569317651</v>
      </c>
      <c r="R2805" s="13">
        <f t="shared" si="438"/>
        <v>51.151619002309836</v>
      </c>
      <c r="S2805" s="3" t="s">
        <v>29</v>
      </c>
      <c r="T2805" s="3" t="s">
        <v>34</v>
      </c>
      <c r="U2805" s="10">
        <v>0</v>
      </c>
      <c r="V2805" s="3">
        <v>0</v>
      </c>
      <c r="W2805" s="3">
        <f t="shared" si="439"/>
        <v>0</v>
      </c>
      <c r="AA2805" s="3">
        <v>48</v>
      </c>
    </row>
    <row r="2806" spans="1:27" x14ac:dyDescent="0.3">
      <c r="A2806" s="3" t="str">
        <f t="shared" si="430"/>
        <v>East9100509901320</v>
      </c>
      <c r="B2806" s="3" t="str">
        <f t="shared" si="431"/>
        <v>KGP9100509901320</v>
      </c>
      <c r="C2806" s="10">
        <v>9100509901320</v>
      </c>
      <c r="D2806" s="10" t="str">
        <f t="shared" si="432"/>
        <v>9100509901</v>
      </c>
      <c r="E2806" s="3" t="s">
        <v>6</v>
      </c>
      <c r="F2806" s="3" t="s">
        <v>66</v>
      </c>
      <c r="H2806" s="3">
        <v>15.659999999999998</v>
      </c>
      <c r="I2806" s="10">
        <f t="shared" si="433"/>
        <v>52.918148125029973</v>
      </c>
      <c r="J2806" s="3">
        <v>8.8778616910403052</v>
      </c>
      <c r="K2806" s="3">
        <v>0</v>
      </c>
      <c r="L2806" s="3">
        <f t="shared" si="434"/>
        <v>0</v>
      </c>
      <c r="N2806" s="11">
        <f t="shared" si="435"/>
        <v>6.7821383089596932</v>
      </c>
      <c r="O2806" s="3">
        <v>8.8778616910403052</v>
      </c>
      <c r="P2806" s="11">
        <f t="shared" si="436"/>
        <v>22.918148125029973</v>
      </c>
      <c r="Q2806" s="12">
        <f t="shared" si="437"/>
        <v>22.918148125029973</v>
      </c>
      <c r="R2806" s="13">
        <f t="shared" si="438"/>
        <v>43.827287758389929</v>
      </c>
      <c r="S2806" s="3" t="s">
        <v>30</v>
      </c>
      <c r="T2806" s="3" t="s">
        <v>34</v>
      </c>
      <c r="U2806" s="10">
        <v>0</v>
      </c>
      <c r="V2806" s="3">
        <v>0</v>
      </c>
      <c r="W2806" s="3">
        <f t="shared" si="439"/>
        <v>0</v>
      </c>
      <c r="AA2806" s="3">
        <v>48</v>
      </c>
    </row>
    <row r="2807" spans="1:27" x14ac:dyDescent="0.3">
      <c r="A2807" s="3" t="str">
        <f t="shared" si="430"/>
        <v>East9420059902838</v>
      </c>
      <c r="B2807" s="3" t="str">
        <f t="shared" si="431"/>
        <v>KGP9420059902838</v>
      </c>
      <c r="C2807" s="10">
        <v>9420059902838</v>
      </c>
      <c r="D2807" s="10" t="str">
        <f t="shared" si="432"/>
        <v>9420059902</v>
      </c>
      <c r="E2807" s="3" t="s">
        <v>6</v>
      </c>
      <c r="F2807" s="3" t="s">
        <v>66</v>
      </c>
      <c r="H2807" s="3">
        <v>1.5694000000000001</v>
      </c>
      <c r="I2807" s="10">
        <f t="shared" si="433"/>
        <v>5.3852495977754202</v>
      </c>
      <c r="J2807" s="3">
        <v>8.7427702551519602</v>
      </c>
      <c r="K2807" s="3">
        <v>12</v>
      </c>
      <c r="L2807" s="3">
        <f t="shared" si="434"/>
        <v>0</v>
      </c>
      <c r="N2807" s="11">
        <f t="shared" si="435"/>
        <v>-7.1733702551519603</v>
      </c>
      <c r="O2807" s="3">
        <v>8.7427702551519602</v>
      </c>
      <c r="P2807" s="11">
        <f t="shared" si="436"/>
        <v>-24.61475040222458</v>
      </c>
      <c r="Q2807" s="12">
        <f t="shared" si="437"/>
        <v>-24.61475040222458</v>
      </c>
      <c r="R2807" s="13">
        <f t="shared" si="438"/>
        <v>-19.691088593934413</v>
      </c>
      <c r="S2807" s="3" t="s">
        <v>31</v>
      </c>
      <c r="T2807" s="3" t="s">
        <v>28</v>
      </c>
      <c r="U2807" s="10">
        <v>0</v>
      </c>
      <c r="V2807" s="3">
        <v>0</v>
      </c>
      <c r="W2807" s="3">
        <f t="shared" si="439"/>
        <v>0</v>
      </c>
      <c r="AA2807" s="3">
        <v>48</v>
      </c>
    </row>
    <row r="2808" spans="1:27" x14ac:dyDescent="0.3">
      <c r="A2808" s="3" t="str">
        <f t="shared" si="430"/>
        <v>East9432009902838</v>
      </c>
      <c r="B2808" s="3" t="str">
        <f t="shared" si="431"/>
        <v>KGP9432009902838</v>
      </c>
      <c r="C2808" s="10">
        <v>9432009902838</v>
      </c>
      <c r="D2808" s="10" t="str">
        <f t="shared" si="432"/>
        <v>9432009902</v>
      </c>
      <c r="E2808" s="3" t="s">
        <v>6</v>
      </c>
      <c r="F2808" s="3" t="s">
        <v>66</v>
      </c>
      <c r="H2808" s="3">
        <v>22.1996</v>
      </c>
      <c r="I2808" s="10">
        <f t="shared" si="433"/>
        <v>76.764755035472135</v>
      </c>
      <c r="J2808" s="3">
        <v>8.6757001919989758</v>
      </c>
      <c r="K2808" s="3">
        <v>0</v>
      </c>
      <c r="L2808" s="3">
        <f t="shared" si="434"/>
        <v>0</v>
      </c>
      <c r="N2808" s="11">
        <f t="shared" si="435"/>
        <v>13.523899808001024</v>
      </c>
      <c r="O2808" s="3">
        <v>8.6757001919989758</v>
      </c>
      <c r="P2808" s="11">
        <f t="shared" si="436"/>
        <v>46.764755035472142</v>
      </c>
      <c r="Q2808" s="12">
        <f t="shared" si="437"/>
        <v>46.764755035472142</v>
      </c>
      <c r="R2808" s="13">
        <f t="shared" si="438"/>
        <v>19.801120837885417</v>
      </c>
      <c r="S2808" s="3" t="s">
        <v>30</v>
      </c>
      <c r="T2808" s="3" t="s">
        <v>35</v>
      </c>
      <c r="U2808" s="10">
        <v>0</v>
      </c>
      <c r="V2808" s="3">
        <v>0</v>
      </c>
      <c r="W2808" s="3">
        <f t="shared" si="439"/>
        <v>0</v>
      </c>
      <c r="AA2808" s="3">
        <v>48</v>
      </c>
    </row>
    <row r="2809" spans="1:27" x14ac:dyDescent="0.3">
      <c r="A2809" s="3" t="str">
        <f t="shared" si="430"/>
        <v>East9437019900210</v>
      </c>
      <c r="B2809" s="3" t="str">
        <f t="shared" si="431"/>
        <v>KGP9437019900210</v>
      </c>
      <c r="C2809" s="10">
        <v>9437019900210</v>
      </c>
      <c r="D2809" s="10" t="str">
        <f t="shared" si="432"/>
        <v>9437019900</v>
      </c>
      <c r="E2809" s="3" t="s">
        <v>6</v>
      </c>
      <c r="F2809" s="3" t="s">
        <v>66</v>
      </c>
      <c r="H2809" s="3">
        <v>17.343</v>
      </c>
      <c r="I2809" s="10">
        <f t="shared" si="433"/>
        <v>60.558828783714638</v>
      </c>
      <c r="J2809" s="3">
        <v>8.5914805561747496</v>
      </c>
      <c r="K2809" s="3">
        <v>0</v>
      </c>
      <c r="L2809" s="3">
        <f t="shared" si="434"/>
        <v>0</v>
      </c>
      <c r="N2809" s="11">
        <f t="shared" si="435"/>
        <v>8.7515194438252504</v>
      </c>
      <c r="O2809" s="3">
        <v>8.5914805561747496</v>
      </c>
      <c r="P2809" s="11">
        <f t="shared" si="436"/>
        <v>30.558828783714628</v>
      </c>
      <c r="Q2809" s="12">
        <f t="shared" si="437"/>
        <v>30.558828783714628</v>
      </c>
      <c r="R2809" s="13">
        <f t="shared" si="438"/>
        <v>21.676130298195474</v>
      </c>
      <c r="S2809" s="3" t="s">
        <v>30</v>
      </c>
      <c r="T2809" s="3" t="s">
        <v>35</v>
      </c>
      <c r="U2809" s="10">
        <v>0</v>
      </c>
      <c r="V2809" s="3">
        <v>0</v>
      </c>
      <c r="W2809" s="3">
        <f t="shared" si="439"/>
        <v>0</v>
      </c>
      <c r="AA2809" s="3">
        <v>48</v>
      </c>
    </row>
    <row r="2810" spans="1:27" x14ac:dyDescent="0.3">
      <c r="A2810" s="3" t="str">
        <f t="shared" si="430"/>
        <v>East9432029901320</v>
      </c>
      <c r="B2810" s="3" t="str">
        <f t="shared" si="431"/>
        <v>KGP9432029901320</v>
      </c>
      <c r="C2810" s="10">
        <v>9432029901320</v>
      </c>
      <c r="D2810" s="10" t="str">
        <f t="shared" si="432"/>
        <v>9432029901</v>
      </c>
      <c r="E2810" s="3" t="s">
        <v>6</v>
      </c>
      <c r="F2810" s="3" t="s">
        <v>66</v>
      </c>
      <c r="H2810" s="3">
        <v>58.58</v>
      </c>
      <c r="I2810" s="10">
        <f t="shared" si="433"/>
        <v>211.02758520444445</v>
      </c>
      <c r="J2810" s="3">
        <v>8.3278212101864462</v>
      </c>
      <c r="K2810" s="3">
        <v>0</v>
      </c>
      <c r="L2810" s="3">
        <f t="shared" si="434"/>
        <v>0</v>
      </c>
      <c r="N2810" s="11">
        <f t="shared" si="435"/>
        <v>50.252178789813556</v>
      </c>
      <c r="O2810" s="3">
        <v>8.3278212101864462</v>
      </c>
      <c r="P2810" s="11">
        <f t="shared" si="436"/>
        <v>181.02758520444445</v>
      </c>
      <c r="Q2810" s="12">
        <f t="shared" si="437"/>
        <v>181.02758520444445</v>
      </c>
      <c r="R2810" s="13">
        <f t="shared" si="438"/>
        <v>34.940925816612058</v>
      </c>
      <c r="S2810" s="3" t="s">
        <v>31</v>
      </c>
      <c r="T2810" s="3" t="s">
        <v>35</v>
      </c>
      <c r="U2810" s="10">
        <v>9432029900999</v>
      </c>
      <c r="V2810" s="3">
        <v>0.1</v>
      </c>
      <c r="W2810" s="3">
        <f t="shared" si="439"/>
        <v>0</v>
      </c>
      <c r="AA2810" s="3">
        <v>48</v>
      </c>
    </row>
    <row r="2811" spans="1:27" x14ac:dyDescent="0.3">
      <c r="A2811" s="3" t="str">
        <f t="shared" si="430"/>
        <v>East9420059902295</v>
      </c>
      <c r="B2811" s="3" t="str">
        <f t="shared" si="431"/>
        <v>KGP9420059902295</v>
      </c>
      <c r="C2811" s="10">
        <v>9420059902295</v>
      </c>
      <c r="D2811" s="10" t="str">
        <f t="shared" si="432"/>
        <v>9420059902</v>
      </c>
      <c r="E2811" s="3" t="s">
        <v>6</v>
      </c>
      <c r="F2811" s="3" t="s">
        <v>66</v>
      </c>
      <c r="H2811" s="3">
        <v>10.516500000000001</v>
      </c>
      <c r="I2811" s="10">
        <f t="shared" si="433"/>
        <v>38.070330217364948</v>
      </c>
      <c r="J2811" s="3">
        <v>8.2871621601037191</v>
      </c>
      <c r="K2811" s="3">
        <v>12</v>
      </c>
      <c r="L2811" s="3">
        <f t="shared" si="434"/>
        <v>0</v>
      </c>
      <c r="N2811" s="11">
        <f t="shared" si="435"/>
        <v>2.2293378398962815</v>
      </c>
      <c r="O2811" s="3">
        <v>8.2871621601037191</v>
      </c>
      <c r="P2811" s="11">
        <f t="shared" si="436"/>
        <v>8.0703302173649512</v>
      </c>
      <c r="Q2811" s="12">
        <f t="shared" si="437"/>
        <v>8.0703302173649512</v>
      </c>
      <c r="R2811" s="13">
        <f t="shared" si="438"/>
        <v>18.893711823657888</v>
      </c>
      <c r="S2811" s="3" t="s">
        <v>31</v>
      </c>
      <c r="T2811" s="3" t="s">
        <v>28</v>
      </c>
      <c r="U2811" s="10">
        <v>9420059900999</v>
      </c>
      <c r="V2811" s="3">
        <v>0.1</v>
      </c>
      <c r="W2811" s="3">
        <f t="shared" si="439"/>
        <v>1.2000000000000002</v>
      </c>
      <c r="AA2811" s="3">
        <v>48</v>
      </c>
    </row>
    <row r="2812" spans="1:27" x14ac:dyDescent="0.3">
      <c r="A2812" s="3" t="str">
        <f t="shared" si="430"/>
        <v>East9181909900320</v>
      </c>
      <c r="B2812" s="3" t="str">
        <f t="shared" si="431"/>
        <v>KGP9181909900320</v>
      </c>
      <c r="C2812" s="10">
        <v>9181909900320</v>
      </c>
      <c r="D2812" s="10" t="str">
        <f t="shared" si="432"/>
        <v>9181909900</v>
      </c>
      <c r="E2812" s="3" t="s">
        <v>6</v>
      </c>
      <c r="F2812" s="3" t="s">
        <v>66</v>
      </c>
      <c r="H2812" s="3">
        <v>24.24</v>
      </c>
      <c r="I2812" s="10">
        <f t="shared" si="433"/>
        <v>92.628554865385425</v>
      </c>
      <c r="J2812" s="3">
        <v>7.8507108424267225</v>
      </c>
      <c r="K2812" s="3">
        <v>0</v>
      </c>
      <c r="L2812" s="3">
        <f t="shared" si="434"/>
        <v>0</v>
      </c>
      <c r="N2812" s="11">
        <f t="shared" si="435"/>
        <v>16.389289157573277</v>
      </c>
      <c r="O2812" s="3">
        <v>7.8507108424267225</v>
      </c>
      <c r="P2812" s="11">
        <f t="shared" si="436"/>
        <v>62.628554865385439</v>
      </c>
      <c r="Q2812" s="12">
        <f t="shared" si="437"/>
        <v>62.628554865385439</v>
      </c>
      <c r="R2812" s="13">
        <f t="shared" si="438"/>
        <v>60.235150093965217</v>
      </c>
      <c r="S2812" s="3" t="s">
        <v>30</v>
      </c>
      <c r="T2812" s="3" t="s">
        <v>34</v>
      </c>
      <c r="U2812" s="10">
        <v>0</v>
      </c>
      <c r="V2812" s="3">
        <v>0</v>
      </c>
      <c r="W2812" s="3">
        <f t="shared" si="439"/>
        <v>0</v>
      </c>
      <c r="AA2812" s="3">
        <v>48</v>
      </c>
    </row>
    <row r="2813" spans="1:27" x14ac:dyDescent="0.3">
      <c r="A2813" s="3" t="str">
        <f t="shared" si="430"/>
        <v>East9432009900310</v>
      </c>
      <c r="B2813" s="3" t="str">
        <f t="shared" si="431"/>
        <v>KGP9432009900310</v>
      </c>
      <c r="C2813" s="10">
        <v>9432009900310</v>
      </c>
      <c r="D2813" s="10" t="str">
        <f t="shared" si="432"/>
        <v>9432009900</v>
      </c>
      <c r="E2813" s="3" t="s">
        <v>6</v>
      </c>
      <c r="F2813" s="3" t="s">
        <v>66</v>
      </c>
      <c r="H2813" s="3">
        <v>18</v>
      </c>
      <c r="I2813" s="10">
        <f t="shared" si="433"/>
        <v>69.85314526580278</v>
      </c>
      <c r="J2813" s="3">
        <v>7.7305037295773964</v>
      </c>
      <c r="K2813" s="3">
        <v>0</v>
      </c>
      <c r="L2813" s="3">
        <f t="shared" si="434"/>
        <v>0</v>
      </c>
      <c r="N2813" s="11">
        <f t="shared" si="435"/>
        <v>10.269496270422604</v>
      </c>
      <c r="O2813" s="3">
        <v>7.7305037295773964</v>
      </c>
      <c r="P2813" s="11">
        <f t="shared" si="436"/>
        <v>39.853145265802773</v>
      </c>
      <c r="Q2813" s="12">
        <f t="shared" si="437"/>
        <v>39.85314526580278</v>
      </c>
      <c r="R2813" s="13">
        <f t="shared" si="438"/>
        <v>13.907087089372547</v>
      </c>
      <c r="S2813" s="3" t="s">
        <v>30</v>
      </c>
      <c r="T2813" s="3" t="s">
        <v>35</v>
      </c>
      <c r="U2813" s="10">
        <v>9432009900999</v>
      </c>
      <c r="V2813" s="3">
        <v>0.1</v>
      </c>
      <c r="W2813" s="3">
        <f t="shared" si="439"/>
        <v>0</v>
      </c>
      <c r="AA2813" s="3">
        <v>48</v>
      </c>
    </row>
    <row r="2814" spans="1:27" x14ac:dyDescent="0.3">
      <c r="A2814" s="3" t="str">
        <f t="shared" si="430"/>
        <v>East9320039905219</v>
      </c>
      <c r="B2814" s="3" t="str">
        <f t="shared" si="431"/>
        <v>KGP9320039905219</v>
      </c>
      <c r="C2814" s="10">
        <v>9320039905219</v>
      </c>
      <c r="D2814" s="10" t="str">
        <f t="shared" si="432"/>
        <v>9320039905</v>
      </c>
      <c r="E2814" s="3" t="s">
        <v>6</v>
      </c>
      <c r="F2814" s="3" t="s">
        <v>66</v>
      </c>
      <c r="H2814" s="3">
        <v>19.968000000000011</v>
      </c>
      <c r="I2814" s="10">
        <f t="shared" si="433"/>
        <v>77.59854797881323</v>
      </c>
      <c r="J2814" s="3">
        <v>7.719732077506869</v>
      </c>
      <c r="K2814" s="3">
        <v>0</v>
      </c>
      <c r="L2814" s="3">
        <f t="shared" si="434"/>
        <v>0</v>
      </c>
      <c r="N2814" s="11">
        <f t="shared" si="435"/>
        <v>12.248267922493142</v>
      </c>
      <c r="O2814" s="3">
        <v>7.719732077506869</v>
      </c>
      <c r="P2814" s="11">
        <f t="shared" si="436"/>
        <v>47.59854797881323</v>
      </c>
      <c r="Q2814" s="12">
        <f t="shared" si="437"/>
        <v>47.59854797881323</v>
      </c>
      <c r="R2814" s="13">
        <f t="shared" si="438"/>
        <v>65.456050892994426</v>
      </c>
      <c r="S2814" s="3" t="s">
        <v>31</v>
      </c>
      <c r="T2814" s="3" t="s">
        <v>28</v>
      </c>
      <c r="U2814" s="10">
        <v>9320039900999</v>
      </c>
      <c r="V2814" s="3">
        <v>0.1</v>
      </c>
      <c r="W2814" s="3">
        <f t="shared" si="439"/>
        <v>0</v>
      </c>
      <c r="AA2814" s="3">
        <v>48</v>
      </c>
    </row>
    <row r="2815" spans="1:27" x14ac:dyDescent="0.3">
      <c r="A2815" s="3" t="str">
        <f t="shared" si="430"/>
        <v>East9420059902319</v>
      </c>
      <c r="B2815" s="3" t="str">
        <f t="shared" si="431"/>
        <v>KGP9420059902319</v>
      </c>
      <c r="C2815" s="10">
        <v>9420059902319</v>
      </c>
      <c r="D2815" s="10" t="str">
        <f t="shared" si="432"/>
        <v>9420059902</v>
      </c>
      <c r="E2815" s="3" t="s">
        <v>6</v>
      </c>
      <c r="F2815" s="3" t="s">
        <v>66</v>
      </c>
      <c r="H2815" s="3">
        <v>21.907</v>
      </c>
      <c r="I2815" s="10">
        <f t="shared" si="433"/>
        <v>86.170753633935519</v>
      </c>
      <c r="J2815" s="3">
        <v>7.6268336098337128</v>
      </c>
      <c r="K2815" s="3">
        <v>0</v>
      </c>
      <c r="L2815" s="3">
        <f t="shared" si="434"/>
        <v>0</v>
      </c>
      <c r="N2815" s="11">
        <f t="shared" si="435"/>
        <v>14.280166390166286</v>
      </c>
      <c r="O2815" s="3">
        <v>7.6268336098337128</v>
      </c>
      <c r="P2815" s="11">
        <f t="shared" si="436"/>
        <v>56.170753633935519</v>
      </c>
      <c r="Q2815" s="12">
        <f t="shared" si="437"/>
        <v>56.170753633935519</v>
      </c>
      <c r="R2815" s="13">
        <f t="shared" si="438"/>
        <v>170.75579655594075</v>
      </c>
      <c r="S2815" s="3" t="s">
        <v>31</v>
      </c>
      <c r="T2815" s="3" t="s">
        <v>28</v>
      </c>
      <c r="U2815" s="10">
        <v>9420059900999</v>
      </c>
      <c r="V2815" s="3">
        <v>0.1</v>
      </c>
      <c r="W2815" s="3">
        <f t="shared" si="439"/>
        <v>0</v>
      </c>
      <c r="AA2815" s="3">
        <v>48</v>
      </c>
    </row>
    <row r="2816" spans="1:27" x14ac:dyDescent="0.3">
      <c r="A2816" s="3" t="str">
        <f t="shared" si="430"/>
        <v>East9432019901210</v>
      </c>
      <c r="B2816" s="3" t="str">
        <f t="shared" si="431"/>
        <v>KGP9432019901210</v>
      </c>
      <c r="C2816" s="10">
        <v>9432019901210</v>
      </c>
      <c r="D2816" s="10" t="str">
        <f t="shared" si="432"/>
        <v>9432019901</v>
      </c>
      <c r="E2816" s="3" t="s">
        <v>6</v>
      </c>
      <c r="F2816" s="3" t="s">
        <v>66</v>
      </c>
      <c r="H2816" s="3">
        <v>5.7259999999999982</v>
      </c>
      <c r="I2816" s="10">
        <f t="shared" si="433"/>
        <v>25.084937518175611</v>
      </c>
      <c r="J2816" s="3">
        <v>6.8479341387848605</v>
      </c>
      <c r="K2816" s="3">
        <v>12</v>
      </c>
      <c r="L2816" s="3">
        <f t="shared" si="434"/>
        <v>0</v>
      </c>
      <c r="N2816" s="11">
        <f t="shared" si="435"/>
        <v>-1.1219341387848623</v>
      </c>
      <c r="O2816" s="3">
        <v>6.8479341387848605</v>
      </c>
      <c r="P2816" s="11">
        <f t="shared" si="436"/>
        <v>-4.9150624818243873</v>
      </c>
      <c r="Q2816" s="12">
        <f t="shared" si="437"/>
        <v>-4.9150624818243882</v>
      </c>
      <c r="R2816" s="13">
        <f t="shared" si="438"/>
        <v>24.563491916296034</v>
      </c>
      <c r="S2816" s="3" t="s">
        <v>30</v>
      </c>
      <c r="T2816" s="3" t="s">
        <v>35</v>
      </c>
      <c r="U2816" s="10">
        <v>0</v>
      </c>
      <c r="V2816" s="3">
        <v>0</v>
      </c>
      <c r="W2816" s="3">
        <f t="shared" si="439"/>
        <v>0</v>
      </c>
      <c r="AA2816" s="3">
        <v>48</v>
      </c>
    </row>
    <row r="2817" spans="1:27" x14ac:dyDescent="0.3">
      <c r="A2817" s="3" t="str">
        <f t="shared" si="430"/>
        <v>East9320019900840</v>
      </c>
      <c r="B2817" s="3" t="str">
        <f t="shared" si="431"/>
        <v>KGP9320019900840</v>
      </c>
      <c r="C2817" s="10">
        <v>9320019900840</v>
      </c>
      <c r="D2817" s="10" t="str">
        <f t="shared" si="432"/>
        <v>9320019900</v>
      </c>
      <c r="E2817" s="3" t="s">
        <v>6</v>
      </c>
      <c r="F2817" s="3" t="s">
        <v>66</v>
      </c>
      <c r="H2817" s="3">
        <v>18.512</v>
      </c>
      <c r="I2817" s="10">
        <f t="shared" si="433"/>
        <v>81.482048412116399</v>
      </c>
      <c r="J2817" s="3">
        <v>6.8157343957668326</v>
      </c>
      <c r="K2817" s="3">
        <v>0</v>
      </c>
      <c r="L2817" s="3">
        <f t="shared" si="434"/>
        <v>0</v>
      </c>
      <c r="N2817" s="11">
        <f t="shared" si="435"/>
        <v>11.696265604233169</v>
      </c>
      <c r="O2817" s="3">
        <v>6.8157343957668326</v>
      </c>
      <c r="P2817" s="11">
        <f t="shared" si="436"/>
        <v>51.482048412116406</v>
      </c>
      <c r="Q2817" s="12">
        <f t="shared" si="437"/>
        <v>51.482048412116413</v>
      </c>
      <c r="R2817" s="13">
        <f t="shared" si="438"/>
        <v>30.390251247234943</v>
      </c>
      <c r="S2817" s="3" t="s">
        <v>30</v>
      </c>
      <c r="T2817" s="3" t="s">
        <v>28</v>
      </c>
      <c r="U2817" s="10">
        <v>0</v>
      </c>
      <c r="V2817" s="3">
        <v>0</v>
      </c>
      <c r="W2817" s="3">
        <f t="shared" si="439"/>
        <v>0</v>
      </c>
      <c r="AA2817" s="3">
        <v>48</v>
      </c>
    </row>
    <row r="2818" spans="1:27" x14ac:dyDescent="0.3">
      <c r="A2818" s="3" t="str">
        <f t="shared" si="430"/>
        <v>East9420019901320</v>
      </c>
      <c r="B2818" s="3" t="str">
        <f t="shared" si="431"/>
        <v>KGP9420019901320</v>
      </c>
      <c r="C2818" s="10">
        <v>9420019901320</v>
      </c>
      <c r="D2818" s="10" t="str">
        <f t="shared" si="432"/>
        <v>9420019901</v>
      </c>
      <c r="E2818" s="3" t="s">
        <v>6</v>
      </c>
      <c r="F2818" s="3" t="s">
        <v>66</v>
      </c>
      <c r="H2818" s="3">
        <v>10.1</v>
      </c>
      <c r="I2818" s="10">
        <f t="shared" si="433"/>
        <v>44.561697143723514</v>
      </c>
      <c r="J2818" s="3">
        <v>6.7995614938709164</v>
      </c>
      <c r="K2818" s="3">
        <v>0</v>
      </c>
      <c r="L2818" s="3">
        <f t="shared" si="434"/>
        <v>0</v>
      </c>
      <c r="N2818" s="11">
        <f t="shared" si="435"/>
        <v>3.3004385061290833</v>
      </c>
      <c r="O2818" s="3">
        <v>6.7995614938709164</v>
      </c>
      <c r="P2818" s="11">
        <f t="shared" si="436"/>
        <v>14.561697143723512</v>
      </c>
      <c r="Q2818" s="12">
        <f t="shared" si="437"/>
        <v>14.561697143723512</v>
      </c>
      <c r="R2818" s="13">
        <f t="shared" si="438"/>
        <v>9.1596073909749496</v>
      </c>
      <c r="S2818" s="3" t="s">
        <v>30</v>
      </c>
      <c r="T2818" s="3" t="s">
        <v>28</v>
      </c>
      <c r="U2818" s="10">
        <v>9420019900999</v>
      </c>
      <c r="V2818" s="3">
        <v>0.1</v>
      </c>
      <c r="W2818" s="3">
        <f t="shared" si="439"/>
        <v>0</v>
      </c>
      <c r="AA2818" s="3">
        <v>48</v>
      </c>
    </row>
    <row r="2819" spans="1:27" x14ac:dyDescent="0.3">
      <c r="A2819" s="3" t="str">
        <f t="shared" si="430"/>
        <v>East9320029902839</v>
      </c>
      <c r="B2819" s="3" t="str">
        <f t="shared" si="431"/>
        <v>KGP9320029902839</v>
      </c>
      <c r="C2819" s="10">
        <v>9320029902839</v>
      </c>
      <c r="D2819" s="10" t="str">
        <f t="shared" si="432"/>
        <v>9320029902</v>
      </c>
      <c r="E2819" s="3" t="s">
        <v>6</v>
      </c>
      <c r="F2819" s="3" t="s">
        <v>66</v>
      </c>
      <c r="H2819" s="3">
        <v>17.5929</v>
      </c>
      <c r="I2819" s="10">
        <f t="shared" si="433"/>
        <v>77.651223026600675</v>
      </c>
      <c r="J2819" s="3">
        <v>6.7968923016086702</v>
      </c>
      <c r="K2819" s="3">
        <v>0</v>
      </c>
      <c r="L2819" s="3">
        <f t="shared" si="434"/>
        <v>0</v>
      </c>
      <c r="N2819" s="11">
        <f t="shared" si="435"/>
        <v>10.79600769839133</v>
      </c>
      <c r="O2819" s="3">
        <v>6.7968923016086702</v>
      </c>
      <c r="P2819" s="11">
        <f t="shared" si="436"/>
        <v>47.651223026600668</v>
      </c>
      <c r="Q2819" s="12">
        <f t="shared" si="437"/>
        <v>47.651223026600675</v>
      </c>
      <c r="R2819" s="13">
        <f t="shared" si="438"/>
        <v>29.839396520491132</v>
      </c>
      <c r="S2819" s="3" t="s">
        <v>30</v>
      </c>
      <c r="T2819" s="3" t="s">
        <v>28</v>
      </c>
      <c r="U2819" s="10">
        <v>0</v>
      </c>
      <c r="V2819" s="3">
        <v>0</v>
      </c>
      <c r="W2819" s="3">
        <f t="shared" si="439"/>
        <v>0</v>
      </c>
      <c r="AA2819" s="3">
        <v>48</v>
      </c>
    </row>
    <row r="2820" spans="1:27" x14ac:dyDescent="0.3">
      <c r="A2820" s="3" t="str">
        <f t="shared" ref="A2820:A2883" si="440">_xlfn.CONCAT(F2820,C2820)</f>
        <v>East9410019901320</v>
      </c>
      <c r="B2820" s="3" t="str">
        <f t="shared" ref="B2820:B2883" si="441">_xlfn.CONCAT(E2820,C2820)</f>
        <v>KGP9410019901320</v>
      </c>
      <c r="C2820" s="10">
        <v>9410019901320</v>
      </c>
      <c r="D2820" s="10" t="str">
        <f t="shared" ref="D2820:D2883" si="442">LEFT(C2820,10)</f>
        <v>9410019901</v>
      </c>
      <c r="E2820" s="3" t="s">
        <v>6</v>
      </c>
      <c r="F2820" s="3" t="s">
        <v>66</v>
      </c>
      <c r="H2820" s="3">
        <v>26.68</v>
      </c>
      <c r="I2820" s="10">
        <f t="shared" ref="I2820:I2883" si="443">IFERROR(H2820/J2820*30,0)</f>
        <v>117.83301147225136</v>
      </c>
      <c r="J2820" s="3">
        <v>6.7926635329055234</v>
      </c>
      <c r="K2820" s="3">
        <v>0</v>
      </c>
      <c r="L2820" s="3">
        <f t="shared" ref="L2820:L2883" si="444">M2820*G2820</f>
        <v>0</v>
      </c>
      <c r="N2820" s="11">
        <f t="shared" ref="N2820:N2883" si="445">H2820-J2820+L2820</f>
        <v>19.887336467094478</v>
      </c>
      <c r="O2820" s="3">
        <v>6.7926635329055234</v>
      </c>
      <c r="P2820" s="11">
        <f t="shared" ref="P2820:P2883" si="446">IF(O2820=0,9999,N2820/O2820*30)</f>
        <v>87.833011472251371</v>
      </c>
      <c r="Q2820" s="12">
        <f t="shared" ref="Q2820:Q2883" si="447">IF(SUMIF($A:$A,$A2820,$O:$O)=0,9999,SUMIF($A:$A,$A2820,$N:$N)*30/SUMIF($A:$A,$A2820,$O:$O))</f>
        <v>87.833011472251371</v>
      </c>
      <c r="R2820" s="13">
        <f t="shared" ref="R2820:R2883" si="448">IF(SUMIF($C:$C,$C2820,$O:$O)=0,9999,SUMIF($C:$C,$C2820,$N:$N)*30/SUMIF($C:$C,$C2820,$O:$O))</f>
        <v>43.13809711858017</v>
      </c>
      <c r="S2820" s="3" t="s">
        <v>29</v>
      </c>
      <c r="T2820" s="3" t="s">
        <v>32</v>
      </c>
      <c r="U2820" s="10">
        <v>9410019900999</v>
      </c>
      <c r="V2820" s="3">
        <v>0.1</v>
      </c>
      <c r="W2820" s="3">
        <f t="shared" ref="W2820:W2883" si="449">IFERROR(K2820*V2820,0)</f>
        <v>0</v>
      </c>
      <c r="AA2820" s="3">
        <v>48</v>
      </c>
    </row>
    <row r="2821" spans="1:27" x14ac:dyDescent="0.3">
      <c r="A2821" s="3" t="str">
        <f t="shared" si="440"/>
        <v>East9420039902838</v>
      </c>
      <c r="B2821" s="3" t="str">
        <f t="shared" si="441"/>
        <v>KGP9420039902838</v>
      </c>
      <c r="C2821" s="10">
        <v>9420039902838</v>
      </c>
      <c r="D2821" s="10" t="str">
        <f t="shared" si="442"/>
        <v>9420039902</v>
      </c>
      <c r="E2821" s="3" t="s">
        <v>6</v>
      </c>
      <c r="F2821" s="3" t="s">
        <v>66</v>
      </c>
      <c r="H2821" s="3">
        <v>15.427999999999999</v>
      </c>
      <c r="I2821" s="10">
        <f t="shared" si="443"/>
        <v>69.460540751211568</v>
      </c>
      <c r="J2821" s="3">
        <v>6.6633515229569653</v>
      </c>
      <c r="K2821" s="3">
        <v>12</v>
      </c>
      <c r="L2821" s="3">
        <f t="shared" si="444"/>
        <v>0</v>
      </c>
      <c r="N2821" s="11">
        <f t="shared" si="445"/>
        <v>8.7646484770430337</v>
      </c>
      <c r="O2821" s="3">
        <v>6.6633515229569653</v>
      </c>
      <c r="P2821" s="11">
        <f t="shared" si="446"/>
        <v>39.460540751211575</v>
      </c>
      <c r="Q2821" s="12">
        <f t="shared" si="447"/>
        <v>39.460540751211568</v>
      </c>
      <c r="R2821" s="13">
        <f t="shared" si="448"/>
        <v>35.173429095369414</v>
      </c>
      <c r="S2821" s="3" t="s">
        <v>31</v>
      </c>
      <c r="T2821" s="3" t="s">
        <v>28</v>
      </c>
      <c r="U2821" s="10">
        <v>0</v>
      </c>
      <c r="V2821" s="3">
        <v>0</v>
      </c>
      <c r="W2821" s="3">
        <f t="shared" si="449"/>
        <v>0</v>
      </c>
      <c r="AA2821" s="3">
        <v>48</v>
      </c>
    </row>
    <row r="2822" spans="1:27" x14ac:dyDescent="0.3">
      <c r="A2822" s="3" t="str">
        <f t="shared" si="440"/>
        <v>East9360019900840</v>
      </c>
      <c r="B2822" s="3" t="str">
        <f t="shared" si="441"/>
        <v>KGP9360019900840</v>
      </c>
      <c r="C2822" s="10">
        <v>9360019900840</v>
      </c>
      <c r="D2822" s="10" t="str">
        <f t="shared" si="442"/>
        <v>9360019900</v>
      </c>
      <c r="E2822" s="3" t="s">
        <v>6</v>
      </c>
      <c r="F2822" s="3" t="s">
        <v>66</v>
      </c>
      <c r="H2822" s="3">
        <v>12.14</v>
      </c>
      <c r="I2822" s="10">
        <f t="shared" si="443"/>
        <v>55.021827437932437</v>
      </c>
      <c r="J2822" s="3">
        <v>6.6191912729695694</v>
      </c>
      <c r="K2822" s="3">
        <v>0</v>
      </c>
      <c r="L2822" s="3">
        <f t="shared" si="444"/>
        <v>0</v>
      </c>
      <c r="N2822" s="11">
        <f t="shared" si="445"/>
        <v>5.5208087270304311</v>
      </c>
      <c r="O2822" s="3">
        <v>6.6191912729695694</v>
      </c>
      <c r="P2822" s="11">
        <f t="shared" si="446"/>
        <v>25.021827437932441</v>
      </c>
      <c r="Q2822" s="12">
        <f t="shared" si="447"/>
        <v>25.021827437932441</v>
      </c>
      <c r="R2822" s="13">
        <f t="shared" si="448"/>
        <v>38.068005268363464</v>
      </c>
      <c r="S2822" s="3" t="s">
        <v>31</v>
      </c>
      <c r="T2822" s="3" t="s">
        <v>33</v>
      </c>
      <c r="U2822" s="10">
        <v>0</v>
      </c>
      <c r="V2822" s="3">
        <v>0</v>
      </c>
      <c r="W2822" s="3">
        <f t="shared" si="449"/>
        <v>0</v>
      </c>
      <c r="AA2822" s="3">
        <v>48</v>
      </c>
    </row>
    <row r="2823" spans="1:27" x14ac:dyDescent="0.3">
      <c r="A2823" s="3" t="str">
        <f t="shared" si="440"/>
        <v>East9420039901210</v>
      </c>
      <c r="B2823" s="3" t="str">
        <f t="shared" si="441"/>
        <v>KGP9420039901210</v>
      </c>
      <c r="C2823" s="10">
        <v>9420039901210</v>
      </c>
      <c r="D2823" s="10" t="str">
        <f t="shared" si="442"/>
        <v>9420039901</v>
      </c>
      <c r="E2823" s="3" t="s">
        <v>6</v>
      </c>
      <c r="F2823" s="3" t="s">
        <v>66</v>
      </c>
      <c r="H2823" s="3">
        <v>2.331</v>
      </c>
      <c r="I2823" s="10">
        <f t="shared" si="443"/>
        <v>10.575433624072472</v>
      </c>
      <c r="J2823" s="3">
        <v>6.6124948144746432</v>
      </c>
      <c r="K2823" s="3">
        <v>24</v>
      </c>
      <c r="L2823" s="3">
        <f t="shared" si="444"/>
        <v>0</v>
      </c>
      <c r="N2823" s="11">
        <f t="shared" si="445"/>
        <v>-4.2814948144746428</v>
      </c>
      <c r="O2823" s="3">
        <v>6.6124948144746432</v>
      </c>
      <c r="P2823" s="11">
        <f t="shared" si="446"/>
        <v>-19.424566375927526</v>
      </c>
      <c r="Q2823" s="12">
        <f t="shared" si="447"/>
        <v>-19.424566375927526</v>
      </c>
      <c r="R2823" s="13">
        <f t="shared" si="448"/>
        <v>-10.289621700239787</v>
      </c>
      <c r="S2823" s="3" t="s">
        <v>31</v>
      </c>
      <c r="T2823" s="3" t="s">
        <v>28</v>
      </c>
      <c r="U2823" s="10">
        <v>0</v>
      </c>
      <c r="V2823" s="3">
        <v>0</v>
      </c>
      <c r="W2823" s="3">
        <f t="shared" si="449"/>
        <v>0</v>
      </c>
      <c r="AA2823" s="3">
        <v>48</v>
      </c>
    </row>
    <row r="2824" spans="1:27" x14ac:dyDescent="0.3">
      <c r="A2824" s="3" t="str">
        <f t="shared" si="440"/>
        <v>East9330209902839</v>
      </c>
      <c r="B2824" s="3" t="str">
        <f t="shared" si="441"/>
        <v>KGP9330209902839</v>
      </c>
      <c r="C2824" s="10">
        <v>9330209902839</v>
      </c>
      <c r="D2824" s="10" t="str">
        <f t="shared" si="442"/>
        <v>9330209902</v>
      </c>
      <c r="E2824" s="3" t="s">
        <v>6</v>
      </c>
      <c r="F2824" s="3" t="s">
        <v>66</v>
      </c>
      <c r="H2824" s="3">
        <v>16.528200000000002</v>
      </c>
      <c r="I2824" s="10">
        <f t="shared" si="443"/>
        <v>75.523404321643469</v>
      </c>
      <c r="J2824" s="3">
        <v>6.5654614546804879</v>
      </c>
      <c r="K2824" s="3">
        <v>0</v>
      </c>
      <c r="L2824" s="3">
        <f t="shared" si="444"/>
        <v>0</v>
      </c>
      <c r="N2824" s="11">
        <f t="shared" si="445"/>
        <v>9.9627385453195139</v>
      </c>
      <c r="O2824" s="3">
        <v>6.5654614546804879</v>
      </c>
      <c r="P2824" s="11">
        <f t="shared" si="446"/>
        <v>45.523404321643483</v>
      </c>
      <c r="Q2824" s="12">
        <f t="shared" si="447"/>
        <v>45.523404321643476</v>
      </c>
      <c r="R2824" s="13">
        <f t="shared" si="448"/>
        <v>43.473852368581014</v>
      </c>
      <c r="S2824" s="3" t="s">
        <v>30</v>
      </c>
      <c r="T2824" s="3" t="s">
        <v>35</v>
      </c>
      <c r="U2824" s="10">
        <v>0</v>
      </c>
      <c r="V2824" s="3">
        <v>0</v>
      </c>
      <c r="W2824" s="3">
        <f t="shared" si="449"/>
        <v>0</v>
      </c>
      <c r="AA2824" s="3">
        <v>48</v>
      </c>
    </row>
    <row r="2825" spans="1:27" x14ac:dyDescent="0.3">
      <c r="A2825" s="3" t="str">
        <f t="shared" si="440"/>
        <v>East9330019900210</v>
      </c>
      <c r="B2825" s="3" t="str">
        <f t="shared" si="441"/>
        <v>KGP9330019900210</v>
      </c>
      <c r="C2825" s="10">
        <v>9330019900210</v>
      </c>
      <c r="D2825" s="10" t="str">
        <f t="shared" si="442"/>
        <v>9330019900</v>
      </c>
      <c r="E2825" s="3" t="s">
        <v>6</v>
      </c>
      <c r="F2825" s="3" t="s">
        <v>66</v>
      </c>
      <c r="H2825" s="3">
        <v>11.405999999999999</v>
      </c>
      <c r="I2825" s="10">
        <f t="shared" si="443"/>
        <v>52.663466446581197</v>
      </c>
      <c r="J2825" s="3">
        <v>6.4974834185495132</v>
      </c>
      <c r="K2825" s="3">
        <v>0</v>
      </c>
      <c r="L2825" s="3">
        <f t="shared" si="444"/>
        <v>0</v>
      </c>
      <c r="N2825" s="11">
        <f t="shared" si="445"/>
        <v>4.9085165814504856</v>
      </c>
      <c r="O2825" s="3">
        <v>6.4974834185495132</v>
      </c>
      <c r="P2825" s="11">
        <f t="shared" si="446"/>
        <v>22.663466446581197</v>
      </c>
      <c r="Q2825" s="12">
        <f t="shared" si="447"/>
        <v>22.663466446581197</v>
      </c>
      <c r="R2825" s="13">
        <f t="shared" si="448"/>
        <v>31.282836342770231</v>
      </c>
      <c r="S2825" s="3" t="s">
        <v>30</v>
      </c>
      <c r="T2825" s="3" t="s">
        <v>35</v>
      </c>
      <c r="U2825" s="10">
        <v>0</v>
      </c>
      <c r="V2825" s="3">
        <v>0</v>
      </c>
      <c r="W2825" s="3">
        <f t="shared" si="449"/>
        <v>0</v>
      </c>
      <c r="AA2825" s="3">
        <v>48</v>
      </c>
    </row>
    <row r="2826" spans="1:27" x14ac:dyDescent="0.3">
      <c r="A2826" s="3" t="str">
        <f t="shared" si="440"/>
        <v>East9431009905838</v>
      </c>
      <c r="B2826" s="3" t="str">
        <f t="shared" si="441"/>
        <v>KGP9431009905838</v>
      </c>
      <c r="C2826" s="10">
        <v>9431009905838</v>
      </c>
      <c r="D2826" s="10" t="str">
        <f t="shared" si="442"/>
        <v>9431009905</v>
      </c>
      <c r="E2826" s="3" t="s">
        <v>6</v>
      </c>
      <c r="F2826" s="3" t="s">
        <v>66</v>
      </c>
      <c r="H2826" s="3">
        <v>12.255000000000001</v>
      </c>
      <c r="I2826" s="10">
        <f t="shared" si="443"/>
        <v>57.212630047666195</v>
      </c>
      <c r="J2826" s="3">
        <v>6.426028653003641</v>
      </c>
      <c r="K2826" s="3">
        <v>0</v>
      </c>
      <c r="L2826" s="3">
        <f t="shared" si="444"/>
        <v>0</v>
      </c>
      <c r="N2826" s="11">
        <f t="shared" si="445"/>
        <v>5.8289713469963598</v>
      </c>
      <c r="O2826" s="3">
        <v>6.426028653003641</v>
      </c>
      <c r="P2826" s="11">
        <f t="shared" si="446"/>
        <v>27.212630047666192</v>
      </c>
      <c r="Q2826" s="12">
        <f t="shared" si="447"/>
        <v>27.212630047666195</v>
      </c>
      <c r="R2826" s="13">
        <f t="shared" si="448"/>
        <v>39.554596088203759</v>
      </c>
      <c r="S2826" s="3" t="s">
        <v>31</v>
      </c>
      <c r="T2826" s="3" t="s">
        <v>35</v>
      </c>
      <c r="U2826" s="10">
        <v>0</v>
      </c>
      <c r="V2826" s="3">
        <v>0</v>
      </c>
      <c r="W2826" s="3">
        <f t="shared" si="449"/>
        <v>0</v>
      </c>
      <c r="AA2826" s="3">
        <v>48</v>
      </c>
    </row>
    <row r="2827" spans="1:27" x14ac:dyDescent="0.3">
      <c r="A2827" s="3" t="str">
        <f t="shared" si="440"/>
        <v>East9360029900840</v>
      </c>
      <c r="B2827" s="3" t="str">
        <f t="shared" si="441"/>
        <v>KGP9360029900840</v>
      </c>
      <c r="C2827" s="10">
        <v>9360029900840</v>
      </c>
      <c r="D2827" s="10" t="str">
        <f t="shared" si="442"/>
        <v>9360029900</v>
      </c>
      <c r="E2827" s="3" t="s">
        <v>6</v>
      </c>
      <c r="F2827" s="3" t="s">
        <v>66</v>
      </c>
      <c r="H2827" s="3">
        <v>5.2120000000000015</v>
      </c>
      <c r="I2827" s="10">
        <f t="shared" si="443"/>
        <v>24.374224665688466</v>
      </c>
      <c r="J2827" s="3">
        <v>6.4149732820058727</v>
      </c>
      <c r="K2827" s="3">
        <v>12</v>
      </c>
      <c r="L2827" s="3">
        <f t="shared" si="444"/>
        <v>0</v>
      </c>
      <c r="N2827" s="11">
        <f t="shared" si="445"/>
        <v>-1.2029732820058712</v>
      </c>
      <c r="O2827" s="3">
        <v>6.4149732820058727</v>
      </c>
      <c r="P2827" s="11">
        <f t="shared" si="446"/>
        <v>-5.6257753343115322</v>
      </c>
      <c r="Q2827" s="12">
        <f t="shared" si="447"/>
        <v>-5.6257753343115322</v>
      </c>
      <c r="R2827" s="13">
        <f t="shared" si="448"/>
        <v>-5.4655961298356379</v>
      </c>
      <c r="S2827" s="3" t="s">
        <v>30</v>
      </c>
      <c r="T2827" s="3" t="s">
        <v>33</v>
      </c>
      <c r="U2827" s="10">
        <v>0</v>
      </c>
      <c r="V2827" s="3">
        <v>0</v>
      </c>
      <c r="W2827" s="3">
        <f t="shared" si="449"/>
        <v>0</v>
      </c>
      <c r="AA2827" s="3">
        <v>48</v>
      </c>
    </row>
    <row r="2828" spans="1:27" x14ac:dyDescent="0.3">
      <c r="A2828" s="3" t="str">
        <f t="shared" si="440"/>
        <v>East9420069900840</v>
      </c>
      <c r="B2828" s="3" t="str">
        <f t="shared" si="441"/>
        <v>KGP9420069900840</v>
      </c>
      <c r="C2828" s="10">
        <v>9420069900840</v>
      </c>
      <c r="D2828" s="10" t="str">
        <f t="shared" si="442"/>
        <v>9420069900</v>
      </c>
      <c r="E2828" s="3" t="s">
        <v>6</v>
      </c>
      <c r="F2828" s="3" t="s">
        <v>66</v>
      </c>
      <c r="H2828" s="3">
        <v>16.472000000000001</v>
      </c>
      <c r="I2828" s="10">
        <f t="shared" si="443"/>
        <v>77.555966937468824</v>
      </c>
      <c r="J2828" s="3">
        <v>6.3716567469067504</v>
      </c>
      <c r="K2828" s="3">
        <v>0</v>
      </c>
      <c r="L2828" s="3">
        <f t="shared" si="444"/>
        <v>0</v>
      </c>
      <c r="N2828" s="11">
        <f t="shared" si="445"/>
        <v>10.10034325309325</v>
      </c>
      <c r="O2828" s="3">
        <v>6.3716567469067504</v>
      </c>
      <c r="P2828" s="11">
        <f t="shared" si="446"/>
        <v>47.55596693746881</v>
      </c>
      <c r="Q2828" s="12">
        <f t="shared" si="447"/>
        <v>47.55596693746881</v>
      </c>
      <c r="R2828" s="13">
        <f t="shared" si="448"/>
        <v>25.660583345540346</v>
      </c>
      <c r="S2828" s="3" t="s">
        <v>30</v>
      </c>
      <c r="T2828" s="3" t="s">
        <v>28</v>
      </c>
      <c r="U2828" s="10">
        <v>0</v>
      </c>
      <c r="V2828" s="3">
        <v>0</v>
      </c>
      <c r="W2828" s="3">
        <f t="shared" si="449"/>
        <v>0</v>
      </c>
      <c r="AA2828" s="3">
        <v>48</v>
      </c>
    </row>
    <row r="2829" spans="1:27" x14ac:dyDescent="0.3">
      <c r="A2829" s="3" t="str">
        <f t="shared" si="440"/>
        <v>East9320039902839</v>
      </c>
      <c r="B2829" s="3" t="str">
        <f t="shared" si="441"/>
        <v>KGP9320039902839</v>
      </c>
      <c r="C2829" s="10">
        <v>9320039902839</v>
      </c>
      <c r="D2829" s="10" t="str">
        <f t="shared" si="442"/>
        <v>9320039902</v>
      </c>
      <c r="E2829" s="3" t="s">
        <v>6</v>
      </c>
      <c r="F2829" s="3" t="s">
        <v>66</v>
      </c>
      <c r="H2829" s="3">
        <v>15.5961</v>
      </c>
      <c r="I2829" s="10">
        <f t="shared" si="443"/>
        <v>73.445607299255542</v>
      </c>
      <c r="J2829" s="3">
        <v>6.3704694835404068</v>
      </c>
      <c r="K2829" s="3">
        <v>0</v>
      </c>
      <c r="L2829" s="3">
        <f t="shared" si="444"/>
        <v>0</v>
      </c>
      <c r="N2829" s="11">
        <f t="shared" si="445"/>
        <v>9.2256305164595922</v>
      </c>
      <c r="O2829" s="3">
        <v>6.3704694835404068</v>
      </c>
      <c r="P2829" s="11">
        <f t="shared" si="446"/>
        <v>43.445607299255542</v>
      </c>
      <c r="Q2829" s="12">
        <f t="shared" si="447"/>
        <v>43.445607299255535</v>
      </c>
      <c r="R2829" s="13">
        <f t="shared" si="448"/>
        <v>25.893509310912197</v>
      </c>
      <c r="S2829" s="3" t="s">
        <v>30</v>
      </c>
      <c r="T2829" s="3" t="s">
        <v>28</v>
      </c>
      <c r="U2829" s="10">
        <v>0</v>
      </c>
      <c r="V2829" s="3">
        <v>0</v>
      </c>
      <c r="W2829" s="3">
        <f t="shared" si="449"/>
        <v>0</v>
      </c>
      <c r="AA2829" s="3">
        <v>48</v>
      </c>
    </row>
    <row r="2830" spans="1:27" x14ac:dyDescent="0.3">
      <c r="A2830" s="3" t="str">
        <f t="shared" si="440"/>
        <v>East9432009905836</v>
      </c>
      <c r="B2830" s="3" t="str">
        <f t="shared" si="441"/>
        <v>KGP9432009905836</v>
      </c>
      <c r="C2830" s="10">
        <v>9432009905836</v>
      </c>
      <c r="D2830" s="10" t="str">
        <f t="shared" si="442"/>
        <v>9432009905</v>
      </c>
      <c r="E2830" s="3" t="s">
        <v>6</v>
      </c>
      <c r="F2830" s="3" t="s">
        <v>66</v>
      </c>
      <c r="H2830" s="3">
        <v>27.881999999999998</v>
      </c>
      <c r="I2830" s="10">
        <f t="shared" si="443"/>
        <v>132.11079926497447</v>
      </c>
      <c r="J2830" s="3">
        <v>6.3315035913325524</v>
      </c>
      <c r="K2830" s="3">
        <v>0</v>
      </c>
      <c r="L2830" s="3">
        <f t="shared" si="444"/>
        <v>0</v>
      </c>
      <c r="N2830" s="11">
        <f t="shared" si="445"/>
        <v>21.550496408667446</v>
      </c>
      <c r="O2830" s="3">
        <v>6.3315035913325524</v>
      </c>
      <c r="P2830" s="11">
        <f t="shared" si="446"/>
        <v>102.1107992649745</v>
      </c>
      <c r="Q2830" s="12">
        <f t="shared" si="447"/>
        <v>102.11079926497449</v>
      </c>
      <c r="R2830" s="13">
        <f t="shared" si="448"/>
        <v>68.8590958598556</v>
      </c>
      <c r="S2830" s="3" t="s">
        <v>31</v>
      </c>
      <c r="T2830" s="3" t="s">
        <v>35</v>
      </c>
      <c r="U2830" s="10">
        <v>0</v>
      </c>
      <c r="V2830" s="3">
        <v>0</v>
      </c>
      <c r="W2830" s="3">
        <f t="shared" si="449"/>
        <v>0</v>
      </c>
      <c r="AA2830" s="3">
        <v>48</v>
      </c>
    </row>
    <row r="2831" spans="1:27" x14ac:dyDescent="0.3">
      <c r="A2831" s="3" t="str">
        <f t="shared" si="440"/>
        <v>East9420059902195</v>
      </c>
      <c r="B2831" s="3" t="str">
        <f t="shared" si="441"/>
        <v>KGP9420059902195</v>
      </c>
      <c r="C2831" s="10">
        <v>9420059902195</v>
      </c>
      <c r="D2831" s="10" t="str">
        <f t="shared" si="442"/>
        <v>9420059902</v>
      </c>
      <c r="E2831" s="3" t="s">
        <v>6</v>
      </c>
      <c r="F2831" s="3" t="s">
        <v>66</v>
      </c>
      <c r="H2831" s="3">
        <v>14.052399999999999</v>
      </c>
      <c r="I2831" s="10">
        <f t="shared" si="443"/>
        <v>67.106589390118458</v>
      </c>
      <c r="J2831" s="3">
        <v>6.2821252552298095</v>
      </c>
      <c r="K2831" s="3">
        <v>5.76</v>
      </c>
      <c r="L2831" s="3">
        <f t="shared" si="444"/>
        <v>0</v>
      </c>
      <c r="N2831" s="11">
        <f t="shared" si="445"/>
        <v>7.7702747447701892</v>
      </c>
      <c r="O2831" s="3">
        <v>6.2821252552298095</v>
      </c>
      <c r="P2831" s="11">
        <f t="shared" si="446"/>
        <v>37.106589390118458</v>
      </c>
      <c r="Q2831" s="12">
        <f t="shared" si="447"/>
        <v>37.106589390118458</v>
      </c>
      <c r="R2831" s="13">
        <f t="shared" si="448"/>
        <v>24.314735260595061</v>
      </c>
      <c r="S2831" s="3" t="s">
        <v>31</v>
      </c>
      <c r="T2831" s="3" t="s">
        <v>28</v>
      </c>
      <c r="U2831" s="10">
        <v>0</v>
      </c>
      <c r="V2831" s="3">
        <v>0</v>
      </c>
      <c r="W2831" s="3">
        <f t="shared" si="449"/>
        <v>0</v>
      </c>
      <c r="AA2831" s="3">
        <v>48</v>
      </c>
    </row>
    <row r="2832" spans="1:27" x14ac:dyDescent="0.3">
      <c r="A2832" s="3" t="str">
        <f t="shared" si="440"/>
        <v>East9320099900320</v>
      </c>
      <c r="B2832" s="3" t="str">
        <f t="shared" si="441"/>
        <v>KGP9320099900320</v>
      </c>
      <c r="C2832" s="10">
        <v>9320099900320</v>
      </c>
      <c r="D2832" s="10" t="str">
        <f t="shared" si="442"/>
        <v>9320099900</v>
      </c>
      <c r="E2832" s="3" t="s">
        <v>6</v>
      </c>
      <c r="F2832" s="3" t="s">
        <v>66</v>
      </c>
      <c r="H2832" s="3">
        <v>10.62</v>
      </c>
      <c r="I2832" s="10">
        <f t="shared" si="443"/>
        <v>53.610600787723861</v>
      </c>
      <c r="J2832" s="3">
        <v>5.9428544974067012</v>
      </c>
      <c r="K2832" s="3">
        <v>0</v>
      </c>
      <c r="L2832" s="3">
        <f t="shared" si="444"/>
        <v>0</v>
      </c>
      <c r="N2832" s="11">
        <f t="shared" si="445"/>
        <v>4.677145502593298</v>
      </c>
      <c r="O2832" s="3">
        <v>5.9428544974067012</v>
      </c>
      <c r="P2832" s="11">
        <f t="shared" si="446"/>
        <v>23.610600787723858</v>
      </c>
      <c r="Q2832" s="12">
        <f t="shared" si="447"/>
        <v>23.610600787723858</v>
      </c>
      <c r="R2832" s="13">
        <f t="shared" si="448"/>
        <v>17.971452330671681</v>
      </c>
      <c r="S2832" s="3" t="s">
        <v>31</v>
      </c>
      <c r="T2832" s="3" t="s">
        <v>28</v>
      </c>
      <c r="U2832" s="10">
        <v>9320099900999</v>
      </c>
      <c r="V2832" s="3">
        <v>0.1</v>
      </c>
      <c r="W2832" s="3">
        <f t="shared" si="449"/>
        <v>0</v>
      </c>
      <c r="AA2832" s="3">
        <v>48</v>
      </c>
    </row>
    <row r="2833" spans="1:27" x14ac:dyDescent="0.3">
      <c r="A2833" s="3" t="str">
        <f t="shared" si="440"/>
        <v>East9420139901320</v>
      </c>
      <c r="B2833" s="3" t="str">
        <f t="shared" si="441"/>
        <v>KGP9420139901320</v>
      </c>
      <c r="C2833" s="10">
        <v>9420139901320</v>
      </c>
      <c r="D2833" s="10" t="str">
        <f t="shared" si="442"/>
        <v>9420139901</v>
      </c>
      <c r="E2833" s="3" t="s">
        <v>6</v>
      </c>
      <c r="F2833" s="3" t="s">
        <v>66</v>
      </c>
      <c r="H2833" s="3">
        <v>4.1000000000000005</v>
      </c>
      <c r="I2833" s="10">
        <f t="shared" si="443"/>
        <v>21.35535567476882</v>
      </c>
      <c r="J2833" s="3">
        <v>5.7596792988713137</v>
      </c>
      <c r="K2833" s="3">
        <v>12</v>
      </c>
      <c r="L2833" s="3">
        <f t="shared" si="444"/>
        <v>0</v>
      </c>
      <c r="N2833" s="11">
        <f t="shared" si="445"/>
        <v>-1.6596792988713132</v>
      </c>
      <c r="O2833" s="3">
        <v>5.7596792988713137</v>
      </c>
      <c r="P2833" s="11">
        <f t="shared" si="446"/>
        <v>-8.6446443252311784</v>
      </c>
      <c r="Q2833" s="12">
        <f t="shared" si="447"/>
        <v>-8.6446443252311784</v>
      </c>
      <c r="R2833" s="13">
        <f t="shared" si="448"/>
        <v>3.4542911269476986</v>
      </c>
      <c r="S2833" s="3" t="s">
        <v>31</v>
      </c>
      <c r="T2833" s="3" t="s">
        <v>28</v>
      </c>
      <c r="U2833" s="10">
        <v>9420139900999</v>
      </c>
      <c r="V2833" s="3">
        <v>0.1</v>
      </c>
      <c r="W2833" s="3">
        <f t="shared" si="449"/>
        <v>1.2000000000000002</v>
      </c>
      <c r="AA2833" s="3">
        <v>48</v>
      </c>
    </row>
    <row r="2834" spans="1:27" x14ac:dyDescent="0.3">
      <c r="A2834" s="3" t="str">
        <f t="shared" si="440"/>
        <v>East9410029900320</v>
      </c>
      <c r="B2834" s="3" t="str">
        <f t="shared" si="441"/>
        <v>KGP9410029900320</v>
      </c>
      <c r="C2834" s="10">
        <v>9410029900320</v>
      </c>
      <c r="D2834" s="10" t="str">
        <f t="shared" si="442"/>
        <v>9410029900</v>
      </c>
      <c r="E2834" s="3" t="s">
        <v>6</v>
      </c>
      <c r="F2834" s="3" t="s">
        <v>66</v>
      </c>
      <c r="H2834" s="3">
        <v>11.759999999999998</v>
      </c>
      <c r="I2834" s="10">
        <f t="shared" si="443"/>
        <v>68.192971980488693</v>
      </c>
      <c r="J2834" s="3">
        <v>5.1735536632857517</v>
      </c>
      <c r="K2834" s="3">
        <v>26</v>
      </c>
      <c r="L2834" s="3">
        <f t="shared" si="444"/>
        <v>0</v>
      </c>
      <c r="N2834" s="11">
        <f t="shared" si="445"/>
        <v>6.5864463367142463</v>
      </c>
      <c r="O2834" s="3">
        <v>5.1735536632857517</v>
      </c>
      <c r="P2834" s="11">
        <f t="shared" si="446"/>
        <v>38.1929719804887</v>
      </c>
      <c r="Q2834" s="12">
        <f t="shared" si="447"/>
        <v>38.1929719804887</v>
      </c>
      <c r="R2834" s="13">
        <f t="shared" si="448"/>
        <v>18.008421131063521</v>
      </c>
      <c r="S2834" s="3" t="s">
        <v>30</v>
      </c>
      <c r="T2834" s="3" t="s">
        <v>32</v>
      </c>
      <c r="U2834" s="10">
        <v>9410029900999</v>
      </c>
      <c r="V2834" s="3">
        <v>0.1</v>
      </c>
      <c r="W2834" s="3">
        <f t="shared" si="449"/>
        <v>2.6</v>
      </c>
      <c r="AA2834" s="3">
        <v>48</v>
      </c>
    </row>
    <row r="2835" spans="1:27" x14ac:dyDescent="0.3">
      <c r="A2835" s="3" t="str">
        <f t="shared" si="440"/>
        <v>East9420039900320</v>
      </c>
      <c r="B2835" s="3" t="str">
        <f t="shared" si="441"/>
        <v>KGP9420039900320</v>
      </c>
      <c r="C2835" s="10">
        <v>9420039900320</v>
      </c>
      <c r="D2835" s="10" t="str">
        <f t="shared" si="442"/>
        <v>9420039900</v>
      </c>
      <c r="E2835" s="3" t="s">
        <v>6</v>
      </c>
      <c r="F2835" s="3" t="s">
        <v>66</v>
      </c>
      <c r="H2835" s="3">
        <v>22.68</v>
      </c>
      <c r="I2835" s="10">
        <f t="shared" si="443"/>
        <v>132.09753816945209</v>
      </c>
      <c r="J2835" s="3">
        <v>5.1507394416934273</v>
      </c>
      <c r="K2835" s="3">
        <v>0</v>
      </c>
      <c r="L2835" s="3">
        <f t="shared" si="444"/>
        <v>0</v>
      </c>
      <c r="N2835" s="11">
        <f t="shared" si="445"/>
        <v>17.529260558306571</v>
      </c>
      <c r="O2835" s="3">
        <v>5.1507394416934273</v>
      </c>
      <c r="P2835" s="11">
        <f t="shared" si="446"/>
        <v>102.09753816945212</v>
      </c>
      <c r="Q2835" s="12">
        <f t="shared" si="447"/>
        <v>102.09753816945211</v>
      </c>
      <c r="R2835" s="13">
        <f t="shared" si="448"/>
        <v>23.422416878504819</v>
      </c>
      <c r="S2835" s="3" t="s">
        <v>30</v>
      </c>
      <c r="T2835" s="3" t="s">
        <v>28</v>
      </c>
      <c r="U2835" s="10">
        <v>9420039900999</v>
      </c>
      <c r="V2835" s="3">
        <v>0.1</v>
      </c>
      <c r="W2835" s="3">
        <f t="shared" si="449"/>
        <v>0</v>
      </c>
      <c r="AA2835" s="3">
        <v>48</v>
      </c>
    </row>
    <row r="2836" spans="1:27" x14ac:dyDescent="0.3">
      <c r="A2836" s="3" t="str">
        <f t="shared" si="440"/>
        <v>East9432009902195</v>
      </c>
      <c r="B2836" s="3" t="str">
        <f t="shared" si="441"/>
        <v>KGP9432009902195</v>
      </c>
      <c r="C2836" s="10">
        <v>9432009902195</v>
      </c>
      <c r="D2836" s="10" t="str">
        <f t="shared" si="442"/>
        <v>9432009902</v>
      </c>
      <c r="E2836" s="3" t="s">
        <v>6</v>
      </c>
      <c r="F2836" s="3" t="s">
        <v>66</v>
      </c>
      <c r="H2836" s="3">
        <v>22.607150000000004</v>
      </c>
      <c r="I2836" s="10">
        <f t="shared" si="443"/>
        <v>134.28265573518658</v>
      </c>
      <c r="J2836" s="3">
        <v>5.0506485464323818</v>
      </c>
      <c r="K2836" s="3">
        <v>0</v>
      </c>
      <c r="L2836" s="3">
        <f t="shared" si="444"/>
        <v>0</v>
      </c>
      <c r="N2836" s="11">
        <f t="shared" si="445"/>
        <v>17.556501453567623</v>
      </c>
      <c r="O2836" s="3">
        <v>5.0506485464323818</v>
      </c>
      <c r="P2836" s="11">
        <f t="shared" si="446"/>
        <v>104.28265573518661</v>
      </c>
      <c r="Q2836" s="12">
        <f t="shared" si="447"/>
        <v>104.28265573518659</v>
      </c>
      <c r="R2836" s="13">
        <f t="shared" si="448"/>
        <v>34.173467301071753</v>
      </c>
      <c r="S2836" s="3" t="s">
        <v>30</v>
      </c>
      <c r="T2836" s="3" t="s">
        <v>35</v>
      </c>
      <c r="U2836" s="10">
        <v>0</v>
      </c>
      <c r="V2836" s="3">
        <v>0</v>
      </c>
      <c r="W2836" s="3">
        <f t="shared" si="449"/>
        <v>0</v>
      </c>
      <c r="AA2836" s="3">
        <v>48</v>
      </c>
    </row>
    <row r="2837" spans="1:27" x14ac:dyDescent="0.3">
      <c r="A2837" s="3" t="str">
        <f t="shared" si="440"/>
        <v>East9320039905297</v>
      </c>
      <c r="B2837" s="3" t="str">
        <f t="shared" si="441"/>
        <v>KGP9320039905297</v>
      </c>
      <c r="C2837" s="10">
        <v>9320039905297</v>
      </c>
      <c r="D2837" s="10" t="str">
        <f t="shared" si="442"/>
        <v>9320039905</v>
      </c>
      <c r="E2837" s="3" t="s">
        <v>6</v>
      </c>
      <c r="F2837" s="3" t="s">
        <v>66</v>
      </c>
      <c r="H2837" s="3">
        <v>11.836500000000006</v>
      </c>
      <c r="I2837" s="10">
        <f t="shared" si="443"/>
        <v>70.319821357938309</v>
      </c>
      <c r="J2837" s="3">
        <v>5.0497141935630641</v>
      </c>
      <c r="K2837" s="3">
        <v>0</v>
      </c>
      <c r="L2837" s="3">
        <f t="shared" si="444"/>
        <v>0</v>
      </c>
      <c r="N2837" s="11">
        <f t="shared" si="445"/>
        <v>6.7867858064369422</v>
      </c>
      <c r="O2837" s="3">
        <v>5.0497141935630641</v>
      </c>
      <c r="P2837" s="11">
        <f t="shared" si="446"/>
        <v>40.319821357938309</v>
      </c>
      <c r="Q2837" s="12">
        <f t="shared" si="447"/>
        <v>40.319821357938309</v>
      </c>
      <c r="R2837" s="13">
        <f t="shared" si="448"/>
        <v>150.02106831521638</v>
      </c>
      <c r="S2837" s="3" t="s">
        <v>31</v>
      </c>
      <c r="T2837" s="3" t="s">
        <v>28</v>
      </c>
      <c r="U2837" s="10">
        <v>9320039900999</v>
      </c>
      <c r="V2837" s="3">
        <v>0.1</v>
      </c>
      <c r="W2837" s="3">
        <f t="shared" si="449"/>
        <v>0</v>
      </c>
      <c r="AA2837" s="3">
        <v>48</v>
      </c>
    </row>
    <row r="2838" spans="1:27" x14ac:dyDescent="0.3">
      <c r="A2838" s="3" t="str">
        <f t="shared" si="440"/>
        <v>East9320029901210</v>
      </c>
      <c r="B2838" s="3" t="str">
        <f t="shared" si="441"/>
        <v>KGP9320029901210</v>
      </c>
      <c r="C2838" s="10">
        <v>9320029901210</v>
      </c>
      <c r="D2838" s="10" t="str">
        <f t="shared" si="442"/>
        <v>9320029901</v>
      </c>
      <c r="E2838" s="3" t="s">
        <v>6</v>
      </c>
      <c r="F2838" s="3" t="s">
        <v>66</v>
      </c>
      <c r="H2838" s="3">
        <v>12.766</v>
      </c>
      <c r="I2838" s="10">
        <f t="shared" si="443"/>
        <v>76.04302368720623</v>
      </c>
      <c r="J2838" s="3">
        <v>5.0363594374592706</v>
      </c>
      <c r="K2838" s="3">
        <v>0</v>
      </c>
      <c r="L2838" s="3">
        <f t="shared" si="444"/>
        <v>0</v>
      </c>
      <c r="N2838" s="11">
        <f t="shared" si="445"/>
        <v>7.7296405625407294</v>
      </c>
      <c r="O2838" s="3">
        <v>5.0363594374592706</v>
      </c>
      <c r="P2838" s="11">
        <f t="shared" si="446"/>
        <v>46.043023687206244</v>
      </c>
      <c r="Q2838" s="12">
        <f t="shared" si="447"/>
        <v>46.043023687206244</v>
      </c>
      <c r="R2838" s="13">
        <f t="shared" si="448"/>
        <v>31.098176860777059</v>
      </c>
      <c r="S2838" s="3" t="s">
        <v>30</v>
      </c>
      <c r="T2838" s="3" t="s">
        <v>28</v>
      </c>
      <c r="U2838" s="10">
        <v>0</v>
      </c>
      <c r="V2838" s="3">
        <v>0</v>
      </c>
      <c r="W2838" s="3">
        <f t="shared" si="449"/>
        <v>0</v>
      </c>
      <c r="AA2838" s="3">
        <v>48</v>
      </c>
    </row>
    <row r="2839" spans="1:27" x14ac:dyDescent="0.3">
      <c r="A2839" s="3" t="str">
        <f t="shared" si="440"/>
        <v>East9320089902219</v>
      </c>
      <c r="B2839" s="3" t="str">
        <f t="shared" si="441"/>
        <v>KGP9320089902219</v>
      </c>
      <c r="C2839" s="10">
        <v>9320089902219</v>
      </c>
      <c r="D2839" s="10" t="str">
        <f t="shared" si="442"/>
        <v>9320089902</v>
      </c>
      <c r="E2839" s="3" t="s">
        <v>6</v>
      </c>
      <c r="F2839" s="3" t="s">
        <v>66</v>
      </c>
      <c r="H2839" s="3">
        <v>30.341999999999999</v>
      </c>
      <c r="I2839" s="10">
        <f t="shared" si="443"/>
        <v>192.25795282099202</v>
      </c>
      <c r="J2839" s="3">
        <v>4.7345765761249261</v>
      </c>
      <c r="K2839" s="3">
        <v>0</v>
      </c>
      <c r="L2839" s="3">
        <f t="shared" si="444"/>
        <v>0</v>
      </c>
      <c r="N2839" s="11">
        <f t="shared" si="445"/>
        <v>25.607423423875073</v>
      </c>
      <c r="O2839" s="3">
        <v>4.7345765761249261</v>
      </c>
      <c r="P2839" s="11">
        <f t="shared" si="446"/>
        <v>162.25795282099202</v>
      </c>
      <c r="Q2839" s="12">
        <f t="shared" si="447"/>
        <v>162.25795282099202</v>
      </c>
      <c r="R2839" s="13">
        <f t="shared" si="448"/>
        <v>61.197046460796265</v>
      </c>
      <c r="S2839" s="3" t="s">
        <v>31</v>
      </c>
      <c r="T2839" s="3" t="s">
        <v>28</v>
      </c>
      <c r="U2839" s="10">
        <v>9320089900999</v>
      </c>
      <c r="V2839" s="3">
        <v>0.1</v>
      </c>
      <c r="W2839" s="3">
        <f t="shared" si="449"/>
        <v>0</v>
      </c>
      <c r="AA2839" s="3">
        <v>48</v>
      </c>
    </row>
    <row r="2840" spans="1:27" x14ac:dyDescent="0.3">
      <c r="A2840" s="3" t="str">
        <f t="shared" si="440"/>
        <v>East9420039902195</v>
      </c>
      <c r="B2840" s="3" t="str">
        <f t="shared" si="441"/>
        <v>KGP9420039902195</v>
      </c>
      <c r="C2840" s="10">
        <v>9420039902195</v>
      </c>
      <c r="D2840" s="10" t="str">
        <f t="shared" si="442"/>
        <v>9420039902</v>
      </c>
      <c r="E2840" s="3" t="s">
        <v>6</v>
      </c>
      <c r="F2840" s="3" t="s">
        <v>66</v>
      </c>
      <c r="H2840" s="3">
        <v>6.3887499999999999</v>
      </c>
      <c r="I2840" s="10">
        <f t="shared" si="443"/>
        <v>42.069388985282323</v>
      </c>
      <c r="J2840" s="3">
        <v>4.5558660256998689</v>
      </c>
      <c r="K2840" s="3">
        <v>0</v>
      </c>
      <c r="L2840" s="3">
        <f t="shared" si="444"/>
        <v>0</v>
      </c>
      <c r="N2840" s="11">
        <f t="shared" si="445"/>
        <v>1.8328839743001311</v>
      </c>
      <c r="O2840" s="3">
        <v>4.5558660256998689</v>
      </c>
      <c r="P2840" s="11">
        <f t="shared" si="446"/>
        <v>12.06938898528232</v>
      </c>
      <c r="Q2840" s="12">
        <f t="shared" si="447"/>
        <v>12.06938898528232</v>
      </c>
      <c r="R2840" s="13">
        <f t="shared" si="448"/>
        <v>11.369139800998852</v>
      </c>
      <c r="S2840" s="3" t="s">
        <v>31</v>
      </c>
      <c r="T2840" s="3" t="s">
        <v>28</v>
      </c>
      <c r="U2840" s="10">
        <v>0</v>
      </c>
      <c r="V2840" s="3">
        <v>0</v>
      </c>
      <c r="W2840" s="3">
        <f t="shared" si="449"/>
        <v>0</v>
      </c>
      <c r="AA2840" s="3">
        <v>48</v>
      </c>
    </row>
    <row r="2841" spans="1:27" x14ac:dyDescent="0.3">
      <c r="A2841" s="3" t="str">
        <f t="shared" si="440"/>
        <v>East9420059900320</v>
      </c>
      <c r="B2841" s="3" t="str">
        <f t="shared" si="441"/>
        <v>KGP9420059900320</v>
      </c>
      <c r="C2841" s="10">
        <v>9420059900320</v>
      </c>
      <c r="D2841" s="10" t="str">
        <f t="shared" si="442"/>
        <v>9420059900</v>
      </c>
      <c r="E2841" s="3" t="s">
        <v>6</v>
      </c>
      <c r="F2841" s="3" t="s">
        <v>66</v>
      </c>
      <c r="H2841" s="3">
        <v>5</v>
      </c>
      <c r="I2841" s="10">
        <f t="shared" si="443"/>
        <v>33.07233766370183</v>
      </c>
      <c r="J2841" s="3">
        <v>4.5355124734539345</v>
      </c>
      <c r="K2841" s="3">
        <v>12</v>
      </c>
      <c r="L2841" s="3">
        <f t="shared" si="444"/>
        <v>0</v>
      </c>
      <c r="N2841" s="11">
        <f t="shared" si="445"/>
        <v>0.46448752654606551</v>
      </c>
      <c r="O2841" s="3">
        <v>4.5355124734539345</v>
      </c>
      <c r="P2841" s="11">
        <f t="shared" si="446"/>
        <v>3.0723376637018291</v>
      </c>
      <c r="Q2841" s="12">
        <f t="shared" si="447"/>
        <v>3.0723376637018291</v>
      </c>
      <c r="R2841" s="13">
        <f t="shared" si="448"/>
        <v>11.423436010590386</v>
      </c>
      <c r="S2841" s="3" t="s">
        <v>30</v>
      </c>
      <c r="T2841" s="3" t="s">
        <v>28</v>
      </c>
      <c r="U2841" s="10">
        <v>9420059900999</v>
      </c>
      <c r="V2841" s="3">
        <v>0.1</v>
      </c>
      <c r="W2841" s="3">
        <f t="shared" si="449"/>
        <v>1.2000000000000002</v>
      </c>
      <c r="AA2841" s="3">
        <v>48</v>
      </c>
    </row>
    <row r="2842" spans="1:27" x14ac:dyDescent="0.3">
      <c r="A2842" s="3" t="str">
        <f t="shared" si="440"/>
        <v>East9320039905839</v>
      </c>
      <c r="B2842" s="3" t="str">
        <f t="shared" si="441"/>
        <v>KGP9320039905839</v>
      </c>
      <c r="C2842" s="10">
        <v>9320039905839</v>
      </c>
      <c r="D2842" s="10" t="str">
        <f t="shared" si="442"/>
        <v>9320039905</v>
      </c>
      <c r="E2842" s="3" t="s">
        <v>6</v>
      </c>
      <c r="F2842" s="3" t="s">
        <v>66</v>
      </c>
      <c r="H2842" s="3">
        <v>16.610100000000003</v>
      </c>
      <c r="I2842" s="10">
        <f t="shared" si="443"/>
        <v>111.49087426742811</v>
      </c>
      <c r="J2842" s="3">
        <v>4.4694510046153484</v>
      </c>
      <c r="K2842" s="3">
        <v>0</v>
      </c>
      <c r="L2842" s="3">
        <f t="shared" si="444"/>
        <v>0</v>
      </c>
      <c r="N2842" s="11">
        <f t="shared" si="445"/>
        <v>12.140648995384655</v>
      </c>
      <c r="O2842" s="3">
        <v>4.4694510046153484</v>
      </c>
      <c r="P2842" s="11">
        <f t="shared" si="446"/>
        <v>81.490874267428126</v>
      </c>
      <c r="Q2842" s="12">
        <f t="shared" si="447"/>
        <v>81.490874267428126</v>
      </c>
      <c r="R2842" s="13">
        <f t="shared" si="448"/>
        <v>150.12750312719902</v>
      </c>
      <c r="S2842" s="3" t="s">
        <v>31</v>
      </c>
      <c r="T2842" s="3" t="s">
        <v>28</v>
      </c>
      <c r="U2842" s="10">
        <v>0</v>
      </c>
      <c r="V2842" s="3">
        <v>0</v>
      </c>
      <c r="W2842" s="3">
        <f t="shared" si="449"/>
        <v>0</v>
      </c>
      <c r="AA2842" s="3">
        <v>48</v>
      </c>
    </row>
    <row r="2843" spans="1:27" x14ac:dyDescent="0.3">
      <c r="A2843" s="3" t="str">
        <f t="shared" si="440"/>
        <v>East9320089905839</v>
      </c>
      <c r="B2843" s="3" t="str">
        <f t="shared" si="441"/>
        <v>KGP9320089905839</v>
      </c>
      <c r="C2843" s="10">
        <v>9320089905839</v>
      </c>
      <c r="D2843" s="10" t="str">
        <f t="shared" si="442"/>
        <v>9320089905</v>
      </c>
      <c r="E2843" s="3" t="s">
        <v>6</v>
      </c>
      <c r="F2843" s="3" t="s">
        <v>66</v>
      </c>
      <c r="H2843" s="3">
        <v>0</v>
      </c>
      <c r="I2843" s="10">
        <f t="shared" si="443"/>
        <v>0</v>
      </c>
      <c r="J2843" s="3">
        <v>4.4618658268872649</v>
      </c>
      <c r="K2843" s="3">
        <v>24</v>
      </c>
      <c r="L2843" s="3">
        <f t="shared" si="444"/>
        <v>0</v>
      </c>
      <c r="N2843" s="11">
        <f t="shared" si="445"/>
        <v>-4.4618658268872649</v>
      </c>
      <c r="O2843" s="3">
        <v>4.4618658268872649</v>
      </c>
      <c r="P2843" s="11">
        <f t="shared" si="446"/>
        <v>-30</v>
      </c>
      <c r="Q2843" s="12">
        <f t="shared" si="447"/>
        <v>-30</v>
      </c>
      <c r="R2843" s="13">
        <f t="shared" si="448"/>
        <v>-30.000000000000004</v>
      </c>
      <c r="S2843" s="3" t="s">
        <v>31</v>
      </c>
      <c r="T2843" s="3" t="s">
        <v>28</v>
      </c>
      <c r="U2843" s="10">
        <v>0</v>
      </c>
      <c r="V2843" s="3">
        <v>0</v>
      </c>
      <c r="W2843" s="3">
        <f t="shared" si="449"/>
        <v>0</v>
      </c>
      <c r="AA2843" s="3">
        <v>48</v>
      </c>
    </row>
    <row r="2844" spans="1:27" x14ac:dyDescent="0.3">
      <c r="A2844" s="3" t="str">
        <f t="shared" si="440"/>
        <v>East9432009905190</v>
      </c>
      <c r="B2844" s="3" t="str">
        <f t="shared" si="441"/>
        <v>KGP9432009905190</v>
      </c>
      <c r="C2844" s="10">
        <v>9432009905190</v>
      </c>
      <c r="D2844" s="10" t="str">
        <f t="shared" si="442"/>
        <v>9432009905</v>
      </c>
      <c r="E2844" s="3" t="s">
        <v>6</v>
      </c>
      <c r="F2844" s="3" t="s">
        <v>66</v>
      </c>
      <c r="H2844" s="3">
        <v>5.2658999999999994</v>
      </c>
      <c r="I2844" s="10">
        <f t="shared" si="443"/>
        <v>35.500184083800541</v>
      </c>
      <c r="J2844" s="3">
        <v>4.4500332625623793</v>
      </c>
      <c r="K2844" s="3">
        <v>0</v>
      </c>
      <c r="L2844" s="3">
        <f t="shared" si="444"/>
        <v>0</v>
      </c>
      <c r="N2844" s="11">
        <f t="shared" si="445"/>
        <v>0.81586673743762006</v>
      </c>
      <c r="O2844" s="3">
        <v>4.4500332625623793</v>
      </c>
      <c r="P2844" s="11">
        <f t="shared" si="446"/>
        <v>5.5001840838005434</v>
      </c>
      <c r="Q2844" s="12">
        <f t="shared" si="447"/>
        <v>5.5001840838005434</v>
      </c>
      <c r="R2844" s="13">
        <f t="shared" si="448"/>
        <v>50.209638954746495</v>
      </c>
      <c r="S2844" s="3" t="s">
        <v>31</v>
      </c>
      <c r="T2844" s="3" t="s">
        <v>35</v>
      </c>
      <c r="U2844" s="10">
        <v>0</v>
      </c>
      <c r="V2844" s="3">
        <v>0</v>
      </c>
      <c r="W2844" s="3">
        <f t="shared" si="449"/>
        <v>0</v>
      </c>
      <c r="AA2844" s="3">
        <v>48</v>
      </c>
    </row>
    <row r="2845" spans="1:27" x14ac:dyDescent="0.3">
      <c r="A2845" s="3" t="str">
        <f t="shared" si="440"/>
        <v>East9432019900310</v>
      </c>
      <c r="B2845" s="3" t="str">
        <f t="shared" si="441"/>
        <v>KGP9432019900310</v>
      </c>
      <c r="C2845" s="10">
        <v>9432019900310</v>
      </c>
      <c r="D2845" s="10" t="str">
        <f t="shared" si="442"/>
        <v>9432019900</v>
      </c>
      <c r="E2845" s="3" t="s">
        <v>6</v>
      </c>
      <c r="F2845" s="3" t="s">
        <v>66</v>
      </c>
      <c r="H2845" s="3">
        <v>2.39</v>
      </c>
      <c r="I2845" s="10">
        <f t="shared" si="443"/>
        <v>16.712494358413228</v>
      </c>
      <c r="J2845" s="3">
        <v>4.2902033928828551</v>
      </c>
      <c r="K2845" s="3">
        <v>12</v>
      </c>
      <c r="L2845" s="3">
        <f t="shared" si="444"/>
        <v>0</v>
      </c>
      <c r="N2845" s="11">
        <f t="shared" si="445"/>
        <v>-1.900203392882855</v>
      </c>
      <c r="O2845" s="3">
        <v>4.2902033928828551</v>
      </c>
      <c r="P2845" s="11">
        <f t="shared" si="446"/>
        <v>-13.287505641586772</v>
      </c>
      <c r="Q2845" s="12">
        <f t="shared" si="447"/>
        <v>-13.287505641586772</v>
      </c>
      <c r="R2845" s="13">
        <f t="shared" si="448"/>
        <v>27.317568745609034</v>
      </c>
      <c r="S2845" s="3" t="s">
        <v>30</v>
      </c>
      <c r="T2845" s="3" t="s">
        <v>35</v>
      </c>
      <c r="U2845" s="10">
        <v>9432019900999</v>
      </c>
      <c r="V2845" s="3">
        <v>0.1</v>
      </c>
      <c r="W2845" s="3">
        <f t="shared" si="449"/>
        <v>1.2000000000000002</v>
      </c>
      <c r="AA2845" s="3">
        <v>48</v>
      </c>
    </row>
    <row r="2846" spans="1:27" x14ac:dyDescent="0.3">
      <c r="A2846" s="3" t="str">
        <f t="shared" si="440"/>
        <v>East9310099902297</v>
      </c>
      <c r="B2846" s="3" t="str">
        <f t="shared" si="441"/>
        <v>KGP9310099902297</v>
      </c>
      <c r="C2846" s="10">
        <v>9310099902297</v>
      </c>
      <c r="D2846" s="10" t="str">
        <f t="shared" si="442"/>
        <v>9310099902</v>
      </c>
      <c r="E2846" s="3" t="s">
        <v>6</v>
      </c>
      <c r="F2846" s="3" t="s">
        <v>66</v>
      </c>
      <c r="H2846" s="3">
        <v>0</v>
      </c>
      <c r="I2846" s="10">
        <f t="shared" si="443"/>
        <v>0</v>
      </c>
      <c r="J2846" s="3">
        <v>4.2374790325000005</v>
      </c>
      <c r="K2846" s="3">
        <v>24</v>
      </c>
      <c r="L2846" s="3">
        <f t="shared" si="444"/>
        <v>0</v>
      </c>
      <c r="N2846" s="11">
        <f t="shared" si="445"/>
        <v>-4.2374790325000005</v>
      </c>
      <c r="O2846" s="3">
        <v>4.2374790325000005</v>
      </c>
      <c r="P2846" s="11">
        <f t="shared" si="446"/>
        <v>-30</v>
      </c>
      <c r="Q2846" s="12">
        <f t="shared" si="447"/>
        <v>-30</v>
      </c>
      <c r="R2846" s="13">
        <f t="shared" si="448"/>
        <v>-30</v>
      </c>
      <c r="S2846" s="3">
        <v>0</v>
      </c>
      <c r="T2846" s="3" t="s">
        <v>32</v>
      </c>
      <c r="U2846" s="10">
        <v>0</v>
      </c>
      <c r="V2846" s="3">
        <v>0</v>
      </c>
      <c r="W2846" s="3">
        <f t="shared" si="449"/>
        <v>0</v>
      </c>
      <c r="AA2846" s="3">
        <v>48</v>
      </c>
    </row>
    <row r="2847" spans="1:27" x14ac:dyDescent="0.3">
      <c r="A2847" s="3" t="str">
        <f t="shared" si="440"/>
        <v>East9432009900840</v>
      </c>
      <c r="B2847" s="3" t="str">
        <f t="shared" si="441"/>
        <v>KGP9432009900840</v>
      </c>
      <c r="C2847" s="10">
        <v>9432009900840</v>
      </c>
      <c r="D2847" s="10" t="str">
        <f t="shared" si="442"/>
        <v>9432009900</v>
      </c>
      <c r="E2847" s="3" t="s">
        <v>6</v>
      </c>
      <c r="F2847" s="3" t="s">
        <v>66</v>
      </c>
      <c r="H2847" s="3">
        <v>13.708000000000004</v>
      </c>
      <c r="I2847" s="10">
        <f t="shared" si="443"/>
        <v>97.342874863651375</v>
      </c>
      <c r="J2847" s="3">
        <v>4.2246543527302425</v>
      </c>
      <c r="K2847" s="3">
        <v>0</v>
      </c>
      <c r="L2847" s="3">
        <f t="shared" si="444"/>
        <v>0</v>
      </c>
      <c r="N2847" s="11">
        <f t="shared" si="445"/>
        <v>9.4833456472697613</v>
      </c>
      <c r="O2847" s="3">
        <v>4.2246543527302425</v>
      </c>
      <c r="P2847" s="11">
        <f t="shared" si="446"/>
        <v>67.342874863651375</v>
      </c>
      <c r="Q2847" s="12">
        <f t="shared" si="447"/>
        <v>67.342874863651375</v>
      </c>
      <c r="R2847" s="13">
        <f t="shared" si="448"/>
        <v>16.28600824867836</v>
      </c>
      <c r="S2847" s="3" t="s">
        <v>30</v>
      </c>
      <c r="T2847" s="3" t="s">
        <v>35</v>
      </c>
      <c r="U2847" s="10">
        <v>0</v>
      </c>
      <c r="V2847" s="3">
        <v>0</v>
      </c>
      <c r="W2847" s="3">
        <f t="shared" si="449"/>
        <v>0</v>
      </c>
      <c r="AA2847" s="3">
        <v>48</v>
      </c>
    </row>
    <row r="2848" spans="1:27" x14ac:dyDescent="0.3">
      <c r="A2848" s="3" t="str">
        <f t="shared" si="440"/>
        <v>East9320029902097</v>
      </c>
      <c r="B2848" s="3" t="str">
        <f t="shared" si="441"/>
        <v>KGP9320029902097</v>
      </c>
      <c r="C2848" s="10">
        <v>9320029902097</v>
      </c>
      <c r="D2848" s="10" t="str">
        <f t="shared" si="442"/>
        <v>9320029902</v>
      </c>
      <c r="E2848" s="3" t="s">
        <v>6</v>
      </c>
      <c r="F2848" s="3" t="s">
        <v>66</v>
      </c>
      <c r="H2848" s="3">
        <v>9.133799999999999</v>
      </c>
      <c r="I2848" s="10">
        <f t="shared" si="443"/>
        <v>65.382255600652783</v>
      </c>
      <c r="J2848" s="3">
        <v>4.1909536078664162</v>
      </c>
      <c r="K2848" s="3">
        <v>0</v>
      </c>
      <c r="L2848" s="3">
        <f t="shared" si="444"/>
        <v>0</v>
      </c>
      <c r="N2848" s="11">
        <f t="shared" si="445"/>
        <v>4.9428463921335828</v>
      </c>
      <c r="O2848" s="3">
        <v>4.1909536078664162</v>
      </c>
      <c r="P2848" s="11">
        <f t="shared" si="446"/>
        <v>35.382255600652783</v>
      </c>
      <c r="Q2848" s="12">
        <f t="shared" si="447"/>
        <v>35.382255600652776</v>
      </c>
      <c r="R2848" s="13">
        <f t="shared" si="448"/>
        <v>32.356577789682831</v>
      </c>
      <c r="S2848" s="3" t="s">
        <v>30</v>
      </c>
      <c r="T2848" s="3" t="s">
        <v>28</v>
      </c>
      <c r="U2848" s="10">
        <v>0</v>
      </c>
      <c r="V2848" s="3">
        <v>0</v>
      </c>
      <c r="W2848" s="3">
        <f t="shared" si="449"/>
        <v>0</v>
      </c>
      <c r="AA2848" s="3">
        <v>48</v>
      </c>
    </row>
    <row r="2849" spans="1:27" x14ac:dyDescent="0.3">
      <c r="A2849" s="3" t="str">
        <f t="shared" si="440"/>
        <v>East9432029900320</v>
      </c>
      <c r="B2849" s="3" t="str">
        <f t="shared" si="441"/>
        <v>KGP9432029900320</v>
      </c>
      <c r="C2849" s="10">
        <v>9432029900320</v>
      </c>
      <c r="D2849" s="10" t="str">
        <f t="shared" si="442"/>
        <v>9432029900</v>
      </c>
      <c r="E2849" s="3" t="s">
        <v>6</v>
      </c>
      <c r="F2849" s="3" t="s">
        <v>66</v>
      </c>
      <c r="H2849" s="3">
        <v>8.7800000000000011</v>
      </c>
      <c r="I2849" s="10">
        <f t="shared" si="443"/>
        <v>63.103474017515651</v>
      </c>
      <c r="J2849" s="3">
        <v>4.1740966579254897</v>
      </c>
      <c r="K2849" s="3">
        <v>0</v>
      </c>
      <c r="L2849" s="3">
        <f t="shared" si="444"/>
        <v>0</v>
      </c>
      <c r="N2849" s="11">
        <f t="shared" si="445"/>
        <v>4.6059033420745115</v>
      </c>
      <c r="O2849" s="3">
        <v>4.1740966579254897</v>
      </c>
      <c r="P2849" s="11">
        <f t="shared" si="446"/>
        <v>33.103474017515644</v>
      </c>
      <c r="Q2849" s="12">
        <f t="shared" si="447"/>
        <v>33.103474017515644</v>
      </c>
      <c r="R2849" s="13">
        <f t="shared" si="448"/>
        <v>44.067510562075888</v>
      </c>
      <c r="S2849" s="3" t="s">
        <v>31</v>
      </c>
      <c r="T2849" s="3" t="s">
        <v>35</v>
      </c>
      <c r="U2849" s="10">
        <v>9432029900999</v>
      </c>
      <c r="V2849" s="3">
        <v>0.1</v>
      </c>
      <c r="W2849" s="3">
        <f t="shared" si="449"/>
        <v>0</v>
      </c>
      <c r="AA2849" s="3">
        <v>48</v>
      </c>
    </row>
    <row r="2850" spans="1:27" x14ac:dyDescent="0.3">
      <c r="A2850" s="3" t="str">
        <f t="shared" si="440"/>
        <v>East9330209902097</v>
      </c>
      <c r="B2850" s="3" t="str">
        <f t="shared" si="441"/>
        <v>KGP9330209902097</v>
      </c>
      <c r="C2850" s="10">
        <v>9330209902097</v>
      </c>
      <c r="D2850" s="10" t="str">
        <f t="shared" si="442"/>
        <v>9330209902</v>
      </c>
      <c r="E2850" s="3" t="s">
        <v>6</v>
      </c>
      <c r="F2850" s="3" t="s">
        <v>66</v>
      </c>
      <c r="H2850" s="3">
        <v>4.4986499999999996</v>
      </c>
      <c r="I2850" s="10">
        <f t="shared" si="443"/>
        <v>32.730209218316105</v>
      </c>
      <c r="J2850" s="3">
        <v>4.1233925240073166</v>
      </c>
      <c r="K2850" s="3">
        <v>0</v>
      </c>
      <c r="L2850" s="3">
        <f t="shared" si="444"/>
        <v>0</v>
      </c>
      <c r="N2850" s="11">
        <f t="shared" si="445"/>
        <v>0.375257475992683</v>
      </c>
      <c r="O2850" s="3">
        <v>4.1233925240073166</v>
      </c>
      <c r="P2850" s="11">
        <f t="shared" si="446"/>
        <v>2.730209218316106</v>
      </c>
      <c r="Q2850" s="12">
        <f t="shared" si="447"/>
        <v>2.7302092183161055</v>
      </c>
      <c r="R2850" s="13">
        <f t="shared" si="448"/>
        <v>23.62392331129497</v>
      </c>
      <c r="S2850" s="3" t="s">
        <v>30</v>
      </c>
      <c r="T2850" s="3" t="s">
        <v>35</v>
      </c>
      <c r="U2850" s="10">
        <v>0</v>
      </c>
      <c r="V2850" s="3">
        <v>0</v>
      </c>
      <c r="W2850" s="3">
        <f t="shared" si="449"/>
        <v>0</v>
      </c>
      <c r="AA2850" s="3">
        <v>48</v>
      </c>
    </row>
    <row r="2851" spans="1:27" x14ac:dyDescent="0.3">
      <c r="A2851" s="3" t="str">
        <f t="shared" si="440"/>
        <v>East9410019901840</v>
      </c>
      <c r="B2851" s="3" t="str">
        <f t="shared" si="441"/>
        <v>KGP9410019901840</v>
      </c>
      <c r="C2851" s="10">
        <v>9410019901840</v>
      </c>
      <c r="D2851" s="10" t="str">
        <f t="shared" si="442"/>
        <v>9410019901</v>
      </c>
      <c r="E2851" s="3" t="s">
        <v>6</v>
      </c>
      <c r="F2851" s="3" t="s">
        <v>66</v>
      </c>
      <c r="H2851" s="3">
        <v>21.004000000000001</v>
      </c>
      <c r="I2851" s="10">
        <f t="shared" si="443"/>
        <v>157.28650039062671</v>
      </c>
      <c r="J2851" s="3">
        <v>4.0061925113412418</v>
      </c>
      <c r="K2851" s="3">
        <v>0</v>
      </c>
      <c r="L2851" s="3">
        <f t="shared" si="444"/>
        <v>0</v>
      </c>
      <c r="N2851" s="11">
        <f t="shared" si="445"/>
        <v>16.997807488658758</v>
      </c>
      <c r="O2851" s="3">
        <v>4.0061925113412418</v>
      </c>
      <c r="P2851" s="11">
        <f t="shared" si="446"/>
        <v>127.2865003906267</v>
      </c>
      <c r="Q2851" s="12">
        <f t="shared" si="447"/>
        <v>127.2865003906267</v>
      </c>
      <c r="R2851" s="13">
        <f t="shared" si="448"/>
        <v>37.852173480378191</v>
      </c>
      <c r="S2851" s="3" t="s">
        <v>30</v>
      </c>
      <c r="T2851" s="3" t="s">
        <v>32</v>
      </c>
      <c r="U2851" s="10">
        <v>0</v>
      </c>
      <c r="V2851" s="3">
        <v>0</v>
      </c>
      <c r="W2851" s="3">
        <f t="shared" si="449"/>
        <v>0</v>
      </c>
      <c r="AA2851" s="3">
        <v>48</v>
      </c>
    </row>
    <row r="2852" spans="1:27" x14ac:dyDescent="0.3">
      <c r="A2852" s="3" t="str">
        <f t="shared" si="440"/>
        <v>East9420039902295</v>
      </c>
      <c r="B2852" s="3" t="str">
        <f t="shared" si="441"/>
        <v>KGP9420039902295</v>
      </c>
      <c r="C2852" s="10">
        <v>9420039902295</v>
      </c>
      <c r="D2852" s="10" t="str">
        <f t="shared" si="442"/>
        <v>9420039902</v>
      </c>
      <c r="E2852" s="3" t="s">
        <v>6</v>
      </c>
      <c r="F2852" s="3" t="s">
        <v>66</v>
      </c>
      <c r="H2852" s="3">
        <v>12.424100000000001</v>
      </c>
      <c r="I2852" s="10">
        <f t="shared" si="443"/>
        <v>93.130084547052135</v>
      </c>
      <c r="J2852" s="3">
        <v>4.0021761154064999</v>
      </c>
      <c r="K2852" s="3">
        <v>0</v>
      </c>
      <c r="L2852" s="3">
        <f t="shared" si="444"/>
        <v>0</v>
      </c>
      <c r="N2852" s="11">
        <f t="shared" si="445"/>
        <v>8.4219238845935003</v>
      </c>
      <c r="O2852" s="3">
        <v>4.0021761154064999</v>
      </c>
      <c r="P2852" s="11">
        <f t="shared" si="446"/>
        <v>63.130084547052135</v>
      </c>
      <c r="Q2852" s="12">
        <f t="shared" si="447"/>
        <v>63.130084547052135</v>
      </c>
      <c r="R2852" s="13">
        <f t="shared" si="448"/>
        <v>60.650053320416951</v>
      </c>
      <c r="S2852" s="3" t="s">
        <v>31</v>
      </c>
      <c r="T2852" s="3" t="s">
        <v>28</v>
      </c>
      <c r="U2852" s="10">
        <v>9420039900999</v>
      </c>
      <c r="V2852" s="3">
        <v>0.1</v>
      </c>
      <c r="W2852" s="3">
        <f t="shared" si="449"/>
        <v>0</v>
      </c>
      <c r="AA2852" s="3">
        <v>48</v>
      </c>
    </row>
    <row r="2853" spans="1:27" x14ac:dyDescent="0.3">
      <c r="A2853" s="3" t="str">
        <f t="shared" si="440"/>
        <v>East9410019901310</v>
      </c>
      <c r="B2853" s="3" t="str">
        <f t="shared" si="441"/>
        <v>KGP9410019901310</v>
      </c>
      <c r="C2853" s="10">
        <v>9410019901310</v>
      </c>
      <c r="D2853" s="10" t="str">
        <f t="shared" si="442"/>
        <v>9410019901</v>
      </c>
      <c r="E2853" s="3" t="s">
        <v>6</v>
      </c>
      <c r="F2853" s="3" t="s">
        <v>66</v>
      </c>
      <c r="H2853" s="3">
        <v>15.560000000000002</v>
      </c>
      <c r="I2853" s="10">
        <f t="shared" si="443"/>
        <v>117.9946981344136</v>
      </c>
      <c r="J2853" s="3">
        <v>3.9561099556205916</v>
      </c>
      <c r="K2853" s="3">
        <v>0</v>
      </c>
      <c r="L2853" s="3">
        <f t="shared" si="444"/>
        <v>0</v>
      </c>
      <c r="N2853" s="11">
        <f t="shared" si="445"/>
        <v>11.60389004437941</v>
      </c>
      <c r="O2853" s="3">
        <v>3.9561099556205916</v>
      </c>
      <c r="P2853" s="11">
        <f t="shared" si="446"/>
        <v>87.994698134413596</v>
      </c>
      <c r="Q2853" s="12">
        <f t="shared" si="447"/>
        <v>87.994698134413596</v>
      </c>
      <c r="R2853" s="13">
        <f t="shared" si="448"/>
        <v>32.120956447684101</v>
      </c>
      <c r="S2853" s="3" t="s">
        <v>30</v>
      </c>
      <c r="T2853" s="3" t="s">
        <v>32</v>
      </c>
      <c r="U2853" s="10">
        <v>9410019900999</v>
      </c>
      <c r="V2853" s="3">
        <v>0.1</v>
      </c>
      <c r="W2853" s="3">
        <f t="shared" si="449"/>
        <v>0</v>
      </c>
      <c r="AA2853" s="3">
        <v>48</v>
      </c>
    </row>
    <row r="2854" spans="1:27" x14ac:dyDescent="0.3">
      <c r="A2854" s="3" t="str">
        <f t="shared" si="440"/>
        <v>East9320029900310</v>
      </c>
      <c r="B2854" s="3" t="str">
        <f t="shared" si="441"/>
        <v>KGP9320029900310</v>
      </c>
      <c r="C2854" s="10">
        <v>9320029900310</v>
      </c>
      <c r="D2854" s="10" t="str">
        <f t="shared" si="442"/>
        <v>9320029900</v>
      </c>
      <c r="E2854" s="3" t="s">
        <v>6</v>
      </c>
      <c r="F2854" s="3" t="s">
        <v>66</v>
      </c>
      <c r="H2854" s="3">
        <v>7.7799999999999994</v>
      </c>
      <c r="I2854" s="10">
        <f t="shared" si="443"/>
        <v>59.521731042752016</v>
      </c>
      <c r="J2854" s="3">
        <v>3.9212569243384126</v>
      </c>
      <c r="K2854" s="3">
        <v>0</v>
      </c>
      <c r="L2854" s="3">
        <f t="shared" si="444"/>
        <v>0</v>
      </c>
      <c r="N2854" s="11">
        <f t="shared" si="445"/>
        <v>3.8587430756615868</v>
      </c>
      <c r="O2854" s="3">
        <v>3.9212569243384126</v>
      </c>
      <c r="P2854" s="11">
        <f t="shared" si="446"/>
        <v>29.521731042752016</v>
      </c>
      <c r="Q2854" s="12">
        <f t="shared" si="447"/>
        <v>29.521731042752016</v>
      </c>
      <c r="R2854" s="13">
        <f t="shared" si="448"/>
        <v>9.5182439109816208</v>
      </c>
      <c r="S2854" s="3" t="s">
        <v>30</v>
      </c>
      <c r="T2854" s="3" t="s">
        <v>28</v>
      </c>
      <c r="U2854" s="10">
        <v>9320029900999</v>
      </c>
      <c r="V2854" s="3">
        <v>0.1</v>
      </c>
      <c r="W2854" s="3">
        <f t="shared" si="449"/>
        <v>0</v>
      </c>
      <c r="AA2854" s="3">
        <v>48</v>
      </c>
    </row>
    <row r="2855" spans="1:27" x14ac:dyDescent="0.3">
      <c r="A2855" s="3" t="str">
        <f t="shared" si="440"/>
        <v>East9320039905097</v>
      </c>
      <c r="B2855" s="3" t="str">
        <f t="shared" si="441"/>
        <v>KGP9320039905097</v>
      </c>
      <c r="C2855" s="10">
        <v>9320039905097</v>
      </c>
      <c r="D2855" s="10" t="str">
        <f t="shared" si="442"/>
        <v>9320039905</v>
      </c>
      <c r="E2855" s="3" t="s">
        <v>6</v>
      </c>
      <c r="F2855" s="3" t="s">
        <v>66</v>
      </c>
      <c r="H2855" s="3">
        <v>6.5549249999999999</v>
      </c>
      <c r="I2855" s="10">
        <f t="shared" si="443"/>
        <v>51.660372018111474</v>
      </c>
      <c r="J2855" s="3">
        <v>3.8065492430263137</v>
      </c>
      <c r="K2855" s="3">
        <v>0</v>
      </c>
      <c r="L2855" s="3">
        <f t="shared" si="444"/>
        <v>0</v>
      </c>
      <c r="N2855" s="11">
        <f t="shared" si="445"/>
        <v>2.7483757569736862</v>
      </c>
      <c r="O2855" s="3">
        <v>3.8065492430263137</v>
      </c>
      <c r="P2855" s="11">
        <f t="shared" si="446"/>
        <v>21.660372018111474</v>
      </c>
      <c r="Q2855" s="12">
        <f t="shared" si="447"/>
        <v>21.660372018111477</v>
      </c>
      <c r="R2855" s="13">
        <f t="shared" si="448"/>
        <v>23.696298298325985</v>
      </c>
      <c r="S2855" s="3" t="s">
        <v>31</v>
      </c>
      <c r="T2855" s="3" t="s">
        <v>28</v>
      </c>
      <c r="U2855" s="10">
        <v>0</v>
      </c>
      <c r="V2855" s="3">
        <v>0</v>
      </c>
      <c r="W2855" s="3">
        <f t="shared" si="449"/>
        <v>0</v>
      </c>
      <c r="AA2855" s="3">
        <v>48</v>
      </c>
    </row>
    <row r="2856" spans="1:27" x14ac:dyDescent="0.3">
      <c r="A2856" s="3" t="str">
        <f t="shared" si="440"/>
        <v>East9420059905836</v>
      </c>
      <c r="B2856" s="3" t="str">
        <f t="shared" si="441"/>
        <v>KGP9420059905836</v>
      </c>
      <c r="C2856" s="10">
        <v>9420059905836</v>
      </c>
      <c r="D2856" s="10" t="str">
        <f t="shared" si="442"/>
        <v>9420059905</v>
      </c>
      <c r="E2856" s="3" t="s">
        <v>6</v>
      </c>
      <c r="F2856" s="3" t="s">
        <v>66</v>
      </c>
      <c r="H2856" s="3">
        <v>1.8971999999999998</v>
      </c>
      <c r="I2856" s="10">
        <f t="shared" si="443"/>
        <v>15.068097155608557</v>
      </c>
      <c r="J2856" s="3">
        <v>3.7772519922208665</v>
      </c>
      <c r="K2856" s="3">
        <v>0</v>
      </c>
      <c r="L2856" s="3">
        <f t="shared" si="444"/>
        <v>0</v>
      </c>
      <c r="N2856" s="11">
        <f t="shared" si="445"/>
        <v>-1.8800519922208667</v>
      </c>
      <c r="O2856" s="3">
        <v>3.7772519922208665</v>
      </c>
      <c r="P2856" s="11">
        <f t="shared" si="446"/>
        <v>-14.931902844391443</v>
      </c>
      <c r="Q2856" s="12">
        <f t="shared" si="447"/>
        <v>-14.931902844391443</v>
      </c>
      <c r="R2856" s="13">
        <f t="shared" si="448"/>
        <v>1.6356112473613518</v>
      </c>
      <c r="S2856" s="3" t="s">
        <v>31</v>
      </c>
      <c r="T2856" s="3" t="s">
        <v>28</v>
      </c>
      <c r="U2856" s="10">
        <v>0</v>
      </c>
      <c r="V2856" s="3">
        <v>0</v>
      </c>
      <c r="W2856" s="3">
        <f t="shared" si="449"/>
        <v>0</v>
      </c>
      <c r="AA2856" s="3">
        <v>48</v>
      </c>
    </row>
    <row r="2857" spans="1:27" x14ac:dyDescent="0.3">
      <c r="A2857" s="3" t="str">
        <f t="shared" si="440"/>
        <v>East9420019901310</v>
      </c>
      <c r="B2857" s="3" t="str">
        <f t="shared" si="441"/>
        <v>KGP9420019901310</v>
      </c>
      <c r="C2857" s="10">
        <v>9420019901310</v>
      </c>
      <c r="D2857" s="10" t="str">
        <f t="shared" si="442"/>
        <v>9420019901</v>
      </c>
      <c r="E2857" s="3" t="s">
        <v>6</v>
      </c>
      <c r="F2857" s="3" t="s">
        <v>66</v>
      </c>
      <c r="H2857" s="3">
        <v>15.469999999999999</v>
      </c>
      <c r="I2857" s="10">
        <f t="shared" si="443"/>
        <v>123.76120465058412</v>
      </c>
      <c r="J2857" s="3">
        <v>3.749963498741764</v>
      </c>
      <c r="K2857" s="3">
        <v>0</v>
      </c>
      <c r="L2857" s="3">
        <f t="shared" si="444"/>
        <v>0</v>
      </c>
      <c r="N2857" s="11">
        <f t="shared" si="445"/>
        <v>11.720036501258235</v>
      </c>
      <c r="O2857" s="3">
        <v>3.749963498741764</v>
      </c>
      <c r="P2857" s="11">
        <f t="shared" si="446"/>
        <v>93.761204650584133</v>
      </c>
      <c r="Q2857" s="12">
        <f t="shared" si="447"/>
        <v>93.761204650584148</v>
      </c>
      <c r="R2857" s="13">
        <f t="shared" si="448"/>
        <v>38.280373310321046</v>
      </c>
      <c r="S2857" s="3" t="s">
        <v>30</v>
      </c>
      <c r="T2857" s="3" t="s">
        <v>28</v>
      </c>
      <c r="U2857" s="10">
        <v>9420019900999</v>
      </c>
      <c r="V2857" s="3">
        <v>0.1</v>
      </c>
      <c r="W2857" s="3">
        <f t="shared" si="449"/>
        <v>0</v>
      </c>
      <c r="AA2857" s="3">
        <v>48</v>
      </c>
    </row>
    <row r="2858" spans="1:27" x14ac:dyDescent="0.3">
      <c r="A2858" s="3" t="str">
        <f t="shared" si="440"/>
        <v>East9431009905195</v>
      </c>
      <c r="B2858" s="3" t="str">
        <f t="shared" si="441"/>
        <v>KGP9431009905195</v>
      </c>
      <c r="C2858" s="10">
        <v>9431009905195</v>
      </c>
      <c r="D2858" s="10" t="str">
        <f t="shared" si="442"/>
        <v>9431009905</v>
      </c>
      <c r="E2858" s="3" t="s">
        <v>6</v>
      </c>
      <c r="F2858" s="3" t="s">
        <v>66</v>
      </c>
      <c r="H2858" s="3">
        <v>11.22045</v>
      </c>
      <c r="I2858" s="10">
        <f t="shared" si="443"/>
        <v>90.275521473804588</v>
      </c>
      <c r="J2858" s="3">
        <v>3.7287350380764703</v>
      </c>
      <c r="K2858" s="3">
        <v>0</v>
      </c>
      <c r="L2858" s="3">
        <f t="shared" si="444"/>
        <v>0</v>
      </c>
      <c r="N2858" s="11">
        <f t="shared" si="445"/>
        <v>7.4917149619235293</v>
      </c>
      <c r="O2858" s="3">
        <v>3.7287350380764703</v>
      </c>
      <c r="P2858" s="11">
        <f t="shared" si="446"/>
        <v>60.275521473804595</v>
      </c>
      <c r="Q2858" s="12">
        <f t="shared" si="447"/>
        <v>60.275521473804588</v>
      </c>
      <c r="R2858" s="13">
        <f t="shared" si="448"/>
        <v>34.81959784078208</v>
      </c>
      <c r="S2858" s="3" t="s">
        <v>31</v>
      </c>
      <c r="T2858" s="3" t="s">
        <v>35</v>
      </c>
      <c r="U2858" s="10">
        <v>0</v>
      </c>
      <c r="V2858" s="3">
        <v>0</v>
      </c>
      <c r="W2858" s="3">
        <f t="shared" si="449"/>
        <v>0</v>
      </c>
      <c r="AA2858" s="3">
        <v>48</v>
      </c>
    </row>
    <row r="2859" spans="1:27" x14ac:dyDescent="0.3">
      <c r="A2859" s="3" t="str">
        <f t="shared" si="440"/>
        <v>East9320039902097</v>
      </c>
      <c r="B2859" s="3" t="str">
        <f t="shared" si="441"/>
        <v>KGP9320039902097</v>
      </c>
      <c r="C2859" s="10">
        <v>9320039902097</v>
      </c>
      <c r="D2859" s="10" t="str">
        <f t="shared" si="442"/>
        <v>9320039902</v>
      </c>
      <c r="E2859" s="3" t="s">
        <v>6</v>
      </c>
      <c r="F2859" s="3" t="s">
        <v>66</v>
      </c>
      <c r="H2859" s="3">
        <v>4.24125</v>
      </c>
      <c r="I2859" s="10">
        <f t="shared" si="443"/>
        <v>35.26153494249801</v>
      </c>
      <c r="J2859" s="3">
        <v>3.6083936847187683</v>
      </c>
      <c r="K2859" s="3">
        <v>12</v>
      </c>
      <c r="L2859" s="3">
        <f t="shared" si="444"/>
        <v>0</v>
      </c>
      <c r="N2859" s="11">
        <f t="shared" si="445"/>
        <v>0.63285631528123165</v>
      </c>
      <c r="O2859" s="3">
        <v>3.6083936847187683</v>
      </c>
      <c r="P2859" s="11">
        <f t="shared" si="446"/>
        <v>5.2615349424980113</v>
      </c>
      <c r="Q2859" s="12">
        <f t="shared" si="447"/>
        <v>5.2615349424980113</v>
      </c>
      <c r="R2859" s="13">
        <f t="shared" si="448"/>
        <v>14.813342582695007</v>
      </c>
      <c r="S2859" s="3" t="s">
        <v>30</v>
      </c>
      <c r="T2859" s="3" t="s">
        <v>28</v>
      </c>
      <c r="U2859" s="10">
        <v>0</v>
      </c>
      <c r="V2859" s="3">
        <v>0</v>
      </c>
      <c r="W2859" s="3">
        <f t="shared" si="449"/>
        <v>0</v>
      </c>
      <c r="AA2859" s="3">
        <v>48</v>
      </c>
    </row>
    <row r="2860" spans="1:27" x14ac:dyDescent="0.3">
      <c r="A2860" s="3" t="str">
        <f t="shared" si="440"/>
        <v>East9310019902297</v>
      </c>
      <c r="B2860" s="3" t="str">
        <f t="shared" si="441"/>
        <v>KGP9310019902297</v>
      </c>
      <c r="C2860" s="10">
        <v>9310019902297</v>
      </c>
      <c r="D2860" s="10" t="str">
        <f t="shared" si="442"/>
        <v>9310019902</v>
      </c>
      <c r="E2860" s="3" t="s">
        <v>6</v>
      </c>
      <c r="F2860" s="3" t="s">
        <v>66</v>
      </c>
      <c r="H2860" s="3">
        <v>16.945499999999999</v>
      </c>
      <c r="I2860" s="10">
        <f t="shared" si="443"/>
        <v>143.01930605890661</v>
      </c>
      <c r="J2860" s="3">
        <v>3.5545201134636693</v>
      </c>
      <c r="K2860" s="3">
        <v>0</v>
      </c>
      <c r="L2860" s="3">
        <f t="shared" si="444"/>
        <v>0</v>
      </c>
      <c r="N2860" s="11">
        <f t="shared" si="445"/>
        <v>13.39097988653633</v>
      </c>
      <c r="O2860" s="3">
        <v>3.5545201134636693</v>
      </c>
      <c r="P2860" s="11">
        <f t="shared" si="446"/>
        <v>113.01930605890662</v>
      </c>
      <c r="Q2860" s="12">
        <f t="shared" si="447"/>
        <v>113.01930605890661</v>
      </c>
      <c r="R2860" s="13">
        <f t="shared" si="448"/>
        <v>54.023302349984483</v>
      </c>
      <c r="S2860" s="3" t="s">
        <v>31</v>
      </c>
      <c r="T2860" s="3" t="s">
        <v>32</v>
      </c>
      <c r="U2860" s="10">
        <v>9310019900999</v>
      </c>
      <c r="V2860" s="3">
        <v>0.1</v>
      </c>
      <c r="W2860" s="3">
        <f t="shared" si="449"/>
        <v>0</v>
      </c>
      <c r="AA2860" s="3">
        <v>48</v>
      </c>
    </row>
    <row r="2861" spans="1:27" x14ac:dyDescent="0.3">
      <c r="A2861" s="3" t="str">
        <f t="shared" si="440"/>
        <v>East9360129900840</v>
      </c>
      <c r="B2861" s="3" t="str">
        <f t="shared" si="441"/>
        <v>KGP9360129900840</v>
      </c>
      <c r="C2861" s="10">
        <v>9360129900840</v>
      </c>
      <c r="D2861" s="10" t="str">
        <f t="shared" si="442"/>
        <v>9360129900</v>
      </c>
      <c r="E2861" s="3" t="s">
        <v>6</v>
      </c>
      <c r="F2861" s="3" t="s">
        <v>66</v>
      </c>
      <c r="H2861" s="3">
        <v>6.6760000000000019</v>
      </c>
      <c r="I2861" s="10">
        <f t="shared" si="443"/>
        <v>58.100514059313575</v>
      </c>
      <c r="J2861" s="3">
        <v>3.4471295692072275</v>
      </c>
      <c r="K2861" s="3">
        <v>0</v>
      </c>
      <c r="L2861" s="3">
        <f t="shared" si="444"/>
        <v>0</v>
      </c>
      <c r="N2861" s="11">
        <f t="shared" si="445"/>
        <v>3.2288704307927745</v>
      </c>
      <c r="O2861" s="3">
        <v>3.4471295692072275</v>
      </c>
      <c r="P2861" s="11">
        <f t="shared" si="446"/>
        <v>28.100514059313571</v>
      </c>
      <c r="Q2861" s="12">
        <f t="shared" si="447"/>
        <v>28.100514059313571</v>
      </c>
      <c r="R2861" s="13">
        <f t="shared" si="448"/>
        <v>35.229006862127264</v>
      </c>
      <c r="S2861" s="3" t="s">
        <v>31</v>
      </c>
      <c r="T2861" s="3" t="s">
        <v>33</v>
      </c>
      <c r="U2861" s="10">
        <v>0</v>
      </c>
      <c r="V2861" s="3">
        <v>0</v>
      </c>
      <c r="W2861" s="3">
        <f t="shared" si="449"/>
        <v>0</v>
      </c>
      <c r="AA2861" s="3">
        <v>48</v>
      </c>
    </row>
    <row r="2862" spans="1:27" x14ac:dyDescent="0.3">
      <c r="A2862" s="3" t="str">
        <f t="shared" si="440"/>
        <v>East9420139900320</v>
      </c>
      <c r="B2862" s="3" t="str">
        <f t="shared" si="441"/>
        <v>KGP9420139900320</v>
      </c>
      <c r="C2862" s="10">
        <v>9420139900320</v>
      </c>
      <c r="D2862" s="10" t="str">
        <f t="shared" si="442"/>
        <v>9420139900</v>
      </c>
      <c r="E2862" s="3" t="s">
        <v>6</v>
      </c>
      <c r="F2862" s="3" t="s">
        <v>66</v>
      </c>
      <c r="H2862" s="3">
        <v>4.1800000000000006</v>
      </c>
      <c r="I2862" s="10">
        <f t="shared" si="443"/>
        <v>36.609053991997328</v>
      </c>
      <c r="J2862" s="3">
        <v>3.4253821480175972</v>
      </c>
      <c r="K2862" s="3">
        <v>0</v>
      </c>
      <c r="L2862" s="3">
        <f t="shared" si="444"/>
        <v>0</v>
      </c>
      <c r="N2862" s="11">
        <f t="shared" si="445"/>
        <v>0.75461785198240339</v>
      </c>
      <c r="O2862" s="3">
        <v>3.4253821480175972</v>
      </c>
      <c r="P2862" s="11">
        <f t="shared" si="446"/>
        <v>6.6090539919973335</v>
      </c>
      <c r="Q2862" s="12">
        <f t="shared" si="447"/>
        <v>6.6090539919973343</v>
      </c>
      <c r="R2862" s="13">
        <f t="shared" si="448"/>
        <v>20.904234494707751</v>
      </c>
      <c r="S2862" s="3" t="s">
        <v>31</v>
      </c>
      <c r="T2862" s="3" t="s">
        <v>28</v>
      </c>
      <c r="U2862" s="10">
        <v>9420139900999</v>
      </c>
      <c r="V2862" s="3">
        <v>0.1</v>
      </c>
      <c r="W2862" s="3">
        <f t="shared" si="449"/>
        <v>0</v>
      </c>
      <c r="AA2862" s="3">
        <v>48</v>
      </c>
    </row>
    <row r="2863" spans="1:27" x14ac:dyDescent="0.3">
      <c r="A2863" s="3" t="str">
        <f t="shared" si="440"/>
        <v>East9420039902319</v>
      </c>
      <c r="B2863" s="3" t="str">
        <f t="shared" si="441"/>
        <v>KGP9420039902319</v>
      </c>
      <c r="C2863" s="10">
        <v>9420039902319</v>
      </c>
      <c r="D2863" s="10" t="str">
        <f t="shared" si="442"/>
        <v>9420039902</v>
      </c>
      <c r="E2863" s="3" t="s">
        <v>6</v>
      </c>
      <c r="F2863" s="3" t="s">
        <v>66</v>
      </c>
      <c r="H2863" s="3">
        <v>2.109</v>
      </c>
      <c r="I2863" s="10">
        <f t="shared" si="443"/>
        <v>18.615008774268123</v>
      </c>
      <c r="J2863" s="3">
        <v>3.3988702754445814</v>
      </c>
      <c r="K2863" s="3">
        <v>36</v>
      </c>
      <c r="L2863" s="3">
        <f t="shared" si="444"/>
        <v>0</v>
      </c>
      <c r="N2863" s="11">
        <f t="shared" si="445"/>
        <v>-1.2898702754445814</v>
      </c>
      <c r="O2863" s="3">
        <v>3.3988702754445814</v>
      </c>
      <c r="P2863" s="11">
        <f t="shared" si="446"/>
        <v>-11.384991225731877</v>
      </c>
      <c r="Q2863" s="12">
        <f t="shared" si="447"/>
        <v>-11.384991225731875</v>
      </c>
      <c r="R2863" s="13">
        <f t="shared" si="448"/>
        <v>30.585208828369929</v>
      </c>
      <c r="S2863" s="3" t="s">
        <v>31</v>
      </c>
      <c r="T2863" s="3" t="s">
        <v>28</v>
      </c>
      <c r="U2863" s="10">
        <v>9420039900999</v>
      </c>
      <c r="V2863" s="3">
        <v>0.1</v>
      </c>
      <c r="W2863" s="3">
        <f t="shared" si="449"/>
        <v>3.6</v>
      </c>
      <c r="AA2863" s="3">
        <v>48</v>
      </c>
    </row>
    <row r="2864" spans="1:27" x14ac:dyDescent="0.3">
      <c r="A2864" s="3" t="str">
        <f t="shared" si="440"/>
        <v>East9320039900840</v>
      </c>
      <c r="B2864" s="3" t="str">
        <f t="shared" si="441"/>
        <v>KGP9320039900840</v>
      </c>
      <c r="C2864" s="10">
        <v>9320039900840</v>
      </c>
      <c r="D2864" s="10" t="str">
        <f t="shared" si="442"/>
        <v>9320039900</v>
      </c>
      <c r="E2864" s="3" t="s">
        <v>6</v>
      </c>
      <c r="F2864" s="3" t="s">
        <v>66</v>
      </c>
      <c r="H2864" s="3">
        <v>2.6560000000000006</v>
      </c>
      <c r="I2864" s="10">
        <f t="shared" si="443"/>
        <v>23.675523845636565</v>
      </c>
      <c r="J2864" s="3">
        <v>3.3655010347188226</v>
      </c>
      <c r="K2864" s="3">
        <v>0</v>
      </c>
      <c r="L2864" s="3">
        <f t="shared" si="444"/>
        <v>0</v>
      </c>
      <c r="N2864" s="11">
        <f t="shared" si="445"/>
        <v>-0.70950103471882198</v>
      </c>
      <c r="O2864" s="3">
        <v>3.3655010347188226</v>
      </c>
      <c r="P2864" s="11">
        <f t="shared" si="446"/>
        <v>-6.3244761543634347</v>
      </c>
      <c r="Q2864" s="12">
        <f t="shared" si="447"/>
        <v>-6.3244761543634338</v>
      </c>
      <c r="R2864" s="13">
        <f t="shared" si="448"/>
        <v>-11.770542147540164</v>
      </c>
      <c r="S2864" s="3" t="s">
        <v>30</v>
      </c>
      <c r="T2864" s="3" t="s">
        <v>28</v>
      </c>
      <c r="U2864" s="10">
        <v>0</v>
      </c>
      <c r="V2864" s="3">
        <v>0</v>
      </c>
      <c r="W2864" s="3">
        <f t="shared" si="449"/>
        <v>0</v>
      </c>
      <c r="AA2864" s="3">
        <v>48</v>
      </c>
    </row>
    <row r="2865" spans="1:27" x14ac:dyDescent="0.3">
      <c r="A2865" s="3" t="str">
        <f t="shared" si="440"/>
        <v>East9432029901310</v>
      </c>
      <c r="B2865" s="3" t="str">
        <f t="shared" si="441"/>
        <v>KGP9432029901310</v>
      </c>
      <c r="C2865" s="10">
        <v>9432029901310</v>
      </c>
      <c r="D2865" s="10" t="str">
        <f t="shared" si="442"/>
        <v>9432029901</v>
      </c>
      <c r="E2865" s="3" t="s">
        <v>6</v>
      </c>
      <c r="F2865" s="3" t="s">
        <v>66</v>
      </c>
      <c r="H2865" s="3">
        <v>5.7799999999999985</v>
      </c>
      <c r="I2865" s="10">
        <f t="shared" si="443"/>
        <v>51.971193303526164</v>
      </c>
      <c r="J2865" s="3">
        <v>3.3364637018683778</v>
      </c>
      <c r="K2865" s="3">
        <v>0</v>
      </c>
      <c r="L2865" s="3">
        <f t="shared" si="444"/>
        <v>0</v>
      </c>
      <c r="N2865" s="11">
        <f t="shared" si="445"/>
        <v>2.4435362981316207</v>
      </c>
      <c r="O2865" s="3">
        <v>3.3364637018683778</v>
      </c>
      <c r="P2865" s="11">
        <f t="shared" si="446"/>
        <v>21.971193303526164</v>
      </c>
      <c r="Q2865" s="12">
        <f t="shared" si="447"/>
        <v>21.971193303526164</v>
      </c>
      <c r="R2865" s="13">
        <f t="shared" si="448"/>
        <v>43.777640765882907</v>
      </c>
      <c r="S2865" s="3" t="s">
        <v>31</v>
      </c>
      <c r="T2865" s="3" t="s">
        <v>35</v>
      </c>
      <c r="U2865" s="10">
        <v>9432029900999</v>
      </c>
      <c r="V2865" s="3">
        <v>0.1</v>
      </c>
      <c r="W2865" s="3">
        <f t="shared" si="449"/>
        <v>0</v>
      </c>
      <c r="AA2865" s="3">
        <v>48</v>
      </c>
    </row>
    <row r="2866" spans="1:27" x14ac:dyDescent="0.3">
      <c r="A2866" s="3" t="str">
        <f t="shared" si="440"/>
        <v>East9360119922240</v>
      </c>
      <c r="B2866" s="3" t="str">
        <f t="shared" si="441"/>
        <v>KGP9360119922240</v>
      </c>
      <c r="C2866" s="10">
        <v>9360119922240</v>
      </c>
      <c r="D2866" s="10" t="str">
        <f t="shared" si="442"/>
        <v>9360119922</v>
      </c>
      <c r="E2866" s="3" t="s">
        <v>6</v>
      </c>
      <c r="F2866" s="3" t="s">
        <v>66</v>
      </c>
      <c r="H2866" s="3">
        <v>3.8720000000000008</v>
      </c>
      <c r="I2866" s="10">
        <f t="shared" si="443"/>
        <v>34.90492408025905</v>
      </c>
      <c r="J2866" s="3">
        <v>3.3278972254145618</v>
      </c>
      <c r="K2866" s="3">
        <v>12</v>
      </c>
      <c r="L2866" s="3">
        <f t="shared" si="444"/>
        <v>0</v>
      </c>
      <c r="N2866" s="11">
        <f t="shared" si="445"/>
        <v>0.54410277458543899</v>
      </c>
      <c r="O2866" s="3">
        <v>3.3278972254145618</v>
      </c>
      <c r="P2866" s="11">
        <f t="shared" si="446"/>
        <v>4.9049240802590521</v>
      </c>
      <c r="Q2866" s="12">
        <f t="shared" si="447"/>
        <v>4.9049240802590512</v>
      </c>
      <c r="R2866" s="13">
        <f t="shared" si="448"/>
        <v>79.889481963770294</v>
      </c>
      <c r="S2866" s="3" t="s">
        <v>31</v>
      </c>
      <c r="T2866" s="3" t="s">
        <v>33</v>
      </c>
      <c r="U2866" s="10">
        <v>0</v>
      </c>
      <c r="V2866" s="3">
        <v>0</v>
      </c>
      <c r="W2866" s="3">
        <f t="shared" si="449"/>
        <v>0</v>
      </c>
      <c r="AA2866" s="3">
        <v>48</v>
      </c>
    </row>
    <row r="2867" spans="1:27" x14ac:dyDescent="0.3">
      <c r="A2867" s="3" t="str">
        <f t="shared" si="440"/>
        <v>East9410019901210</v>
      </c>
      <c r="B2867" s="3" t="str">
        <f t="shared" si="441"/>
        <v>KGP9410019901210</v>
      </c>
      <c r="C2867" s="10">
        <v>9410019901210</v>
      </c>
      <c r="D2867" s="10" t="str">
        <f t="shared" si="442"/>
        <v>9410019901</v>
      </c>
      <c r="E2867" s="3" t="s">
        <v>6</v>
      </c>
      <c r="F2867" s="3" t="s">
        <v>66</v>
      </c>
      <c r="H2867" s="3">
        <v>7.7509999999999994</v>
      </c>
      <c r="I2867" s="10">
        <f t="shared" si="443"/>
        <v>74.118586575687885</v>
      </c>
      <c r="J2867" s="3">
        <v>3.1372697557116349</v>
      </c>
      <c r="K2867" s="3">
        <v>0</v>
      </c>
      <c r="L2867" s="3">
        <f t="shared" si="444"/>
        <v>0</v>
      </c>
      <c r="N2867" s="11">
        <f t="shared" si="445"/>
        <v>4.6137302442883641</v>
      </c>
      <c r="O2867" s="3">
        <v>3.1372697557116349</v>
      </c>
      <c r="P2867" s="11">
        <f t="shared" si="446"/>
        <v>44.118586575687878</v>
      </c>
      <c r="Q2867" s="12">
        <f t="shared" si="447"/>
        <v>44.118586575687878</v>
      </c>
      <c r="R2867" s="13">
        <f t="shared" si="448"/>
        <v>39.024678852944916</v>
      </c>
      <c r="S2867" s="3" t="s">
        <v>30</v>
      </c>
      <c r="T2867" s="3" t="s">
        <v>32</v>
      </c>
      <c r="U2867" s="10">
        <v>0</v>
      </c>
      <c r="V2867" s="3">
        <v>0</v>
      </c>
      <c r="W2867" s="3">
        <f t="shared" si="449"/>
        <v>0</v>
      </c>
      <c r="AA2867" s="3">
        <v>48</v>
      </c>
    </row>
    <row r="2868" spans="1:27" x14ac:dyDescent="0.3">
      <c r="A2868" s="3" t="str">
        <f t="shared" si="440"/>
        <v>East9410029900310</v>
      </c>
      <c r="B2868" s="3" t="str">
        <f t="shared" si="441"/>
        <v>KGP9410029900310</v>
      </c>
      <c r="C2868" s="10">
        <v>9410029900310</v>
      </c>
      <c r="D2868" s="10" t="str">
        <f t="shared" si="442"/>
        <v>9410029900</v>
      </c>
      <c r="E2868" s="3" t="s">
        <v>6</v>
      </c>
      <c r="F2868" s="3" t="s">
        <v>66</v>
      </c>
      <c r="H2868" s="3">
        <v>1.8100000000000003</v>
      </c>
      <c r="I2868" s="10">
        <f t="shared" si="443"/>
        <v>17.552708908014534</v>
      </c>
      <c r="J2868" s="3">
        <v>3.093539594632412</v>
      </c>
      <c r="K2868" s="3">
        <v>0</v>
      </c>
      <c r="L2868" s="3">
        <f t="shared" si="444"/>
        <v>0</v>
      </c>
      <c r="N2868" s="11">
        <f t="shared" si="445"/>
        <v>-1.2835395946324117</v>
      </c>
      <c r="O2868" s="3">
        <v>3.093539594632412</v>
      </c>
      <c r="P2868" s="11">
        <f t="shared" si="446"/>
        <v>-12.447291091985466</v>
      </c>
      <c r="Q2868" s="12">
        <f t="shared" si="447"/>
        <v>-12.447291091985466</v>
      </c>
      <c r="R2868" s="13">
        <f t="shared" si="448"/>
        <v>-6.4410101637640524</v>
      </c>
      <c r="S2868" s="3" t="s">
        <v>31</v>
      </c>
      <c r="T2868" s="3" t="s">
        <v>32</v>
      </c>
      <c r="U2868" s="10">
        <v>9410029900999</v>
      </c>
      <c r="V2868" s="3">
        <v>0.1</v>
      </c>
      <c r="W2868" s="3">
        <f t="shared" si="449"/>
        <v>0</v>
      </c>
      <c r="AA2868" s="3">
        <v>48</v>
      </c>
    </row>
    <row r="2869" spans="1:27" x14ac:dyDescent="0.3">
      <c r="A2869" s="3" t="str">
        <f t="shared" si="440"/>
        <v>East9330239900320</v>
      </c>
      <c r="B2869" s="3" t="str">
        <f t="shared" si="441"/>
        <v>KGP9330239900320</v>
      </c>
      <c r="C2869" s="10">
        <v>9330239900320</v>
      </c>
      <c r="D2869" s="10" t="str">
        <f t="shared" si="442"/>
        <v>9330239900</v>
      </c>
      <c r="E2869" s="3" t="s">
        <v>6</v>
      </c>
      <c r="F2869" s="3" t="s">
        <v>66</v>
      </c>
      <c r="H2869" s="3">
        <v>4.2799999999999994</v>
      </c>
      <c r="I2869" s="10">
        <f t="shared" si="443"/>
        <v>42.468347690402318</v>
      </c>
      <c r="J2869" s="3">
        <v>3.0234281996569856</v>
      </c>
      <c r="K2869" s="3">
        <v>0</v>
      </c>
      <c r="L2869" s="3">
        <f t="shared" si="444"/>
        <v>0</v>
      </c>
      <c r="N2869" s="11">
        <f t="shared" si="445"/>
        <v>1.2565718003430137</v>
      </c>
      <c r="O2869" s="3">
        <v>3.0234281996569856</v>
      </c>
      <c r="P2869" s="11">
        <f t="shared" si="446"/>
        <v>12.468347690402316</v>
      </c>
      <c r="Q2869" s="12">
        <f t="shared" si="447"/>
        <v>12.468347690402316</v>
      </c>
      <c r="R2869" s="13">
        <f t="shared" si="448"/>
        <v>49.457242370391903</v>
      </c>
      <c r="S2869" s="3" t="s">
        <v>31</v>
      </c>
      <c r="T2869" s="3" t="s">
        <v>35</v>
      </c>
      <c r="U2869" s="10">
        <v>9330239900999</v>
      </c>
      <c r="V2869" s="3">
        <v>0.1</v>
      </c>
      <c r="W2869" s="3">
        <f t="shared" si="449"/>
        <v>0</v>
      </c>
      <c r="AA2869" s="3">
        <v>48</v>
      </c>
    </row>
    <row r="2870" spans="1:27" x14ac:dyDescent="0.3">
      <c r="A2870" s="3" t="str">
        <f t="shared" si="440"/>
        <v>East9160509902219</v>
      </c>
      <c r="B2870" s="3" t="str">
        <f t="shared" si="441"/>
        <v>KGP9160509902219</v>
      </c>
      <c r="C2870" s="10">
        <v>9160509902219</v>
      </c>
      <c r="D2870" s="10" t="str">
        <f t="shared" si="442"/>
        <v>9160509902</v>
      </c>
      <c r="E2870" s="3" t="s">
        <v>6</v>
      </c>
      <c r="F2870" s="3" t="s">
        <v>66</v>
      </c>
      <c r="H2870" s="3">
        <v>5.9865000000000004</v>
      </c>
      <c r="I2870" s="10">
        <f t="shared" si="443"/>
        <v>62.043738362994475</v>
      </c>
      <c r="J2870" s="3">
        <v>2.894651494873786</v>
      </c>
      <c r="K2870" s="3">
        <v>0</v>
      </c>
      <c r="L2870" s="3">
        <f t="shared" si="444"/>
        <v>0</v>
      </c>
      <c r="N2870" s="11">
        <f t="shared" si="445"/>
        <v>3.0918485051262143</v>
      </c>
      <c r="O2870" s="3">
        <v>2.894651494873786</v>
      </c>
      <c r="P2870" s="11">
        <f t="shared" si="446"/>
        <v>32.043738362994475</v>
      </c>
      <c r="Q2870" s="12">
        <f t="shared" si="447"/>
        <v>32.043738362994468</v>
      </c>
      <c r="R2870" s="13">
        <f t="shared" si="448"/>
        <v>65.8644667568567</v>
      </c>
      <c r="S2870" s="3" t="s">
        <v>30</v>
      </c>
      <c r="T2870" s="3" t="s">
        <v>34</v>
      </c>
      <c r="U2870" s="10">
        <v>0</v>
      </c>
      <c r="V2870" s="3">
        <v>0</v>
      </c>
      <c r="W2870" s="3">
        <f t="shared" si="449"/>
        <v>0</v>
      </c>
      <c r="AA2870" s="3">
        <v>48</v>
      </c>
    </row>
    <row r="2871" spans="1:27" x14ac:dyDescent="0.3">
      <c r="A2871" s="3" t="str">
        <f t="shared" si="440"/>
        <v>East9420059900310</v>
      </c>
      <c r="B2871" s="3" t="str">
        <f t="shared" si="441"/>
        <v>KGP9420059900310</v>
      </c>
      <c r="C2871" s="10">
        <v>9420059900310</v>
      </c>
      <c r="D2871" s="10" t="str">
        <f t="shared" si="442"/>
        <v>9420059900</v>
      </c>
      <c r="E2871" s="3" t="s">
        <v>6</v>
      </c>
      <c r="F2871" s="3" t="s">
        <v>66</v>
      </c>
      <c r="H2871" s="3">
        <v>2.77</v>
      </c>
      <c r="I2871" s="10">
        <f t="shared" si="443"/>
        <v>32.370612430566368</v>
      </c>
      <c r="J2871" s="3">
        <v>2.5671432747293887</v>
      </c>
      <c r="K2871" s="3">
        <v>12</v>
      </c>
      <c r="L2871" s="3">
        <f t="shared" si="444"/>
        <v>0</v>
      </c>
      <c r="N2871" s="11">
        <f t="shared" si="445"/>
        <v>0.20285672527061127</v>
      </c>
      <c r="O2871" s="3">
        <v>2.5671432747293887</v>
      </c>
      <c r="P2871" s="11">
        <f t="shared" si="446"/>
        <v>2.3706124305663665</v>
      </c>
      <c r="Q2871" s="12">
        <f t="shared" si="447"/>
        <v>2.3706124305663665</v>
      </c>
      <c r="R2871" s="13">
        <f t="shared" si="448"/>
        <v>6.0010965144808175</v>
      </c>
      <c r="S2871" s="3" t="s">
        <v>31</v>
      </c>
      <c r="T2871" s="3" t="s">
        <v>28</v>
      </c>
      <c r="U2871" s="10">
        <v>9420059900999</v>
      </c>
      <c r="V2871" s="3">
        <v>0.1</v>
      </c>
      <c r="W2871" s="3">
        <f t="shared" si="449"/>
        <v>1.2000000000000002</v>
      </c>
      <c r="AA2871" s="3">
        <v>48</v>
      </c>
    </row>
    <row r="2872" spans="1:27" x14ac:dyDescent="0.3">
      <c r="A2872" s="3" t="str">
        <f t="shared" si="440"/>
        <v>East9320019900210</v>
      </c>
      <c r="B2872" s="3" t="str">
        <f t="shared" si="441"/>
        <v>KGP9320019900210</v>
      </c>
      <c r="C2872" s="10">
        <v>9320019900210</v>
      </c>
      <c r="D2872" s="10" t="str">
        <f t="shared" si="442"/>
        <v>9320019900</v>
      </c>
      <c r="E2872" s="3" t="s">
        <v>6</v>
      </c>
      <c r="F2872" s="3" t="s">
        <v>66</v>
      </c>
      <c r="H2872" s="3">
        <v>13.713000000000001</v>
      </c>
      <c r="I2872" s="10">
        <f t="shared" si="443"/>
        <v>160.67531203760078</v>
      </c>
      <c r="J2872" s="3">
        <v>2.5603808997347874</v>
      </c>
      <c r="K2872" s="3">
        <v>0</v>
      </c>
      <c r="L2872" s="3">
        <f t="shared" si="444"/>
        <v>0</v>
      </c>
      <c r="N2872" s="11">
        <f t="shared" si="445"/>
        <v>11.152619100265213</v>
      </c>
      <c r="O2872" s="3">
        <v>2.5603808997347874</v>
      </c>
      <c r="P2872" s="11">
        <f t="shared" si="446"/>
        <v>130.67531203760078</v>
      </c>
      <c r="Q2872" s="12">
        <f t="shared" si="447"/>
        <v>130.67531203760078</v>
      </c>
      <c r="R2872" s="13">
        <f t="shared" si="448"/>
        <v>72.211571713659765</v>
      </c>
      <c r="S2872" s="3" t="s">
        <v>31</v>
      </c>
      <c r="T2872" s="3" t="s">
        <v>28</v>
      </c>
      <c r="U2872" s="10">
        <v>0</v>
      </c>
      <c r="V2872" s="3">
        <v>0</v>
      </c>
      <c r="W2872" s="3">
        <f t="shared" si="449"/>
        <v>0</v>
      </c>
      <c r="AA2872" s="3">
        <v>48</v>
      </c>
    </row>
    <row r="2873" spans="1:27" x14ac:dyDescent="0.3">
      <c r="A2873" s="3" t="str">
        <f t="shared" si="440"/>
        <v>East9160509900320</v>
      </c>
      <c r="B2873" s="3" t="str">
        <f t="shared" si="441"/>
        <v>KGP9160509900320</v>
      </c>
      <c r="C2873" s="10">
        <v>9160509900320</v>
      </c>
      <c r="D2873" s="10" t="str">
        <f t="shared" si="442"/>
        <v>9160509900</v>
      </c>
      <c r="E2873" s="3" t="s">
        <v>6</v>
      </c>
      <c r="F2873" s="3" t="s">
        <v>66</v>
      </c>
      <c r="H2873" s="3">
        <v>11.68</v>
      </c>
      <c r="I2873" s="10">
        <f t="shared" si="443"/>
        <v>137.70018386869231</v>
      </c>
      <c r="J2873" s="3">
        <v>2.5446589115242815</v>
      </c>
      <c r="K2873" s="3">
        <v>0</v>
      </c>
      <c r="L2873" s="3">
        <f t="shared" si="444"/>
        <v>0</v>
      </c>
      <c r="N2873" s="11">
        <f t="shared" si="445"/>
        <v>9.1353410884757178</v>
      </c>
      <c r="O2873" s="3">
        <v>2.5446589115242815</v>
      </c>
      <c r="P2873" s="11">
        <f t="shared" si="446"/>
        <v>107.70018386869231</v>
      </c>
      <c r="Q2873" s="12">
        <f t="shared" si="447"/>
        <v>107.70018386869231</v>
      </c>
      <c r="R2873" s="13">
        <f t="shared" si="448"/>
        <v>28.106886654104677</v>
      </c>
      <c r="S2873" s="3" t="s">
        <v>30</v>
      </c>
      <c r="T2873" s="3" t="s">
        <v>34</v>
      </c>
      <c r="U2873" s="10">
        <v>0</v>
      </c>
      <c r="V2873" s="3">
        <v>0</v>
      </c>
      <c r="W2873" s="3">
        <f t="shared" si="449"/>
        <v>0</v>
      </c>
      <c r="AA2873" s="3">
        <v>48</v>
      </c>
    </row>
    <row r="2874" spans="1:27" x14ac:dyDescent="0.3">
      <c r="A2874" s="3" t="str">
        <f t="shared" si="440"/>
        <v>East9437009900210</v>
      </c>
      <c r="B2874" s="3" t="str">
        <f t="shared" si="441"/>
        <v>KGP9437009900210</v>
      </c>
      <c r="C2874" s="10">
        <v>9437009900210</v>
      </c>
      <c r="D2874" s="10" t="str">
        <f t="shared" si="442"/>
        <v>9437009900</v>
      </c>
      <c r="E2874" s="3" t="s">
        <v>6</v>
      </c>
      <c r="F2874" s="3" t="s">
        <v>66</v>
      </c>
      <c r="H2874" s="3">
        <v>7.2279999999999998</v>
      </c>
      <c r="I2874" s="10">
        <f t="shared" si="443"/>
        <v>87.773197977929399</v>
      </c>
      <c r="J2874" s="3">
        <v>2.4704580099100921</v>
      </c>
      <c r="K2874" s="3">
        <v>0</v>
      </c>
      <c r="L2874" s="3">
        <f t="shared" si="444"/>
        <v>0</v>
      </c>
      <c r="N2874" s="11">
        <f t="shared" si="445"/>
        <v>4.7575419900899076</v>
      </c>
      <c r="O2874" s="3">
        <v>2.4704580099100921</v>
      </c>
      <c r="P2874" s="11">
        <f t="shared" si="446"/>
        <v>57.773197977929399</v>
      </c>
      <c r="Q2874" s="12">
        <f t="shared" si="447"/>
        <v>57.773197977929406</v>
      </c>
      <c r="R2874" s="13">
        <f t="shared" si="448"/>
        <v>46.768930863463687</v>
      </c>
      <c r="S2874" s="3" t="s">
        <v>31</v>
      </c>
      <c r="T2874" s="3" t="s">
        <v>35</v>
      </c>
      <c r="U2874" s="10">
        <v>0</v>
      </c>
      <c r="V2874" s="3">
        <v>0</v>
      </c>
      <c r="W2874" s="3">
        <f t="shared" si="449"/>
        <v>0</v>
      </c>
      <c r="AA2874" s="3">
        <v>48</v>
      </c>
    </row>
    <row r="2875" spans="1:27" x14ac:dyDescent="0.3">
      <c r="A2875" s="3" t="str">
        <f t="shared" si="440"/>
        <v>East9432019900840</v>
      </c>
      <c r="B2875" s="3" t="str">
        <f t="shared" si="441"/>
        <v>KGP9432019900840</v>
      </c>
      <c r="C2875" s="10">
        <v>9432019900840</v>
      </c>
      <c r="D2875" s="10" t="str">
        <f t="shared" si="442"/>
        <v>9432019900</v>
      </c>
      <c r="E2875" s="3" t="s">
        <v>6</v>
      </c>
      <c r="F2875" s="3" t="s">
        <v>66</v>
      </c>
      <c r="H2875" s="3">
        <v>6.7720000000000011</v>
      </c>
      <c r="I2875" s="10">
        <f t="shared" si="443"/>
        <v>82.926800261430913</v>
      </c>
      <c r="J2875" s="3">
        <v>2.4498714451724641</v>
      </c>
      <c r="K2875" s="3">
        <v>0</v>
      </c>
      <c r="L2875" s="3">
        <f t="shared" si="444"/>
        <v>0</v>
      </c>
      <c r="N2875" s="11">
        <f t="shared" si="445"/>
        <v>4.322128554827537</v>
      </c>
      <c r="O2875" s="3">
        <v>2.4498714451724641</v>
      </c>
      <c r="P2875" s="11">
        <f t="shared" si="446"/>
        <v>52.926800261430913</v>
      </c>
      <c r="Q2875" s="12">
        <f t="shared" si="447"/>
        <v>52.926800261430913</v>
      </c>
      <c r="R2875" s="13">
        <f t="shared" si="448"/>
        <v>20.92521076025448</v>
      </c>
      <c r="S2875" s="3" t="s">
        <v>31</v>
      </c>
      <c r="T2875" s="3" t="s">
        <v>35</v>
      </c>
      <c r="U2875" s="10">
        <v>0</v>
      </c>
      <c r="V2875" s="3">
        <v>0</v>
      </c>
      <c r="W2875" s="3">
        <f t="shared" si="449"/>
        <v>0</v>
      </c>
      <c r="AA2875" s="3">
        <v>48</v>
      </c>
    </row>
    <row r="2876" spans="1:27" x14ac:dyDescent="0.3">
      <c r="A2876" s="3" t="str">
        <f t="shared" si="440"/>
        <v>East9310019902839</v>
      </c>
      <c r="B2876" s="3" t="str">
        <f t="shared" si="441"/>
        <v>KGP9310019902839</v>
      </c>
      <c r="C2876" s="10">
        <v>9310019902839</v>
      </c>
      <c r="D2876" s="10" t="str">
        <f t="shared" si="442"/>
        <v>9310019902</v>
      </c>
      <c r="E2876" s="3" t="s">
        <v>6</v>
      </c>
      <c r="F2876" s="3" t="s">
        <v>66</v>
      </c>
      <c r="H2876" s="3">
        <v>3.9428999999999994</v>
      </c>
      <c r="I2876" s="10">
        <f t="shared" si="443"/>
        <v>49.398383596740757</v>
      </c>
      <c r="J2876" s="3">
        <v>2.3945520356622438</v>
      </c>
      <c r="K2876" s="3">
        <v>0</v>
      </c>
      <c r="L2876" s="3">
        <f t="shared" si="444"/>
        <v>0</v>
      </c>
      <c r="N2876" s="11">
        <f t="shared" si="445"/>
        <v>1.5483479643377556</v>
      </c>
      <c r="O2876" s="3">
        <v>2.3945520356622438</v>
      </c>
      <c r="P2876" s="11">
        <f t="shared" si="446"/>
        <v>19.398383596740761</v>
      </c>
      <c r="Q2876" s="12">
        <f t="shared" si="447"/>
        <v>19.398383596740761</v>
      </c>
      <c r="R2876" s="13">
        <f t="shared" si="448"/>
        <v>34.250706408111796</v>
      </c>
      <c r="S2876" s="3" t="s">
        <v>31</v>
      </c>
      <c r="T2876" s="3" t="s">
        <v>32</v>
      </c>
      <c r="U2876" s="10">
        <v>0</v>
      </c>
      <c r="V2876" s="3">
        <v>0</v>
      </c>
      <c r="W2876" s="3">
        <f t="shared" si="449"/>
        <v>0</v>
      </c>
      <c r="AA2876" s="3">
        <v>48</v>
      </c>
    </row>
    <row r="2877" spans="1:27" x14ac:dyDescent="0.3">
      <c r="A2877" s="3" t="str">
        <f t="shared" si="440"/>
        <v>East9320099901310</v>
      </c>
      <c r="B2877" s="3" t="str">
        <f t="shared" si="441"/>
        <v>KGP9320099901310</v>
      </c>
      <c r="C2877" s="10">
        <v>9320099901310</v>
      </c>
      <c r="D2877" s="10" t="str">
        <f t="shared" si="442"/>
        <v>9320099901</v>
      </c>
      <c r="E2877" s="3" t="s">
        <v>6</v>
      </c>
      <c r="F2877" s="3" t="s">
        <v>66</v>
      </c>
      <c r="H2877" s="3">
        <v>0.9900000000000001</v>
      </c>
      <c r="I2877" s="10">
        <f t="shared" si="443"/>
        <v>13.143740421432785</v>
      </c>
      <c r="J2877" s="3">
        <v>2.2596307480000002</v>
      </c>
      <c r="K2877" s="3">
        <v>0</v>
      </c>
      <c r="L2877" s="3">
        <f t="shared" si="444"/>
        <v>0</v>
      </c>
      <c r="N2877" s="11">
        <f t="shared" si="445"/>
        <v>-1.269630748</v>
      </c>
      <c r="O2877" s="3">
        <v>2.2596307480000002</v>
      </c>
      <c r="P2877" s="11">
        <f t="shared" si="446"/>
        <v>-16.856259578567212</v>
      </c>
      <c r="Q2877" s="12">
        <f t="shared" si="447"/>
        <v>-16.856259578567212</v>
      </c>
      <c r="R2877" s="13">
        <f t="shared" si="448"/>
        <v>10.747191543098038</v>
      </c>
      <c r="S2877" s="3" t="s">
        <v>31</v>
      </c>
      <c r="T2877" s="3" t="s">
        <v>28</v>
      </c>
      <c r="U2877" s="10">
        <v>9320099900999</v>
      </c>
      <c r="V2877" s="3">
        <v>0.1</v>
      </c>
      <c r="W2877" s="3">
        <f t="shared" si="449"/>
        <v>0</v>
      </c>
      <c r="AA2877" s="3">
        <v>48</v>
      </c>
    </row>
    <row r="2878" spans="1:27" x14ac:dyDescent="0.3">
      <c r="A2878" s="3" t="str">
        <f t="shared" si="440"/>
        <v>East9420139901310</v>
      </c>
      <c r="B2878" s="3" t="str">
        <f t="shared" si="441"/>
        <v>KGP9420139901310</v>
      </c>
      <c r="C2878" s="10">
        <v>9420139901310</v>
      </c>
      <c r="D2878" s="10" t="str">
        <f t="shared" si="442"/>
        <v>9420139901</v>
      </c>
      <c r="E2878" s="3" t="s">
        <v>6</v>
      </c>
      <c r="F2878" s="3" t="s">
        <v>66</v>
      </c>
      <c r="H2878" s="3">
        <v>1.6200000000000006</v>
      </c>
      <c r="I2878" s="10">
        <f t="shared" si="443"/>
        <v>22.827864489848068</v>
      </c>
      <c r="J2878" s="3">
        <v>2.1289770675488828</v>
      </c>
      <c r="K2878" s="3">
        <v>12</v>
      </c>
      <c r="L2878" s="3">
        <f t="shared" si="444"/>
        <v>0</v>
      </c>
      <c r="N2878" s="11">
        <f t="shared" si="445"/>
        <v>-0.50897706754888228</v>
      </c>
      <c r="O2878" s="3">
        <v>2.1289770675488828</v>
      </c>
      <c r="P2878" s="11">
        <f t="shared" si="446"/>
        <v>-7.1721355101519304</v>
      </c>
      <c r="Q2878" s="12">
        <f t="shared" si="447"/>
        <v>-7.1721355101519313</v>
      </c>
      <c r="R2878" s="13">
        <f t="shared" si="448"/>
        <v>7.9243561134415827</v>
      </c>
      <c r="S2878" s="3" t="s">
        <v>31</v>
      </c>
      <c r="T2878" s="3" t="s">
        <v>28</v>
      </c>
      <c r="U2878" s="10">
        <v>9420139900999</v>
      </c>
      <c r="V2878" s="3">
        <v>0.1</v>
      </c>
      <c r="W2878" s="3">
        <f t="shared" si="449"/>
        <v>1.2000000000000002</v>
      </c>
      <c r="AA2878" s="3">
        <v>48</v>
      </c>
    </row>
    <row r="2879" spans="1:27" x14ac:dyDescent="0.3">
      <c r="A2879" s="3" t="str">
        <f t="shared" si="440"/>
        <v>East9420039905836</v>
      </c>
      <c r="B2879" s="3" t="str">
        <f t="shared" si="441"/>
        <v>KGP9420039905836</v>
      </c>
      <c r="C2879" s="10">
        <v>9420039905836</v>
      </c>
      <c r="D2879" s="10" t="str">
        <f t="shared" si="442"/>
        <v>9420039905</v>
      </c>
      <c r="E2879" s="3" t="s">
        <v>6</v>
      </c>
      <c r="F2879" s="3" t="s">
        <v>66</v>
      </c>
      <c r="H2879" s="3">
        <v>10.2636</v>
      </c>
      <c r="I2879" s="10">
        <f t="shared" si="443"/>
        <v>145.584404638899</v>
      </c>
      <c r="J2879" s="3">
        <v>2.114979284791672</v>
      </c>
      <c r="K2879" s="3">
        <v>0</v>
      </c>
      <c r="L2879" s="3">
        <f t="shared" si="444"/>
        <v>0</v>
      </c>
      <c r="N2879" s="11">
        <f t="shared" si="445"/>
        <v>8.1486207152083274</v>
      </c>
      <c r="O2879" s="3">
        <v>2.114979284791672</v>
      </c>
      <c r="P2879" s="11">
        <f t="shared" si="446"/>
        <v>115.584404638899</v>
      </c>
      <c r="Q2879" s="12">
        <f t="shared" si="447"/>
        <v>115.584404638899</v>
      </c>
      <c r="R2879" s="13">
        <f t="shared" si="448"/>
        <v>106.73156802051402</v>
      </c>
      <c r="S2879" s="3" t="s">
        <v>31</v>
      </c>
      <c r="T2879" s="3" t="s">
        <v>28</v>
      </c>
      <c r="U2879" s="10">
        <v>0</v>
      </c>
      <c r="V2879" s="3">
        <v>0</v>
      </c>
      <c r="W2879" s="3">
        <f t="shared" si="449"/>
        <v>0</v>
      </c>
      <c r="AA2879" s="3">
        <v>48</v>
      </c>
    </row>
    <row r="2880" spans="1:27" x14ac:dyDescent="0.3">
      <c r="A2880" s="3" t="str">
        <f t="shared" si="440"/>
        <v>East9420059905190</v>
      </c>
      <c r="B2880" s="3" t="str">
        <f t="shared" si="441"/>
        <v>KGP9420059905190</v>
      </c>
      <c r="C2880" s="10">
        <v>9420059905190</v>
      </c>
      <c r="D2880" s="10" t="str">
        <f t="shared" si="442"/>
        <v>9420059905</v>
      </c>
      <c r="E2880" s="3" t="s">
        <v>6</v>
      </c>
      <c r="F2880" s="3" t="s">
        <v>66</v>
      </c>
      <c r="H2880" s="3">
        <v>1.2402000000000002</v>
      </c>
      <c r="I2880" s="10">
        <f t="shared" si="443"/>
        <v>17.671802918456009</v>
      </c>
      <c r="J2880" s="3">
        <v>2.1053878979797211</v>
      </c>
      <c r="K2880" s="3">
        <v>12</v>
      </c>
      <c r="L2880" s="3">
        <f t="shared" si="444"/>
        <v>0</v>
      </c>
      <c r="N2880" s="11">
        <f t="shared" si="445"/>
        <v>-0.86518789797972095</v>
      </c>
      <c r="O2880" s="3">
        <v>2.1053878979797211</v>
      </c>
      <c r="P2880" s="11">
        <f t="shared" si="446"/>
        <v>-12.328197081543987</v>
      </c>
      <c r="Q2880" s="12">
        <f t="shared" si="447"/>
        <v>-12.328197081543987</v>
      </c>
      <c r="R2880" s="13">
        <f t="shared" si="448"/>
        <v>-2.726188480951552</v>
      </c>
      <c r="S2880" s="3" t="s">
        <v>31</v>
      </c>
      <c r="T2880" s="3" t="s">
        <v>28</v>
      </c>
      <c r="U2880" s="10">
        <v>0</v>
      </c>
      <c r="V2880" s="3">
        <v>0</v>
      </c>
      <c r="W2880" s="3">
        <f t="shared" si="449"/>
        <v>0</v>
      </c>
      <c r="AA2880" s="3">
        <v>48</v>
      </c>
    </row>
    <row r="2881" spans="1:27" x14ac:dyDescent="0.3">
      <c r="A2881" s="3" t="str">
        <f t="shared" si="440"/>
        <v>East9320099901210</v>
      </c>
      <c r="B2881" s="3" t="str">
        <f t="shared" si="441"/>
        <v>KGP9320099901210</v>
      </c>
      <c r="C2881" s="10">
        <v>9320099901210</v>
      </c>
      <c r="D2881" s="10" t="str">
        <f t="shared" si="442"/>
        <v>9320099901</v>
      </c>
      <c r="E2881" s="3" t="s">
        <v>6</v>
      </c>
      <c r="F2881" s="3" t="s">
        <v>66</v>
      </c>
      <c r="H2881" s="3">
        <v>2.4560000000000004</v>
      </c>
      <c r="I2881" s="10">
        <f t="shared" si="443"/>
        <v>35.17608635682685</v>
      </c>
      <c r="J2881" s="3">
        <v>2.0946048190975191</v>
      </c>
      <c r="K2881" s="3">
        <v>0</v>
      </c>
      <c r="L2881" s="3">
        <f t="shared" si="444"/>
        <v>0</v>
      </c>
      <c r="N2881" s="11">
        <f t="shared" si="445"/>
        <v>0.36139518090248135</v>
      </c>
      <c r="O2881" s="3">
        <v>2.0946048190975191</v>
      </c>
      <c r="P2881" s="11">
        <f t="shared" si="446"/>
        <v>5.1760863568268496</v>
      </c>
      <c r="Q2881" s="12">
        <f t="shared" si="447"/>
        <v>5.1760863568268496</v>
      </c>
      <c r="R2881" s="13">
        <f t="shared" si="448"/>
        <v>29.724229731147283</v>
      </c>
      <c r="S2881" s="3" t="s">
        <v>31</v>
      </c>
      <c r="T2881" s="3" t="s">
        <v>28</v>
      </c>
      <c r="U2881" s="10">
        <v>0</v>
      </c>
      <c r="V2881" s="3">
        <v>0</v>
      </c>
      <c r="W2881" s="3">
        <f t="shared" si="449"/>
        <v>0</v>
      </c>
      <c r="AA2881" s="3">
        <v>48</v>
      </c>
    </row>
    <row r="2882" spans="1:27" x14ac:dyDescent="0.3">
      <c r="A2882" s="3" t="str">
        <f t="shared" si="440"/>
        <v>East9432029901840</v>
      </c>
      <c r="B2882" s="3" t="str">
        <f t="shared" si="441"/>
        <v>KGP9432029901840</v>
      </c>
      <c r="C2882" s="10">
        <v>9432029901840</v>
      </c>
      <c r="D2882" s="10" t="str">
        <f t="shared" si="442"/>
        <v>9432029901</v>
      </c>
      <c r="E2882" s="3" t="s">
        <v>6</v>
      </c>
      <c r="F2882" s="3" t="s">
        <v>66</v>
      </c>
      <c r="H2882" s="3">
        <v>2.2880000000000007</v>
      </c>
      <c r="I2882" s="10">
        <f t="shared" si="443"/>
        <v>34.776995998958469</v>
      </c>
      <c r="J2882" s="3">
        <v>1.9737184891431021</v>
      </c>
      <c r="K2882" s="3">
        <v>0</v>
      </c>
      <c r="L2882" s="3">
        <f t="shared" si="444"/>
        <v>0</v>
      </c>
      <c r="N2882" s="11">
        <f t="shared" si="445"/>
        <v>0.31428151085689859</v>
      </c>
      <c r="O2882" s="3">
        <v>1.9737184891431021</v>
      </c>
      <c r="P2882" s="11">
        <f t="shared" si="446"/>
        <v>4.7769959989584709</v>
      </c>
      <c r="Q2882" s="12">
        <f t="shared" si="447"/>
        <v>4.7769959989584718</v>
      </c>
      <c r="R2882" s="13">
        <f t="shared" si="448"/>
        <v>45.487316805056096</v>
      </c>
      <c r="S2882" s="3" t="s">
        <v>31</v>
      </c>
      <c r="T2882" s="3" t="s">
        <v>35</v>
      </c>
      <c r="U2882" s="10">
        <v>0</v>
      </c>
      <c r="V2882" s="3">
        <v>0</v>
      </c>
      <c r="W2882" s="3">
        <f t="shared" si="449"/>
        <v>0</v>
      </c>
      <c r="AA2882" s="3">
        <v>48</v>
      </c>
    </row>
    <row r="2883" spans="1:27" x14ac:dyDescent="0.3">
      <c r="A2883" s="3" t="str">
        <f t="shared" si="440"/>
        <v>East9432009906190</v>
      </c>
      <c r="B2883" s="3" t="str">
        <f t="shared" si="441"/>
        <v>KGP9432009906190</v>
      </c>
      <c r="C2883" s="10">
        <v>9432009906190</v>
      </c>
      <c r="D2883" s="10" t="str">
        <f t="shared" si="442"/>
        <v>9432009906</v>
      </c>
      <c r="E2883" s="3" t="s">
        <v>6</v>
      </c>
      <c r="F2883" s="3" t="s">
        <v>66</v>
      </c>
      <c r="H2883" s="3">
        <v>3.3191999999999995</v>
      </c>
      <c r="I2883" s="10">
        <f t="shared" si="443"/>
        <v>50.674996640647478</v>
      </c>
      <c r="J2883" s="3">
        <v>1.96499273016484</v>
      </c>
      <c r="K2883" s="3">
        <v>0</v>
      </c>
      <c r="L2883" s="3">
        <f t="shared" si="444"/>
        <v>0</v>
      </c>
      <c r="N2883" s="11">
        <f t="shared" si="445"/>
        <v>1.3542072698351595</v>
      </c>
      <c r="O2883" s="3">
        <v>1.96499273016484</v>
      </c>
      <c r="P2883" s="11">
        <f t="shared" si="446"/>
        <v>20.674996640647478</v>
      </c>
      <c r="Q2883" s="12">
        <f t="shared" si="447"/>
        <v>20.674996640647478</v>
      </c>
      <c r="R2883" s="13">
        <f t="shared" si="448"/>
        <v>63.279963920153016</v>
      </c>
      <c r="S2883" s="3" t="s">
        <v>31</v>
      </c>
      <c r="T2883" s="3" t="s">
        <v>35</v>
      </c>
      <c r="U2883" s="10">
        <v>0</v>
      </c>
      <c r="V2883" s="3">
        <v>0</v>
      </c>
      <c r="W2883" s="3">
        <f t="shared" si="449"/>
        <v>0</v>
      </c>
      <c r="AA2883" s="3">
        <v>48</v>
      </c>
    </row>
    <row r="2884" spans="1:27" x14ac:dyDescent="0.3">
      <c r="A2884" s="3" t="str">
        <f t="shared" ref="A2884:A2947" si="450">_xlfn.CONCAT(F2884,C2884)</f>
        <v>East9320029900840</v>
      </c>
      <c r="B2884" s="3" t="str">
        <f t="shared" ref="B2884:B2947" si="451">_xlfn.CONCAT(E2884,C2884)</f>
        <v>KGP9320029900840</v>
      </c>
      <c r="C2884" s="10">
        <v>9320029900840</v>
      </c>
      <c r="D2884" s="10" t="str">
        <f t="shared" ref="D2884:D2947" si="452">LEFT(C2884,10)</f>
        <v>9320029900</v>
      </c>
      <c r="E2884" s="3" t="s">
        <v>6</v>
      </c>
      <c r="F2884" s="3" t="s">
        <v>66</v>
      </c>
      <c r="H2884" s="3">
        <v>3.3240000000000007</v>
      </c>
      <c r="I2884" s="10">
        <f t="shared" ref="I2884:I2947" si="453">IFERROR(H2884/J2884*30,0)</f>
        <v>50.894249426657503</v>
      </c>
      <c r="J2884" s="3">
        <v>1.9593569238839872</v>
      </c>
      <c r="K2884" s="3">
        <v>0</v>
      </c>
      <c r="L2884" s="3">
        <f t="shared" ref="L2884:L2947" si="454">M2884*G2884</f>
        <v>0</v>
      </c>
      <c r="N2884" s="11">
        <f t="shared" ref="N2884:N2947" si="455">H2884-J2884+L2884</f>
        <v>1.3646430761160135</v>
      </c>
      <c r="O2884" s="3">
        <v>1.9593569238839872</v>
      </c>
      <c r="P2884" s="11">
        <f t="shared" ref="P2884:P2947" si="456">IF(O2884=0,9999,N2884/O2884*30)</f>
        <v>20.894249426657503</v>
      </c>
      <c r="Q2884" s="12">
        <f t="shared" ref="Q2884:Q2947" si="457">IF(SUMIF($A:$A,$A2884,$O:$O)=0,9999,SUMIF($A:$A,$A2884,$N:$N)*30/SUMIF($A:$A,$A2884,$O:$O))</f>
        <v>20.894249426657503</v>
      </c>
      <c r="R2884" s="13">
        <f t="shared" ref="R2884:R2947" si="458">IF(SUMIF($C:$C,$C2884,$O:$O)=0,9999,SUMIF($C:$C,$C2884,$N:$N)*30/SUMIF($C:$C,$C2884,$O:$O))</f>
        <v>3.8494905204534557</v>
      </c>
      <c r="S2884" s="3" t="s">
        <v>30</v>
      </c>
      <c r="T2884" s="3" t="s">
        <v>28</v>
      </c>
      <c r="U2884" s="10">
        <v>0</v>
      </c>
      <c r="V2884" s="3">
        <v>0</v>
      </c>
      <c r="W2884" s="3">
        <f t="shared" ref="W2884:W2947" si="459">IFERROR(K2884*V2884,0)</f>
        <v>0</v>
      </c>
      <c r="AA2884" s="3">
        <v>48</v>
      </c>
    </row>
    <row r="2885" spans="1:27" x14ac:dyDescent="0.3">
      <c r="A2885" s="3" t="str">
        <f t="shared" si="450"/>
        <v>East9320089901210</v>
      </c>
      <c r="B2885" s="3" t="str">
        <f t="shared" si="451"/>
        <v>KGP9320089901210</v>
      </c>
      <c r="C2885" s="10">
        <v>9320089901210</v>
      </c>
      <c r="D2885" s="10" t="str">
        <f t="shared" si="452"/>
        <v>9320089901</v>
      </c>
      <c r="E2885" s="3" t="s">
        <v>6</v>
      </c>
      <c r="F2885" s="3" t="s">
        <v>66</v>
      </c>
      <c r="H2885" s="3">
        <v>2.3210000000000002</v>
      </c>
      <c r="I2885" s="10">
        <f t="shared" si="453"/>
        <v>38.483075360637592</v>
      </c>
      <c r="J2885" s="3">
        <v>1.809366828078949</v>
      </c>
      <c r="K2885" s="3">
        <v>0</v>
      </c>
      <c r="L2885" s="3">
        <f t="shared" si="454"/>
        <v>0</v>
      </c>
      <c r="N2885" s="11">
        <f t="shared" si="455"/>
        <v>0.51163317192105118</v>
      </c>
      <c r="O2885" s="3">
        <v>1.809366828078949</v>
      </c>
      <c r="P2885" s="11">
        <f t="shared" si="456"/>
        <v>8.4830753606375975</v>
      </c>
      <c r="Q2885" s="12">
        <f t="shared" si="457"/>
        <v>8.4830753606375975</v>
      </c>
      <c r="R2885" s="13">
        <f t="shared" si="458"/>
        <v>56.5397382176292</v>
      </c>
      <c r="S2885" s="3" t="s">
        <v>31</v>
      </c>
      <c r="T2885" s="3" t="s">
        <v>28</v>
      </c>
      <c r="U2885" s="10">
        <v>0</v>
      </c>
      <c r="V2885" s="3">
        <v>0</v>
      </c>
      <c r="W2885" s="3">
        <f t="shared" si="459"/>
        <v>0</v>
      </c>
      <c r="AA2885" s="3">
        <v>48</v>
      </c>
    </row>
    <row r="2886" spans="1:27" x14ac:dyDescent="0.3">
      <c r="A2886" s="3" t="str">
        <f t="shared" si="450"/>
        <v>East9420039900310</v>
      </c>
      <c r="B2886" s="3" t="str">
        <f t="shared" si="451"/>
        <v>KGP9420039900310</v>
      </c>
      <c r="C2886" s="10">
        <v>9420039900310</v>
      </c>
      <c r="D2886" s="10" t="str">
        <f t="shared" si="452"/>
        <v>9420039900</v>
      </c>
      <c r="E2886" s="3" t="s">
        <v>6</v>
      </c>
      <c r="F2886" s="3" t="s">
        <v>66</v>
      </c>
      <c r="H2886" s="3">
        <v>2.5499999999999994</v>
      </c>
      <c r="I2886" s="10">
        <f t="shared" si="453"/>
        <v>42.376719434454095</v>
      </c>
      <c r="J2886" s="3">
        <v>1.8052364841107118</v>
      </c>
      <c r="K2886" s="3">
        <v>0</v>
      </c>
      <c r="L2886" s="3">
        <f t="shared" si="454"/>
        <v>0</v>
      </c>
      <c r="N2886" s="11">
        <f t="shared" si="455"/>
        <v>0.74476351588928758</v>
      </c>
      <c r="O2886" s="3">
        <v>1.8052364841107118</v>
      </c>
      <c r="P2886" s="11">
        <f t="shared" si="456"/>
        <v>12.376719434454095</v>
      </c>
      <c r="Q2886" s="12">
        <f t="shared" si="457"/>
        <v>12.376719434454095</v>
      </c>
      <c r="R2886" s="13">
        <f t="shared" si="458"/>
        <v>25.372275431898188</v>
      </c>
      <c r="S2886" s="3" t="s">
        <v>31</v>
      </c>
      <c r="T2886" s="3" t="s">
        <v>28</v>
      </c>
      <c r="U2886" s="10">
        <v>9420039900999</v>
      </c>
      <c r="V2886" s="3">
        <v>0.1</v>
      </c>
      <c r="W2886" s="3">
        <f t="shared" si="459"/>
        <v>0</v>
      </c>
      <c r="AA2886" s="3">
        <v>48</v>
      </c>
    </row>
    <row r="2887" spans="1:27" x14ac:dyDescent="0.3">
      <c r="A2887" s="3" t="str">
        <f t="shared" si="450"/>
        <v>East9410029900840</v>
      </c>
      <c r="B2887" s="3" t="str">
        <f t="shared" si="451"/>
        <v>KGP9410029900840</v>
      </c>
      <c r="C2887" s="10">
        <v>9410029900840</v>
      </c>
      <c r="D2887" s="10" t="str">
        <f t="shared" si="452"/>
        <v>9410029900</v>
      </c>
      <c r="E2887" s="3" t="s">
        <v>6</v>
      </c>
      <c r="F2887" s="3" t="s">
        <v>66</v>
      </c>
      <c r="H2887" s="3">
        <v>0.372</v>
      </c>
      <c r="I2887" s="10">
        <f t="shared" si="453"/>
        <v>6.1824568782157412</v>
      </c>
      <c r="J2887" s="3">
        <v>1.8051076165727791</v>
      </c>
      <c r="K2887" s="3">
        <v>12</v>
      </c>
      <c r="L2887" s="3">
        <f t="shared" si="454"/>
        <v>0</v>
      </c>
      <c r="N2887" s="11">
        <f t="shared" si="455"/>
        <v>-1.4331076165727792</v>
      </c>
      <c r="O2887" s="3">
        <v>1.8051076165727791</v>
      </c>
      <c r="P2887" s="11">
        <f t="shared" si="456"/>
        <v>-23.817543121784261</v>
      </c>
      <c r="Q2887" s="12">
        <f t="shared" si="457"/>
        <v>-23.817543121784261</v>
      </c>
      <c r="R2887" s="13">
        <f t="shared" si="458"/>
        <v>5.1087063375705419</v>
      </c>
      <c r="S2887" s="3" t="s">
        <v>31</v>
      </c>
      <c r="T2887" s="3" t="s">
        <v>32</v>
      </c>
      <c r="U2887" s="10">
        <v>0</v>
      </c>
      <c r="V2887" s="3">
        <v>0</v>
      </c>
      <c r="W2887" s="3">
        <f t="shared" si="459"/>
        <v>0</v>
      </c>
      <c r="AA2887" s="3">
        <v>48</v>
      </c>
    </row>
    <row r="2888" spans="1:27" x14ac:dyDescent="0.3">
      <c r="A2888" s="3" t="str">
        <f t="shared" si="450"/>
        <v>East9360119922210</v>
      </c>
      <c r="B2888" s="3" t="str">
        <f t="shared" si="451"/>
        <v>KGP9360119922210</v>
      </c>
      <c r="C2888" s="10">
        <v>9360119922210</v>
      </c>
      <c r="D2888" s="10" t="str">
        <f t="shared" si="452"/>
        <v>9360119922</v>
      </c>
      <c r="E2888" s="3" t="s">
        <v>6</v>
      </c>
      <c r="F2888" s="3" t="s">
        <v>66</v>
      </c>
      <c r="H2888" s="3">
        <v>2.0380000000000003</v>
      </c>
      <c r="I2888" s="10">
        <f t="shared" si="453"/>
        <v>36.408626274035861</v>
      </c>
      <c r="J2888" s="3">
        <v>1.679272366384251</v>
      </c>
      <c r="K2888" s="3">
        <v>0</v>
      </c>
      <c r="L2888" s="3">
        <f t="shared" si="454"/>
        <v>0</v>
      </c>
      <c r="N2888" s="11">
        <f t="shared" si="455"/>
        <v>0.35872763361574922</v>
      </c>
      <c r="O2888" s="3">
        <v>1.679272366384251</v>
      </c>
      <c r="P2888" s="11">
        <f t="shared" si="456"/>
        <v>6.4086262740358553</v>
      </c>
      <c r="Q2888" s="12">
        <f t="shared" si="457"/>
        <v>6.4086262740358553</v>
      </c>
      <c r="R2888" s="13">
        <f t="shared" si="458"/>
        <v>83.449892995261749</v>
      </c>
      <c r="S2888" s="3" t="s">
        <v>31</v>
      </c>
      <c r="T2888" s="3" t="s">
        <v>33</v>
      </c>
      <c r="U2888" s="10">
        <v>0</v>
      </c>
      <c r="V2888" s="3">
        <v>0</v>
      </c>
      <c r="W2888" s="3">
        <f t="shared" si="459"/>
        <v>0</v>
      </c>
      <c r="AA2888" s="3">
        <v>48</v>
      </c>
    </row>
    <row r="2889" spans="1:27" x14ac:dyDescent="0.3">
      <c r="A2889" s="3" t="str">
        <f t="shared" si="450"/>
        <v>East9432009906836</v>
      </c>
      <c r="B2889" s="3" t="str">
        <f t="shared" si="451"/>
        <v>KGP9432009906836</v>
      </c>
      <c r="C2889" s="10">
        <v>9432009906836</v>
      </c>
      <c r="D2889" s="10" t="str">
        <f t="shared" si="452"/>
        <v>9432009906</v>
      </c>
      <c r="E2889" s="3" t="s">
        <v>6</v>
      </c>
      <c r="F2889" s="3" t="s">
        <v>66</v>
      </c>
      <c r="H2889" s="3">
        <v>3.2471999999999999</v>
      </c>
      <c r="I2889" s="10">
        <f t="shared" si="453"/>
        <v>58.108294966791298</v>
      </c>
      <c r="J2889" s="3">
        <v>1.6764560043565711</v>
      </c>
      <c r="K2889" s="3">
        <v>0</v>
      </c>
      <c r="L2889" s="3">
        <f t="shared" si="454"/>
        <v>0</v>
      </c>
      <c r="N2889" s="11">
        <f t="shared" si="455"/>
        <v>1.5707439956434288</v>
      </c>
      <c r="O2889" s="3">
        <v>1.6764560043565711</v>
      </c>
      <c r="P2889" s="11">
        <f t="shared" si="456"/>
        <v>28.108294966791306</v>
      </c>
      <c r="Q2889" s="12">
        <f t="shared" si="457"/>
        <v>28.108294966791302</v>
      </c>
      <c r="R2889" s="13">
        <f t="shared" si="458"/>
        <v>30.38484096995214</v>
      </c>
      <c r="S2889" s="3" t="s">
        <v>31</v>
      </c>
      <c r="T2889" s="3" t="s">
        <v>35</v>
      </c>
      <c r="U2889" s="10">
        <v>0</v>
      </c>
      <c r="V2889" s="3">
        <v>0</v>
      </c>
      <c r="W2889" s="3">
        <f t="shared" si="459"/>
        <v>0</v>
      </c>
      <c r="AA2889" s="3">
        <v>48</v>
      </c>
    </row>
    <row r="2890" spans="1:27" x14ac:dyDescent="0.3">
      <c r="A2890" s="3" t="str">
        <f t="shared" si="450"/>
        <v>East9432009900210</v>
      </c>
      <c r="B2890" s="3" t="str">
        <f t="shared" si="451"/>
        <v>KGP9432009900210</v>
      </c>
      <c r="C2890" s="10">
        <v>9432009900210</v>
      </c>
      <c r="D2890" s="10" t="str">
        <f t="shared" si="452"/>
        <v>9432009900</v>
      </c>
      <c r="E2890" s="3" t="s">
        <v>6</v>
      </c>
      <c r="F2890" s="3" t="s">
        <v>66</v>
      </c>
      <c r="H2890" s="3">
        <v>2.6030000000000002</v>
      </c>
      <c r="I2890" s="10">
        <f t="shared" si="453"/>
        <v>47.59091155400553</v>
      </c>
      <c r="J2890" s="3">
        <v>1.6408595139301863</v>
      </c>
      <c r="K2890" s="3">
        <v>0</v>
      </c>
      <c r="L2890" s="3">
        <f t="shared" si="454"/>
        <v>0</v>
      </c>
      <c r="N2890" s="11">
        <f t="shared" si="455"/>
        <v>0.96214048606981395</v>
      </c>
      <c r="O2890" s="3">
        <v>1.6408595139301863</v>
      </c>
      <c r="P2890" s="11">
        <f t="shared" si="456"/>
        <v>17.590911554005533</v>
      </c>
      <c r="Q2890" s="12">
        <f t="shared" si="457"/>
        <v>17.590911554005533</v>
      </c>
      <c r="R2890" s="13">
        <f t="shared" si="458"/>
        <v>7.3143711344841078</v>
      </c>
      <c r="S2890" s="3" t="s">
        <v>31</v>
      </c>
      <c r="T2890" s="3" t="s">
        <v>35</v>
      </c>
      <c r="U2890" s="10">
        <v>0</v>
      </c>
      <c r="V2890" s="3">
        <v>0</v>
      </c>
      <c r="W2890" s="3">
        <f t="shared" si="459"/>
        <v>0</v>
      </c>
      <c r="AA2890" s="3">
        <v>48</v>
      </c>
    </row>
    <row r="2891" spans="1:27" x14ac:dyDescent="0.3">
      <c r="A2891" s="3" t="str">
        <f t="shared" si="450"/>
        <v>East9420019901840</v>
      </c>
      <c r="B2891" s="3" t="str">
        <f t="shared" si="451"/>
        <v>KGP9420019901840</v>
      </c>
      <c r="C2891" s="10">
        <v>9420019901840</v>
      </c>
      <c r="D2891" s="10" t="str">
        <f t="shared" si="452"/>
        <v>9420019901</v>
      </c>
      <c r="E2891" s="3" t="s">
        <v>6</v>
      </c>
      <c r="F2891" s="3" t="s">
        <v>66</v>
      </c>
      <c r="H2891" s="3">
        <v>1.5240000000000002</v>
      </c>
      <c r="I2891" s="10">
        <f t="shared" si="453"/>
        <v>28.306316345999441</v>
      </c>
      <c r="J2891" s="3">
        <v>1.6151872056097352</v>
      </c>
      <c r="K2891" s="3">
        <v>12</v>
      </c>
      <c r="L2891" s="3">
        <f t="shared" si="454"/>
        <v>0</v>
      </c>
      <c r="N2891" s="11">
        <f t="shared" si="455"/>
        <v>-9.1187205609734923E-2</v>
      </c>
      <c r="O2891" s="3">
        <v>1.6151872056097352</v>
      </c>
      <c r="P2891" s="11">
        <f t="shared" si="456"/>
        <v>-1.6936836540005586</v>
      </c>
      <c r="Q2891" s="12">
        <f t="shared" si="457"/>
        <v>-1.6936836540005584</v>
      </c>
      <c r="R2891" s="13">
        <f t="shared" si="458"/>
        <v>13.508670420487539</v>
      </c>
      <c r="S2891" s="3" t="s">
        <v>31</v>
      </c>
      <c r="T2891" s="3" t="s">
        <v>28</v>
      </c>
      <c r="U2891" s="10">
        <v>0</v>
      </c>
      <c r="V2891" s="3">
        <v>0</v>
      </c>
      <c r="W2891" s="3">
        <f t="shared" si="459"/>
        <v>0</v>
      </c>
      <c r="AA2891" s="3">
        <v>48</v>
      </c>
    </row>
    <row r="2892" spans="1:27" x14ac:dyDescent="0.3">
      <c r="A2892" s="3" t="str">
        <f t="shared" si="450"/>
        <v>East9420059900840</v>
      </c>
      <c r="B2892" s="3" t="str">
        <f t="shared" si="451"/>
        <v>KGP9420059900840</v>
      </c>
      <c r="C2892" s="10">
        <v>9420059900840</v>
      </c>
      <c r="D2892" s="10" t="str">
        <f t="shared" si="452"/>
        <v>9420059900</v>
      </c>
      <c r="E2892" s="3" t="s">
        <v>6</v>
      </c>
      <c r="F2892" s="3" t="s">
        <v>66</v>
      </c>
      <c r="H2892" s="3">
        <v>0.55200000000000005</v>
      </c>
      <c r="I2892" s="10">
        <f t="shared" si="453"/>
        <v>10.371745222807396</v>
      </c>
      <c r="J2892" s="3">
        <v>1.5966454674941952</v>
      </c>
      <c r="K2892" s="3">
        <v>0</v>
      </c>
      <c r="L2892" s="3">
        <f t="shared" si="454"/>
        <v>0</v>
      </c>
      <c r="N2892" s="11">
        <f t="shared" si="455"/>
        <v>-1.0446454674941952</v>
      </c>
      <c r="O2892" s="3">
        <v>1.5966454674941952</v>
      </c>
      <c r="P2892" s="11">
        <f t="shared" si="456"/>
        <v>-19.628254777192602</v>
      </c>
      <c r="Q2892" s="12">
        <f t="shared" si="457"/>
        <v>-19.628254777192602</v>
      </c>
      <c r="R2892" s="13">
        <f t="shared" si="458"/>
        <v>-15.041796421296725</v>
      </c>
      <c r="S2892" s="3" t="s">
        <v>31</v>
      </c>
      <c r="T2892" s="3" t="s">
        <v>28</v>
      </c>
      <c r="U2892" s="10">
        <v>0</v>
      </c>
      <c r="V2892" s="3">
        <v>0</v>
      </c>
      <c r="W2892" s="3">
        <f t="shared" si="459"/>
        <v>0</v>
      </c>
      <c r="AA2892" s="3">
        <v>48</v>
      </c>
    </row>
    <row r="2893" spans="1:27" x14ac:dyDescent="0.3">
      <c r="A2893" s="3" t="str">
        <f t="shared" si="450"/>
        <v>East9360019900210</v>
      </c>
      <c r="B2893" s="3" t="str">
        <f t="shared" si="451"/>
        <v>KGP9360019900210</v>
      </c>
      <c r="C2893" s="10">
        <v>9360019900210</v>
      </c>
      <c r="D2893" s="10" t="str">
        <f t="shared" si="452"/>
        <v>9360019900</v>
      </c>
      <c r="E2893" s="3" t="s">
        <v>6</v>
      </c>
      <c r="F2893" s="3" t="s">
        <v>66</v>
      </c>
      <c r="H2893" s="3">
        <v>11.352</v>
      </c>
      <c r="I2893" s="10">
        <f t="shared" si="453"/>
        <v>213.58135864108382</v>
      </c>
      <c r="J2893" s="3">
        <v>1.5945211799701089</v>
      </c>
      <c r="K2893" s="3">
        <v>0</v>
      </c>
      <c r="L2893" s="3">
        <f t="shared" si="454"/>
        <v>0</v>
      </c>
      <c r="N2893" s="11">
        <f t="shared" si="455"/>
        <v>9.7574788200298919</v>
      </c>
      <c r="O2893" s="3">
        <v>1.5945211799701089</v>
      </c>
      <c r="P2893" s="11">
        <f t="shared" si="456"/>
        <v>183.58135864108385</v>
      </c>
      <c r="Q2893" s="12">
        <f t="shared" si="457"/>
        <v>183.58135864108385</v>
      </c>
      <c r="R2893" s="13">
        <f t="shared" si="458"/>
        <v>101.59272695247127</v>
      </c>
      <c r="S2893" s="3" t="s">
        <v>31</v>
      </c>
      <c r="T2893" s="3" t="s">
        <v>33</v>
      </c>
      <c r="U2893" s="10">
        <v>0</v>
      </c>
      <c r="V2893" s="3">
        <v>0</v>
      </c>
      <c r="W2893" s="3">
        <f t="shared" si="459"/>
        <v>0</v>
      </c>
      <c r="AA2893" s="3">
        <v>48</v>
      </c>
    </row>
    <row r="2894" spans="1:27" x14ac:dyDescent="0.3">
      <c r="A2894" s="3" t="str">
        <f t="shared" si="450"/>
        <v>East9420039905190</v>
      </c>
      <c r="B2894" s="3" t="str">
        <f t="shared" si="451"/>
        <v>KGP9420039905190</v>
      </c>
      <c r="C2894" s="10">
        <v>9420039905190</v>
      </c>
      <c r="D2894" s="10" t="str">
        <f t="shared" si="452"/>
        <v>9420039905</v>
      </c>
      <c r="E2894" s="3" t="s">
        <v>6</v>
      </c>
      <c r="F2894" s="3" t="s">
        <v>66</v>
      </c>
      <c r="H2894" s="3">
        <v>2.6918999999999991</v>
      </c>
      <c r="I2894" s="10">
        <f t="shared" si="453"/>
        <v>55.417165632631495</v>
      </c>
      <c r="J2894" s="3">
        <v>1.4572560519487761</v>
      </c>
      <c r="K2894" s="3">
        <v>0</v>
      </c>
      <c r="L2894" s="3">
        <f t="shared" si="454"/>
        <v>0</v>
      </c>
      <c r="N2894" s="11">
        <f t="shared" si="455"/>
        <v>1.234643948051223</v>
      </c>
      <c r="O2894" s="3">
        <v>1.4572560519487761</v>
      </c>
      <c r="P2894" s="11">
        <f t="shared" si="456"/>
        <v>25.417165632631498</v>
      </c>
      <c r="Q2894" s="12">
        <f t="shared" si="457"/>
        <v>25.417165632631498</v>
      </c>
      <c r="R2894" s="13">
        <f t="shared" si="458"/>
        <v>165.29724578674393</v>
      </c>
      <c r="S2894" s="3" t="s">
        <v>31</v>
      </c>
      <c r="T2894" s="3" t="s">
        <v>28</v>
      </c>
      <c r="U2894" s="10">
        <v>0</v>
      </c>
      <c r="V2894" s="3">
        <v>0</v>
      </c>
      <c r="W2894" s="3">
        <f t="shared" si="459"/>
        <v>0</v>
      </c>
      <c r="AA2894" s="3">
        <v>48</v>
      </c>
    </row>
    <row r="2895" spans="1:27" x14ac:dyDescent="0.3">
      <c r="A2895" s="3" t="str">
        <f t="shared" si="450"/>
        <v>East9420059900210</v>
      </c>
      <c r="B2895" s="3" t="str">
        <f t="shared" si="451"/>
        <v>KGP9420059900210</v>
      </c>
      <c r="C2895" s="10">
        <v>9420059900210</v>
      </c>
      <c r="D2895" s="10" t="str">
        <f t="shared" si="452"/>
        <v>9420059900</v>
      </c>
      <c r="E2895" s="3" t="s">
        <v>6</v>
      </c>
      <c r="F2895" s="3" t="s">
        <v>66</v>
      </c>
      <c r="H2895" s="3">
        <v>1.0723</v>
      </c>
      <c r="I2895" s="10">
        <f t="shared" si="453"/>
        <v>22.662288145008905</v>
      </c>
      <c r="J2895" s="3">
        <v>1.4194947921481103</v>
      </c>
      <c r="K2895" s="3">
        <v>5.76</v>
      </c>
      <c r="L2895" s="3">
        <f t="shared" si="454"/>
        <v>0</v>
      </c>
      <c r="N2895" s="11">
        <f t="shared" si="455"/>
        <v>-0.34719479214811022</v>
      </c>
      <c r="O2895" s="3">
        <v>1.4194947921481103</v>
      </c>
      <c r="P2895" s="11">
        <f t="shared" si="456"/>
        <v>-7.3377118549910927</v>
      </c>
      <c r="Q2895" s="12">
        <f t="shared" si="457"/>
        <v>-7.3377118549910927</v>
      </c>
      <c r="R2895" s="13">
        <f t="shared" si="458"/>
        <v>2.7646503276073755</v>
      </c>
      <c r="S2895" s="3" t="s">
        <v>31</v>
      </c>
      <c r="T2895" s="3" t="s">
        <v>28</v>
      </c>
      <c r="U2895" s="10">
        <v>0</v>
      </c>
      <c r="V2895" s="3">
        <v>0</v>
      </c>
      <c r="W2895" s="3">
        <f t="shared" si="459"/>
        <v>0</v>
      </c>
      <c r="AA2895" s="3">
        <v>48</v>
      </c>
    </row>
    <row r="2896" spans="1:27" x14ac:dyDescent="0.3">
      <c r="A2896" s="3" t="str">
        <f t="shared" si="450"/>
        <v>East9160709902219</v>
      </c>
      <c r="B2896" s="3" t="str">
        <f t="shared" si="451"/>
        <v>KGP9160709902219</v>
      </c>
      <c r="C2896" s="10">
        <v>9160709902219</v>
      </c>
      <c r="D2896" s="10" t="str">
        <f t="shared" si="452"/>
        <v>9160709902</v>
      </c>
      <c r="E2896" s="3" t="s">
        <v>6</v>
      </c>
      <c r="F2896" s="3" t="s">
        <v>66</v>
      </c>
      <c r="H2896" s="3">
        <v>5.9085000000000001</v>
      </c>
      <c r="I2896" s="10">
        <f t="shared" si="453"/>
        <v>126.26958902180814</v>
      </c>
      <c r="J2896" s="3">
        <v>1.403782188357215</v>
      </c>
      <c r="K2896" s="3">
        <v>0</v>
      </c>
      <c r="L2896" s="3">
        <f t="shared" si="454"/>
        <v>0</v>
      </c>
      <c r="N2896" s="11">
        <f t="shared" si="455"/>
        <v>4.5047178116427853</v>
      </c>
      <c r="O2896" s="3">
        <v>1.403782188357215</v>
      </c>
      <c r="P2896" s="11">
        <f t="shared" si="456"/>
        <v>96.269589021808144</v>
      </c>
      <c r="Q2896" s="12">
        <f t="shared" si="457"/>
        <v>96.26958902180813</v>
      </c>
      <c r="R2896" s="13">
        <f t="shared" si="458"/>
        <v>76.886003319418222</v>
      </c>
      <c r="S2896" s="3" t="s">
        <v>31</v>
      </c>
      <c r="T2896" s="3" t="s">
        <v>34</v>
      </c>
      <c r="U2896" s="10">
        <v>0</v>
      </c>
      <c r="V2896" s="3">
        <v>0</v>
      </c>
      <c r="W2896" s="3">
        <f t="shared" si="459"/>
        <v>0</v>
      </c>
      <c r="AA2896" s="3">
        <v>48</v>
      </c>
    </row>
    <row r="2897" spans="1:27" x14ac:dyDescent="0.3">
      <c r="A2897" s="3" t="str">
        <f t="shared" si="450"/>
        <v>East9420039900840</v>
      </c>
      <c r="B2897" s="3" t="str">
        <f t="shared" si="451"/>
        <v>KGP9420039900840</v>
      </c>
      <c r="C2897" s="10">
        <v>9420039900840</v>
      </c>
      <c r="D2897" s="10" t="str">
        <f t="shared" si="452"/>
        <v>9420039900</v>
      </c>
      <c r="E2897" s="3" t="s">
        <v>6</v>
      </c>
      <c r="F2897" s="3" t="s">
        <v>66</v>
      </c>
      <c r="H2897" s="3">
        <v>0.28800000000000003</v>
      </c>
      <c r="I2897" s="10">
        <f t="shared" si="453"/>
        <v>6.4980834217778041</v>
      </c>
      <c r="J2897" s="3">
        <v>1.3296228194060629</v>
      </c>
      <c r="K2897" s="3">
        <v>0</v>
      </c>
      <c r="L2897" s="3">
        <f t="shared" si="454"/>
        <v>0</v>
      </c>
      <c r="N2897" s="11">
        <f t="shared" si="455"/>
        <v>-1.0416228194060628</v>
      </c>
      <c r="O2897" s="3">
        <v>1.3296228194060629</v>
      </c>
      <c r="P2897" s="11">
        <f t="shared" si="456"/>
        <v>-23.501916578222193</v>
      </c>
      <c r="Q2897" s="12">
        <f t="shared" si="457"/>
        <v>-23.501916578222193</v>
      </c>
      <c r="R2897" s="13">
        <f t="shared" si="458"/>
        <v>-9.128082310210873</v>
      </c>
      <c r="S2897" s="3" t="s">
        <v>31</v>
      </c>
      <c r="T2897" s="3" t="s">
        <v>28</v>
      </c>
      <c r="U2897" s="10">
        <v>0</v>
      </c>
      <c r="V2897" s="3">
        <v>0</v>
      </c>
      <c r="W2897" s="3">
        <f t="shared" si="459"/>
        <v>0</v>
      </c>
      <c r="AA2897" s="3">
        <v>48</v>
      </c>
    </row>
    <row r="2898" spans="1:27" x14ac:dyDescent="0.3">
      <c r="A2898" s="3" t="str">
        <f t="shared" si="450"/>
        <v>East9310019902097</v>
      </c>
      <c r="B2898" s="3" t="str">
        <f t="shared" si="451"/>
        <v>KGP9310019902097</v>
      </c>
      <c r="C2898" s="10">
        <v>9310019902097</v>
      </c>
      <c r="D2898" s="10" t="str">
        <f t="shared" si="452"/>
        <v>9310019902</v>
      </c>
      <c r="E2898" s="3" t="s">
        <v>6</v>
      </c>
      <c r="F2898" s="3" t="s">
        <v>66</v>
      </c>
      <c r="H2898" s="3">
        <v>1.4293499999999997</v>
      </c>
      <c r="I2898" s="10">
        <f t="shared" si="453"/>
        <v>32.402364185585824</v>
      </c>
      <c r="J2898" s="3">
        <v>1.3233756572329176</v>
      </c>
      <c r="K2898" s="3">
        <v>0</v>
      </c>
      <c r="L2898" s="3">
        <f t="shared" si="454"/>
        <v>0</v>
      </c>
      <c r="N2898" s="11">
        <f t="shared" si="455"/>
        <v>0.10597434276708206</v>
      </c>
      <c r="O2898" s="3">
        <v>1.3233756572329176</v>
      </c>
      <c r="P2898" s="11">
        <f t="shared" si="456"/>
        <v>2.4023641855858235</v>
      </c>
      <c r="Q2898" s="12">
        <f t="shared" si="457"/>
        <v>2.4023641855858235</v>
      </c>
      <c r="R2898" s="13">
        <f t="shared" si="458"/>
        <v>-5.8812893016433128</v>
      </c>
      <c r="S2898" s="3" t="s">
        <v>31</v>
      </c>
      <c r="T2898" s="3" t="s">
        <v>32</v>
      </c>
      <c r="U2898" s="10">
        <v>0</v>
      </c>
      <c r="V2898" s="3">
        <v>0</v>
      </c>
      <c r="W2898" s="3">
        <f t="shared" si="459"/>
        <v>0</v>
      </c>
      <c r="AA2898" s="3">
        <v>48</v>
      </c>
    </row>
    <row r="2899" spans="1:27" x14ac:dyDescent="0.3">
      <c r="A2899" s="3" t="str">
        <f t="shared" si="450"/>
        <v>East9320089900320</v>
      </c>
      <c r="B2899" s="3" t="str">
        <f t="shared" si="451"/>
        <v>KGP9320089900320</v>
      </c>
      <c r="C2899" s="10">
        <v>9320089900320</v>
      </c>
      <c r="D2899" s="10" t="str">
        <f t="shared" si="452"/>
        <v>9320089900</v>
      </c>
      <c r="E2899" s="3" t="s">
        <v>6</v>
      </c>
      <c r="F2899" s="3" t="s">
        <v>66</v>
      </c>
      <c r="H2899" s="3">
        <v>1.2800000000000002</v>
      </c>
      <c r="I2899" s="10">
        <f t="shared" si="453"/>
        <v>30.580014626098968</v>
      </c>
      <c r="J2899" s="3">
        <v>1.2557220939726743</v>
      </c>
      <c r="K2899" s="3">
        <v>0</v>
      </c>
      <c r="L2899" s="3">
        <f t="shared" si="454"/>
        <v>0</v>
      </c>
      <c r="N2899" s="11">
        <f t="shared" si="455"/>
        <v>2.4277906027325935E-2</v>
      </c>
      <c r="O2899" s="3">
        <v>1.2557220939726743</v>
      </c>
      <c r="P2899" s="11">
        <f t="shared" si="456"/>
        <v>0.58001462609897136</v>
      </c>
      <c r="Q2899" s="12">
        <f t="shared" si="457"/>
        <v>0.58001462609897136</v>
      </c>
      <c r="R2899" s="13">
        <f t="shared" si="458"/>
        <v>49.657770810926209</v>
      </c>
      <c r="S2899" s="3" t="s">
        <v>31</v>
      </c>
      <c r="T2899" s="3" t="s">
        <v>28</v>
      </c>
      <c r="U2899" s="10">
        <v>9320089900999</v>
      </c>
      <c r="V2899" s="3">
        <v>0.1</v>
      </c>
      <c r="W2899" s="3">
        <f t="shared" si="459"/>
        <v>0</v>
      </c>
      <c r="AA2899" s="3">
        <v>48</v>
      </c>
    </row>
    <row r="2900" spans="1:27" x14ac:dyDescent="0.3">
      <c r="A2900" s="3" t="str">
        <f t="shared" si="450"/>
        <v>East9410029900210</v>
      </c>
      <c r="B2900" s="3" t="str">
        <f t="shared" si="451"/>
        <v>KGP9410029900210</v>
      </c>
      <c r="C2900" s="10">
        <v>9410029900210</v>
      </c>
      <c r="D2900" s="10" t="str">
        <f t="shared" si="452"/>
        <v>9410029900</v>
      </c>
      <c r="E2900" s="3" t="s">
        <v>6</v>
      </c>
      <c r="F2900" s="3" t="s">
        <v>66</v>
      </c>
      <c r="H2900" s="3">
        <v>1.2250000000000001</v>
      </c>
      <c r="I2900" s="10">
        <f t="shared" si="453"/>
        <v>29.597810778776097</v>
      </c>
      <c r="J2900" s="3">
        <v>1.241645886402942</v>
      </c>
      <c r="K2900" s="3">
        <v>0</v>
      </c>
      <c r="L2900" s="3">
        <f t="shared" si="454"/>
        <v>0</v>
      </c>
      <c r="N2900" s="11">
        <f t="shared" si="455"/>
        <v>-1.6645886402941956E-2</v>
      </c>
      <c r="O2900" s="3">
        <v>1.241645886402942</v>
      </c>
      <c r="P2900" s="11">
        <f t="shared" si="456"/>
        <v>-0.40218922122390033</v>
      </c>
      <c r="Q2900" s="12">
        <f t="shared" si="457"/>
        <v>-0.40218922122390033</v>
      </c>
      <c r="R2900" s="13">
        <f t="shared" si="458"/>
        <v>80.018962520459795</v>
      </c>
      <c r="S2900" s="3" t="s">
        <v>31</v>
      </c>
      <c r="T2900" s="3" t="s">
        <v>32</v>
      </c>
      <c r="U2900" s="10">
        <v>0</v>
      </c>
      <c r="V2900" s="3">
        <v>0</v>
      </c>
      <c r="W2900" s="3">
        <f t="shared" si="459"/>
        <v>0</v>
      </c>
      <c r="AA2900" s="3">
        <v>48</v>
      </c>
    </row>
    <row r="2901" spans="1:27" x14ac:dyDescent="0.3">
      <c r="A2901" s="3" t="str">
        <f t="shared" si="450"/>
        <v>East9420069900210</v>
      </c>
      <c r="B2901" s="3" t="str">
        <f t="shared" si="451"/>
        <v>KGP9420069900210</v>
      </c>
      <c r="C2901" s="10">
        <v>9420069900210</v>
      </c>
      <c r="D2901" s="10" t="str">
        <f t="shared" si="452"/>
        <v>9420069900</v>
      </c>
      <c r="E2901" s="3" t="s">
        <v>6</v>
      </c>
      <c r="F2901" s="3" t="s">
        <v>66</v>
      </c>
      <c r="H2901" s="3">
        <v>0.29899999999999999</v>
      </c>
      <c r="I2901" s="10">
        <f t="shared" si="453"/>
        <v>7.2865665835456657</v>
      </c>
      <c r="J2901" s="3">
        <v>1.2310324618807189</v>
      </c>
      <c r="K2901" s="3">
        <v>12</v>
      </c>
      <c r="L2901" s="3">
        <f t="shared" si="454"/>
        <v>0</v>
      </c>
      <c r="N2901" s="11">
        <f t="shared" si="455"/>
        <v>-0.93203246188071898</v>
      </c>
      <c r="O2901" s="3">
        <v>1.2310324618807189</v>
      </c>
      <c r="P2901" s="11">
        <f t="shared" si="456"/>
        <v>-22.713433416454336</v>
      </c>
      <c r="Q2901" s="12">
        <f t="shared" si="457"/>
        <v>-22.713433416454336</v>
      </c>
      <c r="R2901" s="13">
        <f t="shared" si="458"/>
        <v>11.072420866839959</v>
      </c>
      <c r="S2901" s="3" t="s">
        <v>31</v>
      </c>
      <c r="T2901" s="3" t="s">
        <v>28</v>
      </c>
      <c r="U2901" s="10">
        <v>0</v>
      </c>
      <c r="V2901" s="3">
        <v>0</v>
      </c>
      <c r="W2901" s="3">
        <f t="shared" si="459"/>
        <v>0</v>
      </c>
      <c r="AA2901" s="3">
        <v>48</v>
      </c>
    </row>
    <row r="2902" spans="1:27" x14ac:dyDescent="0.3">
      <c r="A2902" s="3" t="str">
        <f t="shared" si="450"/>
        <v>East9410019900320</v>
      </c>
      <c r="B2902" s="3" t="str">
        <f t="shared" si="451"/>
        <v>KGP9410019900320</v>
      </c>
      <c r="C2902" s="10">
        <v>9410019900320</v>
      </c>
      <c r="D2902" s="10" t="str">
        <f t="shared" si="452"/>
        <v>9410019900</v>
      </c>
      <c r="E2902" s="3" t="s">
        <v>6</v>
      </c>
      <c r="F2902" s="3" t="s">
        <v>66</v>
      </c>
      <c r="H2902" s="3">
        <v>12.72</v>
      </c>
      <c r="I2902" s="10">
        <f t="shared" si="453"/>
        <v>340.07566327183662</v>
      </c>
      <c r="J2902" s="3">
        <v>1.1221032294068374</v>
      </c>
      <c r="K2902" s="3">
        <v>0</v>
      </c>
      <c r="L2902" s="3">
        <f t="shared" si="454"/>
        <v>0</v>
      </c>
      <c r="N2902" s="11">
        <f t="shared" si="455"/>
        <v>11.597896770593163</v>
      </c>
      <c r="O2902" s="3">
        <v>1.1221032294068374</v>
      </c>
      <c r="P2902" s="11">
        <f t="shared" si="456"/>
        <v>310.07566327183656</v>
      </c>
      <c r="Q2902" s="12">
        <f t="shared" si="457"/>
        <v>310.07566327183656</v>
      </c>
      <c r="R2902" s="13">
        <f t="shared" si="458"/>
        <v>51.132960383204811</v>
      </c>
      <c r="S2902" s="3" t="s">
        <v>30</v>
      </c>
      <c r="T2902" s="3" t="s">
        <v>32</v>
      </c>
      <c r="U2902" s="10">
        <v>9410019900999</v>
      </c>
      <c r="V2902" s="3">
        <v>0.1</v>
      </c>
      <c r="W2902" s="3">
        <f t="shared" si="459"/>
        <v>0</v>
      </c>
      <c r="AA2902" s="3">
        <v>48</v>
      </c>
    </row>
    <row r="2903" spans="1:27" x14ac:dyDescent="0.3">
      <c r="A2903" s="3" t="str">
        <f t="shared" si="450"/>
        <v>East9410039913320</v>
      </c>
      <c r="B2903" s="3" t="str">
        <f t="shared" si="451"/>
        <v>KGP9410039913320</v>
      </c>
      <c r="C2903" s="10">
        <v>9410039913320</v>
      </c>
      <c r="D2903" s="10" t="str">
        <f t="shared" si="452"/>
        <v>9410039913</v>
      </c>
      <c r="E2903" s="3" t="s">
        <v>6</v>
      </c>
      <c r="F2903" s="3" t="s">
        <v>66</v>
      </c>
      <c r="H2903" s="3">
        <v>1.2200000000000002</v>
      </c>
      <c r="I2903" s="10">
        <f t="shared" si="453"/>
        <v>34.671462371168779</v>
      </c>
      <c r="J2903" s="3">
        <v>1.0556231983579358</v>
      </c>
      <c r="K2903" s="3">
        <v>0</v>
      </c>
      <c r="L2903" s="3">
        <f t="shared" si="454"/>
        <v>0</v>
      </c>
      <c r="N2903" s="11">
        <f t="shared" si="455"/>
        <v>0.16437680164206436</v>
      </c>
      <c r="O2903" s="3">
        <v>1.0556231983579358</v>
      </c>
      <c r="P2903" s="11">
        <f t="shared" si="456"/>
        <v>4.6714623711687766</v>
      </c>
      <c r="Q2903" s="12">
        <f t="shared" si="457"/>
        <v>4.6714623711687766</v>
      </c>
      <c r="R2903" s="13">
        <f t="shared" si="458"/>
        <v>-24.610155052378161</v>
      </c>
      <c r="S2903" s="3" t="s">
        <v>30</v>
      </c>
      <c r="T2903" s="3" t="s">
        <v>32</v>
      </c>
      <c r="U2903" s="10">
        <v>9410039913999</v>
      </c>
      <c r="V2903" s="3">
        <v>0.1</v>
      </c>
      <c r="W2903" s="3">
        <f t="shared" si="459"/>
        <v>0</v>
      </c>
      <c r="AA2903" s="3">
        <v>48</v>
      </c>
    </row>
    <row r="2904" spans="1:27" x14ac:dyDescent="0.3">
      <c r="A2904" s="3" t="str">
        <f t="shared" si="450"/>
        <v>East9420019901210</v>
      </c>
      <c r="B2904" s="3" t="str">
        <f t="shared" si="451"/>
        <v>KGP9420019901210</v>
      </c>
      <c r="C2904" s="10">
        <v>9420019901210</v>
      </c>
      <c r="D2904" s="10" t="str">
        <f t="shared" si="452"/>
        <v>9420019901</v>
      </c>
      <c r="E2904" s="3" t="s">
        <v>6</v>
      </c>
      <c r="F2904" s="3" t="s">
        <v>66</v>
      </c>
      <c r="H2904" s="3">
        <v>2.8789999999999996</v>
      </c>
      <c r="I2904" s="10">
        <f t="shared" si="453"/>
        <v>88.773242195473387</v>
      </c>
      <c r="J2904" s="3">
        <v>0.97292830433993149</v>
      </c>
      <c r="K2904" s="3">
        <v>0</v>
      </c>
      <c r="L2904" s="3">
        <f t="shared" si="454"/>
        <v>0</v>
      </c>
      <c r="N2904" s="11">
        <f t="shared" si="455"/>
        <v>1.9060716956600681</v>
      </c>
      <c r="O2904" s="3">
        <v>0.97292830433993149</v>
      </c>
      <c r="P2904" s="11">
        <f t="shared" si="456"/>
        <v>58.773242195473394</v>
      </c>
      <c r="Q2904" s="12">
        <f t="shared" si="457"/>
        <v>58.773242195473394</v>
      </c>
      <c r="R2904" s="13">
        <f t="shared" si="458"/>
        <v>7.9005308736412605</v>
      </c>
      <c r="S2904" s="3" t="s">
        <v>31</v>
      </c>
      <c r="T2904" s="3" t="s">
        <v>28</v>
      </c>
      <c r="U2904" s="10">
        <v>0</v>
      </c>
      <c r="V2904" s="3">
        <v>0</v>
      </c>
      <c r="W2904" s="3">
        <f t="shared" si="459"/>
        <v>0</v>
      </c>
      <c r="AA2904" s="3">
        <v>48</v>
      </c>
    </row>
    <row r="2905" spans="1:27" x14ac:dyDescent="0.3">
      <c r="A2905" s="3" t="str">
        <f t="shared" si="450"/>
        <v>East9310099902839</v>
      </c>
      <c r="B2905" s="3" t="str">
        <f t="shared" si="451"/>
        <v>KGP9310099902839</v>
      </c>
      <c r="C2905" s="10">
        <v>9310099902839</v>
      </c>
      <c r="D2905" s="10" t="str">
        <f t="shared" si="452"/>
        <v>9310099902</v>
      </c>
      <c r="E2905" s="3" t="s">
        <v>6</v>
      </c>
      <c r="F2905" s="3" t="s">
        <v>66</v>
      </c>
      <c r="H2905" s="3">
        <v>0</v>
      </c>
      <c r="I2905" s="10">
        <f t="shared" si="453"/>
        <v>0</v>
      </c>
      <c r="J2905" s="3">
        <v>0.97169452379999999</v>
      </c>
      <c r="K2905" s="3">
        <v>24</v>
      </c>
      <c r="L2905" s="3">
        <f t="shared" si="454"/>
        <v>0</v>
      </c>
      <c r="N2905" s="11">
        <f t="shared" si="455"/>
        <v>-0.97169452379999999</v>
      </c>
      <c r="O2905" s="3">
        <v>0.97169452379999999</v>
      </c>
      <c r="P2905" s="11">
        <f t="shared" si="456"/>
        <v>-30</v>
      </c>
      <c r="Q2905" s="12">
        <f t="shared" si="457"/>
        <v>-30</v>
      </c>
      <c r="R2905" s="13">
        <f t="shared" si="458"/>
        <v>-30.000000000000004</v>
      </c>
      <c r="S2905" s="3">
        <v>0</v>
      </c>
      <c r="T2905" s="3" t="s">
        <v>32</v>
      </c>
      <c r="U2905" s="10">
        <v>0</v>
      </c>
      <c r="V2905" s="3">
        <v>0</v>
      </c>
      <c r="W2905" s="3">
        <f t="shared" si="459"/>
        <v>0</v>
      </c>
      <c r="AA2905" s="3">
        <v>48</v>
      </c>
    </row>
    <row r="2906" spans="1:27" x14ac:dyDescent="0.3">
      <c r="A2906" s="3" t="str">
        <f t="shared" si="450"/>
        <v>East9420139901840</v>
      </c>
      <c r="B2906" s="3" t="str">
        <f t="shared" si="451"/>
        <v>KGP9420139901840</v>
      </c>
      <c r="C2906" s="10">
        <v>9420139901840</v>
      </c>
      <c r="D2906" s="10" t="str">
        <f t="shared" si="452"/>
        <v>9420139901</v>
      </c>
      <c r="E2906" s="3" t="s">
        <v>6</v>
      </c>
      <c r="F2906" s="3" t="s">
        <v>66</v>
      </c>
      <c r="H2906" s="3">
        <v>0</v>
      </c>
      <c r="I2906" s="10">
        <f t="shared" si="453"/>
        <v>0</v>
      </c>
      <c r="J2906" s="3">
        <v>0.95473474204382758</v>
      </c>
      <c r="K2906" s="3">
        <v>0</v>
      </c>
      <c r="L2906" s="3">
        <f t="shared" si="454"/>
        <v>0</v>
      </c>
      <c r="N2906" s="11">
        <f t="shared" si="455"/>
        <v>-0.95473474204382758</v>
      </c>
      <c r="O2906" s="3">
        <v>0.95473474204382758</v>
      </c>
      <c r="P2906" s="11">
        <f t="shared" si="456"/>
        <v>-30</v>
      </c>
      <c r="Q2906" s="12">
        <f t="shared" si="457"/>
        <v>-30</v>
      </c>
      <c r="R2906" s="13">
        <f t="shared" si="458"/>
        <v>50.297723678272817</v>
      </c>
      <c r="S2906" s="3" t="s">
        <v>31</v>
      </c>
      <c r="T2906" s="3" t="s">
        <v>28</v>
      </c>
      <c r="U2906" s="10">
        <v>0</v>
      </c>
      <c r="V2906" s="3">
        <v>0</v>
      </c>
      <c r="W2906" s="3">
        <f t="shared" si="459"/>
        <v>0</v>
      </c>
      <c r="AA2906" s="3">
        <v>48</v>
      </c>
    </row>
    <row r="2907" spans="1:27" x14ac:dyDescent="0.3">
      <c r="A2907" s="3" t="str">
        <f t="shared" si="450"/>
        <v>East9360029900210</v>
      </c>
      <c r="B2907" s="3" t="str">
        <f t="shared" si="451"/>
        <v>KGP9360029900210</v>
      </c>
      <c r="C2907" s="10">
        <v>9360029900210</v>
      </c>
      <c r="D2907" s="10" t="str">
        <f t="shared" si="452"/>
        <v>9360029900</v>
      </c>
      <c r="E2907" s="3" t="s">
        <v>6</v>
      </c>
      <c r="F2907" s="3" t="s">
        <v>66</v>
      </c>
      <c r="H2907" s="3">
        <v>2.4909999999999997</v>
      </c>
      <c r="I2907" s="10">
        <f t="shared" si="453"/>
        <v>82.976024591687832</v>
      </c>
      <c r="J2907" s="3">
        <v>0.9006215996456175</v>
      </c>
      <c r="K2907" s="3">
        <v>0</v>
      </c>
      <c r="L2907" s="3">
        <f t="shared" si="454"/>
        <v>0</v>
      </c>
      <c r="N2907" s="11">
        <f t="shared" si="455"/>
        <v>1.5903784003543822</v>
      </c>
      <c r="O2907" s="3">
        <v>0.9006215996456175</v>
      </c>
      <c r="P2907" s="11">
        <f t="shared" si="456"/>
        <v>52.976024591687832</v>
      </c>
      <c r="Q2907" s="12">
        <f t="shared" si="457"/>
        <v>52.976024591687832</v>
      </c>
      <c r="R2907" s="13">
        <f t="shared" si="458"/>
        <v>28.25136322109687</v>
      </c>
      <c r="S2907" s="3" t="s">
        <v>31</v>
      </c>
      <c r="T2907" s="3" t="s">
        <v>33</v>
      </c>
      <c r="U2907" s="10">
        <v>0</v>
      </c>
      <c r="V2907" s="3">
        <v>0</v>
      </c>
      <c r="W2907" s="3">
        <f t="shared" si="459"/>
        <v>0</v>
      </c>
      <c r="AA2907" s="3">
        <v>48</v>
      </c>
    </row>
    <row r="2908" spans="1:27" x14ac:dyDescent="0.3">
      <c r="A2908" s="3" t="str">
        <f t="shared" si="450"/>
        <v>East9432029900310</v>
      </c>
      <c r="B2908" s="3" t="str">
        <f t="shared" si="451"/>
        <v>KGP9432029900310</v>
      </c>
      <c r="C2908" s="10">
        <v>9432029900310</v>
      </c>
      <c r="D2908" s="10" t="str">
        <f t="shared" si="452"/>
        <v>9432029900</v>
      </c>
      <c r="E2908" s="3" t="s">
        <v>6</v>
      </c>
      <c r="F2908" s="3" t="s">
        <v>66</v>
      </c>
      <c r="H2908" s="3">
        <v>1.3100000000000003</v>
      </c>
      <c r="I2908" s="10">
        <f t="shared" si="453"/>
        <v>44.342828779052546</v>
      </c>
      <c r="J2908" s="3">
        <v>0.8862763401004593</v>
      </c>
      <c r="K2908" s="3">
        <v>0</v>
      </c>
      <c r="L2908" s="3">
        <f t="shared" si="454"/>
        <v>0</v>
      </c>
      <c r="N2908" s="11">
        <f t="shared" si="455"/>
        <v>0.42372365989954097</v>
      </c>
      <c r="O2908" s="3">
        <v>0.8862763401004593</v>
      </c>
      <c r="P2908" s="11">
        <f t="shared" si="456"/>
        <v>14.342828779052546</v>
      </c>
      <c r="Q2908" s="12">
        <f t="shared" si="457"/>
        <v>14.342828779052546</v>
      </c>
      <c r="R2908" s="13">
        <f t="shared" si="458"/>
        <v>63.07750694482106</v>
      </c>
      <c r="S2908" s="3" t="s">
        <v>31</v>
      </c>
      <c r="T2908" s="3" t="s">
        <v>35</v>
      </c>
      <c r="U2908" s="10">
        <v>9432029900999</v>
      </c>
      <c r="V2908" s="3">
        <v>0.1</v>
      </c>
      <c r="W2908" s="3">
        <f t="shared" si="459"/>
        <v>0</v>
      </c>
      <c r="AA2908" s="3">
        <v>48</v>
      </c>
    </row>
    <row r="2909" spans="1:27" x14ac:dyDescent="0.3">
      <c r="A2909" s="3" t="str">
        <f t="shared" si="450"/>
        <v>East9320099900310</v>
      </c>
      <c r="B2909" s="3" t="str">
        <f t="shared" si="451"/>
        <v>KGP9320099900310</v>
      </c>
      <c r="C2909" s="10">
        <v>9320099900310</v>
      </c>
      <c r="D2909" s="10" t="str">
        <f t="shared" si="452"/>
        <v>9320099900</v>
      </c>
      <c r="E2909" s="3" t="s">
        <v>6</v>
      </c>
      <c r="F2909" s="3" t="s">
        <v>66</v>
      </c>
      <c r="H2909" s="3">
        <v>0.5</v>
      </c>
      <c r="I2909" s="10">
        <f t="shared" si="453"/>
        <v>17.397333002768541</v>
      </c>
      <c r="J2909" s="3">
        <v>0.86220111999999993</v>
      </c>
      <c r="K2909" s="3">
        <v>0</v>
      </c>
      <c r="L2909" s="3">
        <f t="shared" si="454"/>
        <v>0</v>
      </c>
      <c r="N2909" s="11">
        <f t="shared" si="455"/>
        <v>-0.36220111999999993</v>
      </c>
      <c r="O2909" s="3">
        <v>0.86220111999999993</v>
      </c>
      <c r="P2909" s="11">
        <f t="shared" si="456"/>
        <v>-12.602666997231456</v>
      </c>
      <c r="Q2909" s="12">
        <f t="shared" si="457"/>
        <v>-12.602666997231456</v>
      </c>
      <c r="R2909" s="13">
        <f t="shared" si="458"/>
        <v>124.33472921467568</v>
      </c>
      <c r="S2909" s="3" t="s">
        <v>31</v>
      </c>
      <c r="T2909" s="3" t="s">
        <v>28</v>
      </c>
      <c r="U2909" s="10">
        <v>9320099900999</v>
      </c>
      <c r="V2909" s="3">
        <v>0.1</v>
      </c>
      <c r="W2909" s="3">
        <f t="shared" si="459"/>
        <v>0</v>
      </c>
      <c r="AA2909" s="3">
        <v>48</v>
      </c>
    </row>
    <row r="2910" spans="1:27" x14ac:dyDescent="0.3">
      <c r="A2910" s="3" t="str">
        <f t="shared" si="450"/>
        <v>East9320089901310</v>
      </c>
      <c r="B2910" s="3" t="str">
        <f t="shared" si="451"/>
        <v>KGP9320089901310</v>
      </c>
      <c r="C2910" s="10">
        <v>9320089901310</v>
      </c>
      <c r="D2910" s="10" t="str">
        <f t="shared" si="452"/>
        <v>9320089901</v>
      </c>
      <c r="E2910" s="3" t="s">
        <v>6</v>
      </c>
      <c r="F2910" s="3" t="s">
        <v>66</v>
      </c>
      <c r="H2910" s="3">
        <v>0.59000000000000008</v>
      </c>
      <c r="I2910" s="10">
        <f t="shared" si="453"/>
        <v>20.779719211942702</v>
      </c>
      <c r="J2910" s="3">
        <v>0.85179206799999996</v>
      </c>
      <c r="K2910" s="3">
        <v>0</v>
      </c>
      <c r="L2910" s="3">
        <f t="shared" si="454"/>
        <v>0</v>
      </c>
      <c r="N2910" s="11">
        <f t="shared" si="455"/>
        <v>-0.26179206799999988</v>
      </c>
      <c r="O2910" s="3">
        <v>0.85179206799999996</v>
      </c>
      <c r="P2910" s="11">
        <f t="shared" si="456"/>
        <v>-9.2202807880572983</v>
      </c>
      <c r="Q2910" s="12">
        <f t="shared" si="457"/>
        <v>-9.2202807880572983</v>
      </c>
      <c r="R2910" s="13">
        <f t="shared" si="458"/>
        <v>65.473015604420794</v>
      </c>
      <c r="S2910" s="3" t="s">
        <v>31</v>
      </c>
      <c r="T2910" s="3" t="s">
        <v>28</v>
      </c>
      <c r="U2910" s="10">
        <v>9320089900999</v>
      </c>
      <c r="V2910" s="3">
        <v>0.1</v>
      </c>
      <c r="W2910" s="3">
        <f t="shared" si="459"/>
        <v>0</v>
      </c>
      <c r="AA2910" s="3">
        <v>48</v>
      </c>
    </row>
    <row r="2911" spans="1:27" x14ac:dyDescent="0.3">
      <c r="A2911" s="3" t="str">
        <f t="shared" si="450"/>
        <v>East9410019905190</v>
      </c>
      <c r="B2911" s="3" t="str">
        <f t="shared" si="451"/>
        <v>KGP9410019905190</v>
      </c>
      <c r="C2911" s="10">
        <v>9410019905190</v>
      </c>
      <c r="D2911" s="10" t="str">
        <f t="shared" si="452"/>
        <v>9410019905</v>
      </c>
      <c r="E2911" s="3" t="s">
        <v>6</v>
      </c>
      <c r="F2911" s="3" t="s">
        <v>66</v>
      </c>
      <c r="H2911" s="3">
        <v>4.3154999999999992</v>
      </c>
      <c r="I2911" s="10">
        <f t="shared" si="453"/>
        <v>162.52062506037419</v>
      </c>
      <c r="J2911" s="3">
        <v>0.79660658425295561</v>
      </c>
      <c r="K2911" s="3">
        <v>0</v>
      </c>
      <c r="L2911" s="3">
        <f t="shared" si="454"/>
        <v>0</v>
      </c>
      <c r="N2911" s="11">
        <f t="shared" si="455"/>
        <v>3.5188934157470437</v>
      </c>
      <c r="O2911" s="3">
        <v>0.79660658425295561</v>
      </c>
      <c r="P2911" s="11">
        <f t="shared" si="456"/>
        <v>132.52062506037419</v>
      </c>
      <c r="Q2911" s="12">
        <f t="shared" si="457"/>
        <v>132.52062506037419</v>
      </c>
      <c r="R2911" s="13">
        <f t="shared" si="458"/>
        <v>50.454071810588317</v>
      </c>
      <c r="S2911" s="3" t="s">
        <v>31</v>
      </c>
      <c r="T2911" s="3" t="s">
        <v>32</v>
      </c>
      <c r="U2911" s="10">
        <v>0</v>
      </c>
      <c r="V2911" s="3">
        <v>0</v>
      </c>
      <c r="W2911" s="3">
        <f t="shared" si="459"/>
        <v>0</v>
      </c>
      <c r="AA2911" s="3">
        <v>48</v>
      </c>
    </row>
    <row r="2912" spans="1:27" x14ac:dyDescent="0.3">
      <c r="A2912" s="3" t="str">
        <f t="shared" si="450"/>
        <v>East9432029901210</v>
      </c>
      <c r="B2912" s="3" t="str">
        <f t="shared" si="451"/>
        <v>KGP9432029901210</v>
      </c>
      <c r="C2912" s="10">
        <v>9432029901210</v>
      </c>
      <c r="D2912" s="10" t="str">
        <f t="shared" si="452"/>
        <v>9432029901</v>
      </c>
      <c r="E2912" s="3" t="s">
        <v>6</v>
      </c>
      <c r="F2912" s="3" t="s">
        <v>66</v>
      </c>
      <c r="H2912" s="3">
        <v>0.41400000000000015</v>
      </c>
      <c r="I2912" s="10">
        <f t="shared" si="453"/>
        <v>16.065616895615157</v>
      </c>
      <c r="J2912" s="3">
        <v>0.77307955746099211</v>
      </c>
      <c r="K2912" s="3">
        <v>0</v>
      </c>
      <c r="L2912" s="3">
        <f t="shared" si="454"/>
        <v>0</v>
      </c>
      <c r="N2912" s="11">
        <f t="shared" si="455"/>
        <v>-0.35907955746099196</v>
      </c>
      <c r="O2912" s="3">
        <v>0.77307955746099211</v>
      </c>
      <c r="P2912" s="11">
        <f t="shared" si="456"/>
        <v>-13.934383104384841</v>
      </c>
      <c r="Q2912" s="12">
        <f t="shared" si="457"/>
        <v>-13.934383104384841</v>
      </c>
      <c r="R2912" s="13">
        <f t="shared" si="458"/>
        <v>66.700184019047626</v>
      </c>
      <c r="S2912" s="3" t="s">
        <v>31</v>
      </c>
      <c r="T2912" s="3" t="s">
        <v>35</v>
      </c>
      <c r="U2912" s="10">
        <v>0</v>
      </c>
      <c r="V2912" s="3">
        <v>0</v>
      </c>
      <c r="W2912" s="3">
        <f t="shared" si="459"/>
        <v>0</v>
      </c>
      <c r="AA2912" s="3">
        <v>48</v>
      </c>
    </row>
    <row r="2913" spans="1:27" x14ac:dyDescent="0.3">
      <c r="A2913" s="3" t="str">
        <f t="shared" si="450"/>
        <v>East9330239900310</v>
      </c>
      <c r="B2913" s="3" t="str">
        <f t="shared" si="451"/>
        <v>KGP9330239900310</v>
      </c>
      <c r="C2913" s="10">
        <v>9330239900310</v>
      </c>
      <c r="D2913" s="10" t="str">
        <f t="shared" si="452"/>
        <v>9330239900</v>
      </c>
      <c r="E2913" s="3" t="s">
        <v>6</v>
      </c>
      <c r="F2913" s="3" t="s">
        <v>66</v>
      </c>
      <c r="H2913" s="3">
        <v>0.67000000000000015</v>
      </c>
      <c r="I2913" s="10">
        <f t="shared" si="453"/>
        <v>27.443481002639562</v>
      </c>
      <c r="J2913" s="3">
        <v>0.73241437549656152</v>
      </c>
      <c r="K2913" s="3">
        <v>0</v>
      </c>
      <c r="L2913" s="3">
        <f t="shared" si="454"/>
        <v>0</v>
      </c>
      <c r="N2913" s="11">
        <f t="shared" si="455"/>
        <v>-6.241437549656137E-2</v>
      </c>
      <c r="O2913" s="3">
        <v>0.73241437549656152</v>
      </c>
      <c r="P2913" s="11">
        <f t="shared" si="456"/>
        <v>-2.5565189973604383</v>
      </c>
      <c r="Q2913" s="12">
        <f t="shared" si="457"/>
        <v>-2.5565189973604383</v>
      </c>
      <c r="R2913" s="13">
        <f t="shared" si="458"/>
        <v>86.092170811049129</v>
      </c>
      <c r="S2913" s="3" t="s">
        <v>31</v>
      </c>
      <c r="T2913" s="3" t="s">
        <v>35</v>
      </c>
      <c r="U2913" s="10">
        <v>9330239900999</v>
      </c>
      <c r="V2913" s="3">
        <v>0.1</v>
      </c>
      <c r="W2913" s="3">
        <f t="shared" si="459"/>
        <v>0</v>
      </c>
      <c r="AA2913" s="3">
        <v>48</v>
      </c>
    </row>
    <row r="2914" spans="1:27" x14ac:dyDescent="0.3">
      <c r="A2914" s="3" t="str">
        <f t="shared" si="450"/>
        <v>East9320039900210</v>
      </c>
      <c r="B2914" s="3" t="str">
        <f t="shared" si="451"/>
        <v>KGP9320039900210</v>
      </c>
      <c r="C2914" s="10">
        <v>9320039900210</v>
      </c>
      <c r="D2914" s="10" t="str">
        <f t="shared" si="452"/>
        <v>9320039900</v>
      </c>
      <c r="E2914" s="3" t="s">
        <v>6</v>
      </c>
      <c r="F2914" s="3" t="s">
        <v>66</v>
      </c>
      <c r="H2914" s="3">
        <v>3.6130000000000004</v>
      </c>
      <c r="I2914" s="10">
        <f t="shared" si="453"/>
        <v>148.31199165868546</v>
      </c>
      <c r="J2914" s="3">
        <v>0.73082424952825764</v>
      </c>
      <c r="K2914" s="3">
        <v>0</v>
      </c>
      <c r="L2914" s="3">
        <f t="shared" si="454"/>
        <v>0</v>
      </c>
      <c r="N2914" s="11">
        <f t="shared" si="455"/>
        <v>2.8821757504717427</v>
      </c>
      <c r="O2914" s="3">
        <v>0.73082424952825764</v>
      </c>
      <c r="P2914" s="11">
        <f t="shared" si="456"/>
        <v>118.31199165868547</v>
      </c>
      <c r="Q2914" s="12">
        <f t="shared" si="457"/>
        <v>118.31199165868546</v>
      </c>
      <c r="R2914" s="13">
        <f t="shared" si="458"/>
        <v>42.006413866655983</v>
      </c>
      <c r="S2914" s="3" t="s">
        <v>31</v>
      </c>
      <c r="T2914" s="3" t="s">
        <v>28</v>
      </c>
      <c r="U2914" s="10">
        <v>0</v>
      </c>
      <c r="V2914" s="3">
        <v>0</v>
      </c>
      <c r="W2914" s="3">
        <f t="shared" si="459"/>
        <v>0</v>
      </c>
      <c r="AA2914" s="3">
        <v>48</v>
      </c>
    </row>
    <row r="2915" spans="1:27" x14ac:dyDescent="0.3">
      <c r="A2915" s="3" t="str">
        <f t="shared" si="450"/>
        <v>East9320029900210</v>
      </c>
      <c r="B2915" s="3" t="str">
        <f t="shared" si="451"/>
        <v>KGP9320029900210</v>
      </c>
      <c r="C2915" s="10">
        <v>9320029900210</v>
      </c>
      <c r="D2915" s="10" t="str">
        <f t="shared" si="452"/>
        <v>9320029900</v>
      </c>
      <c r="E2915" s="3" t="s">
        <v>6</v>
      </c>
      <c r="F2915" s="3" t="s">
        <v>66</v>
      </c>
      <c r="H2915" s="3">
        <v>1.5479999999999998</v>
      </c>
      <c r="I2915" s="10">
        <f t="shared" si="453"/>
        <v>65.886314951137422</v>
      </c>
      <c r="J2915" s="3">
        <v>0.70485046909120375</v>
      </c>
      <c r="K2915" s="3">
        <v>0</v>
      </c>
      <c r="L2915" s="3">
        <f t="shared" si="454"/>
        <v>0</v>
      </c>
      <c r="N2915" s="11">
        <f t="shared" si="455"/>
        <v>0.84314953090879607</v>
      </c>
      <c r="O2915" s="3">
        <v>0.70485046909120375</v>
      </c>
      <c r="P2915" s="11">
        <f t="shared" si="456"/>
        <v>35.886314951137408</v>
      </c>
      <c r="Q2915" s="12">
        <f t="shared" si="457"/>
        <v>35.886314951137408</v>
      </c>
      <c r="R2915" s="13">
        <f t="shared" si="458"/>
        <v>20.758348619970487</v>
      </c>
      <c r="S2915" s="3" t="s">
        <v>31</v>
      </c>
      <c r="T2915" s="3" t="s">
        <v>28</v>
      </c>
      <c r="U2915" s="10">
        <v>0</v>
      </c>
      <c r="V2915" s="3">
        <v>0</v>
      </c>
      <c r="W2915" s="3">
        <f t="shared" si="459"/>
        <v>0</v>
      </c>
      <c r="AA2915" s="3">
        <v>48</v>
      </c>
    </row>
    <row r="2916" spans="1:27" x14ac:dyDescent="0.3">
      <c r="A2916" s="3" t="str">
        <f t="shared" si="450"/>
        <v>East9432019906836</v>
      </c>
      <c r="B2916" s="3" t="str">
        <f t="shared" si="451"/>
        <v>KGP9432019906836</v>
      </c>
      <c r="C2916" s="10">
        <v>9432019906836</v>
      </c>
      <c r="D2916" s="10" t="str">
        <f t="shared" si="452"/>
        <v>9432019906</v>
      </c>
      <c r="E2916" s="3" t="s">
        <v>6</v>
      </c>
      <c r="F2916" s="3" t="s">
        <v>66</v>
      </c>
      <c r="H2916" s="3">
        <v>7.4628000000000032</v>
      </c>
      <c r="I2916" s="10">
        <f t="shared" si="453"/>
        <v>325.46778102759225</v>
      </c>
      <c r="J2916" s="3">
        <v>0.68788375701317062</v>
      </c>
      <c r="K2916" s="3">
        <v>0</v>
      </c>
      <c r="L2916" s="3">
        <f t="shared" si="454"/>
        <v>0</v>
      </c>
      <c r="N2916" s="11">
        <f t="shared" si="455"/>
        <v>6.7749162429868326</v>
      </c>
      <c r="O2916" s="3">
        <v>0.68788375701317062</v>
      </c>
      <c r="P2916" s="11">
        <f t="shared" si="456"/>
        <v>295.46778102759225</v>
      </c>
      <c r="Q2916" s="12">
        <f t="shared" si="457"/>
        <v>295.46778102759225</v>
      </c>
      <c r="R2916" s="13">
        <f t="shared" si="458"/>
        <v>620.14025379462601</v>
      </c>
      <c r="S2916" s="3" t="s">
        <v>31</v>
      </c>
      <c r="T2916" s="3" t="s">
        <v>35</v>
      </c>
      <c r="U2916" s="10">
        <v>0</v>
      </c>
      <c r="V2916" s="3">
        <v>0</v>
      </c>
      <c r="W2916" s="3">
        <f t="shared" si="459"/>
        <v>0</v>
      </c>
      <c r="AA2916" s="3">
        <v>48</v>
      </c>
    </row>
    <row r="2917" spans="1:27" x14ac:dyDescent="0.3">
      <c r="A2917" s="3" t="str">
        <f t="shared" si="450"/>
        <v>East9420139901210</v>
      </c>
      <c r="B2917" s="3" t="str">
        <f t="shared" si="451"/>
        <v>KGP9420139901210</v>
      </c>
      <c r="C2917" s="10">
        <v>9420139901210</v>
      </c>
      <c r="D2917" s="10" t="str">
        <f t="shared" si="452"/>
        <v>9420139901</v>
      </c>
      <c r="E2917" s="3" t="s">
        <v>6</v>
      </c>
      <c r="F2917" s="3" t="s">
        <v>66</v>
      </c>
      <c r="H2917" s="3">
        <v>0.92400000000000015</v>
      </c>
      <c r="I2917" s="10">
        <f t="shared" si="453"/>
        <v>42.561608820142979</v>
      </c>
      <c r="J2917" s="3">
        <v>0.65129116986952484</v>
      </c>
      <c r="K2917" s="3">
        <v>0</v>
      </c>
      <c r="L2917" s="3">
        <f t="shared" si="454"/>
        <v>0</v>
      </c>
      <c r="N2917" s="11">
        <f t="shared" si="455"/>
        <v>0.27270883013047531</v>
      </c>
      <c r="O2917" s="3">
        <v>0.65129116986952484</v>
      </c>
      <c r="P2917" s="11">
        <f t="shared" si="456"/>
        <v>12.561608820142974</v>
      </c>
      <c r="Q2917" s="12">
        <f t="shared" si="457"/>
        <v>12.561608820142974</v>
      </c>
      <c r="R2917" s="13">
        <f t="shared" si="458"/>
        <v>62.555831983232935</v>
      </c>
      <c r="S2917" s="3" t="s">
        <v>31</v>
      </c>
      <c r="T2917" s="3" t="s">
        <v>28</v>
      </c>
      <c r="U2917" s="10">
        <v>0</v>
      </c>
      <c r="V2917" s="3">
        <v>0</v>
      </c>
      <c r="W2917" s="3">
        <f t="shared" si="459"/>
        <v>0</v>
      </c>
      <c r="AA2917" s="3">
        <v>48</v>
      </c>
    </row>
    <row r="2918" spans="1:27" x14ac:dyDescent="0.3">
      <c r="A2918" s="3" t="str">
        <f t="shared" si="450"/>
        <v>East9410019900310</v>
      </c>
      <c r="B2918" s="3" t="str">
        <f t="shared" si="451"/>
        <v>KGP9410019900310</v>
      </c>
      <c r="C2918" s="10">
        <v>9410019900310</v>
      </c>
      <c r="D2918" s="10" t="str">
        <f t="shared" si="452"/>
        <v>9410019900</v>
      </c>
      <c r="E2918" s="3" t="s">
        <v>6</v>
      </c>
      <c r="F2918" s="3" t="s">
        <v>66</v>
      </c>
      <c r="H2918" s="3">
        <v>1.6300000000000006</v>
      </c>
      <c r="I2918" s="10">
        <f t="shared" si="453"/>
        <v>81.034034243440246</v>
      </c>
      <c r="J2918" s="3">
        <v>0.60345014852766632</v>
      </c>
      <c r="K2918" s="3">
        <v>0</v>
      </c>
      <c r="L2918" s="3">
        <f t="shared" si="454"/>
        <v>0</v>
      </c>
      <c r="N2918" s="11">
        <f t="shared" si="455"/>
        <v>1.0265498514723341</v>
      </c>
      <c r="O2918" s="3">
        <v>0.60345014852766632</v>
      </c>
      <c r="P2918" s="11">
        <f t="shared" si="456"/>
        <v>51.034034243440246</v>
      </c>
      <c r="Q2918" s="12">
        <f t="shared" si="457"/>
        <v>51.034034243440246</v>
      </c>
      <c r="R2918" s="13">
        <f t="shared" si="458"/>
        <v>100.97016749365775</v>
      </c>
      <c r="S2918" s="3" t="s">
        <v>31</v>
      </c>
      <c r="T2918" s="3" t="s">
        <v>32</v>
      </c>
      <c r="U2918" s="10">
        <v>9410019900999</v>
      </c>
      <c r="V2918" s="3">
        <v>0.1</v>
      </c>
      <c r="W2918" s="3">
        <f t="shared" si="459"/>
        <v>0</v>
      </c>
      <c r="AA2918" s="3">
        <v>48</v>
      </c>
    </row>
    <row r="2919" spans="1:27" x14ac:dyDescent="0.3">
      <c r="A2919" s="3" t="str">
        <f t="shared" si="450"/>
        <v>East9320089902839</v>
      </c>
      <c r="B2919" s="3" t="str">
        <f t="shared" si="451"/>
        <v>KGP9320089902839</v>
      </c>
      <c r="C2919" s="10">
        <v>9320089902839</v>
      </c>
      <c r="D2919" s="10" t="str">
        <f t="shared" si="452"/>
        <v>9320089902</v>
      </c>
      <c r="E2919" s="3" t="s">
        <v>6</v>
      </c>
      <c r="F2919" s="3" t="s">
        <v>66</v>
      </c>
      <c r="H2919" s="3">
        <v>0.66299999999999992</v>
      </c>
      <c r="I2919" s="10">
        <f t="shared" si="453"/>
        <v>33.450424477327005</v>
      </c>
      <c r="J2919" s="3">
        <v>0.59461128851986955</v>
      </c>
      <c r="K2919" s="3">
        <v>0</v>
      </c>
      <c r="L2919" s="3">
        <f t="shared" si="454"/>
        <v>0</v>
      </c>
      <c r="N2919" s="11">
        <f t="shared" si="455"/>
        <v>6.8388711480130371E-2</v>
      </c>
      <c r="O2919" s="3">
        <v>0.59461128851986955</v>
      </c>
      <c r="P2919" s="11">
        <f t="shared" si="456"/>
        <v>3.4504244773270107</v>
      </c>
      <c r="Q2919" s="12">
        <f t="shared" si="457"/>
        <v>3.4504244773270103</v>
      </c>
      <c r="R2919" s="13">
        <f t="shared" si="458"/>
        <v>23.218371468264344</v>
      </c>
      <c r="S2919" s="3" t="s">
        <v>31</v>
      </c>
      <c r="T2919" s="3" t="s">
        <v>28</v>
      </c>
      <c r="U2919" s="10">
        <v>0</v>
      </c>
      <c r="V2919" s="3">
        <v>0</v>
      </c>
      <c r="W2919" s="3">
        <f t="shared" si="459"/>
        <v>0</v>
      </c>
      <c r="AA2919" s="3">
        <v>48</v>
      </c>
    </row>
    <row r="2920" spans="1:27" x14ac:dyDescent="0.3">
      <c r="A2920" s="3" t="str">
        <f t="shared" si="450"/>
        <v>East9432019900210</v>
      </c>
      <c r="B2920" s="3" t="str">
        <f t="shared" si="451"/>
        <v>KGP9432019900210</v>
      </c>
      <c r="C2920" s="10">
        <v>9432019900210</v>
      </c>
      <c r="D2920" s="10" t="str">
        <f t="shared" si="452"/>
        <v>9432019900</v>
      </c>
      <c r="E2920" s="3" t="s">
        <v>6</v>
      </c>
      <c r="F2920" s="3" t="s">
        <v>66</v>
      </c>
      <c r="H2920" s="3">
        <v>0.3000000000000001</v>
      </c>
      <c r="I2920" s="10">
        <f t="shared" si="453"/>
        <v>15.60864414438181</v>
      </c>
      <c r="J2920" s="3">
        <v>0.57660357406760865</v>
      </c>
      <c r="K2920" s="3">
        <v>0</v>
      </c>
      <c r="L2920" s="3">
        <f t="shared" si="454"/>
        <v>0</v>
      </c>
      <c r="N2920" s="11">
        <f t="shared" si="455"/>
        <v>-0.27660357406760855</v>
      </c>
      <c r="O2920" s="3">
        <v>0.57660357406760865</v>
      </c>
      <c r="P2920" s="11">
        <f t="shared" si="456"/>
        <v>-14.39135585561819</v>
      </c>
      <c r="Q2920" s="12">
        <f t="shared" si="457"/>
        <v>-14.39135585561819</v>
      </c>
      <c r="R2920" s="13">
        <f t="shared" si="458"/>
        <v>0.18903672404124577</v>
      </c>
      <c r="S2920" s="3" t="s">
        <v>31</v>
      </c>
      <c r="T2920" s="3" t="s">
        <v>35</v>
      </c>
      <c r="U2920" s="10">
        <v>0</v>
      </c>
      <c r="V2920" s="3">
        <v>0</v>
      </c>
      <c r="W2920" s="3">
        <f t="shared" si="459"/>
        <v>0</v>
      </c>
      <c r="AA2920" s="3">
        <v>48</v>
      </c>
    </row>
    <row r="2921" spans="1:27" x14ac:dyDescent="0.3">
      <c r="A2921" s="3" t="str">
        <f t="shared" si="450"/>
        <v>East9420059906190</v>
      </c>
      <c r="B2921" s="3" t="str">
        <f t="shared" si="451"/>
        <v>KGP9420059906190</v>
      </c>
      <c r="C2921" s="10">
        <v>9420059906190</v>
      </c>
      <c r="D2921" s="10" t="str">
        <f t="shared" si="452"/>
        <v>9420059906</v>
      </c>
      <c r="E2921" s="3" t="s">
        <v>6</v>
      </c>
      <c r="F2921" s="3" t="s">
        <v>66</v>
      </c>
      <c r="H2921" s="3">
        <v>12.806099999999997</v>
      </c>
      <c r="I2921" s="10">
        <f t="shared" si="453"/>
        <v>724.444870216087</v>
      </c>
      <c r="J2921" s="3">
        <v>0.5303136453784344</v>
      </c>
      <c r="K2921" s="3">
        <v>0</v>
      </c>
      <c r="L2921" s="3">
        <f t="shared" si="454"/>
        <v>0</v>
      </c>
      <c r="N2921" s="11">
        <f t="shared" si="455"/>
        <v>12.275786354621562</v>
      </c>
      <c r="O2921" s="3">
        <v>0.5303136453784344</v>
      </c>
      <c r="P2921" s="11">
        <f t="shared" si="456"/>
        <v>694.444870216087</v>
      </c>
      <c r="Q2921" s="12">
        <f t="shared" si="457"/>
        <v>694.444870216087</v>
      </c>
      <c r="R2921" s="13">
        <f t="shared" si="458"/>
        <v>707.36267104868705</v>
      </c>
      <c r="S2921" s="3" t="s">
        <v>31</v>
      </c>
      <c r="T2921" s="3" t="s">
        <v>28</v>
      </c>
      <c r="U2921" s="10">
        <v>0</v>
      </c>
      <c r="V2921" s="3">
        <v>0</v>
      </c>
      <c r="W2921" s="3">
        <f t="shared" si="459"/>
        <v>0</v>
      </c>
      <c r="AA2921" s="3">
        <v>48</v>
      </c>
    </row>
    <row r="2922" spans="1:27" x14ac:dyDescent="0.3">
      <c r="A2922" s="3" t="str">
        <f t="shared" si="450"/>
        <v>East9432029900840</v>
      </c>
      <c r="B2922" s="3" t="str">
        <f t="shared" si="451"/>
        <v>KGP9432029900840</v>
      </c>
      <c r="C2922" s="10">
        <v>9432029900840</v>
      </c>
      <c r="D2922" s="10" t="str">
        <f t="shared" si="452"/>
        <v>9432029900</v>
      </c>
      <c r="E2922" s="3" t="s">
        <v>6</v>
      </c>
      <c r="F2922" s="3" t="s">
        <v>66</v>
      </c>
      <c r="H2922" s="3">
        <v>0.56000000000000016</v>
      </c>
      <c r="I2922" s="10">
        <f t="shared" si="453"/>
        <v>33.374543931521174</v>
      </c>
      <c r="J2922" s="3">
        <v>0.50337766515913196</v>
      </c>
      <c r="K2922" s="3">
        <v>0</v>
      </c>
      <c r="L2922" s="3">
        <f t="shared" si="454"/>
        <v>0</v>
      </c>
      <c r="N2922" s="11">
        <f t="shared" si="455"/>
        <v>5.6622334840868205E-2</v>
      </c>
      <c r="O2922" s="3">
        <v>0.50337766515913196</v>
      </c>
      <c r="P2922" s="11">
        <f t="shared" si="456"/>
        <v>3.374543931521174</v>
      </c>
      <c r="Q2922" s="12">
        <f t="shared" si="457"/>
        <v>3.3745439315211736</v>
      </c>
      <c r="R2922" s="13">
        <f t="shared" si="458"/>
        <v>43.321758221941678</v>
      </c>
      <c r="S2922" s="3" t="s">
        <v>31</v>
      </c>
      <c r="T2922" s="3" t="s">
        <v>35</v>
      </c>
      <c r="U2922" s="10">
        <v>0</v>
      </c>
      <c r="V2922" s="3">
        <v>0</v>
      </c>
      <c r="W2922" s="3">
        <f t="shared" si="459"/>
        <v>0</v>
      </c>
      <c r="AA2922" s="3">
        <v>48</v>
      </c>
    </row>
    <row r="2923" spans="1:27" x14ac:dyDescent="0.3">
      <c r="A2923" s="3" t="str">
        <f t="shared" si="450"/>
        <v>East9320099900210</v>
      </c>
      <c r="B2923" s="3" t="str">
        <f t="shared" si="451"/>
        <v>KGP9320099900210</v>
      </c>
      <c r="C2923" s="10">
        <v>9320099900210</v>
      </c>
      <c r="D2923" s="10" t="str">
        <f t="shared" si="452"/>
        <v>9320099900</v>
      </c>
      <c r="E2923" s="3" t="s">
        <v>6</v>
      </c>
      <c r="F2923" s="3" t="s">
        <v>66</v>
      </c>
      <c r="H2923" s="3">
        <v>0.22800000000000004</v>
      </c>
      <c r="I2923" s="10">
        <f t="shared" si="453"/>
        <v>14.177234172176501</v>
      </c>
      <c r="J2923" s="3">
        <v>0.48246363972909667</v>
      </c>
      <c r="K2923" s="3">
        <v>0</v>
      </c>
      <c r="L2923" s="3">
        <f t="shared" si="454"/>
        <v>0</v>
      </c>
      <c r="N2923" s="11">
        <f t="shared" si="455"/>
        <v>-0.25446363972909664</v>
      </c>
      <c r="O2923" s="3">
        <v>0.48246363972909667</v>
      </c>
      <c r="P2923" s="11">
        <f t="shared" si="456"/>
        <v>-15.822765827823499</v>
      </c>
      <c r="Q2923" s="12">
        <f t="shared" si="457"/>
        <v>-15.822765827823499</v>
      </c>
      <c r="R2923" s="13">
        <f t="shared" si="458"/>
        <v>28.658286020871561</v>
      </c>
      <c r="S2923" s="3" t="s">
        <v>31</v>
      </c>
      <c r="T2923" s="3" t="s">
        <v>28</v>
      </c>
      <c r="U2923" s="10">
        <v>0</v>
      </c>
      <c r="V2923" s="3">
        <v>0</v>
      </c>
      <c r="W2923" s="3">
        <f t="shared" si="459"/>
        <v>0</v>
      </c>
      <c r="AA2923" s="3">
        <v>48</v>
      </c>
    </row>
    <row r="2924" spans="1:27" x14ac:dyDescent="0.3">
      <c r="A2924" s="3" t="str">
        <f t="shared" si="450"/>
        <v>East9432029900210</v>
      </c>
      <c r="B2924" s="3" t="str">
        <f t="shared" si="451"/>
        <v>KGP9432029900210</v>
      </c>
      <c r="C2924" s="10">
        <v>9432029900210</v>
      </c>
      <c r="D2924" s="10" t="str">
        <f t="shared" si="452"/>
        <v>9432029900</v>
      </c>
      <c r="E2924" s="3" t="s">
        <v>6</v>
      </c>
      <c r="F2924" s="3" t="s">
        <v>66</v>
      </c>
      <c r="H2924" s="3">
        <v>1.3640000000000003</v>
      </c>
      <c r="I2924" s="10">
        <f t="shared" si="453"/>
        <v>95.750947962770454</v>
      </c>
      <c r="J2924" s="3">
        <v>0.42735869326234116</v>
      </c>
      <c r="K2924" s="3">
        <v>0</v>
      </c>
      <c r="L2924" s="3">
        <f t="shared" si="454"/>
        <v>0</v>
      </c>
      <c r="N2924" s="11">
        <f t="shared" si="455"/>
        <v>0.93664130673765911</v>
      </c>
      <c r="O2924" s="3">
        <v>0.42735869326234116</v>
      </c>
      <c r="P2924" s="11">
        <f t="shared" si="456"/>
        <v>65.750947962770454</v>
      </c>
      <c r="Q2924" s="12">
        <f t="shared" si="457"/>
        <v>65.750947962770454</v>
      </c>
      <c r="R2924" s="13">
        <f t="shared" si="458"/>
        <v>343.47422136245308</v>
      </c>
      <c r="S2924" s="3" t="s">
        <v>31</v>
      </c>
      <c r="T2924" s="3" t="s">
        <v>35</v>
      </c>
      <c r="U2924" s="10">
        <v>0</v>
      </c>
      <c r="V2924" s="3">
        <v>0</v>
      </c>
      <c r="W2924" s="3">
        <f t="shared" si="459"/>
        <v>0</v>
      </c>
      <c r="AA2924" s="3">
        <v>48</v>
      </c>
    </row>
    <row r="2925" spans="1:27" x14ac:dyDescent="0.3">
      <c r="A2925" s="3" t="str">
        <f t="shared" si="450"/>
        <v>East9420139900210</v>
      </c>
      <c r="B2925" s="3" t="str">
        <f t="shared" si="451"/>
        <v>KGP9420139900210</v>
      </c>
      <c r="C2925" s="10">
        <v>9420139900210</v>
      </c>
      <c r="D2925" s="10" t="str">
        <f t="shared" si="452"/>
        <v>9420139900</v>
      </c>
      <c r="E2925" s="3" t="s">
        <v>6</v>
      </c>
      <c r="F2925" s="3" t="s">
        <v>66</v>
      </c>
      <c r="H2925" s="3">
        <v>0.57700000000000007</v>
      </c>
      <c r="I2925" s="10">
        <f t="shared" si="453"/>
        <v>41.383373585682392</v>
      </c>
      <c r="J2925" s="3">
        <v>0.41828392661512803</v>
      </c>
      <c r="K2925" s="3">
        <v>0</v>
      </c>
      <c r="L2925" s="3">
        <f t="shared" si="454"/>
        <v>0</v>
      </c>
      <c r="N2925" s="11">
        <f t="shared" si="455"/>
        <v>0.15871607338487204</v>
      </c>
      <c r="O2925" s="3">
        <v>0.41828392661512803</v>
      </c>
      <c r="P2925" s="11">
        <f t="shared" si="456"/>
        <v>11.383373585682394</v>
      </c>
      <c r="Q2925" s="12">
        <f t="shared" si="457"/>
        <v>11.383373585682394</v>
      </c>
      <c r="R2925" s="13">
        <f t="shared" si="458"/>
        <v>110.31179778736497</v>
      </c>
      <c r="S2925" s="3" t="s">
        <v>31</v>
      </c>
      <c r="T2925" s="3" t="s">
        <v>28</v>
      </c>
      <c r="U2925" s="10">
        <v>0</v>
      </c>
      <c r="V2925" s="3">
        <v>0</v>
      </c>
      <c r="W2925" s="3">
        <f t="shared" si="459"/>
        <v>0</v>
      </c>
      <c r="AA2925" s="3">
        <v>48</v>
      </c>
    </row>
    <row r="2926" spans="1:27" x14ac:dyDescent="0.3">
      <c r="A2926" s="3" t="str">
        <f t="shared" si="450"/>
        <v>East9410019900840</v>
      </c>
      <c r="B2926" s="3" t="str">
        <f t="shared" si="451"/>
        <v>KGP9410019900840</v>
      </c>
      <c r="C2926" s="10">
        <v>9410019900840</v>
      </c>
      <c r="D2926" s="10" t="str">
        <f t="shared" si="452"/>
        <v>9410019900</v>
      </c>
      <c r="E2926" s="3" t="s">
        <v>6</v>
      </c>
      <c r="F2926" s="3" t="s">
        <v>66</v>
      </c>
      <c r="H2926" s="3">
        <v>1.7680000000000007</v>
      </c>
      <c r="I2926" s="10">
        <f t="shared" si="453"/>
        <v>147.64858602122908</v>
      </c>
      <c r="J2926" s="3">
        <v>0.35923134402637535</v>
      </c>
      <c r="K2926" s="3">
        <v>0</v>
      </c>
      <c r="L2926" s="3">
        <f t="shared" si="454"/>
        <v>0</v>
      </c>
      <c r="N2926" s="11">
        <f t="shared" si="455"/>
        <v>1.4087686559736254</v>
      </c>
      <c r="O2926" s="3">
        <v>0.35923134402637535</v>
      </c>
      <c r="P2926" s="11">
        <f t="shared" si="456"/>
        <v>117.64858602122909</v>
      </c>
      <c r="Q2926" s="12">
        <f t="shared" si="457"/>
        <v>117.64858602122911</v>
      </c>
      <c r="R2926" s="13">
        <f t="shared" si="458"/>
        <v>23.050514541033518</v>
      </c>
      <c r="S2926" s="3" t="s">
        <v>31</v>
      </c>
      <c r="T2926" s="3" t="s">
        <v>32</v>
      </c>
      <c r="U2926" s="10">
        <v>0</v>
      </c>
      <c r="V2926" s="3">
        <v>0</v>
      </c>
      <c r="W2926" s="3">
        <f t="shared" si="459"/>
        <v>0</v>
      </c>
      <c r="AA2926" s="3">
        <v>48</v>
      </c>
    </row>
    <row r="2927" spans="1:27" x14ac:dyDescent="0.3">
      <c r="A2927" s="3" t="str">
        <f t="shared" si="450"/>
        <v>East9410019905836</v>
      </c>
      <c r="B2927" s="3" t="str">
        <f t="shared" si="451"/>
        <v>KGP9410019905836</v>
      </c>
      <c r="C2927" s="10">
        <v>9410019905836</v>
      </c>
      <c r="D2927" s="10" t="str">
        <f t="shared" si="452"/>
        <v>9410019905</v>
      </c>
      <c r="E2927" s="3" t="s">
        <v>6</v>
      </c>
      <c r="F2927" s="3" t="s">
        <v>66</v>
      </c>
      <c r="H2927" s="3">
        <v>3.0204000000000009</v>
      </c>
      <c r="I2927" s="10">
        <f t="shared" si="453"/>
        <v>268.70756255330741</v>
      </c>
      <c r="J2927" s="3">
        <v>0.33721417863713454</v>
      </c>
      <c r="K2927" s="3">
        <v>0</v>
      </c>
      <c r="L2927" s="3">
        <f t="shared" si="454"/>
        <v>0</v>
      </c>
      <c r="N2927" s="11">
        <f t="shared" si="455"/>
        <v>2.6831858213628665</v>
      </c>
      <c r="O2927" s="3">
        <v>0.33721417863713454</v>
      </c>
      <c r="P2927" s="11">
        <f t="shared" si="456"/>
        <v>238.7075625533075</v>
      </c>
      <c r="Q2927" s="12">
        <f t="shared" si="457"/>
        <v>238.70756255330747</v>
      </c>
      <c r="R2927" s="13">
        <f t="shared" si="458"/>
        <v>243.27303224056604</v>
      </c>
      <c r="S2927" s="3" t="s">
        <v>31</v>
      </c>
      <c r="T2927" s="3" t="s">
        <v>32</v>
      </c>
      <c r="U2927" s="10">
        <v>0</v>
      </c>
      <c r="V2927" s="3">
        <v>0</v>
      </c>
      <c r="W2927" s="3">
        <f t="shared" si="459"/>
        <v>0</v>
      </c>
      <c r="AA2927" s="3">
        <v>48</v>
      </c>
    </row>
    <row r="2928" spans="1:27" x14ac:dyDescent="0.3">
      <c r="A2928" s="3" t="str">
        <f t="shared" si="450"/>
        <v>East9100309902319</v>
      </c>
      <c r="B2928" s="3" t="str">
        <f t="shared" si="451"/>
        <v>KGP9100309902319</v>
      </c>
      <c r="C2928" s="10">
        <v>9100309902319</v>
      </c>
      <c r="D2928" s="10" t="str">
        <f t="shared" si="452"/>
        <v>9100309902</v>
      </c>
      <c r="E2928" s="3" t="s">
        <v>6</v>
      </c>
      <c r="F2928" s="3" t="s">
        <v>66</v>
      </c>
      <c r="H2928" s="3">
        <v>10.507000000000001</v>
      </c>
      <c r="I2928" s="10">
        <f t="shared" si="453"/>
        <v>968.25609571427083</v>
      </c>
      <c r="J2928" s="3">
        <v>0.32554403880873423</v>
      </c>
      <c r="K2928" s="3">
        <v>0</v>
      </c>
      <c r="L2928" s="3">
        <f t="shared" si="454"/>
        <v>0</v>
      </c>
      <c r="N2928" s="11">
        <f t="shared" si="455"/>
        <v>10.181455961191267</v>
      </c>
      <c r="O2928" s="3">
        <v>0.32554403880873423</v>
      </c>
      <c r="P2928" s="11">
        <f t="shared" si="456"/>
        <v>938.25609571427071</v>
      </c>
      <c r="Q2928" s="12">
        <f t="shared" si="457"/>
        <v>938.25609571427071</v>
      </c>
      <c r="R2928" s="13">
        <f t="shared" si="458"/>
        <v>340.2992622587538</v>
      </c>
      <c r="S2928" s="3" t="s">
        <v>31</v>
      </c>
      <c r="T2928" s="3" t="s">
        <v>34</v>
      </c>
      <c r="U2928" s="10">
        <v>0</v>
      </c>
      <c r="V2928" s="3">
        <v>0</v>
      </c>
      <c r="W2928" s="3">
        <f t="shared" si="459"/>
        <v>0</v>
      </c>
      <c r="AA2928" s="3">
        <v>48</v>
      </c>
    </row>
    <row r="2929" spans="1:27" x14ac:dyDescent="0.3">
      <c r="A2929" s="3" t="str">
        <f t="shared" si="450"/>
        <v>East9320029904839</v>
      </c>
      <c r="B2929" s="3" t="str">
        <f t="shared" si="451"/>
        <v>KGP9320029904839</v>
      </c>
      <c r="C2929" s="10">
        <v>9320029904839</v>
      </c>
      <c r="D2929" s="10" t="str">
        <f t="shared" si="452"/>
        <v>9320029904</v>
      </c>
      <c r="E2929" s="3" t="s">
        <v>6</v>
      </c>
      <c r="F2929" s="3" t="s">
        <v>66</v>
      </c>
      <c r="H2929" s="3">
        <v>15.272399999999994</v>
      </c>
      <c r="I2929" s="10">
        <f t="shared" si="453"/>
        <v>1409.7952532328925</v>
      </c>
      <c r="J2929" s="3">
        <v>0.32499187307471494</v>
      </c>
      <c r="K2929" s="3">
        <v>0</v>
      </c>
      <c r="L2929" s="3">
        <f t="shared" si="454"/>
        <v>0</v>
      </c>
      <c r="N2929" s="11">
        <f t="shared" si="455"/>
        <v>14.947408126925279</v>
      </c>
      <c r="O2929" s="3">
        <v>0.32499187307471494</v>
      </c>
      <c r="P2929" s="11">
        <f t="shared" si="456"/>
        <v>1379.7952532328923</v>
      </c>
      <c r="Q2929" s="12">
        <f t="shared" si="457"/>
        <v>1379.7952532328925</v>
      </c>
      <c r="R2929" s="13">
        <f t="shared" si="458"/>
        <v>675.59054894065093</v>
      </c>
      <c r="S2929" s="3" t="s">
        <v>31</v>
      </c>
      <c r="T2929" s="3" t="s">
        <v>28</v>
      </c>
      <c r="U2929" s="10">
        <v>0</v>
      </c>
      <c r="V2929" s="3">
        <v>0</v>
      </c>
      <c r="W2929" s="3">
        <f t="shared" si="459"/>
        <v>0</v>
      </c>
      <c r="AA2929" s="3">
        <v>48</v>
      </c>
    </row>
    <row r="2930" spans="1:27" x14ac:dyDescent="0.3">
      <c r="A2930" s="3" t="str">
        <f t="shared" si="450"/>
        <v>East9420059906836</v>
      </c>
      <c r="B2930" s="3" t="str">
        <f t="shared" si="451"/>
        <v>KGP9420059906836</v>
      </c>
      <c r="C2930" s="10">
        <v>9420059906836</v>
      </c>
      <c r="D2930" s="10" t="str">
        <f t="shared" si="452"/>
        <v>9420059906</v>
      </c>
      <c r="E2930" s="3" t="s">
        <v>6</v>
      </c>
      <c r="F2930" s="3" t="s">
        <v>66</v>
      </c>
      <c r="H2930" s="3">
        <v>4.7232000000000003</v>
      </c>
      <c r="I2930" s="10">
        <f t="shared" si="453"/>
        <v>456.09183787314976</v>
      </c>
      <c r="J2930" s="3">
        <v>0.31067427266569309</v>
      </c>
      <c r="K2930" s="3">
        <v>0</v>
      </c>
      <c r="L2930" s="3">
        <f t="shared" si="454"/>
        <v>0</v>
      </c>
      <c r="N2930" s="11">
        <f t="shared" si="455"/>
        <v>4.412525727334307</v>
      </c>
      <c r="O2930" s="3">
        <v>0.31067427266569309</v>
      </c>
      <c r="P2930" s="11">
        <f t="shared" si="456"/>
        <v>426.09183787314976</v>
      </c>
      <c r="Q2930" s="12">
        <f t="shared" si="457"/>
        <v>426.0918378731497</v>
      </c>
      <c r="R2930" s="13">
        <f t="shared" si="458"/>
        <v>658.56464133934765</v>
      </c>
      <c r="S2930" s="3" t="s">
        <v>31</v>
      </c>
      <c r="T2930" s="3" t="s">
        <v>28</v>
      </c>
      <c r="U2930" s="10">
        <v>0</v>
      </c>
      <c r="V2930" s="3">
        <v>0</v>
      </c>
      <c r="W2930" s="3">
        <f t="shared" si="459"/>
        <v>0</v>
      </c>
      <c r="AA2930" s="3">
        <v>48</v>
      </c>
    </row>
    <row r="2931" spans="1:27" x14ac:dyDescent="0.3">
      <c r="A2931" s="3" t="str">
        <f t="shared" si="450"/>
        <v>East9410019900210</v>
      </c>
      <c r="B2931" s="3" t="str">
        <f t="shared" si="451"/>
        <v>KGP9410019900210</v>
      </c>
      <c r="C2931" s="10">
        <v>9410019900210</v>
      </c>
      <c r="D2931" s="10" t="str">
        <f t="shared" si="452"/>
        <v>9410019900</v>
      </c>
      <c r="E2931" s="3" t="s">
        <v>6</v>
      </c>
      <c r="F2931" s="3" t="s">
        <v>66</v>
      </c>
      <c r="H2931" s="3">
        <v>3.8779999999999988</v>
      </c>
      <c r="I2931" s="10">
        <f t="shared" si="453"/>
        <v>394.60225711895305</v>
      </c>
      <c r="J2931" s="3">
        <v>0.2948285213810351</v>
      </c>
      <c r="K2931" s="3">
        <v>0</v>
      </c>
      <c r="L2931" s="3">
        <f t="shared" si="454"/>
        <v>0</v>
      </c>
      <c r="N2931" s="11">
        <f t="shared" si="455"/>
        <v>3.5831714786189637</v>
      </c>
      <c r="O2931" s="3">
        <v>0.2948285213810351</v>
      </c>
      <c r="P2931" s="11">
        <f t="shared" si="456"/>
        <v>364.60225711895305</v>
      </c>
      <c r="Q2931" s="12">
        <f t="shared" si="457"/>
        <v>364.60225711895305</v>
      </c>
      <c r="R2931" s="13">
        <f t="shared" si="458"/>
        <v>475.08999835834976</v>
      </c>
      <c r="S2931" s="3" t="s">
        <v>31</v>
      </c>
      <c r="T2931" s="3" t="s">
        <v>32</v>
      </c>
      <c r="U2931" s="10">
        <v>0</v>
      </c>
      <c r="V2931" s="3">
        <v>0</v>
      </c>
      <c r="W2931" s="3">
        <f t="shared" si="459"/>
        <v>0</v>
      </c>
      <c r="AA2931" s="3">
        <v>48</v>
      </c>
    </row>
    <row r="2932" spans="1:27" x14ac:dyDescent="0.3">
      <c r="A2932" s="3" t="str">
        <f t="shared" si="450"/>
        <v>East9320029904097</v>
      </c>
      <c r="B2932" s="3" t="str">
        <f t="shared" si="451"/>
        <v>KGP9320029904097</v>
      </c>
      <c r="C2932" s="10">
        <v>9320029904097</v>
      </c>
      <c r="D2932" s="10" t="str">
        <f t="shared" si="452"/>
        <v>9320029904</v>
      </c>
      <c r="E2932" s="3" t="s">
        <v>6</v>
      </c>
      <c r="F2932" s="3" t="s">
        <v>66</v>
      </c>
      <c r="H2932" s="3">
        <v>3.3345000000000002</v>
      </c>
      <c r="I2932" s="10">
        <f t="shared" si="453"/>
        <v>349.97634369780747</v>
      </c>
      <c r="J2932" s="3">
        <v>0.28583360504610789</v>
      </c>
      <c r="K2932" s="3">
        <v>0</v>
      </c>
      <c r="L2932" s="3">
        <f t="shared" si="454"/>
        <v>0</v>
      </c>
      <c r="N2932" s="11">
        <f t="shared" si="455"/>
        <v>3.0486663949538926</v>
      </c>
      <c r="O2932" s="3">
        <v>0.28583360504610789</v>
      </c>
      <c r="P2932" s="11">
        <f t="shared" si="456"/>
        <v>319.97634369780747</v>
      </c>
      <c r="Q2932" s="12">
        <f t="shared" si="457"/>
        <v>319.97634369780752</v>
      </c>
      <c r="R2932" s="13">
        <f t="shared" si="458"/>
        <v>168.21395497010309</v>
      </c>
      <c r="S2932" s="3" t="s">
        <v>31</v>
      </c>
      <c r="T2932" s="3" t="s">
        <v>28</v>
      </c>
      <c r="U2932" s="10">
        <v>0</v>
      </c>
      <c r="V2932" s="3">
        <v>0</v>
      </c>
      <c r="W2932" s="3">
        <f t="shared" si="459"/>
        <v>0</v>
      </c>
      <c r="AA2932" s="3">
        <v>48</v>
      </c>
    </row>
    <row r="2933" spans="1:27" x14ac:dyDescent="0.3">
      <c r="A2933" s="3" t="str">
        <f t="shared" si="450"/>
        <v>East9320029904297</v>
      </c>
      <c r="B2933" s="3" t="str">
        <f t="shared" si="451"/>
        <v>KGP9320029904297</v>
      </c>
      <c r="C2933" s="10">
        <v>9320029904297</v>
      </c>
      <c r="D2933" s="10" t="str">
        <f t="shared" si="452"/>
        <v>9320029904</v>
      </c>
      <c r="E2933" s="3" t="s">
        <v>6</v>
      </c>
      <c r="F2933" s="3" t="s">
        <v>66</v>
      </c>
      <c r="H2933" s="3">
        <v>10.841999999999999</v>
      </c>
      <c r="I2933" s="10">
        <f t="shared" si="453"/>
        <v>1154.4108456363406</v>
      </c>
      <c r="J2933" s="3">
        <v>0.28175410966509795</v>
      </c>
      <c r="K2933" s="3">
        <v>0</v>
      </c>
      <c r="L2933" s="3">
        <f t="shared" si="454"/>
        <v>0</v>
      </c>
      <c r="N2933" s="11">
        <f t="shared" si="455"/>
        <v>10.560245890334901</v>
      </c>
      <c r="O2933" s="3">
        <v>0.28175410966509795</v>
      </c>
      <c r="P2933" s="11">
        <f t="shared" si="456"/>
        <v>1124.4108456363406</v>
      </c>
      <c r="Q2933" s="12">
        <f t="shared" si="457"/>
        <v>1124.4108456363406</v>
      </c>
      <c r="R2933" s="13">
        <f t="shared" si="458"/>
        <v>1776.2611069023462</v>
      </c>
      <c r="S2933" s="3" t="s">
        <v>31</v>
      </c>
      <c r="T2933" s="3" t="s">
        <v>28</v>
      </c>
      <c r="U2933" s="10">
        <v>9320029900999</v>
      </c>
      <c r="V2933" s="3">
        <v>0.1</v>
      </c>
      <c r="W2933" s="3">
        <f t="shared" si="459"/>
        <v>0</v>
      </c>
      <c r="AA2933" s="3">
        <v>48</v>
      </c>
    </row>
    <row r="2934" spans="1:27" x14ac:dyDescent="0.3">
      <c r="A2934" s="3" t="str">
        <f t="shared" si="450"/>
        <v>East9320089901840</v>
      </c>
      <c r="B2934" s="3" t="str">
        <f t="shared" si="451"/>
        <v>KGP9320089901840</v>
      </c>
      <c r="C2934" s="10">
        <v>9320089901840</v>
      </c>
      <c r="D2934" s="10" t="str">
        <f t="shared" si="452"/>
        <v>9320089901</v>
      </c>
      <c r="E2934" s="3" t="s">
        <v>6</v>
      </c>
      <c r="F2934" s="3" t="s">
        <v>66</v>
      </c>
      <c r="H2934" s="3">
        <v>0</v>
      </c>
      <c r="I2934" s="10">
        <f t="shared" si="453"/>
        <v>0</v>
      </c>
      <c r="J2934" s="3">
        <v>0.28164215999999997</v>
      </c>
      <c r="K2934" s="3">
        <v>0</v>
      </c>
      <c r="L2934" s="3">
        <f t="shared" si="454"/>
        <v>0</v>
      </c>
      <c r="N2934" s="11">
        <f t="shared" si="455"/>
        <v>-0.28164215999999997</v>
      </c>
      <c r="O2934" s="3">
        <v>0.28164215999999997</v>
      </c>
      <c r="P2934" s="11">
        <f t="shared" si="456"/>
        <v>-30</v>
      </c>
      <c r="Q2934" s="12">
        <f t="shared" si="457"/>
        <v>-30.000000000000004</v>
      </c>
      <c r="R2934" s="13">
        <f t="shared" si="458"/>
        <v>-30</v>
      </c>
      <c r="S2934" s="3" t="s">
        <v>31</v>
      </c>
      <c r="T2934" s="3" t="s">
        <v>28</v>
      </c>
      <c r="U2934" s="10">
        <v>0</v>
      </c>
      <c r="V2934" s="3">
        <v>0</v>
      </c>
      <c r="W2934" s="3">
        <f t="shared" si="459"/>
        <v>0</v>
      </c>
      <c r="AA2934" s="3">
        <v>48</v>
      </c>
    </row>
    <row r="2935" spans="1:27" x14ac:dyDescent="0.3">
      <c r="A2935" s="3" t="str">
        <f t="shared" si="450"/>
        <v>East9330239900840</v>
      </c>
      <c r="B2935" s="3" t="str">
        <f t="shared" si="451"/>
        <v>KGP9330239900840</v>
      </c>
      <c r="C2935" s="10">
        <v>9330239900840</v>
      </c>
      <c r="D2935" s="10" t="str">
        <f t="shared" si="452"/>
        <v>9330239900</v>
      </c>
      <c r="E2935" s="3" t="s">
        <v>6</v>
      </c>
      <c r="F2935" s="3" t="s">
        <v>66</v>
      </c>
      <c r="H2935" s="3">
        <v>3.2000000000000001E-2</v>
      </c>
      <c r="I2935" s="10">
        <f t="shared" si="453"/>
        <v>4.1750928399421072</v>
      </c>
      <c r="J2935" s="3">
        <v>0.22993500667001016</v>
      </c>
      <c r="K2935" s="3">
        <v>0</v>
      </c>
      <c r="L2935" s="3">
        <f t="shared" si="454"/>
        <v>0</v>
      </c>
      <c r="N2935" s="11">
        <f t="shared" si="455"/>
        <v>-0.19793500667001016</v>
      </c>
      <c r="O2935" s="3">
        <v>0.22993500667001016</v>
      </c>
      <c r="P2935" s="11">
        <f t="shared" si="456"/>
        <v>-25.824907160057894</v>
      </c>
      <c r="Q2935" s="12">
        <f t="shared" si="457"/>
        <v>-25.824907160057894</v>
      </c>
      <c r="R2935" s="13">
        <f t="shared" si="458"/>
        <v>10.604359305730044</v>
      </c>
      <c r="S2935" s="3" t="s">
        <v>31</v>
      </c>
      <c r="T2935" s="3" t="s">
        <v>35</v>
      </c>
      <c r="U2935" s="10">
        <v>0</v>
      </c>
      <c r="V2935" s="3">
        <v>0</v>
      </c>
      <c r="W2935" s="3">
        <f t="shared" si="459"/>
        <v>0</v>
      </c>
      <c r="AA2935" s="3">
        <v>48</v>
      </c>
    </row>
    <row r="2936" spans="1:27" x14ac:dyDescent="0.3">
      <c r="A2936" s="3" t="str">
        <f t="shared" si="450"/>
        <v>East9410039913310</v>
      </c>
      <c r="B2936" s="3" t="str">
        <f t="shared" si="451"/>
        <v>KGP9410039913310</v>
      </c>
      <c r="C2936" s="10">
        <v>9410039913310</v>
      </c>
      <c r="D2936" s="10" t="str">
        <f t="shared" si="452"/>
        <v>9410039913</v>
      </c>
      <c r="E2936" s="3" t="s">
        <v>6</v>
      </c>
      <c r="F2936" s="3" t="s">
        <v>66</v>
      </c>
      <c r="H2936" s="3">
        <v>1.0300000000000002</v>
      </c>
      <c r="I2936" s="10">
        <f t="shared" si="453"/>
        <v>147.35178777083314</v>
      </c>
      <c r="J2936" s="3">
        <v>0.20970224024737869</v>
      </c>
      <c r="K2936" s="3">
        <v>0</v>
      </c>
      <c r="L2936" s="3">
        <f t="shared" si="454"/>
        <v>0</v>
      </c>
      <c r="N2936" s="11">
        <f t="shared" si="455"/>
        <v>0.82029775975262154</v>
      </c>
      <c r="O2936" s="3">
        <v>0.20970224024737869</v>
      </c>
      <c r="P2936" s="11">
        <f t="shared" si="456"/>
        <v>117.35178777083313</v>
      </c>
      <c r="Q2936" s="12">
        <f t="shared" si="457"/>
        <v>117.35178777083313</v>
      </c>
      <c r="R2936" s="13">
        <f t="shared" si="458"/>
        <v>1.878232723294978</v>
      </c>
      <c r="S2936" s="3" t="s">
        <v>31</v>
      </c>
      <c r="T2936" s="3" t="s">
        <v>32</v>
      </c>
      <c r="U2936" s="10">
        <v>9410039913999</v>
      </c>
      <c r="V2936" s="3">
        <v>0.1</v>
      </c>
      <c r="W2936" s="3">
        <f t="shared" si="459"/>
        <v>0</v>
      </c>
      <c r="AA2936" s="3">
        <v>48</v>
      </c>
    </row>
    <row r="2937" spans="1:27" x14ac:dyDescent="0.3">
      <c r="A2937" s="3" t="str">
        <f t="shared" si="450"/>
        <v>East9410039913840</v>
      </c>
      <c r="B2937" s="3" t="str">
        <f t="shared" si="451"/>
        <v>KGP9410039913840</v>
      </c>
      <c r="C2937" s="10">
        <v>9410039913840</v>
      </c>
      <c r="D2937" s="10" t="str">
        <f t="shared" si="452"/>
        <v>9410039913</v>
      </c>
      <c r="E2937" s="3" t="s">
        <v>6</v>
      </c>
      <c r="F2937" s="3" t="s">
        <v>66</v>
      </c>
      <c r="H2937" s="3">
        <v>0.80800000000000027</v>
      </c>
      <c r="I2937" s="10">
        <f t="shared" si="453"/>
        <v>119.68580308736291</v>
      </c>
      <c r="J2937" s="3">
        <v>0.20253028658968325</v>
      </c>
      <c r="K2937" s="3">
        <v>0</v>
      </c>
      <c r="L2937" s="3">
        <f t="shared" si="454"/>
        <v>0</v>
      </c>
      <c r="N2937" s="11">
        <f t="shared" si="455"/>
        <v>0.60546971341031708</v>
      </c>
      <c r="O2937" s="3">
        <v>0.20253028658968325</v>
      </c>
      <c r="P2937" s="11">
        <f t="shared" si="456"/>
        <v>89.685803087362927</v>
      </c>
      <c r="Q2937" s="12">
        <f t="shared" si="457"/>
        <v>89.685803087362927</v>
      </c>
      <c r="R2937" s="13">
        <f t="shared" si="458"/>
        <v>12.253991710375868</v>
      </c>
      <c r="S2937" s="3" t="s">
        <v>31</v>
      </c>
      <c r="T2937" s="3" t="s">
        <v>32</v>
      </c>
      <c r="U2937" s="10">
        <v>0</v>
      </c>
      <c r="V2937" s="3">
        <v>0</v>
      </c>
      <c r="W2937" s="3">
        <f t="shared" si="459"/>
        <v>0</v>
      </c>
      <c r="AA2937" s="3">
        <v>48</v>
      </c>
    </row>
    <row r="2938" spans="1:27" x14ac:dyDescent="0.3">
      <c r="A2938" s="3" t="str">
        <f t="shared" si="450"/>
        <v>East9410019906190</v>
      </c>
      <c r="B2938" s="3" t="str">
        <f t="shared" si="451"/>
        <v>KGP9410019906190</v>
      </c>
      <c r="C2938" s="10">
        <v>9410019906190</v>
      </c>
      <c r="D2938" s="10" t="str">
        <f t="shared" si="452"/>
        <v>9410019906</v>
      </c>
      <c r="E2938" s="3" t="s">
        <v>6</v>
      </c>
      <c r="F2938" s="3" t="s">
        <v>66</v>
      </c>
      <c r="H2938" s="3">
        <v>15.314400000000001</v>
      </c>
      <c r="I2938" s="10">
        <f t="shared" si="453"/>
        <v>2405.4209905466141</v>
      </c>
      <c r="J2938" s="3">
        <v>0.19099858270364453</v>
      </c>
      <c r="K2938" s="3">
        <v>0</v>
      </c>
      <c r="L2938" s="3">
        <f t="shared" si="454"/>
        <v>0</v>
      </c>
      <c r="N2938" s="11">
        <f t="shared" si="455"/>
        <v>15.123401417296357</v>
      </c>
      <c r="O2938" s="3">
        <v>0.19099858270364453</v>
      </c>
      <c r="P2938" s="11">
        <f t="shared" si="456"/>
        <v>2375.4209905466141</v>
      </c>
      <c r="Q2938" s="12">
        <f t="shared" si="457"/>
        <v>2375.4209905466141</v>
      </c>
      <c r="R2938" s="13">
        <f t="shared" si="458"/>
        <v>882.03007642161788</v>
      </c>
      <c r="S2938" s="3" t="s">
        <v>31</v>
      </c>
      <c r="T2938" s="3" t="s">
        <v>32</v>
      </c>
      <c r="U2938" s="10">
        <v>0</v>
      </c>
      <c r="V2938" s="3">
        <v>0</v>
      </c>
      <c r="W2938" s="3">
        <f t="shared" si="459"/>
        <v>0</v>
      </c>
      <c r="AA2938" s="3">
        <v>48</v>
      </c>
    </row>
    <row r="2939" spans="1:27" x14ac:dyDescent="0.3">
      <c r="A2939" s="3" t="str">
        <f t="shared" si="450"/>
        <v>East9320099901840</v>
      </c>
      <c r="B2939" s="3" t="str">
        <f t="shared" si="451"/>
        <v>KGP9320099901840</v>
      </c>
      <c r="C2939" s="10">
        <v>9320099901840</v>
      </c>
      <c r="D2939" s="10" t="str">
        <f t="shared" si="452"/>
        <v>9320099901</v>
      </c>
      <c r="E2939" s="3" t="s">
        <v>6</v>
      </c>
      <c r="F2939" s="3" t="s">
        <v>66</v>
      </c>
      <c r="H2939" s="3">
        <v>0</v>
      </c>
      <c r="I2939" s="10">
        <f t="shared" si="453"/>
        <v>0</v>
      </c>
      <c r="J2939" s="3">
        <v>0.17041208800000002</v>
      </c>
      <c r="K2939" s="3">
        <v>0</v>
      </c>
      <c r="L2939" s="3">
        <f t="shared" si="454"/>
        <v>0</v>
      </c>
      <c r="N2939" s="11">
        <f t="shared" si="455"/>
        <v>-0.17041208800000002</v>
      </c>
      <c r="O2939" s="3">
        <v>0.17041208800000002</v>
      </c>
      <c r="P2939" s="11">
        <f t="shared" si="456"/>
        <v>-30</v>
      </c>
      <c r="Q2939" s="12">
        <f t="shared" si="457"/>
        <v>-30</v>
      </c>
      <c r="R2939" s="13">
        <f t="shared" si="458"/>
        <v>-29.999999999999996</v>
      </c>
      <c r="S2939" s="3" t="s">
        <v>31</v>
      </c>
      <c r="T2939" s="3" t="s">
        <v>28</v>
      </c>
      <c r="U2939" s="10">
        <v>0</v>
      </c>
      <c r="V2939" s="3">
        <v>0</v>
      </c>
      <c r="W2939" s="3">
        <f t="shared" si="459"/>
        <v>0</v>
      </c>
      <c r="AA2939" s="3">
        <v>48</v>
      </c>
    </row>
    <row r="2940" spans="1:27" x14ac:dyDescent="0.3">
      <c r="A2940" s="3" t="str">
        <f t="shared" si="450"/>
        <v>East9320029904219</v>
      </c>
      <c r="B2940" s="3" t="str">
        <f t="shared" si="451"/>
        <v>KGP9320029904219</v>
      </c>
      <c r="C2940" s="10">
        <v>9320029904219</v>
      </c>
      <c r="D2940" s="10" t="str">
        <f t="shared" si="452"/>
        <v>9320029904</v>
      </c>
      <c r="E2940" s="3" t="s">
        <v>6</v>
      </c>
      <c r="F2940" s="3" t="s">
        <v>66</v>
      </c>
      <c r="H2940" s="3">
        <v>39.039000000000009</v>
      </c>
      <c r="I2940" s="10">
        <f t="shared" si="453"/>
        <v>7256.3969182143519</v>
      </c>
      <c r="J2940" s="3">
        <v>0.16139828253609378</v>
      </c>
      <c r="K2940" s="3">
        <v>0</v>
      </c>
      <c r="L2940" s="3">
        <f t="shared" si="454"/>
        <v>0</v>
      </c>
      <c r="N2940" s="11">
        <f t="shared" si="455"/>
        <v>38.877601717463918</v>
      </c>
      <c r="O2940" s="3">
        <v>0.16139828253609378</v>
      </c>
      <c r="P2940" s="11">
        <f t="shared" si="456"/>
        <v>7226.3969182143528</v>
      </c>
      <c r="Q2940" s="12">
        <f t="shared" si="457"/>
        <v>7226.3969182143528</v>
      </c>
      <c r="R2940" s="13">
        <f t="shared" si="458"/>
        <v>6517.2984386221515</v>
      </c>
      <c r="S2940" s="3" t="s">
        <v>31</v>
      </c>
      <c r="T2940" s="3" t="s">
        <v>28</v>
      </c>
      <c r="U2940" s="10">
        <v>9320029900999</v>
      </c>
      <c r="V2940" s="3">
        <v>0.1</v>
      </c>
      <c r="W2940" s="3">
        <f t="shared" si="459"/>
        <v>0</v>
      </c>
      <c r="AA2940" s="3">
        <v>48</v>
      </c>
    </row>
    <row r="2941" spans="1:27" x14ac:dyDescent="0.3">
      <c r="A2941" s="3" t="str">
        <f t="shared" si="450"/>
        <v>East9320089900210</v>
      </c>
      <c r="B2941" s="3" t="str">
        <f t="shared" si="451"/>
        <v>KGP9320089900210</v>
      </c>
      <c r="C2941" s="10">
        <v>9320089900210</v>
      </c>
      <c r="D2941" s="10" t="str">
        <f t="shared" si="452"/>
        <v>9320089900</v>
      </c>
      <c r="E2941" s="3" t="s">
        <v>6</v>
      </c>
      <c r="F2941" s="3" t="s">
        <v>66</v>
      </c>
      <c r="H2941" s="3">
        <v>5.3999999999999999E-2</v>
      </c>
      <c r="I2941" s="10">
        <f t="shared" si="453"/>
        <v>11.223263569135192</v>
      </c>
      <c r="J2941" s="3">
        <v>0.14434304157795244</v>
      </c>
      <c r="K2941" s="3">
        <v>0</v>
      </c>
      <c r="L2941" s="3">
        <f t="shared" si="454"/>
        <v>0</v>
      </c>
      <c r="N2941" s="11">
        <f t="shared" si="455"/>
        <v>-9.0343041577952449E-2</v>
      </c>
      <c r="O2941" s="3">
        <v>0.14434304157795244</v>
      </c>
      <c r="P2941" s="11">
        <f t="shared" si="456"/>
        <v>-18.776736430864808</v>
      </c>
      <c r="Q2941" s="12">
        <f t="shared" si="457"/>
        <v>-18.776736430864808</v>
      </c>
      <c r="R2941" s="13">
        <f t="shared" si="458"/>
        <v>36.265259284265305</v>
      </c>
      <c r="S2941" s="3" t="s">
        <v>31</v>
      </c>
      <c r="T2941" s="3" t="s">
        <v>28</v>
      </c>
      <c r="U2941" s="10">
        <v>0</v>
      </c>
      <c r="V2941" s="3">
        <v>0</v>
      </c>
      <c r="W2941" s="3">
        <f t="shared" si="459"/>
        <v>0</v>
      </c>
      <c r="AA2941" s="3">
        <v>48</v>
      </c>
    </row>
    <row r="2942" spans="1:27" x14ac:dyDescent="0.3">
      <c r="A2942" s="3" t="str">
        <f t="shared" si="450"/>
        <v>East9432019906190</v>
      </c>
      <c r="B2942" s="3" t="str">
        <f t="shared" si="451"/>
        <v>KGP9432019906190</v>
      </c>
      <c r="C2942" s="10">
        <v>9432019906190</v>
      </c>
      <c r="D2942" s="10" t="str">
        <f t="shared" si="452"/>
        <v>9432019906</v>
      </c>
      <c r="E2942" s="3" t="s">
        <v>6</v>
      </c>
      <c r="F2942" s="3" t="s">
        <v>66</v>
      </c>
      <c r="H2942" s="3">
        <v>0.55709999999999993</v>
      </c>
      <c r="I2942" s="10">
        <f t="shared" si="453"/>
        <v>138.18219113285889</v>
      </c>
      <c r="J2942" s="3">
        <v>0.12094901566534609</v>
      </c>
      <c r="K2942" s="3">
        <v>0</v>
      </c>
      <c r="L2942" s="3">
        <f t="shared" si="454"/>
        <v>0</v>
      </c>
      <c r="N2942" s="11">
        <f t="shared" si="455"/>
        <v>0.43615098433465382</v>
      </c>
      <c r="O2942" s="3">
        <v>0.12094901566534609</v>
      </c>
      <c r="P2942" s="11">
        <f t="shared" si="456"/>
        <v>108.18219113285889</v>
      </c>
      <c r="Q2942" s="12">
        <f t="shared" si="457"/>
        <v>108.18219113285888</v>
      </c>
      <c r="R2942" s="13">
        <f t="shared" si="458"/>
        <v>67.745858290033382</v>
      </c>
      <c r="S2942" s="3" t="s">
        <v>31</v>
      </c>
      <c r="T2942" s="3" t="s">
        <v>35</v>
      </c>
      <c r="U2942" s="10">
        <v>0</v>
      </c>
      <c r="V2942" s="3">
        <v>0</v>
      </c>
      <c r="W2942" s="3">
        <f t="shared" si="459"/>
        <v>0</v>
      </c>
      <c r="AA2942" s="3">
        <v>48</v>
      </c>
    </row>
    <row r="2943" spans="1:27" x14ac:dyDescent="0.3">
      <c r="A2943" s="3" t="str">
        <f t="shared" si="450"/>
        <v>East9310029902219</v>
      </c>
      <c r="B2943" s="3" t="str">
        <f t="shared" si="451"/>
        <v>KGP9310029902219</v>
      </c>
      <c r="C2943" s="10">
        <v>9310029902219</v>
      </c>
      <c r="D2943" s="10" t="str">
        <f t="shared" si="452"/>
        <v>9310029902</v>
      </c>
      <c r="E2943" s="3" t="s">
        <v>6</v>
      </c>
      <c r="F2943" s="3" t="s">
        <v>66</v>
      </c>
      <c r="H2943" s="3">
        <v>2.7494999999999998</v>
      </c>
      <c r="I2943" s="10">
        <f t="shared" si="453"/>
        <v>831.66513376525654</v>
      </c>
      <c r="J2943" s="3">
        <v>9.9180543527849732E-2</v>
      </c>
      <c r="K2943" s="3">
        <v>0</v>
      </c>
      <c r="L2943" s="3">
        <f t="shared" si="454"/>
        <v>0</v>
      </c>
      <c r="N2943" s="11">
        <f t="shared" si="455"/>
        <v>2.6503194564721499</v>
      </c>
      <c r="O2943" s="3">
        <v>9.9180543527849732E-2</v>
      </c>
      <c r="P2943" s="11">
        <f t="shared" si="456"/>
        <v>801.66513376525643</v>
      </c>
      <c r="Q2943" s="12">
        <f t="shared" si="457"/>
        <v>801.66513376525654</v>
      </c>
      <c r="R2943" s="13">
        <f t="shared" si="458"/>
        <v>448.67095814884334</v>
      </c>
      <c r="S2943" s="3" t="s">
        <v>31</v>
      </c>
      <c r="T2943" s="3" t="s">
        <v>32</v>
      </c>
      <c r="U2943" s="10">
        <v>9310029900999</v>
      </c>
      <c r="V2943" s="3">
        <v>0.1</v>
      </c>
      <c r="W2943" s="3">
        <f t="shared" si="459"/>
        <v>0</v>
      </c>
      <c r="AA2943" s="3">
        <v>48</v>
      </c>
    </row>
    <row r="2944" spans="1:27" x14ac:dyDescent="0.3">
      <c r="A2944" s="3" t="str">
        <f t="shared" si="450"/>
        <v>East9420039900210</v>
      </c>
      <c r="B2944" s="3" t="str">
        <f t="shared" si="451"/>
        <v>KGP9420039900210</v>
      </c>
      <c r="C2944" s="10">
        <v>9420039900210</v>
      </c>
      <c r="D2944" s="10" t="str">
        <f t="shared" si="452"/>
        <v>9420039900</v>
      </c>
      <c r="E2944" s="3" t="s">
        <v>6</v>
      </c>
      <c r="F2944" s="3" t="s">
        <v>66</v>
      </c>
      <c r="H2944" s="3">
        <v>6.6000000000000003E-2</v>
      </c>
      <c r="I2944" s="10">
        <f t="shared" si="453"/>
        <v>24.637165124023365</v>
      </c>
      <c r="J2944" s="3">
        <v>8.0366389153650186E-2</v>
      </c>
      <c r="K2944" s="3">
        <v>0</v>
      </c>
      <c r="L2944" s="3">
        <f t="shared" si="454"/>
        <v>0</v>
      </c>
      <c r="N2944" s="11">
        <f t="shared" si="455"/>
        <v>-1.4366389153650183E-2</v>
      </c>
      <c r="O2944" s="3">
        <v>8.0366389153650186E-2</v>
      </c>
      <c r="P2944" s="11">
        <f t="shared" si="456"/>
        <v>-5.3628348759766347</v>
      </c>
      <c r="Q2944" s="12">
        <f t="shared" si="457"/>
        <v>-5.3628348759766338</v>
      </c>
      <c r="R2944" s="13">
        <f t="shared" si="458"/>
        <v>66.549270263730406</v>
      </c>
      <c r="S2944" s="3" t="s">
        <v>31</v>
      </c>
      <c r="T2944" s="3" t="s">
        <v>28</v>
      </c>
      <c r="U2944" s="10">
        <v>0</v>
      </c>
      <c r="V2944" s="3">
        <v>0</v>
      </c>
      <c r="W2944" s="3">
        <f t="shared" si="459"/>
        <v>0</v>
      </c>
      <c r="AA2944" s="3">
        <v>48</v>
      </c>
    </row>
    <row r="2945" spans="1:27" x14ac:dyDescent="0.3">
      <c r="A2945" s="3" t="str">
        <f t="shared" si="450"/>
        <v>East9320099900840</v>
      </c>
      <c r="B2945" s="3" t="str">
        <f t="shared" si="451"/>
        <v>KGP9320099900840</v>
      </c>
      <c r="C2945" s="10">
        <v>9320099900840</v>
      </c>
      <c r="D2945" s="10" t="str">
        <f t="shared" si="452"/>
        <v>9320099900</v>
      </c>
      <c r="E2945" s="3" t="s">
        <v>6</v>
      </c>
      <c r="F2945" s="3" t="s">
        <v>66</v>
      </c>
      <c r="H2945" s="3">
        <v>0</v>
      </c>
      <c r="I2945" s="10">
        <f t="shared" si="453"/>
        <v>0</v>
      </c>
      <c r="J2945" s="3">
        <v>7.8071756000000006E-2</v>
      </c>
      <c r="K2945" s="3">
        <v>0</v>
      </c>
      <c r="L2945" s="3">
        <f t="shared" si="454"/>
        <v>0</v>
      </c>
      <c r="N2945" s="11">
        <f t="shared" si="455"/>
        <v>-7.8071756000000006E-2</v>
      </c>
      <c r="O2945" s="3">
        <v>7.8071756000000006E-2</v>
      </c>
      <c r="P2945" s="11">
        <f t="shared" si="456"/>
        <v>-30</v>
      </c>
      <c r="Q2945" s="12">
        <f t="shared" si="457"/>
        <v>-30.000000000000004</v>
      </c>
      <c r="R2945" s="13">
        <f t="shared" si="458"/>
        <v>-29.999999999999996</v>
      </c>
      <c r="S2945" s="3" t="s">
        <v>31</v>
      </c>
      <c r="T2945" s="3" t="s">
        <v>28</v>
      </c>
      <c r="U2945" s="10">
        <v>0</v>
      </c>
      <c r="V2945" s="3">
        <v>0</v>
      </c>
      <c r="W2945" s="3">
        <f t="shared" si="459"/>
        <v>0</v>
      </c>
      <c r="AA2945" s="3">
        <v>48</v>
      </c>
    </row>
    <row r="2946" spans="1:27" x14ac:dyDescent="0.3">
      <c r="A2946" s="3" t="str">
        <f t="shared" si="450"/>
        <v>East9320089900310</v>
      </c>
      <c r="B2946" s="3" t="str">
        <f t="shared" si="451"/>
        <v>KGP9320089900310</v>
      </c>
      <c r="C2946" s="10">
        <v>9320089900310</v>
      </c>
      <c r="D2946" s="10" t="str">
        <f t="shared" si="452"/>
        <v>9320089900</v>
      </c>
      <c r="E2946" s="3" t="s">
        <v>6</v>
      </c>
      <c r="F2946" s="3" t="s">
        <v>66</v>
      </c>
      <c r="H2946" s="3">
        <v>0</v>
      </c>
      <c r="I2946" s="10">
        <f t="shared" si="453"/>
        <v>0</v>
      </c>
      <c r="J2946" s="3">
        <v>7.734350999999999E-2</v>
      </c>
      <c r="K2946" s="3">
        <v>0</v>
      </c>
      <c r="L2946" s="3">
        <f t="shared" si="454"/>
        <v>0</v>
      </c>
      <c r="N2946" s="11">
        <f t="shared" si="455"/>
        <v>-7.734350999999999E-2</v>
      </c>
      <c r="O2946" s="3">
        <v>7.734350999999999E-2</v>
      </c>
      <c r="P2946" s="11">
        <f t="shared" si="456"/>
        <v>-30</v>
      </c>
      <c r="Q2946" s="12">
        <f t="shared" si="457"/>
        <v>-30</v>
      </c>
      <c r="R2946" s="13">
        <f t="shared" si="458"/>
        <v>-29.999999999999996</v>
      </c>
      <c r="S2946" s="3" t="s">
        <v>31</v>
      </c>
      <c r="T2946" s="3" t="s">
        <v>28</v>
      </c>
      <c r="U2946" s="10">
        <v>9320089900999</v>
      </c>
      <c r="V2946" s="3">
        <v>0.1</v>
      </c>
      <c r="W2946" s="3">
        <f t="shared" si="459"/>
        <v>0</v>
      </c>
      <c r="AA2946" s="3">
        <v>48</v>
      </c>
    </row>
    <row r="2947" spans="1:27" x14ac:dyDescent="0.3">
      <c r="A2947" s="3" t="str">
        <f t="shared" si="450"/>
        <v>East9410039906190</v>
      </c>
      <c r="B2947" s="3" t="str">
        <f t="shared" si="451"/>
        <v>KGP9410039906190</v>
      </c>
      <c r="C2947" s="10">
        <v>9410039906190</v>
      </c>
      <c r="D2947" s="10" t="str">
        <f t="shared" si="452"/>
        <v>9410039906</v>
      </c>
      <c r="E2947" s="3" t="s">
        <v>6</v>
      </c>
      <c r="F2947" s="3" t="s">
        <v>66</v>
      </c>
      <c r="H2947" s="3">
        <v>7.1109</v>
      </c>
      <c r="I2947" s="10">
        <f t="shared" si="453"/>
        <v>3365.2341764567918</v>
      </c>
      <c r="J2947" s="3">
        <v>6.3391428E-2</v>
      </c>
      <c r="K2947" s="3">
        <v>0</v>
      </c>
      <c r="L2947" s="3">
        <f t="shared" si="454"/>
        <v>0</v>
      </c>
      <c r="N2947" s="11">
        <f t="shared" si="455"/>
        <v>7.0475085719999999</v>
      </c>
      <c r="O2947" s="3">
        <v>6.3391428E-2</v>
      </c>
      <c r="P2947" s="11">
        <f t="shared" si="456"/>
        <v>3335.2341764567918</v>
      </c>
      <c r="Q2947" s="12">
        <f t="shared" si="457"/>
        <v>3335.2341764567918</v>
      </c>
      <c r="R2947" s="13">
        <f t="shared" si="458"/>
        <v>6783.5237464598522</v>
      </c>
      <c r="S2947" s="3" t="s">
        <v>31</v>
      </c>
      <c r="T2947" s="3" t="s">
        <v>32</v>
      </c>
      <c r="U2947" s="10">
        <v>0</v>
      </c>
      <c r="V2947" s="3">
        <v>0</v>
      </c>
      <c r="W2947" s="3">
        <f t="shared" si="459"/>
        <v>0</v>
      </c>
      <c r="AA2947" s="3">
        <v>48</v>
      </c>
    </row>
    <row r="2948" spans="1:27" x14ac:dyDescent="0.3">
      <c r="A2948" s="3" t="str">
        <f t="shared" ref="A2948:A2983" si="460">_xlfn.CONCAT(F2948,C2948)</f>
        <v>East9420139900310</v>
      </c>
      <c r="B2948" s="3" t="str">
        <f t="shared" ref="B2948:B2983" si="461">_xlfn.CONCAT(E2948,C2948)</f>
        <v>KGP9420139900310</v>
      </c>
      <c r="C2948" s="10">
        <v>9420139900310</v>
      </c>
      <c r="D2948" s="10" t="str">
        <f t="shared" ref="D2948:D2983" si="462">LEFT(C2948,10)</f>
        <v>9420139900</v>
      </c>
      <c r="E2948" s="3" t="s">
        <v>6</v>
      </c>
      <c r="F2948" s="3" t="s">
        <v>66</v>
      </c>
      <c r="H2948" s="3">
        <v>0</v>
      </c>
      <c r="I2948" s="10">
        <f t="shared" ref="I2948:I2983" si="463">IFERROR(H2948/J2948*30,0)</f>
        <v>0</v>
      </c>
      <c r="J2948" s="3">
        <v>5.9154810000000002E-2</v>
      </c>
      <c r="K2948" s="3">
        <v>0</v>
      </c>
      <c r="L2948" s="3">
        <f t="shared" ref="L2948:L2983" si="464">M2948*G2948</f>
        <v>0</v>
      </c>
      <c r="N2948" s="11">
        <f t="shared" ref="N2948:N2983" si="465">H2948-J2948+L2948</f>
        <v>-5.9154810000000002E-2</v>
      </c>
      <c r="O2948" s="3">
        <v>5.9154810000000002E-2</v>
      </c>
      <c r="P2948" s="11">
        <f t="shared" ref="P2948:P2983" si="466">IF(O2948=0,9999,N2948/O2948*30)</f>
        <v>-30</v>
      </c>
      <c r="Q2948" s="12">
        <f t="shared" ref="Q2948:Q2983" si="467">IF(SUMIF($A:$A,$A2948,$O:$O)=0,9999,SUMIF($A:$A,$A2948,$N:$N)*30/SUMIF($A:$A,$A2948,$O:$O))</f>
        <v>-30</v>
      </c>
      <c r="R2948" s="13">
        <f t="shared" ref="R2948:R2983" si="468">IF(SUMIF($C:$C,$C2948,$O:$O)=0,9999,SUMIF($C:$C,$C2948,$N:$N)*30/SUMIF($C:$C,$C2948,$O:$O))</f>
        <v>-29.999999999999996</v>
      </c>
      <c r="S2948" s="3" t="s">
        <v>31</v>
      </c>
      <c r="T2948" s="3" t="s">
        <v>28</v>
      </c>
      <c r="U2948" s="10">
        <v>9420139900999</v>
      </c>
      <c r="V2948" s="3">
        <v>0.1</v>
      </c>
      <c r="W2948" s="3">
        <f t="shared" ref="W2948:W2983" si="469">IFERROR(K2948*V2948,0)</f>
        <v>0</v>
      </c>
      <c r="AA2948" s="3">
        <v>48</v>
      </c>
    </row>
    <row r="2949" spans="1:27" x14ac:dyDescent="0.3">
      <c r="A2949" s="3" t="str">
        <f t="shared" si="460"/>
        <v>East9410039913210</v>
      </c>
      <c r="B2949" s="3" t="str">
        <f t="shared" si="461"/>
        <v>KGP9410039913210</v>
      </c>
      <c r="C2949" s="10">
        <v>9410039913210</v>
      </c>
      <c r="D2949" s="10" t="str">
        <f t="shared" si="462"/>
        <v>9410039913</v>
      </c>
      <c r="E2949" s="3" t="s">
        <v>6</v>
      </c>
      <c r="F2949" s="3" t="s">
        <v>66</v>
      </c>
      <c r="H2949" s="3">
        <v>0.4910000000000001</v>
      </c>
      <c r="I2949" s="10">
        <f t="shared" si="463"/>
        <v>249.89485694429655</v>
      </c>
      <c r="J2949" s="3">
        <v>5.8944790541581374E-2</v>
      </c>
      <c r="K2949" s="3">
        <v>0</v>
      </c>
      <c r="L2949" s="3">
        <f t="shared" si="464"/>
        <v>0</v>
      </c>
      <c r="N2949" s="11">
        <f t="shared" si="465"/>
        <v>0.43205520945841874</v>
      </c>
      <c r="O2949" s="3">
        <v>5.8944790541581374E-2</v>
      </c>
      <c r="P2949" s="11">
        <f t="shared" si="466"/>
        <v>219.89485694429658</v>
      </c>
      <c r="Q2949" s="12">
        <f t="shared" si="467"/>
        <v>219.89485694429658</v>
      </c>
      <c r="R2949" s="13">
        <f t="shared" si="468"/>
        <v>78.02259951781717</v>
      </c>
      <c r="S2949" s="3" t="s">
        <v>31</v>
      </c>
      <c r="T2949" s="3" t="s">
        <v>32</v>
      </c>
      <c r="U2949" s="10">
        <v>0</v>
      </c>
      <c r="V2949" s="3">
        <v>0</v>
      </c>
      <c r="W2949" s="3">
        <f t="shared" si="469"/>
        <v>0</v>
      </c>
      <c r="AA2949" s="3">
        <v>48</v>
      </c>
    </row>
    <row r="2950" spans="1:27" x14ac:dyDescent="0.3">
      <c r="A2950" s="3" t="str">
        <f t="shared" si="460"/>
        <v>East9330239900210</v>
      </c>
      <c r="B2950" s="3" t="str">
        <f t="shared" si="461"/>
        <v>KGP9330239900210</v>
      </c>
      <c r="C2950" s="10">
        <v>9330239900210</v>
      </c>
      <c r="D2950" s="10" t="str">
        <f t="shared" si="462"/>
        <v>9330239900</v>
      </c>
      <c r="E2950" s="3" t="s">
        <v>6</v>
      </c>
      <c r="F2950" s="3" t="s">
        <v>66</v>
      </c>
      <c r="H2950" s="3">
        <v>2.4E-2</v>
      </c>
      <c r="I2950" s="10">
        <f t="shared" si="463"/>
        <v>12.384068409211689</v>
      </c>
      <c r="J2950" s="3">
        <v>5.813921372272457E-2</v>
      </c>
      <c r="K2950" s="3">
        <v>0</v>
      </c>
      <c r="L2950" s="3">
        <f t="shared" si="464"/>
        <v>0</v>
      </c>
      <c r="N2950" s="11">
        <f t="shared" si="465"/>
        <v>-3.4139213722724569E-2</v>
      </c>
      <c r="O2950" s="3">
        <v>5.813921372272457E-2</v>
      </c>
      <c r="P2950" s="11">
        <f t="shared" si="466"/>
        <v>-17.615931590788314</v>
      </c>
      <c r="Q2950" s="12">
        <f t="shared" si="467"/>
        <v>-17.615931590788314</v>
      </c>
      <c r="R2950" s="13">
        <f t="shared" si="468"/>
        <v>66.324218176236982</v>
      </c>
      <c r="S2950" s="3" t="s">
        <v>31</v>
      </c>
      <c r="T2950" s="3" t="s">
        <v>35</v>
      </c>
      <c r="U2950" s="10">
        <v>0</v>
      </c>
      <c r="V2950" s="3">
        <v>0</v>
      </c>
      <c r="W2950" s="3">
        <f t="shared" si="469"/>
        <v>0</v>
      </c>
      <c r="AA2950" s="3">
        <v>48</v>
      </c>
    </row>
    <row r="2951" spans="1:27" x14ac:dyDescent="0.3">
      <c r="A2951" s="3" t="str">
        <f t="shared" si="460"/>
        <v>East9420139900840</v>
      </c>
      <c r="B2951" s="3" t="str">
        <f t="shared" si="461"/>
        <v>KGP9420139900840</v>
      </c>
      <c r="C2951" s="10">
        <v>9420139900840</v>
      </c>
      <c r="D2951" s="10" t="str">
        <f t="shared" si="462"/>
        <v>9420139900</v>
      </c>
      <c r="E2951" s="3" t="s">
        <v>6</v>
      </c>
      <c r="F2951" s="3" t="s">
        <v>66</v>
      </c>
      <c r="H2951" s="3">
        <v>0</v>
      </c>
      <c r="I2951" s="10">
        <f t="shared" si="463"/>
        <v>0</v>
      </c>
      <c r="J2951" s="3">
        <v>5.4866323999999994E-2</v>
      </c>
      <c r="K2951" s="3">
        <v>0</v>
      </c>
      <c r="L2951" s="3">
        <f t="shared" si="464"/>
        <v>0</v>
      </c>
      <c r="N2951" s="11">
        <f t="shared" si="465"/>
        <v>-5.4866323999999994E-2</v>
      </c>
      <c r="O2951" s="3">
        <v>5.4866323999999994E-2</v>
      </c>
      <c r="P2951" s="11">
        <f t="shared" si="466"/>
        <v>-30</v>
      </c>
      <c r="Q2951" s="12">
        <f t="shared" si="467"/>
        <v>-30</v>
      </c>
      <c r="R2951" s="13">
        <f t="shared" si="468"/>
        <v>-30.000000000000004</v>
      </c>
      <c r="S2951" s="3" t="s">
        <v>31</v>
      </c>
      <c r="T2951" s="3" t="s">
        <v>28</v>
      </c>
      <c r="U2951" s="10">
        <v>0</v>
      </c>
      <c r="V2951" s="3">
        <v>0</v>
      </c>
      <c r="W2951" s="3">
        <f t="shared" si="469"/>
        <v>0</v>
      </c>
      <c r="AA2951" s="3">
        <v>48</v>
      </c>
    </row>
    <row r="2952" spans="1:27" x14ac:dyDescent="0.3">
      <c r="A2952" s="3" t="str">
        <f t="shared" si="460"/>
        <v>East9320089900840</v>
      </c>
      <c r="B2952" s="3" t="str">
        <f t="shared" si="461"/>
        <v>KGP9320089900840</v>
      </c>
      <c r="C2952" s="10">
        <v>9320089900840</v>
      </c>
      <c r="D2952" s="10" t="str">
        <f t="shared" si="462"/>
        <v>9320089900</v>
      </c>
      <c r="E2952" s="3" t="s">
        <v>6</v>
      </c>
      <c r="F2952" s="3" t="s">
        <v>66</v>
      </c>
      <c r="H2952" s="3">
        <v>0</v>
      </c>
      <c r="I2952" s="10">
        <f t="shared" si="463"/>
        <v>0</v>
      </c>
      <c r="J2952" s="3">
        <v>4.2651495999999997E-2</v>
      </c>
      <c r="K2952" s="3">
        <v>0</v>
      </c>
      <c r="L2952" s="3">
        <f t="shared" si="464"/>
        <v>0</v>
      </c>
      <c r="N2952" s="11">
        <f t="shared" si="465"/>
        <v>-4.2651495999999997E-2</v>
      </c>
      <c r="O2952" s="3">
        <v>4.2651495999999997E-2</v>
      </c>
      <c r="P2952" s="11">
        <f t="shared" si="466"/>
        <v>-30</v>
      </c>
      <c r="Q2952" s="12">
        <f t="shared" si="467"/>
        <v>-30.000000000000004</v>
      </c>
      <c r="R2952" s="13">
        <f t="shared" si="468"/>
        <v>-29.999999999999996</v>
      </c>
      <c r="S2952" s="3" t="s">
        <v>31</v>
      </c>
      <c r="T2952" s="3" t="s">
        <v>28</v>
      </c>
      <c r="U2952" s="10">
        <v>0</v>
      </c>
      <c r="V2952" s="3">
        <v>0</v>
      </c>
      <c r="W2952" s="3">
        <f t="shared" si="469"/>
        <v>0</v>
      </c>
      <c r="AA2952" s="3">
        <v>48</v>
      </c>
    </row>
    <row r="2953" spans="1:27" x14ac:dyDescent="0.3">
      <c r="A2953" s="3" t="str">
        <f t="shared" si="460"/>
        <v>East9310029902297</v>
      </c>
      <c r="B2953" s="3" t="str">
        <f t="shared" si="461"/>
        <v>KGP9310029902297</v>
      </c>
      <c r="C2953" s="10">
        <v>9310029902297</v>
      </c>
      <c r="D2953" s="10" t="str">
        <f t="shared" si="462"/>
        <v>9310029902</v>
      </c>
      <c r="E2953" s="3" t="s">
        <v>6</v>
      </c>
      <c r="F2953" s="3" t="s">
        <v>66</v>
      </c>
      <c r="H2953" s="3">
        <v>1.9109999999999996</v>
      </c>
      <c r="I2953" s="10">
        <f t="shared" si="463"/>
        <v>1806.8008342453918</v>
      </c>
      <c r="J2953" s="3">
        <v>3.1730115967067173E-2</v>
      </c>
      <c r="K2953" s="3">
        <v>0</v>
      </c>
      <c r="L2953" s="3">
        <f t="shared" si="464"/>
        <v>0</v>
      </c>
      <c r="N2953" s="11">
        <f t="shared" si="465"/>
        <v>1.8792698840329325</v>
      </c>
      <c r="O2953" s="3">
        <v>3.1730115967067173E-2</v>
      </c>
      <c r="P2953" s="11">
        <f t="shared" si="466"/>
        <v>1776.8008342453918</v>
      </c>
      <c r="Q2953" s="12">
        <f t="shared" si="467"/>
        <v>1776.8008342453916</v>
      </c>
      <c r="R2953" s="13">
        <f t="shared" si="468"/>
        <v>963.61422022948886</v>
      </c>
      <c r="S2953" s="3" t="s">
        <v>31</v>
      </c>
      <c r="T2953" s="3" t="s">
        <v>32</v>
      </c>
      <c r="U2953" s="10">
        <v>9310029900999</v>
      </c>
      <c r="V2953" s="3">
        <v>0.1</v>
      </c>
      <c r="W2953" s="3">
        <f t="shared" si="469"/>
        <v>0</v>
      </c>
      <c r="AA2953" s="3">
        <v>48</v>
      </c>
    </row>
    <row r="2954" spans="1:27" x14ac:dyDescent="0.3">
      <c r="A2954" s="3" t="str">
        <f t="shared" si="460"/>
        <v>East9420049902295</v>
      </c>
      <c r="B2954" s="3" t="str">
        <f t="shared" si="461"/>
        <v>KGP9420049902295</v>
      </c>
      <c r="C2954" s="10">
        <v>9420049902295</v>
      </c>
      <c r="D2954" s="10" t="str">
        <f t="shared" si="462"/>
        <v>9420049902</v>
      </c>
      <c r="E2954" s="3" t="s">
        <v>6</v>
      </c>
      <c r="F2954" s="3" t="s">
        <v>66</v>
      </c>
      <c r="H2954" s="3">
        <v>2.3940000000000001</v>
      </c>
      <c r="I2954" s="10">
        <f t="shared" si="463"/>
        <v>2624.4215541824656</v>
      </c>
      <c r="J2954" s="3">
        <v>2.7366030386979E-2</v>
      </c>
      <c r="K2954" s="3">
        <v>0</v>
      </c>
      <c r="L2954" s="3">
        <f t="shared" si="464"/>
        <v>0</v>
      </c>
      <c r="N2954" s="11">
        <f t="shared" si="465"/>
        <v>2.3666339696130212</v>
      </c>
      <c r="O2954" s="3">
        <v>2.7366030386979E-2</v>
      </c>
      <c r="P2954" s="11">
        <f t="shared" si="466"/>
        <v>2594.4215541824656</v>
      </c>
      <c r="Q2954" s="12">
        <f t="shared" si="467"/>
        <v>2594.4215541824656</v>
      </c>
      <c r="R2954" s="13">
        <f t="shared" si="468"/>
        <v>15203.553616405226</v>
      </c>
      <c r="S2954" s="3" t="s">
        <v>31</v>
      </c>
      <c r="T2954" s="3" t="s">
        <v>28</v>
      </c>
      <c r="U2954" s="10">
        <v>9420049900999</v>
      </c>
      <c r="V2954" s="3">
        <v>0.1</v>
      </c>
      <c r="W2954" s="3">
        <f t="shared" si="469"/>
        <v>0</v>
      </c>
      <c r="AA2954" s="3">
        <v>48</v>
      </c>
    </row>
    <row r="2955" spans="1:27" x14ac:dyDescent="0.3">
      <c r="A2955" s="3" t="str">
        <f t="shared" si="460"/>
        <v>East9410039902195</v>
      </c>
      <c r="B2955" s="3" t="str">
        <f t="shared" si="461"/>
        <v>KGP9410039902195</v>
      </c>
      <c r="C2955" s="10">
        <v>9410039902195</v>
      </c>
      <c r="D2955" s="10" t="str">
        <f t="shared" si="462"/>
        <v>9410039902</v>
      </c>
      <c r="E2955" s="3" t="s">
        <v>6</v>
      </c>
      <c r="F2955" s="3" t="s">
        <v>66</v>
      </c>
      <c r="H2955" s="3">
        <v>1.0564</v>
      </c>
      <c r="I2955" s="10">
        <f t="shared" si="463"/>
        <v>1426.4222851079053</v>
      </c>
      <c r="J2955" s="3">
        <v>2.2217824504615465E-2</v>
      </c>
      <c r="K2955" s="3">
        <v>0</v>
      </c>
      <c r="L2955" s="3">
        <f t="shared" si="464"/>
        <v>0</v>
      </c>
      <c r="N2955" s="11">
        <f t="shared" si="465"/>
        <v>1.0341821754953846</v>
      </c>
      <c r="O2955" s="3">
        <v>2.2217824504615465E-2</v>
      </c>
      <c r="P2955" s="11">
        <f t="shared" si="466"/>
        <v>1396.4222851079053</v>
      </c>
      <c r="Q2955" s="12">
        <f t="shared" si="467"/>
        <v>1396.4222851079051</v>
      </c>
      <c r="R2955" s="13">
        <f t="shared" si="468"/>
        <v>1426.4457706037354</v>
      </c>
      <c r="S2955" s="3" t="s">
        <v>31</v>
      </c>
      <c r="T2955" s="3" t="s">
        <v>32</v>
      </c>
      <c r="U2955" s="10">
        <v>0</v>
      </c>
      <c r="V2955" s="3">
        <v>0</v>
      </c>
      <c r="W2955" s="3">
        <f t="shared" si="469"/>
        <v>0</v>
      </c>
      <c r="AA2955" s="3">
        <v>48</v>
      </c>
    </row>
    <row r="2956" spans="1:27" x14ac:dyDescent="0.3">
      <c r="A2956" s="3" t="str">
        <f t="shared" si="460"/>
        <v>East9420049902838</v>
      </c>
      <c r="B2956" s="3" t="str">
        <f t="shared" si="461"/>
        <v>KGP9420049902838</v>
      </c>
      <c r="C2956" s="10">
        <v>9420049902838</v>
      </c>
      <c r="D2956" s="10" t="str">
        <f t="shared" si="462"/>
        <v>9420049902</v>
      </c>
      <c r="E2956" s="3" t="s">
        <v>6</v>
      </c>
      <c r="F2956" s="3" t="s">
        <v>66</v>
      </c>
      <c r="H2956" s="3">
        <v>0</v>
      </c>
      <c r="I2956" s="10">
        <f t="shared" si="463"/>
        <v>0</v>
      </c>
      <c r="J2956" s="3">
        <v>1.0853922080187034E-2</v>
      </c>
      <c r="K2956" s="3">
        <v>0</v>
      </c>
      <c r="L2956" s="3">
        <f t="shared" si="464"/>
        <v>0</v>
      </c>
      <c r="N2956" s="11">
        <f t="shared" si="465"/>
        <v>-1.0853922080187034E-2</v>
      </c>
      <c r="O2956" s="3">
        <v>1.0853922080187034E-2</v>
      </c>
      <c r="P2956" s="11">
        <f t="shared" si="466"/>
        <v>-30</v>
      </c>
      <c r="Q2956" s="12">
        <f t="shared" si="467"/>
        <v>-30</v>
      </c>
      <c r="R2956" s="13">
        <f t="shared" si="468"/>
        <v>-30</v>
      </c>
      <c r="S2956" s="3" t="s">
        <v>31</v>
      </c>
      <c r="T2956" s="3" t="s">
        <v>28</v>
      </c>
      <c r="U2956" s="10">
        <v>0</v>
      </c>
      <c r="V2956" s="3">
        <v>0</v>
      </c>
      <c r="W2956" s="3">
        <f t="shared" si="469"/>
        <v>0</v>
      </c>
      <c r="AA2956" s="3">
        <v>48</v>
      </c>
    </row>
    <row r="2957" spans="1:27" x14ac:dyDescent="0.3">
      <c r="A2957" s="3" t="str">
        <f t="shared" si="460"/>
        <v>East9410019906836</v>
      </c>
      <c r="B2957" s="3" t="str">
        <f t="shared" si="461"/>
        <v>KGP9410019906836</v>
      </c>
      <c r="C2957" s="10">
        <v>9410019906836</v>
      </c>
      <c r="D2957" s="10" t="str">
        <f t="shared" si="462"/>
        <v>9410019906</v>
      </c>
      <c r="E2957" s="3" t="s">
        <v>6</v>
      </c>
      <c r="F2957" s="3" t="s">
        <v>66</v>
      </c>
      <c r="H2957" s="3">
        <v>10.699200000000003</v>
      </c>
      <c r="I2957" s="10">
        <f t="shared" si="463"/>
        <v>39772.00604315196</v>
      </c>
      <c r="J2957" s="3">
        <v>8.0704000610818203E-3</v>
      </c>
      <c r="K2957" s="3">
        <v>0</v>
      </c>
      <c r="L2957" s="3">
        <f t="shared" si="464"/>
        <v>0</v>
      </c>
      <c r="N2957" s="11">
        <f t="shared" si="465"/>
        <v>10.691129599938922</v>
      </c>
      <c r="O2957" s="3">
        <v>8.0704000610818203E-3</v>
      </c>
      <c r="P2957" s="11">
        <f t="shared" si="466"/>
        <v>39742.00604315196</v>
      </c>
      <c r="Q2957" s="12">
        <f t="shared" si="467"/>
        <v>39742.00604315196</v>
      </c>
      <c r="R2957" s="13">
        <f t="shared" si="468"/>
        <v>18192.358053302374</v>
      </c>
      <c r="S2957" s="3" t="s">
        <v>31</v>
      </c>
      <c r="T2957" s="3" t="s">
        <v>32</v>
      </c>
      <c r="U2957" s="10">
        <v>0</v>
      </c>
      <c r="V2957" s="3">
        <v>0</v>
      </c>
      <c r="W2957" s="3">
        <f t="shared" si="469"/>
        <v>0</v>
      </c>
      <c r="AA2957" s="3">
        <v>48</v>
      </c>
    </row>
    <row r="2958" spans="1:27" x14ac:dyDescent="0.3">
      <c r="A2958" s="3" t="str">
        <f t="shared" si="460"/>
        <v>East9310029902839</v>
      </c>
      <c r="B2958" s="3" t="str">
        <f t="shared" si="461"/>
        <v>KGP9310029902839</v>
      </c>
      <c r="C2958" s="10">
        <v>9310029902839</v>
      </c>
      <c r="D2958" s="10" t="str">
        <f t="shared" si="462"/>
        <v>9310029902</v>
      </c>
      <c r="E2958" s="3" t="s">
        <v>6</v>
      </c>
      <c r="F2958" s="3" t="s">
        <v>66</v>
      </c>
      <c r="H2958" s="3">
        <v>2.5232999999999999</v>
      </c>
      <c r="I2958" s="10">
        <f t="shared" si="463"/>
        <v>0</v>
      </c>
      <c r="J2958" s="3">
        <v>0</v>
      </c>
      <c r="K2958" s="3">
        <v>0</v>
      </c>
      <c r="L2958" s="3">
        <f t="shared" si="464"/>
        <v>0</v>
      </c>
      <c r="N2958" s="11">
        <f t="shared" si="465"/>
        <v>2.5232999999999999</v>
      </c>
      <c r="O2958" s="3">
        <v>0</v>
      </c>
      <c r="P2958" s="11">
        <f t="shared" si="466"/>
        <v>9999</v>
      </c>
      <c r="Q2958" s="12">
        <f t="shared" si="467"/>
        <v>9999</v>
      </c>
      <c r="R2958" s="13">
        <f t="shared" si="468"/>
        <v>778.76793913046367</v>
      </c>
      <c r="S2958" s="3" t="s">
        <v>31</v>
      </c>
      <c r="T2958" s="3" t="s">
        <v>32</v>
      </c>
      <c r="U2958" s="10">
        <v>0</v>
      </c>
      <c r="V2958" s="3">
        <v>0</v>
      </c>
      <c r="W2958" s="3">
        <f t="shared" si="469"/>
        <v>0</v>
      </c>
      <c r="AA2958" s="3">
        <v>48</v>
      </c>
    </row>
    <row r="2959" spans="1:27" x14ac:dyDescent="0.3">
      <c r="A2959" s="3" t="str">
        <f t="shared" si="460"/>
        <v>East9100509901210</v>
      </c>
      <c r="B2959" s="3" t="str">
        <f t="shared" si="461"/>
        <v>KGP9100509901210</v>
      </c>
      <c r="C2959" s="10">
        <v>9100509901210</v>
      </c>
      <c r="D2959" s="10" t="str">
        <f t="shared" si="462"/>
        <v>9100509901</v>
      </c>
      <c r="E2959" s="3" t="s">
        <v>6</v>
      </c>
      <c r="F2959" s="3" t="s">
        <v>66</v>
      </c>
      <c r="H2959" s="3">
        <v>0</v>
      </c>
      <c r="I2959" s="10">
        <f t="shared" si="463"/>
        <v>0</v>
      </c>
      <c r="J2959" s="3">
        <v>0</v>
      </c>
      <c r="K2959" s="3">
        <v>0</v>
      </c>
      <c r="L2959" s="3">
        <f t="shared" si="464"/>
        <v>0</v>
      </c>
      <c r="N2959" s="11">
        <f t="shared" si="465"/>
        <v>0</v>
      </c>
      <c r="O2959" s="3">
        <v>0</v>
      </c>
      <c r="P2959" s="11">
        <f t="shared" si="466"/>
        <v>9999</v>
      </c>
      <c r="Q2959" s="12">
        <f t="shared" si="467"/>
        <v>9999</v>
      </c>
      <c r="R2959" s="13">
        <f t="shared" si="468"/>
        <v>9999</v>
      </c>
      <c r="S2959" s="3" t="s">
        <v>31</v>
      </c>
      <c r="T2959" s="3" t="s">
        <v>34</v>
      </c>
      <c r="U2959" s="10" t="s">
        <v>72</v>
      </c>
      <c r="V2959" s="3" t="s">
        <v>72</v>
      </c>
      <c r="W2959" s="3">
        <f t="shared" si="469"/>
        <v>0</v>
      </c>
      <c r="AA2959" s="3">
        <v>48</v>
      </c>
    </row>
    <row r="2960" spans="1:27" x14ac:dyDescent="0.3">
      <c r="A2960" s="3" t="str">
        <f t="shared" si="460"/>
        <v>East9100309902195</v>
      </c>
      <c r="B2960" s="3" t="str">
        <f t="shared" si="461"/>
        <v>KGP9100309902195</v>
      </c>
      <c r="C2960" s="10">
        <v>9100309902195</v>
      </c>
      <c r="D2960" s="10" t="str">
        <f t="shared" si="462"/>
        <v>9100309902</v>
      </c>
      <c r="E2960" s="3" t="s">
        <v>6</v>
      </c>
      <c r="F2960" s="3" t="s">
        <v>66</v>
      </c>
      <c r="H2960" s="3">
        <v>0</v>
      </c>
      <c r="I2960" s="10">
        <f t="shared" si="463"/>
        <v>0</v>
      </c>
      <c r="J2960" s="3">
        <v>0</v>
      </c>
      <c r="K2960" s="3">
        <v>0</v>
      </c>
      <c r="L2960" s="3">
        <f t="shared" si="464"/>
        <v>0</v>
      </c>
      <c r="N2960" s="11">
        <f t="shared" si="465"/>
        <v>0</v>
      </c>
      <c r="O2960" s="3">
        <v>0</v>
      </c>
      <c r="P2960" s="11">
        <f t="shared" si="466"/>
        <v>9999</v>
      </c>
      <c r="Q2960" s="12">
        <f t="shared" si="467"/>
        <v>9999</v>
      </c>
      <c r="R2960" s="13">
        <f t="shared" si="468"/>
        <v>9999</v>
      </c>
      <c r="S2960" s="3" t="s">
        <v>31</v>
      </c>
      <c r="T2960" s="3" t="s">
        <v>34</v>
      </c>
      <c r="U2960" s="10" t="s">
        <v>72</v>
      </c>
      <c r="V2960" s="3" t="s">
        <v>72</v>
      </c>
      <c r="W2960" s="3">
        <f t="shared" si="469"/>
        <v>0</v>
      </c>
      <c r="AA2960" s="3">
        <v>48</v>
      </c>
    </row>
    <row r="2961" spans="1:27" x14ac:dyDescent="0.3">
      <c r="A2961" s="3" t="str">
        <f t="shared" si="460"/>
        <v>East9160509901210</v>
      </c>
      <c r="B2961" s="3" t="str">
        <f t="shared" si="461"/>
        <v>KGP9160509901210</v>
      </c>
      <c r="C2961" s="10">
        <v>9160509901210</v>
      </c>
      <c r="D2961" s="10" t="str">
        <f t="shared" si="462"/>
        <v>9160509901</v>
      </c>
      <c r="E2961" s="3" t="s">
        <v>6</v>
      </c>
      <c r="F2961" s="3" t="s">
        <v>66</v>
      </c>
      <c r="H2961" s="3">
        <v>7.6999999999999999E-2</v>
      </c>
      <c r="I2961" s="10">
        <f t="shared" si="463"/>
        <v>0</v>
      </c>
      <c r="J2961" s="3">
        <v>0</v>
      </c>
      <c r="K2961" s="3">
        <v>0</v>
      </c>
      <c r="L2961" s="3">
        <f t="shared" si="464"/>
        <v>0</v>
      </c>
      <c r="N2961" s="11">
        <f t="shared" si="465"/>
        <v>7.6999999999999999E-2</v>
      </c>
      <c r="O2961" s="3">
        <v>0</v>
      </c>
      <c r="P2961" s="11">
        <f t="shared" si="466"/>
        <v>9999</v>
      </c>
      <c r="Q2961" s="12">
        <f t="shared" si="467"/>
        <v>9999</v>
      </c>
      <c r="R2961" s="13">
        <f t="shared" si="468"/>
        <v>9999</v>
      </c>
      <c r="S2961" s="3" t="s">
        <v>31</v>
      </c>
      <c r="T2961" s="3" t="s">
        <v>34</v>
      </c>
      <c r="U2961" s="10" t="s">
        <v>72</v>
      </c>
      <c r="V2961" s="3" t="s">
        <v>72</v>
      </c>
      <c r="W2961" s="3">
        <f t="shared" si="469"/>
        <v>0</v>
      </c>
      <c r="AA2961" s="3">
        <v>48</v>
      </c>
    </row>
    <row r="2962" spans="1:27" x14ac:dyDescent="0.3">
      <c r="A2962" s="3" t="str">
        <f t="shared" si="460"/>
        <v>East9310029902097</v>
      </c>
      <c r="B2962" s="3" t="str">
        <f t="shared" si="461"/>
        <v>KGP9310029902097</v>
      </c>
      <c r="C2962" s="10">
        <v>9310029902097</v>
      </c>
      <c r="D2962" s="10" t="str">
        <f t="shared" si="462"/>
        <v>9310029902</v>
      </c>
      <c r="E2962" s="3" t="s">
        <v>6</v>
      </c>
      <c r="F2962" s="3" t="s">
        <v>66</v>
      </c>
      <c r="H2962" s="3">
        <v>0</v>
      </c>
      <c r="I2962" s="10">
        <f t="shared" si="463"/>
        <v>0</v>
      </c>
      <c r="J2962" s="3">
        <v>0</v>
      </c>
      <c r="K2962" s="3">
        <v>0</v>
      </c>
      <c r="L2962" s="3">
        <f t="shared" si="464"/>
        <v>0</v>
      </c>
      <c r="N2962" s="11">
        <f t="shared" si="465"/>
        <v>0</v>
      </c>
      <c r="O2962" s="3">
        <v>0</v>
      </c>
      <c r="P2962" s="11">
        <f t="shared" si="466"/>
        <v>9999</v>
      </c>
      <c r="Q2962" s="12">
        <f t="shared" si="467"/>
        <v>9999</v>
      </c>
      <c r="R2962" s="13">
        <f t="shared" si="468"/>
        <v>9999</v>
      </c>
      <c r="S2962" s="3" t="s">
        <v>31</v>
      </c>
      <c r="T2962" s="3" t="s">
        <v>32</v>
      </c>
      <c r="U2962" s="10">
        <v>0</v>
      </c>
      <c r="V2962" s="3">
        <v>0</v>
      </c>
      <c r="W2962" s="3">
        <f t="shared" si="469"/>
        <v>0</v>
      </c>
      <c r="AA2962" s="3">
        <v>48</v>
      </c>
    </row>
    <row r="2963" spans="1:27" x14ac:dyDescent="0.3">
      <c r="A2963" s="3" t="str">
        <f t="shared" si="460"/>
        <v>East9160709902097</v>
      </c>
      <c r="B2963" s="3" t="str">
        <f t="shared" si="461"/>
        <v>KGP9160709902097</v>
      </c>
      <c r="C2963" s="10">
        <v>9160709902097</v>
      </c>
      <c r="D2963" s="10" t="str">
        <f t="shared" si="462"/>
        <v>9160709902</v>
      </c>
      <c r="E2963" s="3" t="s">
        <v>6</v>
      </c>
      <c r="F2963" s="3" t="s">
        <v>66</v>
      </c>
      <c r="H2963" s="3">
        <v>0</v>
      </c>
      <c r="I2963" s="10">
        <f t="shared" si="463"/>
        <v>0</v>
      </c>
      <c r="J2963" s="3">
        <v>0</v>
      </c>
      <c r="K2963" s="3">
        <v>0</v>
      </c>
      <c r="L2963" s="3">
        <f t="shared" si="464"/>
        <v>0</v>
      </c>
      <c r="N2963" s="11">
        <f t="shared" si="465"/>
        <v>0</v>
      </c>
      <c r="O2963" s="3">
        <v>0</v>
      </c>
      <c r="P2963" s="11">
        <f t="shared" si="466"/>
        <v>9999</v>
      </c>
      <c r="Q2963" s="12">
        <f t="shared" si="467"/>
        <v>9999</v>
      </c>
      <c r="R2963" s="13">
        <f t="shared" si="468"/>
        <v>9999</v>
      </c>
      <c r="S2963" s="3" t="s">
        <v>31</v>
      </c>
      <c r="T2963" s="3" t="s">
        <v>34</v>
      </c>
      <c r="U2963" s="10" t="s">
        <v>72</v>
      </c>
      <c r="V2963" s="3" t="s">
        <v>72</v>
      </c>
      <c r="W2963" s="3">
        <f t="shared" si="469"/>
        <v>0</v>
      </c>
      <c r="AA2963" s="3">
        <v>48</v>
      </c>
    </row>
    <row r="2964" spans="1:27" x14ac:dyDescent="0.3">
      <c r="A2964" s="3" t="str">
        <f t="shared" si="460"/>
        <v>East9160709901210</v>
      </c>
      <c r="B2964" s="3" t="str">
        <f t="shared" si="461"/>
        <v>KGP9160709901210</v>
      </c>
      <c r="C2964" s="10">
        <v>9160709901210</v>
      </c>
      <c r="D2964" s="10" t="str">
        <f t="shared" si="462"/>
        <v>9160709901</v>
      </c>
      <c r="E2964" s="3" t="s">
        <v>6</v>
      </c>
      <c r="F2964" s="3" t="s">
        <v>66</v>
      </c>
      <c r="H2964" s="3">
        <v>0</v>
      </c>
      <c r="I2964" s="10">
        <f t="shared" si="463"/>
        <v>0</v>
      </c>
      <c r="J2964" s="3">
        <v>0</v>
      </c>
      <c r="K2964" s="3">
        <v>0</v>
      </c>
      <c r="L2964" s="3">
        <f t="shared" si="464"/>
        <v>0</v>
      </c>
      <c r="N2964" s="11">
        <f t="shared" si="465"/>
        <v>0</v>
      </c>
      <c r="O2964" s="3">
        <v>0</v>
      </c>
      <c r="P2964" s="11">
        <f t="shared" si="466"/>
        <v>9999</v>
      </c>
      <c r="Q2964" s="12">
        <f t="shared" si="467"/>
        <v>9999</v>
      </c>
      <c r="R2964" s="13">
        <f t="shared" si="468"/>
        <v>9999</v>
      </c>
      <c r="S2964" s="3" t="s">
        <v>31</v>
      </c>
      <c r="T2964" s="3" t="s">
        <v>34</v>
      </c>
      <c r="U2964" s="10">
        <v>0</v>
      </c>
      <c r="V2964" s="3">
        <v>0</v>
      </c>
      <c r="W2964" s="3">
        <f t="shared" si="469"/>
        <v>0</v>
      </c>
      <c r="AA2964" s="3">
        <v>48</v>
      </c>
    </row>
    <row r="2965" spans="1:27" x14ac:dyDescent="0.3">
      <c r="A2965" s="3" t="str">
        <f t="shared" si="460"/>
        <v>East9160509900210</v>
      </c>
      <c r="B2965" s="3" t="str">
        <f t="shared" si="461"/>
        <v>KGP9160509900210</v>
      </c>
      <c r="C2965" s="10">
        <v>9160509900210</v>
      </c>
      <c r="D2965" s="10" t="str">
        <f t="shared" si="462"/>
        <v>9160509900</v>
      </c>
      <c r="E2965" s="3" t="s">
        <v>6</v>
      </c>
      <c r="F2965" s="3" t="s">
        <v>66</v>
      </c>
      <c r="H2965" s="3">
        <v>0</v>
      </c>
      <c r="I2965" s="10">
        <f t="shared" si="463"/>
        <v>0</v>
      </c>
      <c r="J2965" s="3">
        <v>0</v>
      </c>
      <c r="K2965" s="3">
        <v>0</v>
      </c>
      <c r="L2965" s="3">
        <f t="shared" si="464"/>
        <v>0</v>
      </c>
      <c r="N2965" s="11">
        <f t="shared" si="465"/>
        <v>0</v>
      </c>
      <c r="O2965" s="3">
        <v>0</v>
      </c>
      <c r="P2965" s="11">
        <f t="shared" si="466"/>
        <v>9999</v>
      </c>
      <c r="Q2965" s="12">
        <f t="shared" si="467"/>
        <v>9999</v>
      </c>
      <c r="R2965" s="13">
        <f t="shared" si="468"/>
        <v>9999</v>
      </c>
      <c r="S2965" s="3" t="s">
        <v>31</v>
      </c>
      <c r="T2965" s="3" t="s">
        <v>34</v>
      </c>
      <c r="U2965" s="10" t="s">
        <v>72</v>
      </c>
      <c r="V2965" s="3" t="s">
        <v>72</v>
      </c>
      <c r="W2965" s="3">
        <f t="shared" si="469"/>
        <v>0</v>
      </c>
      <c r="AA2965" s="3">
        <v>48</v>
      </c>
    </row>
    <row r="2966" spans="1:27" x14ac:dyDescent="0.3">
      <c r="A2966" s="3" t="str">
        <f t="shared" si="460"/>
        <v>East9181909900210</v>
      </c>
      <c r="B2966" s="3" t="str">
        <f t="shared" si="461"/>
        <v>KGP9181909900210</v>
      </c>
      <c r="C2966" s="10">
        <v>9181909900210</v>
      </c>
      <c r="D2966" s="10" t="str">
        <f t="shared" si="462"/>
        <v>9181909900</v>
      </c>
      <c r="E2966" s="3" t="s">
        <v>6</v>
      </c>
      <c r="F2966" s="3" t="s">
        <v>66</v>
      </c>
      <c r="H2966" s="3">
        <v>0</v>
      </c>
      <c r="I2966" s="10">
        <f t="shared" si="463"/>
        <v>0</v>
      </c>
      <c r="J2966" s="3">
        <v>0</v>
      </c>
      <c r="K2966" s="3">
        <v>0</v>
      </c>
      <c r="L2966" s="3">
        <f t="shared" si="464"/>
        <v>0</v>
      </c>
      <c r="N2966" s="11">
        <f t="shared" si="465"/>
        <v>0</v>
      </c>
      <c r="O2966" s="3">
        <v>0</v>
      </c>
      <c r="P2966" s="11">
        <f t="shared" si="466"/>
        <v>9999</v>
      </c>
      <c r="Q2966" s="12">
        <f t="shared" si="467"/>
        <v>9999</v>
      </c>
      <c r="R2966" s="13">
        <f t="shared" si="468"/>
        <v>9999</v>
      </c>
      <c r="S2966" s="3" t="s">
        <v>31</v>
      </c>
      <c r="T2966" s="3" t="s">
        <v>34</v>
      </c>
      <c r="U2966" s="10" t="s">
        <v>72</v>
      </c>
      <c r="V2966" s="3" t="s">
        <v>72</v>
      </c>
      <c r="W2966" s="3">
        <f t="shared" si="469"/>
        <v>0</v>
      </c>
      <c r="AA2966" s="3">
        <v>48</v>
      </c>
    </row>
    <row r="2967" spans="1:27" x14ac:dyDescent="0.3">
      <c r="A2967" s="3" t="str">
        <f t="shared" si="460"/>
        <v>East9100309901210</v>
      </c>
      <c r="B2967" s="3" t="str">
        <f t="shared" si="461"/>
        <v>KGP9100309901210</v>
      </c>
      <c r="C2967" s="10">
        <v>9100309901210</v>
      </c>
      <c r="D2967" s="10" t="str">
        <f t="shared" si="462"/>
        <v>9100309901</v>
      </c>
      <c r="E2967" s="3" t="s">
        <v>6</v>
      </c>
      <c r="F2967" s="3" t="s">
        <v>66</v>
      </c>
      <c r="H2967" s="3">
        <v>0</v>
      </c>
      <c r="I2967" s="10">
        <f t="shared" si="463"/>
        <v>0</v>
      </c>
      <c r="J2967" s="3">
        <v>0</v>
      </c>
      <c r="K2967" s="3">
        <v>0</v>
      </c>
      <c r="L2967" s="3">
        <f t="shared" si="464"/>
        <v>0</v>
      </c>
      <c r="N2967" s="11">
        <f t="shared" si="465"/>
        <v>0</v>
      </c>
      <c r="O2967" s="3">
        <v>0</v>
      </c>
      <c r="P2967" s="11">
        <f t="shared" si="466"/>
        <v>9999</v>
      </c>
      <c r="Q2967" s="12">
        <f t="shared" si="467"/>
        <v>9999</v>
      </c>
      <c r="R2967" s="13">
        <f t="shared" si="468"/>
        <v>9999</v>
      </c>
      <c r="S2967" s="3" t="s">
        <v>31</v>
      </c>
      <c r="T2967" s="3" t="s">
        <v>34</v>
      </c>
      <c r="U2967" s="10" t="s">
        <v>72</v>
      </c>
      <c r="V2967" s="3" t="s">
        <v>72</v>
      </c>
      <c r="W2967" s="3">
        <f t="shared" si="469"/>
        <v>0</v>
      </c>
      <c r="AA2967" s="3">
        <v>48</v>
      </c>
    </row>
    <row r="2968" spans="1:27" x14ac:dyDescent="0.3">
      <c r="A2968" s="3" t="str">
        <f t="shared" si="460"/>
        <v>East9161089900210</v>
      </c>
      <c r="B2968" s="3" t="str">
        <f t="shared" si="461"/>
        <v>KGP9161089900210</v>
      </c>
      <c r="C2968" s="10">
        <v>9161089900210</v>
      </c>
      <c r="D2968" s="10" t="str">
        <f t="shared" si="462"/>
        <v>9161089900</v>
      </c>
      <c r="E2968" s="3" t="s">
        <v>6</v>
      </c>
      <c r="F2968" s="3" t="s">
        <v>66</v>
      </c>
      <c r="H2968" s="3">
        <v>0</v>
      </c>
      <c r="I2968" s="10">
        <f t="shared" si="463"/>
        <v>0</v>
      </c>
      <c r="J2968" s="3">
        <v>0</v>
      </c>
      <c r="K2968" s="3">
        <v>0</v>
      </c>
      <c r="L2968" s="3">
        <f t="shared" si="464"/>
        <v>0</v>
      </c>
      <c r="N2968" s="11">
        <f t="shared" si="465"/>
        <v>0</v>
      </c>
      <c r="O2968" s="3">
        <v>0</v>
      </c>
      <c r="P2968" s="11">
        <f t="shared" si="466"/>
        <v>9999</v>
      </c>
      <c r="Q2968" s="12">
        <f t="shared" si="467"/>
        <v>9999</v>
      </c>
      <c r="R2968" s="13">
        <f t="shared" si="468"/>
        <v>9999</v>
      </c>
      <c r="S2968" s="3" t="s">
        <v>31</v>
      </c>
      <c r="T2968" s="3" t="s">
        <v>34</v>
      </c>
      <c r="U2968" s="10" t="s">
        <v>72</v>
      </c>
      <c r="V2968" s="3" t="s">
        <v>72</v>
      </c>
      <c r="W2968" s="3">
        <f t="shared" si="469"/>
        <v>0</v>
      </c>
      <c r="AA2968" s="3">
        <v>48</v>
      </c>
    </row>
    <row r="2969" spans="1:27" x14ac:dyDescent="0.3">
      <c r="A2969" s="3" t="str">
        <f t="shared" si="460"/>
        <v>East9101109900210</v>
      </c>
      <c r="B2969" s="3" t="str">
        <f t="shared" si="461"/>
        <v>KGP9101109900210</v>
      </c>
      <c r="C2969" s="10">
        <v>9101109900210</v>
      </c>
      <c r="D2969" s="10" t="str">
        <f t="shared" si="462"/>
        <v>9101109900</v>
      </c>
      <c r="E2969" s="3" t="s">
        <v>6</v>
      </c>
      <c r="F2969" s="3" t="s">
        <v>66</v>
      </c>
      <c r="H2969" s="3">
        <v>0</v>
      </c>
      <c r="I2969" s="10">
        <f t="shared" si="463"/>
        <v>0</v>
      </c>
      <c r="J2969" s="3">
        <v>0</v>
      </c>
      <c r="K2969" s="3">
        <v>0</v>
      </c>
      <c r="L2969" s="3">
        <f t="shared" si="464"/>
        <v>0</v>
      </c>
      <c r="N2969" s="11">
        <f t="shared" si="465"/>
        <v>0</v>
      </c>
      <c r="O2969" s="3">
        <v>0</v>
      </c>
      <c r="P2969" s="11">
        <f t="shared" si="466"/>
        <v>9999</v>
      </c>
      <c r="Q2969" s="12">
        <f t="shared" si="467"/>
        <v>9999</v>
      </c>
      <c r="R2969" s="13">
        <f t="shared" si="468"/>
        <v>9999</v>
      </c>
      <c r="S2969" s="3" t="s">
        <v>31</v>
      </c>
      <c r="T2969" s="3" t="s">
        <v>34</v>
      </c>
      <c r="U2969" s="10" t="s">
        <v>72</v>
      </c>
      <c r="V2969" s="3" t="s">
        <v>72</v>
      </c>
      <c r="W2969" s="3">
        <f t="shared" si="469"/>
        <v>0</v>
      </c>
      <c r="AA2969" s="3">
        <v>48</v>
      </c>
    </row>
    <row r="2970" spans="1:27" x14ac:dyDescent="0.3">
      <c r="A2970" s="3" t="str">
        <f t="shared" si="460"/>
        <v>East9160509902097</v>
      </c>
      <c r="B2970" s="3" t="str">
        <f t="shared" si="461"/>
        <v>KGP9160509902097</v>
      </c>
      <c r="C2970" s="10">
        <v>9160509902097</v>
      </c>
      <c r="D2970" s="10" t="str">
        <f t="shared" si="462"/>
        <v>9160509902</v>
      </c>
      <c r="E2970" s="3" t="s">
        <v>6</v>
      </c>
      <c r="F2970" s="3" t="s">
        <v>66</v>
      </c>
      <c r="H2970" s="3">
        <v>0</v>
      </c>
      <c r="I2970" s="10">
        <f t="shared" si="463"/>
        <v>0</v>
      </c>
      <c r="J2970" s="3">
        <v>0</v>
      </c>
      <c r="K2970" s="3">
        <v>0</v>
      </c>
      <c r="L2970" s="3">
        <f t="shared" si="464"/>
        <v>0</v>
      </c>
      <c r="N2970" s="11">
        <f t="shared" si="465"/>
        <v>0</v>
      </c>
      <c r="O2970" s="3">
        <v>0</v>
      </c>
      <c r="P2970" s="11">
        <f t="shared" si="466"/>
        <v>9999</v>
      </c>
      <c r="Q2970" s="12">
        <f t="shared" si="467"/>
        <v>9999</v>
      </c>
      <c r="R2970" s="13">
        <f t="shared" si="468"/>
        <v>9999</v>
      </c>
      <c r="S2970" s="3" t="s">
        <v>31</v>
      </c>
      <c r="T2970" s="3" t="s">
        <v>34</v>
      </c>
      <c r="U2970" s="10" t="s">
        <v>72</v>
      </c>
      <c r="V2970" s="3" t="s">
        <v>72</v>
      </c>
      <c r="W2970" s="3">
        <f t="shared" si="469"/>
        <v>0</v>
      </c>
      <c r="AA2970" s="3">
        <v>48</v>
      </c>
    </row>
    <row r="2971" spans="1:27" x14ac:dyDescent="0.3">
      <c r="A2971" s="3" t="str">
        <f t="shared" si="460"/>
        <v>East9161109900210</v>
      </c>
      <c r="B2971" s="3" t="str">
        <f t="shared" si="461"/>
        <v>KGP9161109900210</v>
      </c>
      <c r="C2971" s="10">
        <v>9161109900210</v>
      </c>
      <c r="D2971" s="10" t="str">
        <f t="shared" si="462"/>
        <v>9161109900</v>
      </c>
      <c r="E2971" s="3" t="s">
        <v>6</v>
      </c>
      <c r="F2971" s="3" t="s">
        <v>66</v>
      </c>
      <c r="H2971" s="3">
        <v>1.2270000000000001</v>
      </c>
      <c r="I2971" s="10">
        <f t="shared" si="463"/>
        <v>0</v>
      </c>
      <c r="J2971" s="3">
        <v>0</v>
      </c>
      <c r="K2971" s="3">
        <v>0</v>
      </c>
      <c r="L2971" s="3">
        <f t="shared" si="464"/>
        <v>0</v>
      </c>
      <c r="N2971" s="11">
        <f t="shared" si="465"/>
        <v>1.2270000000000001</v>
      </c>
      <c r="O2971" s="3">
        <v>0</v>
      </c>
      <c r="P2971" s="11">
        <f t="shared" si="466"/>
        <v>9999</v>
      </c>
      <c r="Q2971" s="12">
        <f t="shared" si="467"/>
        <v>9999</v>
      </c>
      <c r="R2971" s="13">
        <f t="shared" si="468"/>
        <v>9999</v>
      </c>
      <c r="S2971" s="3" t="s">
        <v>31</v>
      </c>
      <c r="T2971" s="3" t="s">
        <v>34</v>
      </c>
      <c r="U2971" s="10" t="s">
        <v>72</v>
      </c>
      <c r="V2971" s="3" t="s">
        <v>72</v>
      </c>
      <c r="W2971" s="3">
        <f t="shared" si="469"/>
        <v>0</v>
      </c>
      <c r="AA2971" s="3">
        <v>48</v>
      </c>
    </row>
    <row r="2972" spans="1:27" x14ac:dyDescent="0.3">
      <c r="A2972" s="3" t="str">
        <f t="shared" si="460"/>
        <v>East9420049906190</v>
      </c>
      <c r="B2972" s="3" t="str">
        <f t="shared" si="461"/>
        <v>KGP9420049906190</v>
      </c>
      <c r="C2972" s="10">
        <v>9420049906190</v>
      </c>
      <c r="D2972" s="10" t="str">
        <f t="shared" si="462"/>
        <v>9420049906</v>
      </c>
      <c r="E2972" s="3" t="s">
        <v>6</v>
      </c>
      <c r="F2972" s="3" t="s">
        <v>66</v>
      </c>
      <c r="H2972" s="3">
        <v>5.9427000000000003</v>
      </c>
      <c r="I2972" s="10">
        <f t="shared" si="463"/>
        <v>0</v>
      </c>
      <c r="J2972" s="3">
        <v>0</v>
      </c>
      <c r="K2972" s="3">
        <v>0</v>
      </c>
      <c r="L2972" s="3">
        <f t="shared" si="464"/>
        <v>0</v>
      </c>
      <c r="N2972" s="11">
        <f t="shared" si="465"/>
        <v>5.9427000000000003</v>
      </c>
      <c r="O2972" s="3">
        <v>0</v>
      </c>
      <c r="P2972" s="11">
        <f t="shared" si="466"/>
        <v>9999</v>
      </c>
      <c r="Q2972" s="12">
        <f t="shared" si="467"/>
        <v>9999</v>
      </c>
      <c r="R2972" s="13">
        <f t="shared" si="468"/>
        <v>9999</v>
      </c>
      <c r="S2972" s="3" t="s">
        <v>31</v>
      </c>
      <c r="T2972" s="3" t="s">
        <v>28</v>
      </c>
      <c r="U2972" s="10">
        <v>0</v>
      </c>
      <c r="V2972" s="3">
        <v>0</v>
      </c>
      <c r="W2972" s="3">
        <f t="shared" si="469"/>
        <v>0</v>
      </c>
      <c r="AA2972" s="3">
        <v>48</v>
      </c>
    </row>
    <row r="2973" spans="1:27" x14ac:dyDescent="0.3">
      <c r="A2973" s="3" t="str">
        <f t="shared" si="460"/>
        <v>East9410039902295</v>
      </c>
      <c r="B2973" s="3" t="str">
        <f t="shared" si="461"/>
        <v>KGP9410039902295</v>
      </c>
      <c r="C2973" s="10">
        <v>9410039902295</v>
      </c>
      <c r="D2973" s="10" t="str">
        <f t="shared" si="462"/>
        <v>9410039902</v>
      </c>
      <c r="E2973" s="3" t="s">
        <v>6</v>
      </c>
      <c r="F2973" s="3" t="s">
        <v>66</v>
      </c>
      <c r="H2973" s="3">
        <v>3.2489999999999992</v>
      </c>
      <c r="I2973" s="10">
        <f t="shared" si="463"/>
        <v>0</v>
      </c>
      <c r="J2973" s="3">
        <v>0</v>
      </c>
      <c r="K2973" s="3">
        <v>0</v>
      </c>
      <c r="L2973" s="3">
        <f t="shared" si="464"/>
        <v>0</v>
      </c>
      <c r="N2973" s="11">
        <f t="shared" si="465"/>
        <v>3.2489999999999992</v>
      </c>
      <c r="O2973" s="3">
        <v>0</v>
      </c>
      <c r="P2973" s="11">
        <f t="shared" si="466"/>
        <v>9999</v>
      </c>
      <c r="Q2973" s="12">
        <f t="shared" si="467"/>
        <v>9999</v>
      </c>
      <c r="R2973" s="13">
        <f t="shared" si="468"/>
        <v>14507.811824597666</v>
      </c>
      <c r="S2973" s="3" t="s">
        <v>31</v>
      </c>
      <c r="T2973" s="3" t="s">
        <v>32</v>
      </c>
      <c r="U2973" s="10">
        <v>9410039913999</v>
      </c>
      <c r="V2973" s="3">
        <v>0.1</v>
      </c>
      <c r="W2973" s="3">
        <f t="shared" si="469"/>
        <v>0</v>
      </c>
      <c r="AA2973" s="3">
        <v>48</v>
      </c>
    </row>
    <row r="2974" spans="1:27" x14ac:dyDescent="0.3">
      <c r="A2974" s="3" t="str">
        <f t="shared" si="460"/>
        <v>East9420049906836</v>
      </c>
      <c r="B2974" s="3" t="str">
        <f t="shared" si="461"/>
        <v>KGP9420049906836</v>
      </c>
      <c r="C2974" s="10">
        <v>9420049906836</v>
      </c>
      <c r="D2974" s="10" t="str">
        <f t="shared" si="462"/>
        <v>9420049906</v>
      </c>
      <c r="E2974" s="3" t="s">
        <v>6</v>
      </c>
      <c r="F2974" s="3" t="s">
        <v>66</v>
      </c>
      <c r="H2974" s="3">
        <v>1.1519999999999999</v>
      </c>
      <c r="I2974" s="10">
        <f t="shared" si="463"/>
        <v>0</v>
      </c>
      <c r="J2974" s="3">
        <v>0</v>
      </c>
      <c r="K2974" s="3">
        <v>0</v>
      </c>
      <c r="L2974" s="3">
        <f t="shared" si="464"/>
        <v>0</v>
      </c>
      <c r="N2974" s="11">
        <f t="shared" si="465"/>
        <v>1.1519999999999999</v>
      </c>
      <c r="O2974" s="3">
        <v>0</v>
      </c>
      <c r="P2974" s="11">
        <f t="shared" si="466"/>
        <v>9999</v>
      </c>
      <c r="Q2974" s="12">
        <f t="shared" si="467"/>
        <v>9999</v>
      </c>
      <c r="R2974" s="13">
        <f t="shared" si="468"/>
        <v>9999</v>
      </c>
      <c r="S2974" s="3" t="s">
        <v>31</v>
      </c>
      <c r="T2974" s="3" t="s">
        <v>28</v>
      </c>
      <c r="U2974" s="10">
        <v>0</v>
      </c>
      <c r="V2974" s="3">
        <v>0</v>
      </c>
      <c r="W2974" s="3">
        <f t="shared" si="469"/>
        <v>0</v>
      </c>
      <c r="AA2974" s="3">
        <v>48</v>
      </c>
    </row>
    <row r="2975" spans="1:27" x14ac:dyDescent="0.3">
      <c r="A2975" s="3" t="str">
        <f t="shared" si="460"/>
        <v>East9420049902319</v>
      </c>
      <c r="B2975" s="3" t="str">
        <f t="shared" si="461"/>
        <v>KGP9420049902319</v>
      </c>
      <c r="C2975" s="10">
        <v>9420049902319</v>
      </c>
      <c r="D2975" s="10" t="str">
        <f t="shared" si="462"/>
        <v>9420049902</v>
      </c>
      <c r="E2975" s="3" t="s">
        <v>6</v>
      </c>
      <c r="F2975" s="3" t="s">
        <v>66</v>
      </c>
      <c r="H2975" s="3">
        <v>3.9140000000000006</v>
      </c>
      <c r="I2975" s="10">
        <f t="shared" si="463"/>
        <v>0</v>
      </c>
      <c r="J2975" s="3">
        <v>0</v>
      </c>
      <c r="K2975" s="3">
        <v>0</v>
      </c>
      <c r="L2975" s="3">
        <f t="shared" si="464"/>
        <v>0</v>
      </c>
      <c r="N2975" s="11">
        <f t="shared" si="465"/>
        <v>3.9140000000000006</v>
      </c>
      <c r="O2975" s="3">
        <v>0</v>
      </c>
      <c r="P2975" s="11">
        <f t="shared" si="466"/>
        <v>9999</v>
      </c>
      <c r="Q2975" s="12">
        <f t="shared" si="467"/>
        <v>9999</v>
      </c>
      <c r="R2975" s="13">
        <f t="shared" si="468"/>
        <v>24424.26870277066</v>
      </c>
      <c r="S2975" s="3" t="s">
        <v>31</v>
      </c>
      <c r="T2975" s="3" t="s">
        <v>28</v>
      </c>
      <c r="U2975" s="10">
        <v>9420049900999</v>
      </c>
      <c r="V2975" s="3">
        <v>0.1</v>
      </c>
      <c r="W2975" s="3">
        <f t="shared" si="469"/>
        <v>0</v>
      </c>
      <c r="AA2975" s="3">
        <v>48</v>
      </c>
    </row>
    <row r="2976" spans="1:27" x14ac:dyDescent="0.3">
      <c r="A2976" s="3" t="str">
        <f t="shared" si="460"/>
        <v>East9410039902838</v>
      </c>
      <c r="B2976" s="3" t="str">
        <f t="shared" si="461"/>
        <v>KGP9410039902838</v>
      </c>
      <c r="C2976" s="10">
        <v>9410039902838</v>
      </c>
      <c r="D2976" s="10" t="str">
        <f t="shared" si="462"/>
        <v>9410039902</v>
      </c>
      <c r="E2976" s="3" t="s">
        <v>6</v>
      </c>
      <c r="F2976" s="3" t="s">
        <v>66</v>
      </c>
      <c r="H2976" s="3">
        <v>2.3673999999999999</v>
      </c>
      <c r="I2976" s="10">
        <f t="shared" si="463"/>
        <v>0</v>
      </c>
      <c r="J2976" s="3">
        <v>0</v>
      </c>
      <c r="K2976" s="3">
        <v>0</v>
      </c>
      <c r="L2976" s="3">
        <f t="shared" si="464"/>
        <v>0</v>
      </c>
      <c r="N2976" s="11">
        <f t="shared" si="465"/>
        <v>2.3673999999999999</v>
      </c>
      <c r="O2976" s="3">
        <v>0</v>
      </c>
      <c r="P2976" s="11">
        <f t="shared" si="466"/>
        <v>9999</v>
      </c>
      <c r="Q2976" s="12">
        <f t="shared" si="467"/>
        <v>9999</v>
      </c>
      <c r="R2976" s="13">
        <f t="shared" si="468"/>
        <v>19340.266627370947</v>
      </c>
      <c r="S2976" s="3" t="s">
        <v>31</v>
      </c>
      <c r="T2976" s="3" t="s">
        <v>32</v>
      </c>
      <c r="U2976" s="10">
        <v>0</v>
      </c>
      <c r="V2976" s="3">
        <v>0</v>
      </c>
      <c r="W2976" s="3">
        <f t="shared" si="469"/>
        <v>0</v>
      </c>
      <c r="AA2976" s="3">
        <v>48</v>
      </c>
    </row>
    <row r="2977" spans="1:27" x14ac:dyDescent="0.3">
      <c r="A2977" s="3" t="str">
        <f t="shared" si="460"/>
        <v>East9420049905836</v>
      </c>
      <c r="B2977" s="3" t="str">
        <f t="shared" si="461"/>
        <v>KGP9420049905836</v>
      </c>
      <c r="C2977" s="10">
        <v>9420049905836</v>
      </c>
      <c r="D2977" s="10" t="str">
        <f t="shared" si="462"/>
        <v>9420049905</v>
      </c>
      <c r="E2977" s="3" t="s">
        <v>6</v>
      </c>
      <c r="F2977" s="3" t="s">
        <v>66</v>
      </c>
      <c r="H2977" s="3">
        <v>3.9348000000000001</v>
      </c>
      <c r="I2977" s="10">
        <f t="shared" si="463"/>
        <v>0</v>
      </c>
      <c r="J2977" s="3">
        <v>0</v>
      </c>
      <c r="K2977" s="3">
        <v>0</v>
      </c>
      <c r="L2977" s="3">
        <f t="shared" si="464"/>
        <v>0</v>
      </c>
      <c r="N2977" s="11">
        <f t="shared" si="465"/>
        <v>3.9348000000000001</v>
      </c>
      <c r="O2977" s="3">
        <v>0</v>
      </c>
      <c r="P2977" s="11">
        <f t="shared" si="466"/>
        <v>9999</v>
      </c>
      <c r="Q2977" s="12">
        <f t="shared" si="467"/>
        <v>9999</v>
      </c>
      <c r="R2977" s="13">
        <f t="shared" si="468"/>
        <v>9999</v>
      </c>
      <c r="S2977" s="3" t="s">
        <v>31</v>
      </c>
      <c r="T2977" s="3" t="s">
        <v>28</v>
      </c>
      <c r="U2977" s="10">
        <v>0</v>
      </c>
      <c r="V2977" s="3">
        <v>0</v>
      </c>
      <c r="W2977" s="3">
        <f t="shared" si="469"/>
        <v>0</v>
      </c>
      <c r="AA2977" s="3">
        <v>48</v>
      </c>
    </row>
    <row r="2978" spans="1:27" x14ac:dyDescent="0.3">
      <c r="A2978" s="3" t="str">
        <f t="shared" si="460"/>
        <v>East9420049905190</v>
      </c>
      <c r="B2978" s="3" t="str">
        <f t="shared" si="461"/>
        <v>KGP9420049905190</v>
      </c>
      <c r="C2978" s="10">
        <v>9420049905190</v>
      </c>
      <c r="D2978" s="10" t="str">
        <f t="shared" si="462"/>
        <v>9420049905</v>
      </c>
      <c r="E2978" s="3" t="s">
        <v>6</v>
      </c>
      <c r="F2978" s="3" t="s">
        <v>66</v>
      </c>
      <c r="H2978" s="3">
        <v>3.6809999999999996</v>
      </c>
      <c r="I2978" s="10">
        <f t="shared" si="463"/>
        <v>0</v>
      </c>
      <c r="J2978" s="3">
        <v>0</v>
      </c>
      <c r="K2978" s="3">
        <v>0</v>
      </c>
      <c r="L2978" s="3">
        <f t="shared" si="464"/>
        <v>0</v>
      </c>
      <c r="N2978" s="11">
        <f t="shared" si="465"/>
        <v>3.6809999999999996</v>
      </c>
      <c r="O2978" s="3">
        <v>0</v>
      </c>
      <c r="P2978" s="11">
        <f t="shared" si="466"/>
        <v>9999</v>
      </c>
      <c r="Q2978" s="12">
        <f t="shared" si="467"/>
        <v>9999</v>
      </c>
      <c r="R2978" s="13">
        <f t="shared" si="468"/>
        <v>9999</v>
      </c>
      <c r="S2978" s="3" t="s">
        <v>31</v>
      </c>
      <c r="T2978" s="3" t="s">
        <v>28</v>
      </c>
      <c r="U2978" s="10">
        <v>0</v>
      </c>
      <c r="V2978" s="3">
        <v>0</v>
      </c>
      <c r="W2978" s="3">
        <f t="shared" si="469"/>
        <v>0</v>
      </c>
      <c r="AA2978" s="3">
        <v>48</v>
      </c>
    </row>
    <row r="2979" spans="1:27" x14ac:dyDescent="0.3">
      <c r="A2979" s="3" t="str">
        <f t="shared" si="460"/>
        <v>East9420049902195</v>
      </c>
      <c r="B2979" s="3" t="str">
        <f t="shared" si="461"/>
        <v>KGP9420049902195</v>
      </c>
      <c r="C2979" s="10">
        <v>9420049902195</v>
      </c>
      <c r="D2979" s="10" t="str">
        <f t="shared" si="462"/>
        <v>9420049902</v>
      </c>
      <c r="E2979" s="3" t="s">
        <v>6</v>
      </c>
      <c r="F2979" s="3" t="s">
        <v>66</v>
      </c>
      <c r="H2979" s="3">
        <v>0</v>
      </c>
      <c r="I2979" s="10">
        <f t="shared" si="463"/>
        <v>0</v>
      </c>
      <c r="J2979" s="3">
        <v>0</v>
      </c>
      <c r="K2979" s="3">
        <v>0</v>
      </c>
      <c r="L2979" s="3">
        <f t="shared" si="464"/>
        <v>0</v>
      </c>
      <c r="N2979" s="11">
        <f t="shared" si="465"/>
        <v>0</v>
      </c>
      <c r="O2979" s="3">
        <v>0</v>
      </c>
      <c r="P2979" s="11">
        <f t="shared" si="466"/>
        <v>9999</v>
      </c>
      <c r="Q2979" s="12">
        <f t="shared" si="467"/>
        <v>9999</v>
      </c>
      <c r="R2979" s="13">
        <f t="shared" si="468"/>
        <v>-30</v>
      </c>
      <c r="S2979" s="3" t="s">
        <v>31</v>
      </c>
      <c r="T2979" s="3" t="s">
        <v>28</v>
      </c>
      <c r="U2979" s="10">
        <v>0</v>
      </c>
      <c r="V2979" s="3">
        <v>0</v>
      </c>
      <c r="W2979" s="3">
        <f t="shared" si="469"/>
        <v>0</v>
      </c>
      <c r="AA2979" s="3">
        <v>48</v>
      </c>
    </row>
    <row r="2980" spans="1:27" x14ac:dyDescent="0.3">
      <c r="A2980" s="3" t="str">
        <f t="shared" si="460"/>
        <v>East9410039906836</v>
      </c>
      <c r="B2980" s="3" t="str">
        <f t="shared" si="461"/>
        <v>KGP9410039906836</v>
      </c>
      <c r="C2980" s="10">
        <v>9410039906836</v>
      </c>
      <c r="D2980" s="10" t="str">
        <f t="shared" si="462"/>
        <v>9410039906</v>
      </c>
      <c r="E2980" s="3" t="s">
        <v>6</v>
      </c>
      <c r="F2980" s="3" t="s">
        <v>66</v>
      </c>
      <c r="H2980" s="3">
        <v>6.458400000000001</v>
      </c>
      <c r="I2980" s="10">
        <f t="shared" si="463"/>
        <v>0</v>
      </c>
      <c r="J2980" s="3">
        <v>0</v>
      </c>
      <c r="K2980" s="3">
        <v>0</v>
      </c>
      <c r="L2980" s="3">
        <f t="shared" si="464"/>
        <v>0</v>
      </c>
      <c r="N2980" s="11">
        <f t="shared" si="465"/>
        <v>6.458400000000001</v>
      </c>
      <c r="O2980" s="3">
        <v>0</v>
      </c>
      <c r="P2980" s="11">
        <f t="shared" si="466"/>
        <v>9999</v>
      </c>
      <c r="Q2980" s="12">
        <f t="shared" si="467"/>
        <v>9999</v>
      </c>
      <c r="R2980" s="13">
        <f t="shared" si="468"/>
        <v>9999</v>
      </c>
      <c r="S2980" s="3" t="s">
        <v>31</v>
      </c>
      <c r="T2980" s="3" t="s">
        <v>32</v>
      </c>
      <c r="U2980" s="10">
        <v>0</v>
      </c>
      <c r="V2980" s="3">
        <v>0</v>
      </c>
      <c r="W2980" s="3">
        <f t="shared" si="469"/>
        <v>0</v>
      </c>
      <c r="AA2980" s="3">
        <v>48</v>
      </c>
    </row>
    <row r="2981" spans="1:27" x14ac:dyDescent="0.3">
      <c r="A2981" s="3" t="str">
        <f t="shared" si="460"/>
        <v>East9410039905836</v>
      </c>
      <c r="B2981" s="3" t="str">
        <f t="shared" si="461"/>
        <v>KGP9410039905836</v>
      </c>
      <c r="C2981" s="10">
        <v>9410039905836</v>
      </c>
      <c r="D2981" s="10" t="str">
        <f t="shared" si="462"/>
        <v>9410039905</v>
      </c>
      <c r="E2981" s="3" t="s">
        <v>6</v>
      </c>
      <c r="F2981" s="3" t="s">
        <v>66</v>
      </c>
      <c r="H2981" s="3">
        <v>9.2736000000000054</v>
      </c>
      <c r="I2981" s="10">
        <f t="shared" si="463"/>
        <v>0</v>
      </c>
      <c r="J2981" s="3">
        <v>0</v>
      </c>
      <c r="K2981" s="3">
        <v>0</v>
      </c>
      <c r="L2981" s="3">
        <f t="shared" si="464"/>
        <v>0</v>
      </c>
      <c r="N2981" s="11">
        <f t="shared" si="465"/>
        <v>9.2736000000000054</v>
      </c>
      <c r="O2981" s="3">
        <v>0</v>
      </c>
      <c r="P2981" s="11">
        <f t="shared" si="466"/>
        <v>9999</v>
      </c>
      <c r="Q2981" s="12">
        <f t="shared" si="467"/>
        <v>9999</v>
      </c>
      <c r="R2981" s="13">
        <f t="shared" si="468"/>
        <v>9999</v>
      </c>
      <c r="S2981" s="3" t="s">
        <v>31</v>
      </c>
      <c r="T2981" s="3" t="s">
        <v>32</v>
      </c>
      <c r="U2981" s="10">
        <v>0</v>
      </c>
      <c r="V2981" s="3">
        <v>0</v>
      </c>
      <c r="W2981" s="3">
        <f t="shared" si="469"/>
        <v>0</v>
      </c>
      <c r="AA2981" s="3">
        <v>48</v>
      </c>
    </row>
    <row r="2982" spans="1:27" x14ac:dyDescent="0.3">
      <c r="A2982" s="3" t="str">
        <f t="shared" si="460"/>
        <v>East9410039902319</v>
      </c>
      <c r="B2982" s="3" t="str">
        <f t="shared" si="461"/>
        <v>KGP9410039902319</v>
      </c>
      <c r="C2982" s="10">
        <v>9410039902319</v>
      </c>
      <c r="D2982" s="10" t="str">
        <f t="shared" si="462"/>
        <v>9410039902</v>
      </c>
      <c r="E2982" s="3" t="s">
        <v>6</v>
      </c>
      <c r="F2982" s="3" t="s">
        <v>66</v>
      </c>
      <c r="H2982" s="3">
        <v>1.6339999999999999</v>
      </c>
      <c r="I2982" s="10">
        <f t="shared" si="463"/>
        <v>0</v>
      </c>
      <c r="J2982" s="3">
        <v>0</v>
      </c>
      <c r="K2982" s="3">
        <v>0</v>
      </c>
      <c r="L2982" s="3">
        <f t="shared" si="464"/>
        <v>0</v>
      </c>
      <c r="N2982" s="11">
        <f t="shared" si="465"/>
        <v>1.6339999999999999</v>
      </c>
      <c r="O2982" s="3">
        <v>0</v>
      </c>
      <c r="P2982" s="11">
        <f t="shared" si="466"/>
        <v>9999</v>
      </c>
      <c r="Q2982" s="12">
        <f t="shared" si="467"/>
        <v>9999</v>
      </c>
      <c r="R2982" s="13">
        <f t="shared" si="468"/>
        <v>1588.2169228535811</v>
      </c>
      <c r="S2982" s="3" t="s">
        <v>31</v>
      </c>
      <c r="T2982" s="3" t="s">
        <v>32</v>
      </c>
      <c r="U2982" s="10">
        <v>9410039913999</v>
      </c>
      <c r="V2982" s="3">
        <v>0.1</v>
      </c>
      <c r="W2982" s="3">
        <f t="shared" si="469"/>
        <v>0</v>
      </c>
      <c r="AA2982" s="3">
        <v>48</v>
      </c>
    </row>
    <row r="2983" spans="1:27" x14ac:dyDescent="0.3">
      <c r="A2983" s="3" t="str">
        <f t="shared" si="460"/>
        <v>East9410039905190</v>
      </c>
      <c r="B2983" s="3" t="str">
        <f t="shared" si="461"/>
        <v>KGP9410039905190</v>
      </c>
      <c r="C2983" s="10">
        <v>9410039905190</v>
      </c>
      <c r="D2983" s="10" t="str">
        <f t="shared" si="462"/>
        <v>9410039905</v>
      </c>
      <c r="E2983" s="3" t="s">
        <v>6</v>
      </c>
      <c r="F2983" s="3" t="s">
        <v>66</v>
      </c>
      <c r="H2983" s="3">
        <v>7.4259000000000004</v>
      </c>
      <c r="I2983" s="10">
        <f t="shared" si="463"/>
        <v>0</v>
      </c>
      <c r="J2983" s="3">
        <v>0</v>
      </c>
      <c r="K2983" s="3">
        <v>0</v>
      </c>
      <c r="L2983" s="3">
        <f t="shared" si="464"/>
        <v>0</v>
      </c>
      <c r="N2983" s="11">
        <f t="shared" si="465"/>
        <v>7.4259000000000004</v>
      </c>
      <c r="O2983" s="3">
        <v>0</v>
      </c>
      <c r="P2983" s="11">
        <f t="shared" si="466"/>
        <v>9999</v>
      </c>
      <c r="Q2983" s="12">
        <f t="shared" si="467"/>
        <v>9999</v>
      </c>
      <c r="R2983" s="13">
        <f t="shared" si="468"/>
        <v>9999</v>
      </c>
      <c r="S2983" s="3" t="s">
        <v>31</v>
      </c>
      <c r="T2983" s="3" t="s">
        <v>32</v>
      </c>
      <c r="U2983" s="10">
        <v>0</v>
      </c>
      <c r="V2983" s="3">
        <v>0</v>
      </c>
      <c r="W2983" s="3">
        <f t="shared" si="469"/>
        <v>0</v>
      </c>
      <c r="AA2983" s="3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39480-C666-4A22-BB1F-52CAB94C0B32}">
  <dimension ref="A2:Z104"/>
  <sheetViews>
    <sheetView topLeftCell="A46" workbookViewId="0">
      <selection activeCell="D80" sqref="D80"/>
    </sheetView>
  </sheetViews>
  <sheetFormatPr defaultRowHeight="15.6" x14ac:dyDescent="0.3"/>
  <sheetData>
    <row r="2" spans="1:26" s="6" customFormat="1" ht="49.05" customHeight="1" x14ac:dyDescent="0.3">
      <c r="A2" s="6" t="s">
        <v>39</v>
      </c>
      <c r="B2" s="6" t="s">
        <v>40</v>
      </c>
      <c r="C2" s="6" t="s">
        <v>41</v>
      </c>
      <c r="D2" s="1" t="s">
        <v>0</v>
      </c>
      <c r="E2" s="6" t="s">
        <v>42</v>
      </c>
      <c r="F2" s="6" t="s">
        <v>43</v>
      </c>
      <c r="G2" s="6" t="s">
        <v>44</v>
      </c>
      <c r="H2" s="7" t="s">
        <v>45</v>
      </c>
      <c r="I2" s="7" t="s">
        <v>46</v>
      </c>
      <c r="J2" s="7" t="s">
        <v>47</v>
      </c>
      <c r="K2" s="7" t="s">
        <v>48</v>
      </c>
      <c r="L2" s="7" t="s">
        <v>49</v>
      </c>
      <c r="M2" s="7" t="s">
        <v>50</v>
      </c>
      <c r="N2" s="7" t="s">
        <v>51</v>
      </c>
      <c r="O2" s="7" t="s">
        <v>52</v>
      </c>
      <c r="P2" s="7" t="s">
        <v>53</v>
      </c>
      <c r="Q2" s="8" t="s">
        <v>54</v>
      </c>
      <c r="R2" s="9" t="s">
        <v>55</v>
      </c>
      <c r="S2" s="6" t="s">
        <v>12</v>
      </c>
      <c r="T2" s="6" t="s">
        <v>56</v>
      </c>
      <c r="U2" s="6" t="s">
        <v>57</v>
      </c>
      <c r="V2" s="6" t="s">
        <v>58</v>
      </c>
      <c r="W2" s="6" t="s">
        <v>59</v>
      </c>
      <c r="X2" s="6" t="s">
        <v>60</v>
      </c>
      <c r="Y2" s="6" t="s">
        <v>61</v>
      </c>
      <c r="Z2" s="6" t="s">
        <v>62</v>
      </c>
    </row>
    <row r="3" spans="1:26" x14ac:dyDescent="0.3">
      <c r="A3" t="s">
        <v>111</v>
      </c>
      <c r="B3" t="s">
        <v>112</v>
      </c>
      <c r="C3">
        <v>9710049922320</v>
      </c>
      <c r="D3" t="s">
        <v>113</v>
      </c>
      <c r="E3" t="s">
        <v>1</v>
      </c>
      <c r="F3" t="s">
        <v>63</v>
      </c>
      <c r="G3">
        <v>0</v>
      </c>
      <c r="H3">
        <v>0</v>
      </c>
      <c r="I3">
        <v>0</v>
      </c>
      <c r="J3">
        <v>64.947857243923977</v>
      </c>
      <c r="K3">
        <v>55.5</v>
      </c>
      <c r="L3">
        <v>0</v>
      </c>
      <c r="N3">
        <v>-64.947857243923977</v>
      </c>
      <c r="O3">
        <v>64.947857243923977</v>
      </c>
      <c r="P3">
        <v>-30</v>
      </c>
      <c r="Q3">
        <v>-30</v>
      </c>
      <c r="R3">
        <v>-30</v>
      </c>
      <c r="S3" t="s">
        <v>30</v>
      </c>
      <c r="T3" t="s">
        <v>33</v>
      </c>
      <c r="U3">
        <v>0</v>
      </c>
      <c r="V3">
        <v>0</v>
      </c>
      <c r="W3">
        <v>0</v>
      </c>
      <c r="Y3">
        <v>0</v>
      </c>
      <c r="Z3">
        <v>0</v>
      </c>
    </row>
    <row r="4" spans="1:26" x14ac:dyDescent="0.3">
      <c r="A4" t="s">
        <v>114</v>
      </c>
      <c r="B4" t="s">
        <v>115</v>
      </c>
      <c r="C4">
        <v>9710049922310</v>
      </c>
      <c r="D4" t="s">
        <v>113</v>
      </c>
      <c r="E4" t="s">
        <v>1</v>
      </c>
      <c r="F4" t="s">
        <v>63</v>
      </c>
      <c r="G4">
        <v>0</v>
      </c>
      <c r="H4">
        <v>0</v>
      </c>
      <c r="I4">
        <v>0</v>
      </c>
      <c r="J4">
        <v>11.988339440172162</v>
      </c>
      <c r="K4">
        <v>6.75</v>
      </c>
      <c r="L4">
        <v>0</v>
      </c>
      <c r="N4">
        <v>-11.988339440172162</v>
      </c>
      <c r="O4">
        <v>11.988339440172162</v>
      </c>
      <c r="P4">
        <v>-30</v>
      </c>
      <c r="Q4">
        <v>-30</v>
      </c>
      <c r="R4">
        <v>-30</v>
      </c>
      <c r="S4" t="s">
        <v>31</v>
      </c>
      <c r="T4" t="s">
        <v>33</v>
      </c>
      <c r="U4">
        <v>0</v>
      </c>
      <c r="V4">
        <v>0</v>
      </c>
      <c r="W4">
        <v>0</v>
      </c>
      <c r="Y4">
        <v>0</v>
      </c>
      <c r="Z4">
        <v>3416</v>
      </c>
    </row>
    <row r="5" spans="1:26" x14ac:dyDescent="0.3">
      <c r="A5" t="s">
        <v>116</v>
      </c>
      <c r="B5" t="s">
        <v>117</v>
      </c>
      <c r="C5">
        <v>9160309999219</v>
      </c>
      <c r="D5" t="s">
        <v>118</v>
      </c>
      <c r="E5" t="s">
        <v>1</v>
      </c>
      <c r="F5" t="s">
        <v>63</v>
      </c>
      <c r="G5">
        <v>0</v>
      </c>
      <c r="H5">
        <v>1.5015000000000001</v>
      </c>
      <c r="I5">
        <v>34.301580926549455</v>
      </c>
      <c r="J5">
        <v>1.3132047790000001</v>
      </c>
      <c r="K5">
        <v>0</v>
      </c>
      <c r="L5">
        <v>0</v>
      </c>
      <c r="N5">
        <v>0.18829522099999996</v>
      </c>
      <c r="O5">
        <v>1.3132047790000001</v>
      </c>
      <c r="P5">
        <v>4.3015809265494589</v>
      </c>
      <c r="Q5">
        <v>4.3015809265494598</v>
      </c>
      <c r="R5">
        <v>94.69397932551874</v>
      </c>
      <c r="S5" t="s">
        <v>31</v>
      </c>
      <c r="T5" t="s">
        <v>34</v>
      </c>
      <c r="U5">
        <v>0</v>
      </c>
      <c r="V5">
        <v>0</v>
      </c>
      <c r="W5">
        <v>0</v>
      </c>
      <c r="Y5">
        <v>0</v>
      </c>
      <c r="Z5">
        <v>208</v>
      </c>
    </row>
    <row r="6" spans="1:26" x14ac:dyDescent="0.3">
      <c r="A6" t="s">
        <v>119</v>
      </c>
      <c r="B6" t="s">
        <v>120</v>
      </c>
      <c r="C6">
        <v>9320099902219</v>
      </c>
      <c r="D6" t="s">
        <v>121</v>
      </c>
      <c r="E6" t="s">
        <v>2</v>
      </c>
      <c r="F6" t="s">
        <v>64</v>
      </c>
      <c r="G6">
        <v>0</v>
      </c>
      <c r="H6">
        <v>4.29</v>
      </c>
      <c r="I6">
        <v>43.706541288349975</v>
      </c>
      <c r="J6">
        <v>2.944639319568056</v>
      </c>
      <c r="K6">
        <v>0</v>
      </c>
      <c r="L6">
        <v>0</v>
      </c>
      <c r="N6">
        <v>1.345360680431944</v>
      </c>
      <c r="O6">
        <v>2.944639319568056</v>
      </c>
      <c r="P6">
        <v>13.706541288349969</v>
      </c>
      <c r="Q6">
        <v>7.9480248950048225</v>
      </c>
      <c r="R6">
        <v>9.8969629613434478</v>
      </c>
      <c r="S6" t="s">
        <v>31</v>
      </c>
      <c r="T6" t="s">
        <v>28</v>
      </c>
      <c r="U6">
        <v>9320099900999</v>
      </c>
      <c r="V6">
        <v>0.1</v>
      </c>
      <c r="W6">
        <v>0</v>
      </c>
    </row>
    <row r="7" spans="1:26" x14ac:dyDescent="0.3">
      <c r="A7" t="s">
        <v>122</v>
      </c>
      <c r="B7" t="s">
        <v>123</v>
      </c>
      <c r="C7">
        <v>9320099902839</v>
      </c>
      <c r="D7" t="s">
        <v>121</v>
      </c>
      <c r="E7" t="s">
        <v>2</v>
      </c>
      <c r="F7" t="s">
        <v>64</v>
      </c>
      <c r="G7">
        <v>0</v>
      </c>
      <c r="H7">
        <v>1.8056999999999994</v>
      </c>
      <c r="I7">
        <v>41.149561438193437</v>
      </c>
      <c r="J7">
        <v>1.3164417336832306</v>
      </c>
      <c r="K7">
        <v>0</v>
      </c>
      <c r="L7">
        <v>0</v>
      </c>
      <c r="N7">
        <v>0.48925826631676883</v>
      </c>
      <c r="O7">
        <v>1.3164417336832306</v>
      </c>
      <c r="P7">
        <v>11.149561438193439</v>
      </c>
      <c r="Q7">
        <v>16.154613965619422</v>
      </c>
      <c r="R7">
        <v>29.236625661590598</v>
      </c>
      <c r="S7" t="s">
        <v>31</v>
      </c>
      <c r="T7" t="s">
        <v>28</v>
      </c>
      <c r="U7">
        <v>0</v>
      </c>
      <c r="V7">
        <v>0</v>
      </c>
      <c r="W7">
        <v>0</v>
      </c>
    </row>
    <row r="8" spans="1:26" x14ac:dyDescent="0.3">
      <c r="A8" t="s">
        <v>124</v>
      </c>
      <c r="B8" t="s">
        <v>125</v>
      </c>
      <c r="C8">
        <v>9320099999839</v>
      </c>
      <c r="D8" t="s">
        <v>126</v>
      </c>
      <c r="E8" t="s">
        <v>2</v>
      </c>
      <c r="F8" t="s">
        <v>64</v>
      </c>
      <c r="G8">
        <v>0</v>
      </c>
      <c r="H8">
        <v>1.2128999999999999</v>
      </c>
      <c r="I8">
        <v>27.989362754922119</v>
      </c>
      <c r="J8">
        <v>1.3000295976228002</v>
      </c>
      <c r="K8">
        <v>0</v>
      </c>
      <c r="L8">
        <v>0</v>
      </c>
      <c r="N8">
        <v>-8.712959762280037E-2</v>
      </c>
      <c r="O8">
        <v>1.3000295976228002</v>
      </c>
      <c r="P8">
        <v>-2.0106372450778793</v>
      </c>
      <c r="Q8">
        <v>-2.4688219223891821</v>
      </c>
      <c r="R8">
        <v>-6.2561748552508645</v>
      </c>
      <c r="S8" t="s">
        <v>31</v>
      </c>
      <c r="T8" t="s">
        <v>28</v>
      </c>
      <c r="U8">
        <v>0</v>
      </c>
      <c r="V8">
        <v>0</v>
      </c>
      <c r="W8">
        <v>0</v>
      </c>
    </row>
    <row r="9" spans="1:26" x14ac:dyDescent="0.3">
      <c r="A9" t="s">
        <v>127</v>
      </c>
      <c r="B9" t="s">
        <v>128</v>
      </c>
      <c r="C9">
        <v>9432029902838</v>
      </c>
      <c r="D9" t="s">
        <v>129</v>
      </c>
      <c r="E9" t="s">
        <v>2</v>
      </c>
      <c r="F9" t="s">
        <v>64</v>
      </c>
      <c r="G9">
        <v>0</v>
      </c>
      <c r="H9">
        <v>1.0184000000000002</v>
      </c>
      <c r="I9">
        <v>31.645970051354443</v>
      </c>
      <c r="J9">
        <v>0.9654309838004913</v>
      </c>
      <c r="K9">
        <v>0</v>
      </c>
      <c r="L9">
        <v>0</v>
      </c>
      <c r="N9">
        <v>5.2969016199508889E-2</v>
      </c>
      <c r="O9">
        <v>0.9654309838004913</v>
      </c>
      <c r="P9">
        <v>1.6459700513544446</v>
      </c>
      <c r="Q9">
        <v>-1.7930652705351589</v>
      </c>
      <c r="R9">
        <v>24.383399457030091</v>
      </c>
      <c r="S9" t="s">
        <v>31</v>
      </c>
      <c r="T9" t="s">
        <v>35</v>
      </c>
      <c r="U9">
        <v>0</v>
      </c>
      <c r="V9">
        <v>0</v>
      </c>
      <c r="W9">
        <v>0</v>
      </c>
    </row>
    <row r="10" spans="1:26" x14ac:dyDescent="0.3">
      <c r="A10" t="s">
        <v>130</v>
      </c>
      <c r="B10" t="s">
        <v>131</v>
      </c>
      <c r="C10">
        <v>9320089999839</v>
      </c>
      <c r="D10" t="s">
        <v>132</v>
      </c>
      <c r="E10" t="s">
        <v>2</v>
      </c>
      <c r="F10" t="s">
        <v>64</v>
      </c>
      <c r="G10">
        <v>0</v>
      </c>
      <c r="H10">
        <v>1.4196</v>
      </c>
      <c r="I10">
        <v>57.240746846475439</v>
      </c>
      <c r="J10">
        <v>0.74401544959265897</v>
      </c>
      <c r="K10">
        <v>0</v>
      </c>
      <c r="L10">
        <v>0</v>
      </c>
      <c r="N10">
        <v>0.675584550407341</v>
      </c>
      <c r="O10">
        <v>0.74401544959265897</v>
      </c>
      <c r="P10">
        <v>27.240746846475439</v>
      </c>
      <c r="Q10">
        <v>17.76417898735728</v>
      </c>
      <c r="R10">
        <v>34.706112434215868</v>
      </c>
      <c r="S10" t="s">
        <v>31</v>
      </c>
      <c r="T10" t="s">
        <v>28</v>
      </c>
      <c r="U10">
        <v>0</v>
      </c>
      <c r="V10">
        <v>0</v>
      </c>
      <c r="W10">
        <v>0</v>
      </c>
    </row>
    <row r="11" spans="1:26" x14ac:dyDescent="0.3">
      <c r="A11" t="s">
        <v>133</v>
      </c>
      <c r="B11" t="s">
        <v>134</v>
      </c>
      <c r="C11">
        <v>9432029999195</v>
      </c>
      <c r="D11" t="s">
        <v>135</v>
      </c>
      <c r="E11" t="s">
        <v>2</v>
      </c>
      <c r="F11" t="s">
        <v>64</v>
      </c>
      <c r="G11">
        <v>0</v>
      </c>
      <c r="H11">
        <v>1.2597</v>
      </c>
      <c r="I11">
        <v>52.479410709631779</v>
      </c>
      <c r="J11">
        <v>0.72011098236406168</v>
      </c>
      <c r="K11">
        <v>0</v>
      </c>
      <c r="L11">
        <v>0</v>
      </c>
      <c r="N11">
        <v>0.53958901763593836</v>
      </c>
      <c r="O11">
        <v>0.72011098236406168</v>
      </c>
      <c r="P11">
        <v>22.479410709631779</v>
      </c>
      <c r="Q11">
        <v>10.876230397891272</v>
      </c>
      <c r="R11">
        <v>58.311241857163481</v>
      </c>
      <c r="S11" t="s">
        <v>31</v>
      </c>
      <c r="T11" t="s">
        <v>35</v>
      </c>
      <c r="U11">
        <v>0</v>
      </c>
      <c r="V11">
        <v>0</v>
      </c>
      <c r="W11">
        <v>0</v>
      </c>
    </row>
    <row r="12" spans="1:26" x14ac:dyDescent="0.3">
      <c r="A12" t="s">
        <v>136</v>
      </c>
      <c r="B12" t="s">
        <v>137</v>
      </c>
      <c r="C12">
        <v>9432029902195</v>
      </c>
      <c r="D12" t="s">
        <v>129</v>
      </c>
      <c r="E12" t="s">
        <v>2</v>
      </c>
      <c r="F12" t="s">
        <v>64</v>
      </c>
      <c r="G12">
        <v>0</v>
      </c>
      <c r="H12">
        <v>0.34199999999999997</v>
      </c>
      <c r="I12">
        <v>17.306157391398472</v>
      </c>
      <c r="J12">
        <v>0.59285257656904466</v>
      </c>
      <c r="K12">
        <v>0</v>
      </c>
      <c r="L12">
        <v>0</v>
      </c>
      <c r="N12">
        <v>-0.25085257656904469</v>
      </c>
      <c r="O12">
        <v>0.59285257656904466</v>
      </c>
      <c r="P12">
        <v>-12.693842608601532</v>
      </c>
      <c r="Q12">
        <v>-14.117302806057006</v>
      </c>
      <c r="R12">
        <v>33.632402401130221</v>
      </c>
      <c r="S12" t="s">
        <v>31</v>
      </c>
      <c r="T12" t="s">
        <v>35</v>
      </c>
      <c r="U12">
        <v>0</v>
      </c>
      <c r="V12">
        <v>0</v>
      </c>
      <c r="W12">
        <v>0</v>
      </c>
    </row>
    <row r="13" spans="1:26" x14ac:dyDescent="0.3">
      <c r="A13" t="s">
        <v>138</v>
      </c>
      <c r="B13" t="s">
        <v>139</v>
      </c>
      <c r="C13">
        <v>9420139902195</v>
      </c>
      <c r="D13" t="s">
        <v>140</v>
      </c>
      <c r="E13" t="s">
        <v>2</v>
      </c>
      <c r="F13" t="s">
        <v>64</v>
      </c>
      <c r="G13">
        <v>0</v>
      </c>
      <c r="H13">
        <v>0.39329999999999998</v>
      </c>
      <c r="I13">
        <v>26.484554799045522</v>
      </c>
      <c r="J13">
        <v>0.44550494012552644</v>
      </c>
      <c r="K13">
        <v>0</v>
      </c>
      <c r="L13">
        <v>0</v>
      </c>
      <c r="N13">
        <v>-5.2204940125526456E-2</v>
      </c>
      <c r="O13">
        <v>0.44550494012552644</v>
      </c>
      <c r="P13">
        <v>-3.5154452009544777</v>
      </c>
      <c r="Q13">
        <v>-6.1758133814229224</v>
      </c>
      <c r="R13">
        <v>2.349108784853871</v>
      </c>
      <c r="S13" t="s">
        <v>31</v>
      </c>
      <c r="T13" t="s">
        <v>28</v>
      </c>
      <c r="U13">
        <v>0</v>
      </c>
      <c r="V13">
        <v>0</v>
      </c>
      <c r="W13">
        <v>0</v>
      </c>
    </row>
    <row r="14" spans="1:26" x14ac:dyDescent="0.3">
      <c r="A14" t="s">
        <v>141</v>
      </c>
      <c r="B14" t="s">
        <v>142</v>
      </c>
      <c r="C14">
        <v>9420139999195</v>
      </c>
      <c r="D14" t="s">
        <v>143</v>
      </c>
      <c r="E14" t="s">
        <v>2</v>
      </c>
      <c r="F14" t="s">
        <v>64</v>
      </c>
      <c r="G14">
        <v>0</v>
      </c>
      <c r="H14">
        <v>0.47879999999999984</v>
      </c>
      <c r="I14">
        <v>37.827427590666488</v>
      </c>
      <c r="J14">
        <v>0.37972447281993238</v>
      </c>
      <c r="K14">
        <v>0</v>
      </c>
      <c r="L14">
        <v>0</v>
      </c>
      <c r="N14">
        <v>9.9075527180067458E-2</v>
      </c>
      <c r="O14">
        <v>0.37972447281993238</v>
      </c>
      <c r="P14">
        <v>7.827427590666483</v>
      </c>
      <c r="Q14">
        <v>-1.5323876954863214</v>
      </c>
      <c r="R14">
        <v>57.268534077718797</v>
      </c>
      <c r="S14" t="s">
        <v>31</v>
      </c>
      <c r="T14" t="s">
        <v>28</v>
      </c>
      <c r="U14">
        <v>0</v>
      </c>
      <c r="V14">
        <v>0</v>
      </c>
      <c r="W14">
        <v>0</v>
      </c>
    </row>
    <row r="15" spans="1:26" x14ac:dyDescent="0.3">
      <c r="A15" t="s">
        <v>144</v>
      </c>
      <c r="B15" t="s">
        <v>145</v>
      </c>
      <c r="C15">
        <v>9432029902295</v>
      </c>
      <c r="D15" t="s">
        <v>129</v>
      </c>
      <c r="E15" t="s">
        <v>2</v>
      </c>
      <c r="F15" t="s">
        <v>64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N15">
        <v>0</v>
      </c>
      <c r="O15">
        <v>0</v>
      </c>
      <c r="P15">
        <v>9999</v>
      </c>
      <c r="Q15">
        <v>9999</v>
      </c>
      <c r="R15">
        <v>9999</v>
      </c>
      <c r="S15" t="s">
        <v>31</v>
      </c>
      <c r="T15" t="s">
        <v>35</v>
      </c>
      <c r="U15" t="s">
        <v>72</v>
      </c>
      <c r="V15" t="s">
        <v>72</v>
      </c>
      <c r="W15">
        <v>0</v>
      </c>
    </row>
    <row r="16" spans="1:26" x14ac:dyDescent="0.3">
      <c r="A16" t="s">
        <v>146</v>
      </c>
      <c r="B16" t="s">
        <v>147</v>
      </c>
      <c r="C16">
        <v>9432029999838</v>
      </c>
      <c r="D16" t="s">
        <v>135</v>
      </c>
      <c r="E16" t="s">
        <v>2</v>
      </c>
      <c r="F16" t="s">
        <v>64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N16">
        <v>0</v>
      </c>
      <c r="O16">
        <v>0</v>
      </c>
      <c r="P16">
        <v>9999</v>
      </c>
      <c r="Q16">
        <v>9999</v>
      </c>
      <c r="R16">
        <v>9999</v>
      </c>
      <c r="S16" t="s">
        <v>31</v>
      </c>
      <c r="T16" t="s">
        <v>35</v>
      </c>
      <c r="U16" t="s">
        <v>72</v>
      </c>
      <c r="V16" t="s">
        <v>72</v>
      </c>
      <c r="W16">
        <v>0</v>
      </c>
    </row>
    <row r="17" spans="1:23" x14ac:dyDescent="0.3">
      <c r="A17" t="s">
        <v>148</v>
      </c>
      <c r="B17" t="s">
        <v>149</v>
      </c>
      <c r="C17">
        <v>9432029902319</v>
      </c>
      <c r="D17" t="s">
        <v>129</v>
      </c>
      <c r="E17" t="s">
        <v>2</v>
      </c>
      <c r="F17" t="s">
        <v>64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N17">
        <v>0</v>
      </c>
      <c r="O17">
        <v>0</v>
      </c>
      <c r="P17">
        <v>9999</v>
      </c>
      <c r="Q17">
        <v>9999</v>
      </c>
      <c r="R17">
        <v>9999</v>
      </c>
      <c r="S17" t="s">
        <v>31</v>
      </c>
      <c r="T17" t="s">
        <v>35</v>
      </c>
      <c r="U17" t="s">
        <v>72</v>
      </c>
      <c r="V17" t="s">
        <v>72</v>
      </c>
      <c r="W17">
        <v>0</v>
      </c>
    </row>
    <row r="18" spans="1:23" x14ac:dyDescent="0.3">
      <c r="A18" t="s">
        <v>150</v>
      </c>
      <c r="B18" t="s">
        <v>151</v>
      </c>
      <c r="C18">
        <v>9330239901320</v>
      </c>
      <c r="D18" t="s">
        <v>152</v>
      </c>
      <c r="E18" t="s">
        <v>3</v>
      </c>
      <c r="F18" t="s">
        <v>64</v>
      </c>
      <c r="G18">
        <v>0</v>
      </c>
      <c r="H18">
        <v>14.14</v>
      </c>
      <c r="I18">
        <v>32.580135410678388</v>
      </c>
      <c r="J18">
        <v>13.020203711644651</v>
      </c>
      <c r="K18">
        <v>0</v>
      </c>
      <c r="L18">
        <v>0</v>
      </c>
      <c r="N18">
        <v>1.1197962883553494</v>
      </c>
      <c r="O18">
        <v>13.020203711644651</v>
      </c>
      <c r="P18">
        <v>2.5801354106783831</v>
      </c>
      <c r="Q18">
        <v>-2.4580437116455345</v>
      </c>
      <c r="R18">
        <v>20.963713443603194</v>
      </c>
      <c r="S18" t="s">
        <v>31</v>
      </c>
      <c r="T18" t="s">
        <v>35</v>
      </c>
      <c r="U18">
        <v>9330239900999</v>
      </c>
      <c r="V18">
        <v>0.1</v>
      </c>
      <c r="W18">
        <v>0</v>
      </c>
    </row>
    <row r="19" spans="1:23" x14ac:dyDescent="0.3">
      <c r="A19" t="s">
        <v>153</v>
      </c>
      <c r="B19" t="s">
        <v>154</v>
      </c>
      <c r="C19">
        <v>9160309999219</v>
      </c>
      <c r="D19" t="s">
        <v>118</v>
      </c>
      <c r="E19" t="s">
        <v>3</v>
      </c>
      <c r="F19" t="s">
        <v>64</v>
      </c>
      <c r="G19">
        <v>0</v>
      </c>
      <c r="H19">
        <v>2.8274999999999997</v>
      </c>
      <c r="I19">
        <v>52.479676922623852</v>
      </c>
      <c r="J19">
        <v>1.6163399810000003</v>
      </c>
      <c r="K19">
        <v>0</v>
      </c>
      <c r="L19">
        <v>0</v>
      </c>
      <c r="N19">
        <v>1.2111600189999994</v>
      </c>
      <c r="O19">
        <v>1.6163399810000003</v>
      </c>
      <c r="P19">
        <v>22.479676922623849</v>
      </c>
      <c r="Q19">
        <v>160.97030549284901</v>
      </c>
      <c r="R19">
        <v>94.69397932551874</v>
      </c>
      <c r="S19" t="s">
        <v>31</v>
      </c>
      <c r="T19" t="s">
        <v>34</v>
      </c>
      <c r="U19">
        <v>0</v>
      </c>
      <c r="V19">
        <v>0</v>
      </c>
      <c r="W19">
        <v>0</v>
      </c>
    </row>
    <row r="20" spans="1:23" x14ac:dyDescent="0.3">
      <c r="A20" t="s">
        <v>155</v>
      </c>
      <c r="B20" t="s">
        <v>156</v>
      </c>
      <c r="C20">
        <v>9330239902219</v>
      </c>
      <c r="D20" t="s">
        <v>157</v>
      </c>
      <c r="E20" t="s">
        <v>3</v>
      </c>
      <c r="F20" t="s">
        <v>64</v>
      </c>
      <c r="G20">
        <v>0</v>
      </c>
      <c r="H20">
        <v>2.1059999999999999</v>
      </c>
      <c r="I20">
        <v>45.754712967923602</v>
      </c>
      <c r="J20">
        <v>1.3808413582288761</v>
      </c>
      <c r="K20">
        <v>0</v>
      </c>
      <c r="L20">
        <v>0</v>
      </c>
      <c r="N20">
        <v>0.72515864177112377</v>
      </c>
      <c r="O20">
        <v>1.3808413582288761</v>
      </c>
      <c r="P20">
        <v>15.7547129679236</v>
      </c>
      <c r="Q20">
        <v>360.22169498673503</v>
      </c>
      <c r="R20">
        <v>108.78951492814019</v>
      </c>
      <c r="S20" t="s">
        <v>31</v>
      </c>
      <c r="T20" t="s">
        <v>35</v>
      </c>
      <c r="U20">
        <v>9330239900999</v>
      </c>
      <c r="V20">
        <v>0.1</v>
      </c>
      <c r="W20">
        <v>0</v>
      </c>
    </row>
    <row r="21" spans="1:23" x14ac:dyDescent="0.3">
      <c r="A21" t="s">
        <v>158</v>
      </c>
      <c r="B21" t="s">
        <v>159</v>
      </c>
      <c r="C21">
        <v>9330239901310</v>
      </c>
      <c r="D21" t="s">
        <v>152</v>
      </c>
      <c r="E21" t="s">
        <v>3</v>
      </c>
      <c r="F21" t="s">
        <v>64</v>
      </c>
      <c r="G21">
        <v>0</v>
      </c>
      <c r="H21">
        <v>1.8900000000000001</v>
      </c>
      <c r="I21">
        <v>44.864599826947156</v>
      </c>
      <c r="J21">
        <v>1.26380264660121</v>
      </c>
      <c r="K21">
        <v>0</v>
      </c>
      <c r="L21">
        <v>0</v>
      </c>
      <c r="N21">
        <v>0.62619735339879012</v>
      </c>
      <c r="O21">
        <v>1.26380264660121</v>
      </c>
      <c r="P21">
        <v>14.864599826947154</v>
      </c>
      <c r="Q21">
        <v>44.953335241191013</v>
      </c>
      <c r="R21">
        <v>35.837305192430364</v>
      </c>
      <c r="S21" t="s">
        <v>31</v>
      </c>
      <c r="T21" t="s">
        <v>35</v>
      </c>
      <c r="U21">
        <v>9330239900999</v>
      </c>
      <c r="V21">
        <v>0.1</v>
      </c>
      <c r="W21">
        <v>0</v>
      </c>
    </row>
    <row r="22" spans="1:23" x14ac:dyDescent="0.3">
      <c r="A22" t="s">
        <v>119</v>
      </c>
      <c r="B22" t="s">
        <v>160</v>
      </c>
      <c r="C22">
        <v>9320099902219</v>
      </c>
      <c r="D22" t="s">
        <v>121</v>
      </c>
      <c r="E22" t="s">
        <v>3</v>
      </c>
      <c r="F22" t="s">
        <v>64</v>
      </c>
      <c r="G22">
        <v>0</v>
      </c>
      <c r="H22">
        <v>0.39</v>
      </c>
      <c r="I22">
        <v>15.493446831409342</v>
      </c>
      <c r="J22">
        <v>0.75515797919679073</v>
      </c>
      <c r="K22">
        <v>0</v>
      </c>
      <c r="L22">
        <v>0</v>
      </c>
      <c r="N22">
        <v>-0.36515797919679072</v>
      </c>
      <c r="O22">
        <v>0.75515797919679073</v>
      </c>
      <c r="P22">
        <v>-14.506553168590656</v>
      </c>
      <c r="Q22">
        <v>7.9480248950048225</v>
      </c>
      <c r="R22">
        <v>9.8969629613434478</v>
      </c>
      <c r="S22" t="s">
        <v>31</v>
      </c>
      <c r="T22" t="s">
        <v>28</v>
      </c>
      <c r="U22">
        <v>9320099900999</v>
      </c>
      <c r="V22">
        <v>0.1</v>
      </c>
      <c r="W22">
        <v>0</v>
      </c>
    </row>
    <row r="23" spans="1:23" x14ac:dyDescent="0.3">
      <c r="A23" t="s">
        <v>130</v>
      </c>
      <c r="B23" t="s">
        <v>161</v>
      </c>
      <c r="C23">
        <v>9320089999839</v>
      </c>
      <c r="D23" t="s">
        <v>132</v>
      </c>
      <c r="E23" t="s">
        <v>3</v>
      </c>
      <c r="F23" t="s">
        <v>64</v>
      </c>
      <c r="G23">
        <v>0</v>
      </c>
      <c r="H23">
        <v>0.6552</v>
      </c>
      <c r="I23">
        <v>35.154184111728178</v>
      </c>
      <c r="J23">
        <v>0.55913685658380408</v>
      </c>
      <c r="K23">
        <v>0</v>
      </c>
      <c r="L23">
        <v>0</v>
      </c>
      <c r="N23">
        <v>9.6063143416195929E-2</v>
      </c>
      <c r="O23">
        <v>0.55913685658380408</v>
      </c>
      <c r="P23">
        <v>5.1541841117281741</v>
      </c>
      <c r="Q23">
        <v>17.76417898735728</v>
      </c>
      <c r="R23">
        <v>34.706112434215868</v>
      </c>
      <c r="S23" t="s">
        <v>31</v>
      </c>
      <c r="T23" t="s">
        <v>28</v>
      </c>
      <c r="U23">
        <v>0</v>
      </c>
      <c r="V23">
        <v>0</v>
      </c>
      <c r="W23">
        <v>0</v>
      </c>
    </row>
    <row r="24" spans="1:23" x14ac:dyDescent="0.3">
      <c r="A24" t="s">
        <v>127</v>
      </c>
      <c r="B24" t="s">
        <v>162</v>
      </c>
      <c r="C24">
        <v>9432029902838</v>
      </c>
      <c r="D24" t="s">
        <v>129</v>
      </c>
      <c r="E24" t="s">
        <v>3</v>
      </c>
      <c r="F24" t="s">
        <v>64</v>
      </c>
      <c r="G24">
        <v>0</v>
      </c>
      <c r="H24">
        <v>0.28879999999999995</v>
      </c>
      <c r="I24">
        <v>20.392339625363959</v>
      </c>
      <c r="J24">
        <v>0.42486542295635993</v>
      </c>
      <c r="K24">
        <v>0</v>
      </c>
      <c r="L24">
        <v>0</v>
      </c>
      <c r="N24">
        <v>-0.13606542295635998</v>
      </c>
      <c r="O24">
        <v>0.42486542295635993</v>
      </c>
      <c r="P24">
        <v>-9.6076603746360369</v>
      </c>
      <c r="Q24">
        <v>-1.7930652705351589</v>
      </c>
      <c r="R24">
        <v>24.383399457030091</v>
      </c>
      <c r="S24" t="s">
        <v>31</v>
      </c>
      <c r="T24" t="s">
        <v>35</v>
      </c>
      <c r="U24">
        <v>0</v>
      </c>
      <c r="V24">
        <v>0</v>
      </c>
      <c r="W24">
        <v>0</v>
      </c>
    </row>
    <row r="25" spans="1:23" x14ac:dyDescent="0.3">
      <c r="A25" t="s">
        <v>133</v>
      </c>
      <c r="B25" t="s">
        <v>163</v>
      </c>
      <c r="C25">
        <v>9432029999195</v>
      </c>
      <c r="D25" t="s">
        <v>135</v>
      </c>
      <c r="E25" t="s">
        <v>3</v>
      </c>
      <c r="F25" t="s">
        <v>64</v>
      </c>
      <c r="G25">
        <v>0</v>
      </c>
      <c r="H25">
        <v>0.27929999999999994</v>
      </c>
      <c r="I25">
        <v>20.466721255032663</v>
      </c>
      <c r="J25">
        <v>0.40939630220153822</v>
      </c>
      <c r="K25">
        <v>0</v>
      </c>
      <c r="L25">
        <v>0</v>
      </c>
      <c r="N25">
        <v>-0.13009630220153828</v>
      </c>
      <c r="O25">
        <v>0.40939630220153822</v>
      </c>
      <c r="P25">
        <v>-9.5332787449673351</v>
      </c>
      <c r="Q25">
        <v>10.876230397891272</v>
      </c>
      <c r="R25">
        <v>58.311241857163481</v>
      </c>
      <c r="S25" t="s">
        <v>31</v>
      </c>
      <c r="T25" t="s">
        <v>35</v>
      </c>
      <c r="U25">
        <v>0</v>
      </c>
      <c r="V25">
        <v>0</v>
      </c>
      <c r="W25">
        <v>0</v>
      </c>
    </row>
    <row r="26" spans="1:23" x14ac:dyDescent="0.3">
      <c r="A26" t="s">
        <v>164</v>
      </c>
      <c r="B26" t="s">
        <v>165</v>
      </c>
      <c r="C26">
        <v>9330239901840</v>
      </c>
      <c r="D26" t="s">
        <v>152</v>
      </c>
      <c r="E26" t="s">
        <v>3</v>
      </c>
      <c r="F26" t="s">
        <v>64</v>
      </c>
      <c r="G26">
        <v>0</v>
      </c>
      <c r="H26">
        <v>0.56000000000000005</v>
      </c>
      <c r="I26">
        <v>47.28922977225821</v>
      </c>
      <c r="J26">
        <v>0.35526059698810253</v>
      </c>
      <c r="K26">
        <v>0</v>
      </c>
      <c r="L26">
        <v>0</v>
      </c>
      <c r="N26">
        <v>0.20473940301189752</v>
      </c>
      <c r="O26">
        <v>0.35526059698810253</v>
      </c>
      <c r="P26">
        <v>17.289229772258203</v>
      </c>
      <c r="Q26">
        <v>8.0260989643624594</v>
      </c>
      <c r="R26">
        <v>18.660963806595074</v>
      </c>
      <c r="S26" t="s">
        <v>31</v>
      </c>
      <c r="T26" t="s">
        <v>35</v>
      </c>
      <c r="U26">
        <v>0</v>
      </c>
      <c r="V26">
        <v>0</v>
      </c>
      <c r="W26">
        <v>0</v>
      </c>
    </row>
    <row r="27" spans="1:23" x14ac:dyDescent="0.3">
      <c r="A27" t="s">
        <v>136</v>
      </c>
      <c r="B27" t="s">
        <v>166</v>
      </c>
      <c r="C27">
        <v>9432029902195</v>
      </c>
      <c r="D27" t="s">
        <v>129</v>
      </c>
      <c r="E27" t="s">
        <v>3</v>
      </c>
      <c r="F27" t="s">
        <v>64</v>
      </c>
      <c r="G27">
        <v>0</v>
      </c>
      <c r="H27">
        <v>0.15959999999999994</v>
      </c>
      <c r="I27">
        <v>13.502783526321103</v>
      </c>
      <c r="J27">
        <v>0.3545935540377067</v>
      </c>
      <c r="K27">
        <v>0</v>
      </c>
      <c r="L27">
        <v>0</v>
      </c>
      <c r="N27">
        <v>-0.19499355403770677</v>
      </c>
      <c r="O27">
        <v>0.3545935540377067</v>
      </c>
      <c r="P27">
        <v>-16.497216473678897</v>
      </c>
      <c r="Q27">
        <v>-14.117302806057006</v>
      </c>
      <c r="R27">
        <v>33.632402401130221</v>
      </c>
      <c r="S27" t="s">
        <v>31</v>
      </c>
      <c r="T27" t="s">
        <v>35</v>
      </c>
      <c r="U27">
        <v>0</v>
      </c>
      <c r="V27">
        <v>0</v>
      </c>
      <c r="W27">
        <v>0</v>
      </c>
    </row>
    <row r="28" spans="1:23" x14ac:dyDescent="0.3">
      <c r="A28" t="s">
        <v>122</v>
      </c>
      <c r="B28" t="s">
        <v>167</v>
      </c>
      <c r="C28">
        <v>9320099902839</v>
      </c>
      <c r="D28" t="s">
        <v>121</v>
      </c>
      <c r="E28" t="s">
        <v>3</v>
      </c>
      <c r="F28" t="s">
        <v>64</v>
      </c>
      <c r="G28">
        <v>0</v>
      </c>
      <c r="H28">
        <v>0.76440000000000008</v>
      </c>
      <c r="I28">
        <v>64.762194362162376</v>
      </c>
      <c r="J28">
        <v>0.35409547539047154</v>
      </c>
      <c r="K28">
        <v>0</v>
      </c>
      <c r="L28">
        <v>0</v>
      </c>
      <c r="N28">
        <v>0.41030452460952854</v>
      </c>
      <c r="O28">
        <v>0.35409547539047154</v>
      </c>
      <c r="P28">
        <v>34.762194362162383</v>
      </c>
      <c r="Q28">
        <v>16.154613965619422</v>
      </c>
      <c r="R28">
        <v>29.236625661590598</v>
      </c>
      <c r="S28" t="s">
        <v>31</v>
      </c>
      <c r="T28" t="s">
        <v>28</v>
      </c>
      <c r="U28">
        <v>0</v>
      </c>
      <c r="V28">
        <v>0</v>
      </c>
      <c r="W28">
        <v>0</v>
      </c>
    </row>
    <row r="29" spans="1:23" x14ac:dyDescent="0.3">
      <c r="A29" t="s">
        <v>168</v>
      </c>
      <c r="B29" t="s">
        <v>169</v>
      </c>
      <c r="C29">
        <v>9330239999839</v>
      </c>
      <c r="D29" t="s">
        <v>170</v>
      </c>
      <c r="E29" t="s">
        <v>3</v>
      </c>
      <c r="F29" t="s">
        <v>64</v>
      </c>
      <c r="G29">
        <v>0</v>
      </c>
      <c r="H29">
        <v>0.48359999999999997</v>
      </c>
      <c r="I29">
        <v>42.491076791121692</v>
      </c>
      <c r="J29">
        <v>0.34143639313540242</v>
      </c>
      <c r="K29">
        <v>0</v>
      </c>
      <c r="L29">
        <v>0</v>
      </c>
      <c r="N29">
        <v>0.14216360686459756</v>
      </c>
      <c r="O29">
        <v>0.34143639313540242</v>
      </c>
      <c r="P29">
        <v>12.491076791121692</v>
      </c>
      <c r="Q29">
        <v>13.828371584584371</v>
      </c>
      <c r="R29">
        <v>40.280980357929735</v>
      </c>
      <c r="S29" t="s">
        <v>31</v>
      </c>
      <c r="T29" t="s">
        <v>35</v>
      </c>
      <c r="U29">
        <v>0</v>
      </c>
      <c r="V29">
        <v>0</v>
      </c>
      <c r="W29">
        <v>0</v>
      </c>
    </row>
    <row r="30" spans="1:23" x14ac:dyDescent="0.3">
      <c r="A30" t="s">
        <v>124</v>
      </c>
      <c r="B30" t="s">
        <v>171</v>
      </c>
      <c r="C30">
        <v>9320099999839</v>
      </c>
      <c r="D30" t="s">
        <v>126</v>
      </c>
      <c r="E30" t="s">
        <v>3</v>
      </c>
      <c r="F30" t="s">
        <v>64</v>
      </c>
      <c r="G30">
        <v>0</v>
      </c>
      <c r="H30">
        <v>0.28079999999999999</v>
      </c>
      <c r="I30">
        <v>25.713032156137828</v>
      </c>
      <c r="J30">
        <v>0.32761597110938739</v>
      </c>
      <c r="K30">
        <v>0</v>
      </c>
      <c r="L30">
        <v>0</v>
      </c>
      <c r="N30">
        <v>-4.68159711093874E-2</v>
      </c>
      <c r="O30">
        <v>0.32761597110938739</v>
      </c>
      <c r="P30">
        <v>-4.2869678438621719</v>
      </c>
      <c r="Q30">
        <v>-2.4688219223891821</v>
      </c>
      <c r="R30">
        <v>-6.2561748552508645</v>
      </c>
      <c r="S30" t="s">
        <v>31</v>
      </c>
      <c r="T30" t="s">
        <v>28</v>
      </c>
      <c r="U30">
        <v>0</v>
      </c>
      <c r="V30">
        <v>0</v>
      </c>
      <c r="W30">
        <v>0</v>
      </c>
    </row>
    <row r="31" spans="1:23" x14ac:dyDescent="0.3">
      <c r="A31" t="s">
        <v>172</v>
      </c>
      <c r="B31" t="s">
        <v>173</v>
      </c>
      <c r="C31">
        <v>9330239902839</v>
      </c>
      <c r="D31" t="s">
        <v>157</v>
      </c>
      <c r="E31" t="s">
        <v>3</v>
      </c>
      <c r="F31" t="s">
        <v>64</v>
      </c>
      <c r="G31">
        <v>0</v>
      </c>
      <c r="H31">
        <v>0.3276</v>
      </c>
      <c r="I31">
        <v>33.44620834170253</v>
      </c>
      <c r="J31">
        <v>0.29384496740534627</v>
      </c>
      <c r="K31">
        <v>0</v>
      </c>
      <c r="L31">
        <v>0</v>
      </c>
      <c r="N31">
        <v>3.3755032594653733E-2</v>
      </c>
      <c r="O31">
        <v>0.29384496740534627</v>
      </c>
      <c r="P31">
        <v>3.4462083417025289</v>
      </c>
      <c r="Q31">
        <v>9.0940720977324947</v>
      </c>
      <c r="R31">
        <v>23.089577270690807</v>
      </c>
      <c r="S31" t="s">
        <v>31</v>
      </c>
      <c r="T31" t="s">
        <v>35</v>
      </c>
      <c r="U31">
        <v>0</v>
      </c>
      <c r="V31">
        <v>0</v>
      </c>
      <c r="W31">
        <v>0</v>
      </c>
    </row>
    <row r="32" spans="1:23" x14ac:dyDescent="0.3">
      <c r="A32" t="s">
        <v>141</v>
      </c>
      <c r="B32" t="s">
        <v>174</v>
      </c>
      <c r="C32">
        <v>9420139999195</v>
      </c>
      <c r="D32" t="s">
        <v>143</v>
      </c>
      <c r="E32" t="s">
        <v>3</v>
      </c>
      <c r="F32" t="s">
        <v>64</v>
      </c>
      <c r="G32">
        <v>0</v>
      </c>
      <c r="H32">
        <v>0.1482</v>
      </c>
      <c r="I32">
        <v>15.820577072711579</v>
      </c>
      <c r="J32">
        <v>0.28102641133544787</v>
      </c>
      <c r="K32">
        <v>0</v>
      </c>
      <c r="L32">
        <v>0</v>
      </c>
      <c r="N32">
        <v>-0.13282641133544787</v>
      </c>
      <c r="O32">
        <v>0.28102641133544787</v>
      </c>
      <c r="P32">
        <v>-14.179422927288421</v>
      </c>
      <c r="Q32">
        <v>-1.5323876954863214</v>
      </c>
      <c r="R32">
        <v>57.268534077718797</v>
      </c>
      <c r="S32" t="s">
        <v>31</v>
      </c>
      <c r="T32" t="s">
        <v>28</v>
      </c>
      <c r="U32">
        <v>0</v>
      </c>
      <c r="V32">
        <v>0</v>
      </c>
      <c r="W32">
        <v>0</v>
      </c>
    </row>
    <row r="33" spans="1:23" x14ac:dyDescent="0.3">
      <c r="A33" t="s">
        <v>138</v>
      </c>
      <c r="B33" t="s">
        <v>175</v>
      </c>
      <c r="C33">
        <v>9420139902195</v>
      </c>
      <c r="D33" t="s">
        <v>140</v>
      </c>
      <c r="E33" t="s">
        <v>3</v>
      </c>
      <c r="F33" t="s">
        <v>64</v>
      </c>
      <c r="G33">
        <v>0</v>
      </c>
      <c r="H33">
        <v>0.15389999999999998</v>
      </c>
      <c r="I33">
        <v>18.957659809958791</v>
      </c>
      <c r="J33">
        <v>0.24354271815631001</v>
      </c>
      <c r="K33">
        <v>0</v>
      </c>
      <c r="L33">
        <v>0</v>
      </c>
      <c r="N33">
        <v>-8.9642718156310031E-2</v>
      </c>
      <c r="O33">
        <v>0.24354271815631001</v>
      </c>
      <c r="P33">
        <v>-11.042340190041209</v>
      </c>
      <c r="Q33">
        <v>-6.1758133814229224</v>
      </c>
      <c r="R33">
        <v>2.349108784853871</v>
      </c>
      <c r="S33" t="s">
        <v>31</v>
      </c>
      <c r="T33" t="s">
        <v>28</v>
      </c>
      <c r="U33">
        <v>0</v>
      </c>
      <c r="V33">
        <v>0</v>
      </c>
      <c r="W33">
        <v>0</v>
      </c>
    </row>
    <row r="34" spans="1:23" x14ac:dyDescent="0.3">
      <c r="A34" t="s">
        <v>176</v>
      </c>
      <c r="B34" t="s">
        <v>177</v>
      </c>
      <c r="C34">
        <v>9330239901210</v>
      </c>
      <c r="D34" t="s">
        <v>152</v>
      </c>
      <c r="E34" t="s">
        <v>3</v>
      </c>
      <c r="F34" t="s">
        <v>64</v>
      </c>
      <c r="G34">
        <v>0</v>
      </c>
      <c r="H34">
        <v>0.15000000000000002</v>
      </c>
      <c r="I34">
        <v>37.143664747844618</v>
      </c>
      <c r="J34">
        <v>0.12115121193745773</v>
      </c>
      <c r="K34">
        <v>0</v>
      </c>
      <c r="L34">
        <v>0</v>
      </c>
      <c r="N34">
        <v>2.8848788062542291E-2</v>
      </c>
      <c r="O34">
        <v>0.12115121193745773</v>
      </c>
      <c r="P34">
        <v>7.1436647478446167</v>
      </c>
      <c r="Q34">
        <v>16.548812070552014</v>
      </c>
      <c r="R34">
        <v>18.702193596230924</v>
      </c>
      <c r="S34" t="s">
        <v>31</v>
      </c>
      <c r="T34" t="s">
        <v>35</v>
      </c>
      <c r="U34">
        <v>0</v>
      </c>
      <c r="V34">
        <v>0</v>
      </c>
      <c r="W34">
        <v>0</v>
      </c>
    </row>
    <row r="35" spans="1:23" x14ac:dyDescent="0.3">
      <c r="A35" t="s">
        <v>178</v>
      </c>
      <c r="B35" t="s">
        <v>179</v>
      </c>
      <c r="C35">
        <v>9420139902838</v>
      </c>
      <c r="D35" t="s">
        <v>140</v>
      </c>
      <c r="E35" t="s">
        <v>3</v>
      </c>
      <c r="F35" t="s">
        <v>64</v>
      </c>
      <c r="G35">
        <v>0</v>
      </c>
      <c r="H35">
        <v>0</v>
      </c>
      <c r="I35">
        <v>0</v>
      </c>
      <c r="J35">
        <v>9.7499972000000004E-2</v>
      </c>
      <c r="K35">
        <v>0</v>
      </c>
      <c r="L35">
        <v>0</v>
      </c>
      <c r="N35">
        <v>-9.7499972000000004E-2</v>
      </c>
      <c r="O35">
        <v>9.7499972000000004E-2</v>
      </c>
      <c r="P35">
        <v>-30</v>
      </c>
      <c r="Q35">
        <v>-30</v>
      </c>
      <c r="R35">
        <v>-30</v>
      </c>
      <c r="S35">
        <v>0</v>
      </c>
      <c r="T35" t="s">
        <v>28</v>
      </c>
      <c r="U35">
        <v>0</v>
      </c>
      <c r="V35">
        <v>0</v>
      </c>
      <c r="W35">
        <v>0</v>
      </c>
    </row>
    <row r="36" spans="1:23" x14ac:dyDescent="0.3">
      <c r="A36" t="s">
        <v>144</v>
      </c>
      <c r="B36" t="s">
        <v>180</v>
      </c>
      <c r="C36">
        <v>9432029902295</v>
      </c>
      <c r="D36" t="s">
        <v>129</v>
      </c>
      <c r="E36" t="s">
        <v>3</v>
      </c>
      <c r="F36" t="s">
        <v>64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N36">
        <v>0</v>
      </c>
      <c r="O36">
        <v>0</v>
      </c>
      <c r="P36">
        <v>9999</v>
      </c>
      <c r="Q36">
        <v>9999</v>
      </c>
      <c r="R36">
        <v>9999</v>
      </c>
      <c r="S36" t="s">
        <v>31</v>
      </c>
      <c r="T36" t="s">
        <v>35</v>
      </c>
      <c r="U36" t="s">
        <v>72</v>
      </c>
      <c r="V36" t="s">
        <v>72</v>
      </c>
      <c r="W36">
        <v>0</v>
      </c>
    </row>
    <row r="37" spans="1:23" x14ac:dyDescent="0.3">
      <c r="A37" t="s">
        <v>148</v>
      </c>
      <c r="B37" t="s">
        <v>181</v>
      </c>
      <c r="C37">
        <v>9432029902319</v>
      </c>
      <c r="D37" t="s">
        <v>129</v>
      </c>
      <c r="E37" t="s">
        <v>3</v>
      </c>
      <c r="F37" t="s">
        <v>64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N37">
        <v>0</v>
      </c>
      <c r="O37">
        <v>0</v>
      </c>
      <c r="P37">
        <v>9999</v>
      </c>
      <c r="Q37">
        <v>9999</v>
      </c>
      <c r="R37">
        <v>9999</v>
      </c>
      <c r="S37" t="s">
        <v>31</v>
      </c>
      <c r="T37" t="s">
        <v>35</v>
      </c>
      <c r="U37" t="s">
        <v>72</v>
      </c>
      <c r="V37" t="s">
        <v>72</v>
      </c>
      <c r="W37">
        <v>0</v>
      </c>
    </row>
    <row r="38" spans="1:23" x14ac:dyDescent="0.3">
      <c r="A38" t="s">
        <v>146</v>
      </c>
      <c r="B38" t="s">
        <v>182</v>
      </c>
      <c r="C38">
        <v>9432029999838</v>
      </c>
      <c r="D38" t="s">
        <v>135</v>
      </c>
      <c r="E38" t="s">
        <v>3</v>
      </c>
      <c r="F38" t="s">
        <v>64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N38">
        <v>0</v>
      </c>
      <c r="O38">
        <v>0</v>
      </c>
      <c r="P38">
        <v>9999</v>
      </c>
      <c r="Q38">
        <v>9999</v>
      </c>
      <c r="R38">
        <v>9999</v>
      </c>
      <c r="S38" t="s">
        <v>31</v>
      </c>
      <c r="T38" t="s">
        <v>35</v>
      </c>
      <c r="U38" t="s">
        <v>72</v>
      </c>
      <c r="V38" t="s">
        <v>72</v>
      </c>
      <c r="W38">
        <v>0</v>
      </c>
    </row>
    <row r="39" spans="1:23" x14ac:dyDescent="0.3">
      <c r="A39" t="s">
        <v>183</v>
      </c>
      <c r="B39" t="s">
        <v>184</v>
      </c>
      <c r="C39">
        <v>9330239902219</v>
      </c>
      <c r="D39" t="s">
        <v>157</v>
      </c>
      <c r="E39" t="s">
        <v>4</v>
      </c>
      <c r="F39" t="s">
        <v>65</v>
      </c>
      <c r="G39">
        <v>0</v>
      </c>
      <c r="H39">
        <v>1.5599999999999998</v>
      </c>
      <c r="I39">
        <v>22.969955932849935</v>
      </c>
      <c r="J39">
        <v>2.0374440480780414</v>
      </c>
      <c r="K39">
        <v>0</v>
      </c>
      <c r="L39">
        <v>0</v>
      </c>
      <c r="N39">
        <v>-0.47744404807804153</v>
      </c>
      <c r="O39">
        <v>2.0374440480780414</v>
      </c>
      <c r="P39">
        <v>-7.0300440671500652</v>
      </c>
      <c r="Q39">
        <v>-2.4753528361946899</v>
      </c>
      <c r="R39">
        <v>108.78951492814019</v>
      </c>
      <c r="S39" t="s">
        <v>31</v>
      </c>
      <c r="T39" t="s">
        <v>35</v>
      </c>
      <c r="U39">
        <v>9330239900999</v>
      </c>
      <c r="V39">
        <v>0.1</v>
      </c>
      <c r="W39">
        <v>0</v>
      </c>
    </row>
    <row r="40" spans="1:23" x14ac:dyDescent="0.3">
      <c r="A40" t="s">
        <v>185</v>
      </c>
      <c r="B40" t="s">
        <v>186</v>
      </c>
      <c r="C40">
        <v>9320099902219</v>
      </c>
      <c r="D40" t="s">
        <v>121</v>
      </c>
      <c r="E40" t="s">
        <v>4</v>
      </c>
      <c r="F40" t="s">
        <v>65</v>
      </c>
      <c r="G40">
        <v>0</v>
      </c>
      <c r="H40">
        <v>1.7549999999999999</v>
      </c>
      <c r="I40">
        <v>32.80633143949246</v>
      </c>
      <c r="J40">
        <v>1.6048731354527377</v>
      </c>
      <c r="K40">
        <v>0</v>
      </c>
      <c r="L40">
        <v>0</v>
      </c>
      <c r="N40">
        <v>0.15012686454726221</v>
      </c>
      <c r="O40">
        <v>1.6048731354527377</v>
      </c>
      <c r="P40">
        <v>2.8063314394924648</v>
      </c>
      <c r="Q40">
        <v>-4.0985731369993443</v>
      </c>
      <c r="R40">
        <v>9.8969629613434478</v>
      </c>
      <c r="S40" t="s">
        <v>31</v>
      </c>
      <c r="T40" t="s">
        <v>28</v>
      </c>
      <c r="U40">
        <v>9320099900999</v>
      </c>
      <c r="V40">
        <v>0.1</v>
      </c>
      <c r="W40">
        <v>0</v>
      </c>
    </row>
    <row r="41" spans="1:23" x14ac:dyDescent="0.3">
      <c r="A41" t="s">
        <v>187</v>
      </c>
      <c r="B41" t="s">
        <v>188</v>
      </c>
      <c r="C41">
        <v>9320089999839</v>
      </c>
      <c r="D41" t="s">
        <v>132</v>
      </c>
      <c r="E41" t="s">
        <v>4</v>
      </c>
      <c r="F41" t="s">
        <v>65</v>
      </c>
      <c r="G41">
        <v>0</v>
      </c>
      <c r="H41">
        <v>3.0341999999999993</v>
      </c>
      <c r="I41">
        <v>59.791172556197417</v>
      </c>
      <c r="J41">
        <v>1.5223986436199275</v>
      </c>
      <c r="K41">
        <v>0</v>
      </c>
      <c r="L41">
        <v>0</v>
      </c>
      <c r="N41">
        <v>1.5118013563800718</v>
      </c>
      <c r="O41">
        <v>1.5223986436199275</v>
      </c>
      <c r="P41">
        <v>29.791172556197417</v>
      </c>
      <c r="Q41">
        <v>24.769618585289059</v>
      </c>
      <c r="R41">
        <v>34.706112434215868</v>
      </c>
      <c r="S41" t="s">
        <v>31</v>
      </c>
      <c r="T41" t="s">
        <v>28</v>
      </c>
      <c r="U41">
        <v>0</v>
      </c>
      <c r="V41">
        <v>0</v>
      </c>
      <c r="W41">
        <v>0</v>
      </c>
    </row>
    <row r="42" spans="1:23" x14ac:dyDescent="0.3">
      <c r="A42" t="s">
        <v>189</v>
      </c>
      <c r="B42" t="s">
        <v>190</v>
      </c>
      <c r="C42">
        <v>9330239905839</v>
      </c>
      <c r="D42" t="s">
        <v>191</v>
      </c>
      <c r="E42" t="s">
        <v>4</v>
      </c>
      <c r="F42" t="s">
        <v>65</v>
      </c>
      <c r="G42">
        <v>0</v>
      </c>
      <c r="H42">
        <v>0</v>
      </c>
      <c r="I42">
        <v>0</v>
      </c>
      <c r="J42">
        <v>1.1451259214514062</v>
      </c>
      <c r="K42">
        <v>0</v>
      </c>
      <c r="L42">
        <v>0</v>
      </c>
      <c r="N42">
        <v>-1.1451259214514062</v>
      </c>
      <c r="O42">
        <v>1.1451259214514062</v>
      </c>
      <c r="P42">
        <v>-30</v>
      </c>
      <c r="Q42">
        <v>-30</v>
      </c>
      <c r="R42">
        <v>-29.999999999999996</v>
      </c>
      <c r="S42" t="s">
        <v>31</v>
      </c>
      <c r="T42" t="s">
        <v>35</v>
      </c>
      <c r="U42">
        <v>0</v>
      </c>
      <c r="V42">
        <v>0</v>
      </c>
      <c r="W42">
        <v>0</v>
      </c>
    </row>
    <row r="43" spans="1:23" x14ac:dyDescent="0.3">
      <c r="A43" t="s">
        <v>192</v>
      </c>
      <c r="B43" t="s">
        <v>193</v>
      </c>
      <c r="C43">
        <v>9320099905839</v>
      </c>
      <c r="D43" t="s">
        <v>194</v>
      </c>
      <c r="E43" t="s">
        <v>4</v>
      </c>
      <c r="F43" t="s">
        <v>65</v>
      </c>
      <c r="G43">
        <v>0</v>
      </c>
      <c r="H43">
        <v>0</v>
      </c>
      <c r="I43">
        <v>0</v>
      </c>
      <c r="J43">
        <v>1.1301125092136086</v>
      </c>
      <c r="K43">
        <v>0</v>
      </c>
      <c r="L43">
        <v>0</v>
      </c>
      <c r="N43">
        <v>-1.1301125092136086</v>
      </c>
      <c r="O43">
        <v>1.1301125092136086</v>
      </c>
      <c r="P43">
        <v>-30</v>
      </c>
      <c r="Q43">
        <v>-29.999999999999996</v>
      </c>
      <c r="R43">
        <v>-30</v>
      </c>
      <c r="S43" t="s">
        <v>31</v>
      </c>
      <c r="T43" t="s">
        <v>28</v>
      </c>
      <c r="U43">
        <v>0</v>
      </c>
      <c r="V43">
        <v>0</v>
      </c>
      <c r="W43">
        <v>0</v>
      </c>
    </row>
    <row r="44" spans="1:23" x14ac:dyDescent="0.3">
      <c r="A44" t="s">
        <v>195</v>
      </c>
      <c r="B44" t="s">
        <v>196</v>
      </c>
      <c r="C44">
        <v>9330239999839</v>
      </c>
      <c r="D44" t="s">
        <v>170</v>
      </c>
      <c r="E44" t="s">
        <v>4</v>
      </c>
      <c r="F44" t="s">
        <v>65</v>
      </c>
      <c r="G44">
        <v>0</v>
      </c>
      <c r="H44">
        <v>1.9811999999999994</v>
      </c>
      <c r="I44">
        <v>74.556373892086015</v>
      </c>
      <c r="J44">
        <v>0.79719542270159915</v>
      </c>
      <c r="K44">
        <v>0</v>
      </c>
      <c r="L44">
        <v>0</v>
      </c>
      <c r="N44">
        <v>1.1840045772984003</v>
      </c>
      <c r="O44">
        <v>0.79719542270159915</v>
      </c>
      <c r="P44">
        <v>44.556373892086015</v>
      </c>
      <c r="Q44">
        <v>38.829531023452333</v>
      </c>
      <c r="R44">
        <v>40.280980357929735</v>
      </c>
      <c r="S44" t="s">
        <v>31</v>
      </c>
      <c r="T44" t="s">
        <v>35</v>
      </c>
      <c r="U44">
        <v>0</v>
      </c>
      <c r="V44">
        <v>0</v>
      </c>
      <c r="W44">
        <v>0</v>
      </c>
    </row>
    <row r="45" spans="1:23" x14ac:dyDescent="0.3">
      <c r="A45" t="s">
        <v>197</v>
      </c>
      <c r="B45" t="s">
        <v>198</v>
      </c>
      <c r="C45">
        <v>9330239902839</v>
      </c>
      <c r="D45" t="s">
        <v>157</v>
      </c>
      <c r="E45" t="s">
        <v>4</v>
      </c>
      <c r="F45" t="s">
        <v>65</v>
      </c>
      <c r="G45">
        <v>0</v>
      </c>
      <c r="H45">
        <v>1.9148999999999998</v>
      </c>
      <c r="I45">
        <v>72.725665288743841</v>
      </c>
      <c r="J45">
        <v>0.78991370889378976</v>
      </c>
      <c r="K45">
        <v>0</v>
      </c>
      <c r="L45">
        <v>0</v>
      </c>
      <c r="N45">
        <v>1.1249862911062101</v>
      </c>
      <c r="O45">
        <v>0.78991370889378976</v>
      </c>
      <c r="P45">
        <v>42.725665288743848</v>
      </c>
      <c r="Q45">
        <v>38.774247922888307</v>
      </c>
      <c r="R45">
        <v>23.089577270690807</v>
      </c>
      <c r="S45" t="s">
        <v>31</v>
      </c>
      <c r="T45" t="s">
        <v>35</v>
      </c>
      <c r="U45">
        <v>0</v>
      </c>
      <c r="V45">
        <v>0</v>
      </c>
      <c r="W45">
        <v>0</v>
      </c>
    </row>
    <row r="46" spans="1:23" x14ac:dyDescent="0.3">
      <c r="A46" t="s">
        <v>199</v>
      </c>
      <c r="B46" t="s">
        <v>200</v>
      </c>
      <c r="C46">
        <v>9432029905190</v>
      </c>
      <c r="D46" t="s">
        <v>201</v>
      </c>
      <c r="E46" t="s">
        <v>4</v>
      </c>
      <c r="F46" t="s">
        <v>65</v>
      </c>
      <c r="G46">
        <v>0</v>
      </c>
      <c r="H46">
        <v>0</v>
      </c>
      <c r="I46">
        <v>0</v>
      </c>
      <c r="J46">
        <v>0.72524625473960669</v>
      </c>
      <c r="K46">
        <v>0</v>
      </c>
      <c r="L46">
        <v>0</v>
      </c>
      <c r="N46">
        <v>-0.72524625473960669</v>
      </c>
      <c r="O46">
        <v>0.72524625473960669</v>
      </c>
      <c r="P46">
        <v>-30</v>
      </c>
      <c r="Q46">
        <v>-29.999999999999996</v>
      </c>
      <c r="R46">
        <v>-29.999999999999996</v>
      </c>
      <c r="S46" t="s">
        <v>31</v>
      </c>
      <c r="T46" t="s">
        <v>35</v>
      </c>
      <c r="U46">
        <v>0</v>
      </c>
      <c r="V46">
        <v>0</v>
      </c>
      <c r="W46">
        <v>0</v>
      </c>
    </row>
    <row r="47" spans="1:23" x14ac:dyDescent="0.3">
      <c r="A47" t="s">
        <v>202</v>
      </c>
      <c r="B47" t="s">
        <v>203</v>
      </c>
      <c r="C47">
        <v>9432029902838</v>
      </c>
      <c r="D47" t="s">
        <v>129</v>
      </c>
      <c r="E47" t="s">
        <v>4</v>
      </c>
      <c r="F47" t="s">
        <v>65</v>
      </c>
      <c r="G47">
        <v>0</v>
      </c>
      <c r="H47">
        <v>0.89679999999999982</v>
      </c>
      <c r="I47">
        <v>39.637350919085826</v>
      </c>
      <c r="J47">
        <v>0.678753735458275</v>
      </c>
      <c r="K47">
        <v>0</v>
      </c>
      <c r="L47">
        <v>0</v>
      </c>
      <c r="N47">
        <v>0.21804626454172482</v>
      </c>
      <c r="O47">
        <v>0.678753735458275</v>
      </c>
      <c r="P47">
        <v>9.6373509190858275</v>
      </c>
      <c r="Q47">
        <v>16.455374604043591</v>
      </c>
      <c r="R47">
        <v>24.383399457030091</v>
      </c>
      <c r="S47" t="s">
        <v>31</v>
      </c>
      <c r="T47" t="s">
        <v>35</v>
      </c>
      <c r="U47">
        <v>0</v>
      </c>
      <c r="V47">
        <v>0</v>
      </c>
      <c r="W47">
        <v>0</v>
      </c>
    </row>
    <row r="48" spans="1:23" x14ac:dyDescent="0.3">
      <c r="A48" t="s">
        <v>204</v>
      </c>
      <c r="B48" t="s">
        <v>205</v>
      </c>
      <c r="C48">
        <v>9160309999219</v>
      </c>
      <c r="D48" t="s">
        <v>118</v>
      </c>
      <c r="E48" t="s">
        <v>4</v>
      </c>
      <c r="F48" t="s">
        <v>65</v>
      </c>
      <c r="G48">
        <v>0</v>
      </c>
      <c r="H48">
        <v>1.3260000000000001</v>
      </c>
      <c r="I48">
        <v>61.952276775138635</v>
      </c>
      <c r="J48">
        <v>0.6421071519999999</v>
      </c>
      <c r="K48">
        <v>0</v>
      </c>
      <c r="L48">
        <v>0</v>
      </c>
      <c r="N48">
        <v>0.68389284800000016</v>
      </c>
      <c r="O48">
        <v>0.6421071519999999</v>
      </c>
      <c r="P48">
        <v>31.952276775138625</v>
      </c>
      <c r="Q48">
        <v>18.061780502266089</v>
      </c>
      <c r="R48">
        <v>94.69397932551874</v>
      </c>
      <c r="S48" t="s">
        <v>31</v>
      </c>
      <c r="T48" t="s">
        <v>34</v>
      </c>
      <c r="U48">
        <v>0</v>
      </c>
      <c r="V48">
        <v>0</v>
      </c>
      <c r="W48">
        <v>0</v>
      </c>
    </row>
    <row r="49" spans="1:23" x14ac:dyDescent="0.3">
      <c r="A49" t="s">
        <v>206</v>
      </c>
      <c r="B49" t="s">
        <v>207</v>
      </c>
      <c r="C49">
        <v>9320099902839</v>
      </c>
      <c r="D49" t="s">
        <v>121</v>
      </c>
      <c r="E49" t="s">
        <v>4</v>
      </c>
      <c r="F49" t="s">
        <v>65</v>
      </c>
      <c r="G49">
        <v>0</v>
      </c>
      <c r="H49">
        <v>0.88529999999999998</v>
      </c>
      <c r="I49">
        <v>49.060469989543911</v>
      </c>
      <c r="J49">
        <v>0.5413523353049905</v>
      </c>
      <c r="K49">
        <v>0</v>
      </c>
      <c r="L49">
        <v>0</v>
      </c>
      <c r="N49">
        <v>0.34394766469500948</v>
      </c>
      <c r="O49">
        <v>0.5413523353049905</v>
      </c>
      <c r="P49">
        <v>19.060469989543911</v>
      </c>
      <c r="Q49">
        <v>26.528337194561253</v>
      </c>
      <c r="R49">
        <v>29.236625661590598</v>
      </c>
      <c r="S49" t="s">
        <v>31</v>
      </c>
      <c r="T49" t="s">
        <v>28</v>
      </c>
      <c r="U49">
        <v>0</v>
      </c>
      <c r="V49">
        <v>0</v>
      </c>
      <c r="W49">
        <v>0</v>
      </c>
    </row>
    <row r="50" spans="1:23" x14ac:dyDescent="0.3">
      <c r="A50" t="s">
        <v>208</v>
      </c>
      <c r="B50" t="s">
        <v>209</v>
      </c>
      <c r="C50">
        <v>9432029902195</v>
      </c>
      <c r="D50" t="s">
        <v>129</v>
      </c>
      <c r="E50" t="s">
        <v>4</v>
      </c>
      <c r="F50" t="s">
        <v>65</v>
      </c>
      <c r="G50">
        <v>0</v>
      </c>
      <c r="H50">
        <v>0.25650000000000001</v>
      </c>
      <c r="I50">
        <v>16.774811399446214</v>
      </c>
      <c r="J50">
        <v>0.4587234882565675</v>
      </c>
      <c r="K50">
        <v>0</v>
      </c>
      <c r="L50">
        <v>0</v>
      </c>
      <c r="N50">
        <v>-0.2022234882565675</v>
      </c>
      <c r="O50">
        <v>0.4587234882565675</v>
      </c>
      <c r="P50">
        <v>-13.225188600553786</v>
      </c>
      <c r="Q50">
        <v>-5.5746492882037293</v>
      </c>
      <c r="R50">
        <v>33.632402401130221</v>
      </c>
      <c r="S50" t="s">
        <v>31</v>
      </c>
      <c r="T50" t="s">
        <v>35</v>
      </c>
      <c r="U50">
        <v>0</v>
      </c>
      <c r="V50">
        <v>0</v>
      </c>
      <c r="W50">
        <v>0</v>
      </c>
    </row>
    <row r="51" spans="1:23" x14ac:dyDescent="0.3">
      <c r="A51" t="s">
        <v>210</v>
      </c>
      <c r="B51" t="s">
        <v>211</v>
      </c>
      <c r="C51">
        <v>9320099999839</v>
      </c>
      <c r="D51" t="s">
        <v>126</v>
      </c>
      <c r="E51" t="s">
        <v>4</v>
      </c>
      <c r="F51" t="s">
        <v>65</v>
      </c>
      <c r="G51">
        <v>0</v>
      </c>
      <c r="H51">
        <v>0.60449999999999982</v>
      </c>
      <c r="I51">
        <v>41.145970085492607</v>
      </c>
      <c r="J51">
        <v>0.4407479022202978</v>
      </c>
      <c r="K51">
        <v>0</v>
      </c>
      <c r="L51">
        <v>0</v>
      </c>
      <c r="N51">
        <v>0.16375209777970201</v>
      </c>
      <c r="O51">
        <v>0.4407479022202978</v>
      </c>
      <c r="P51">
        <v>11.145970085492609</v>
      </c>
      <c r="Q51">
        <v>4.2492272151696664</v>
      </c>
      <c r="R51">
        <v>-6.2561748552508645</v>
      </c>
      <c r="S51" t="s">
        <v>31</v>
      </c>
      <c r="T51" t="s">
        <v>28</v>
      </c>
      <c r="U51">
        <v>0</v>
      </c>
      <c r="V51">
        <v>0</v>
      </c>
      <c r="W51">
        <v>0</v>
      </c>
    </row>
    <row r="52" spans="1:23" x14ac:dyDescent="0.3">
      <c r="A52" t="s">
        <v>212</v>
      </c>
      <c r="B52" t="s">
        <v>213</v>
      </c>
      <c r="C52">
        <v>9420139902195</v>
      </c>
      <c r="D52" t="s">
        <v>140</v>
      </c>
      <c r="E52" t="s">
        <v>4</v>
      </c>
      <c r="F52" t="s">
        <v>65</v>
      </c>
      <c r="G52">
        <v>0</v>
      </c>
      <c r="H52">
        <v>0.47689999999999988</v>
      </c>
      <c r="I52">
        <v>34.671379470000744</v>
      </c>
      <c r="J52">
        <v>0.41264582542436945</v>
      </c>
      <c r="K52">
        <v>0</v>
      </c>
      <c r="L52">
        <v>0</v>
      </c>
      <c r="N52">
        <v>6.4254174575630429E-2</v>
      </c>
      <c r="O52">
        <v>0.41264582542436945</v>
      </c>
      <c r="P52">
        <v>4.6713794700007494</v>
      </c>
      <c r="Q52">
        <v>12.717839619424559</v>
      </c>
      <c r="R52">
        <v>2.349108784853871</v>
      </c>
      <c r="S52" t="s">
        <v>31</v>
      </c>
      <c r="T52" t="s">
        <v>28</v>
      </c>
      <c r="U52">
        <v>0</v>
      </c>
      <c r="V52">
        <v>0</v>
      </c>
      <c r="W52">
        <v>0</v>
      </c>
    </row>
    <row r="53" spans="1:23" x14ac:dyDescent="0.3">
      <c r="A53" t="s">
        <v>214</v>
      </c>
      <c r="B53" t="s">
        <v>215</v>
      </c>
      <c r="C53">
        <v>9432029999195</v>
      </c>
      <c r="D53" t="s">
        <v>135</v>
      </c>
      <c r="E53" t="s">
        <v>4</v>
      </c>
      <c r="F53" t="s">
        <v>65</v>
      </c>
      <c r="G53">
        <v>0</v>
      </c>
      <c r="H53">
        <v>1.1913</v>
      </c>
      <c r="I53">
        <v>99.792846778532962</v>
      </c>
      <c r="J53">
        <v>0.35813188173010446</v>
      </c>
      <c r="K53">
        <v>0</v>
      </c>
      <c r="L53">
        <v>0</v>
      </c>
      <c r="N53">
        <v>0.83316811826989556</v>
      </c>
      <c r="O53">
        <v>0.35813188173010446</v>
      </c>
      <c r="P53">
        <v>69.792846778532962</v>
      </c>
      <c r="Q53">
        <v>68.451290311038491</v>
      </c>
      <c r="R53">
        <v>58.311241857163481</v>
      </c>
      <c r="S53" t="s">
        <v>31</v>
      </c>
      <c r="T53" t="s">
        <v>35</v>
      </c>
      <c r="U53">
        <v>0</v>
      </c>
      <c r="V53">
        <v>0</v>
      </c>
      <c r="W53">
        <v>0</v>
      </c>
    </row>
    <row r="54" spans="1:23" x14ac:dyDescent="0.3">
      <c r="A54" t="s">
        <v>216</v>
      </c>
      <c r="B54" t="s">
        <v>217</v>
      </c>
      <c r="C54">
        <v>9420139999195</v>
      </c>
      <c r="D54" t="s">
        <v>143</v>
      </c>
      <c r="E54" t="s">
        <v>4</v>
      </c>
      <c r="F54" t="s">
        <v>65</v>
      </c>
      <c r="G54">
        <v>0</v>
      </c>
      <c r="H54">
        <v>0.79799999999999993</v>
      </c>
      <c r="I54">
        <v>99.035736685938701</v>
      </c>
      <c r="J54">
        <v>0.241730922605426</v>
      </c>
      <c r="K54">
        <v>0</v>
      </c>
      <c r="L54">
        <v>0</v>
      </c>
      <c r="N54">
        <v>0.55626907739457399</v>
      </c>
      <c r="O54">
        <v>0.241730922605426</v>
      </c>
      <c r="P54">
        <v>69.035736685938716</v>
      </c>
      <c r="Q54">
        <v>47.414893114728315</v>
      </c>
      <c r="R54">
        <v>57.268534077718797</v>
      </c>
      <c r="S54" t="s">
        <v>31</v>
      </c>
      <c r="T54" t="s">
        <v>28</v>
      </c>
      <c r="U54">
        <v>0</v>
      </c>
      <c r="V54">
        <v>0</v>
      </c>
      <c r="W54">
        <v>0</v>
      </c>
    </row>
    <row r="55" spans="1:23" x14ac:dyDescent="0.3">
      <c r="A55" t="s">
        <v>218</v>
      </c>
      <c r="B55" t="s">
        <v>219</v>
      </c>
      <c r="C55">
        <v>9432029906190</v>
      </c>
      <c r="D55" t="s">
        <v>220</v>
      </c>
      <c r="E55" t="s">
        <v>4</v>
      </c>
      <c r="F55" t="s">
        <v>65</v>
      </c>
      <c r="G55">
        <v>0</v>
      </c>
      <c r="H55">
        <v>0</v>
      </c>
      <c r="I55">
        <v>0</v>
      </c>
      <c r="J55">
        <v>6.9212563905372462E-2</v>
      </c>
      <c r="K55">
        <v>0</v>
      </c>
      <c r="L55">
        <v>0</v>
      </c>
      <c r="N55">
        <v>-6.9212563905372462E-2</v>
      </c>
      <c r="O55">
        <v>6.9212563905372462E-2</v>
      </c>
      <c r="P55">
        <v>-30</v>
      </c>
      <c r="Q55">
        <v>-30</v>
      </c>
      <c r="R55">
        <v>-30</v>
      </c>
      <c r="S55" t="s">
        <v>31</v>
      </c>
      <c r="T55" t="s">
        <v>35</v>
      </c>
      <c r="U55">
        <v>0</v>
      </c>
      <c r="V55">
        <v>0</v>
      </c>
      <c r="W55">
        <v>0</v>
      </c>
    </row>
    <row r="56" spans="1:23" x14ac:dyDescent="0.3">
      <c r="A56" t="s">
        <v>221</v>
      </c>
      <c r="B56" t="s">
        <v>222</v>
      </c>
      <c r="C56">
        <v>9432029999838</v>
      </c>
      <c r="D56" t="s">
        <v>135</v>
      </c>
      <c r="E56" t="s">
        <v>4</v>
      </c>
      <c r="F56" t="s">
        <v>65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N56">
        <v>0</v>
      </c>
      <c r="O56">
        <v>0</v>
      </c>
      <c r="P56">
        <v>9999</v>
      </c>
      <c r="Q56">
        <v>9999</v>
      </c>
      <c r="R56">
        <v>9999</v>
      </c>
      <c r="S56" t="s">
        <v>31</v>
      </c>
      <c r="T56" t="s">
        <v>35</v>
      </c>
      <c r="U56" t="s">
        <v>72</v>
      </c>
      <c r="V56" t="s">
        <v>72</v>
      </c>
      <c r="W56">
        <v>0</v>
      </c>
    </row>
    <row r="57" spans="1:23" x14ac:dyDescent="0.3">
      <c r="A57" t="s">
        <v>223</v>
      </c>
      <c r="B57" t="s">
        <v>224</v>
      </c>
      <c r="C57">
        <v>9432029902319</v>
      </c>
      <c r="D57" t="s">
        <v>129</v>
      </c>
      <c r="E57" t="s">
        <v>4</v>
      </c>
      <c r="F57" t="s">
        <v>65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N57">
        <v>0</v>
      </c>
      <c r="O57">
        <v>0</v>
      </c>
      <c r="P57">
        <v>9999</v>
      </c>
      <c r="Q57">
        <v>9999</v>
      </c>
      <c r="R57">
        <v>9999</v>
      </c>
      <c r="S57" t="s">
        <v>31</v>
      </c>
      <c r="T57" t="s">
        <v>35</v>
      </c>
      <c r="U57" t="s">
        <v>72</v>
      </c>
      <c r="V57" t="s">
        <v>72</v>
      </c>
      <c r="W57">
        <v>0</v>
      </c>
    </row>
    <row r="58" spans="1:23" x14ac:dyDescent="0.3">
      <c r="A58" t="s">
        <v>225</v>
      </c>
      <c r="B58" t="s">
        <v>226</v>
      </c>
      <c r="C58">
        <v>9432029906836</v>
      </c>
      <c r="D58" t="s">
        <v>220</v>
      </c>
      <c r="E58" t="s">
        <v>4</v>
      </c>
      <c r="F58" t="s">
        <v>65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N58">
        <v>0</v>
      </c>
      <c r="O58">
        <v>0</v>
      </c>
      <c r="P58">
        <v>9999</v>
      </c>
      <c r="Q58">
        <v>9999</v>
      </c>
      <c r="R58">
        <v>9999</v>
      </c>
      <c r="S58" t="s">
        <v>31</v>
      </c>
      <c r="T58" t="s">
        <v>35</v>
      </c>
      <c r="U58" t="s">
        <v>72</v>
      </c>
      <c r="V58" t="s">
        <v>72</v>
      </c>
      <c r="W58">
        <v>0</v>
      </c>
    </row>
    <row r="59" spans="1:23" x14ac:dyDescent="0.3">
      <c r="A59" t="s">
        <v>227</v>
      </c>
      <c r="B59" t="s">
        <v>228</v>
      </c>
      <c r="C59">
        <v>9410149906190</v>
      </c>
      <c r="D59" t="s">
        <v>229</v>
      </c>
      <c r="E59" t="s">
        <v>4</v>
      </c>
      <c r="F59" t="s">
        <v>65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N59">
        <v>0</v>
      </c>
      <c r="O59">
        <v>0</v>
      </c>
      <c r="P59">
        <v>9999</v>
      </c>
      <c r="Q59">
        <v>9999</v>
      </c>
      <c r="R59">
        <v>9999</v>
      </c>
      <c r="S59" t="s">
        <v>31</v>
      </c>
      <c r="T59" t="s">
        <v>32</v>
      </c>
      <c r="U59" t="s">
        <v>72</v>
      </c>
      <c r="V59" t="s">
        <v>72</v>
      </c>
      <c r="W59">
        <v>0</v>
      </c>
    </row>
    <row r="60" spans="1:23" x14ac:dyDescent="0.3">
      <c r="A60" t="s">
        <v>230</v>
      </c>
      <c r="B60" t="s">
        <v>231</v>
      </c>
      <c r="C60">
        <v>9410149906836</v>
      </c>
      <c r="D60" t="s">
        <v>229</v>
      </c>
      <c r="E60" t="s">
        <v>4</v>
      </c>
      <c r="F60" t="s">
        <v>65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N60">
        <v>0</v>
      </c>
      <c r="O60">
        <v>0</v>
      </c>
      <c r="P60">
        <v>9999</v>
      </c>
      <c r="Q60">
        <v>9999</v>
      </c>
      <c r="R60">
        <v>9999</v>
      </c>
      <c r="S60" t="s">
        <v>31</v>
      </c>
      <c r="T60" t="s">
        <v>32</v>
      </c>
      <c r="U60" t="s">
        <v>72</v>
      </c>
      <c r="V60" t="s">
        <v>72</v>
      </c>
      <c r="W60">
        <v>0</v>
      </c>
    </row>
    <row r="61" spans="1:23" x14ac:dyDescent="0.3">
      <c r="A61" t="s">
        <v>232</v>
      </c>
      <c r="B61" t="s">
        <v>233</v>
      </c>
      <c r="C61">
        <v>9432029902295</v>
      </c>
      <c r="D61" t="s">
        <v>129</v>
      </c>
      <c r="E61" t="s">
        <v>4</v>
      </c>
      <c r="F61" t="s">
        <v>65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N61">
        <v>0</v>
      </c>
      <c r="O61">
        <v>0</v>
      </c>
      <c r="P61">
        <v>9999</v>
      </c>
      <c r="Q61">
        <v>9999</v>
      </c>
      <c r="R61">
        <v>9999</v>
      </c>
      <c r="S61" t="s">
        <v>31</v>
      </c>
      <c r="T61" t="s">
        <v>35</v>
      </c>
      <c r="U61" t="s">
        <v>72</v>
      </c>
      <c r="V61" t="s">
        <v>72</v>
      </c>
      <c r="W61">
        <v>0</v>
      </c>
    </row>
    <row r="62" spans="1:23" x14ac:dyDescent="0.3">
      <c r="A62" t="s">
        <v>234</v>
      </c>
      <c r="B62" t="s">
        <v>235</v>
      </c>
      <c r="C62">
        <v>9432029905836</v>
      </c>
      <c r="D62" t="s">
        <v>201</v>
      </c>
      <c r="E62" t="s">
        <v>4</v>
      </c>
      <c r="F62" t="s">
        <v>65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N62">
        <v>0</v>
      </c>
      <c r="O62">
        <v>0</v>
      </c>
      <c r="P62">
        <v>9999</v>
      </c>
      <c r="Q62">
        <v>9999</v>
      </c>
      <c r="R62">
        <v>9999</v>
      </c>
      <c r="S62" t="s">
        <v>31</v>
      </c>
      <c r="T62" t="s">
        <v>35</v>
      </c>
      <c r="U62" t="s">
        <v>72</v>
      </c>
      <c r="V62" t="s">
        <v>72</v>
      </c>
      <c r="W62">
        <v>0</v>
      </c>
    </row>
    <row r="63" spans="1:23" x14ac:dyDescent="0.3">
      <c r="A63" t="s">
        <v>187</v>
      </c>
      <c r="B63" t="s">
        <v>236</v>
      </c>
      <c r="C63">
        <v>9320089999839</v>
      </c>
      <c r="D63" t="s">
        <v>132</v>
      </c>
      <c r="E63" t="s">
        <v>5</v>
      </c>
      <c r="F63" t="s">
        <v>65</v>
      </c>
      <c r="G63">
        <v>0</v>
      </c>
      <c r="H63">
        <v>2.4803999999999995</v>
      </c>
      <c r="I63">
        <v>49.66701739253044</v>
      </c>
      <c r="J63">
        <v>1.4982176081141327</v>
      </c>
      <c r="K63">
        <v>0</v>
      </c>
      <c r="L63">
        <v>0</v>
      </c>
      <c r="N63">
        <v>0.98218239188586676</v>
      </c>
      <c r="O63">
        <v>1.4982176081141327</v>
      </c>
      <c r="P63">
        <v>19.66701739253044</v>
      </c>
      <c r="Q63">
        <v>24.769618585289059</v>
      </c>
      <c r="R63">
        <v>34.706112434215868</v>
      </c>
      <c r="S63" t="s">
        <v>31</v>
      </c>
      <c r="T63" t="s">
        <v>28</v>
      </c>
      <c r="U63">
        <v>0</v>
      </c>
      <c r="V63">
        <v>0</v>
      </c>
      <c r="W63">
        <v>0</v>
      </c>
    </row>
    <row r="64" spans="1:23" x14ac:dyDescent="0.3">
      <c r="A64" t="s">
        <v>185</v>
      </c>
      <c r="B64" t="s">
        <v>237</v>
      </c>
      <c r="C64">
        <v>9320099902219</v>
      </c>
      <c r="D64" t="s">
        <v>121</v>
      </c>
      <c r="E64" t="s">
        <v>5</v>
      </c>
      <c r="F64" t="s">
        <v>65</v>
      </c>
      <c r="G64">
        <v>0</v>
      </c>
      <c r="H64">
        <v>0.44850000000000001</v>
      </c>
      <c r="I64">
        <v>14.203482863370757</v>
      </c>
      <c r="J64">
        <v>0.9473028643347039</v>
      </c>
      <c r="K64">
        <v>0</v>
      </c>
      <c r="L64">
        <v>0</v>
      </c>
      <c r="N64">
        <v>-0.49880286433470389</v>
      </c>
      <c r="O64">
        <v>0.9473028643347039</v>
      </c>
      <c r="P64">
        <v>-15.796517136629241</v>
      </c>
      <c r="Q64">
        <v>-4.0985731369993443</v>
      </c>
      <c r="R64">
        <v>9.8969629613434478</v>
      </c>
      <c r="S64" t="s">
        <v>31</v>
      </c>
      <c r="T64" t="s">
        <v>28</v>
      </c>
      <c r="U64">
        <v>9320099900999</v>
      </c>
      <c r="V64">
        <v>0.1</v>
      </c>
      <c r="W64">
        <v>0</v>
      </c>
    </row>
    <row r="65" spans="1:23" x14ac:dyDescent="0.3">
      <c r="A65" t="s">
        <v>204</v>
      </c>
      <c r="B65" t="s">
        <v>238</v>
      </c>
      <c r="C65">
        <v>9160309999219</v>
      </c>
      <c r="D65" t="s">
        <v>118</v>
      </c>
      <c r="E65" t="s">
        <v>5</v>
      </c>
      <c r="F65" t="s">
        <v>65</v>
      </c>
      <c r="G65">
        <v>0</v>
      </c>
      <c r="H65">
        <v>0.54600000000000004</v>
      </c>
      <c r="I65">
        <v>31.117678389272374</v>
      </c>
      <c r="J65">
        <v>0.52638888399999995</v>
      </c>
      <c r="K65">
        <v>0</v>
      </c>
      <c r="L65">
        <v>0</v>
      </c>
      <c r="N65">
        <v>1.9611116000000095E-2</v>
      </c>
      <c r="O65">
        <v>0.52638888399999995</v>
      </c>
      <c r="P65">
        <v>1.1176783892723747</v>
      </c>
      <c r="Q65">
        <v>18.061780502266089</v>
      </c>
      <c r="R65">
        <v>94.69397932551874</v>
      </c>
      <c r="S65" t="s">
        <v>31</v>
      </c>
      <c r="T65" t="s">
        <v>34</v>
      </c>
      <c r="U65">
        <v>0</v>
      </c>
      <c r="V65">
        <v>0</v>
      </c>
      <c r="W65">
        <v>0</v>
      </c>
    </row>
    <row r="66" spans="1:23" x14ac:dyDescent="0.3">
      <c r="A66" t="s">
        <v>212</v>
      </c>
      <c r="B66" t="s">
        <v>239</v>
      </c>
      <c r="C66">
        <v>9420139902195</v>
      </c>
      <c r="D66" t="s">
        <v>140</v>
      </c>
      <c r="E66" t="s">
        <v>5</v>
      </c>
      <c r="F66" t="s">
        <v>65</v>
      </c>
      <c r="G66">
        <v>0</v>
      </c>
      <c r="H66">
        <v>0.82079999999999997</v>
      </c>
      <c r="I66">
        <v>49.375740761151803</v>
      </c>
      <c r="J66">
        <v>0.49870644207881626</v>
      </c>
      <c r="K66">
        <v>0</v>
      </c>
      <c r="L66">
        <v>0</v>
      </c>
      <c r="N66">
        <v>0.32209355792118372</v>
      </c>
      <c r="O66">
        <v>0.49870644207881626</v>
      </c>
      <c r="P66">
        <v>19.375740761151803</v>
      </c>
      <c r="Q66">
        <v>12.717839619424559</v>
      </c>
      <c r="R66">
        <v>2.349108784853871</v>
      </c>
      <c r="S66" t="s">
        <v>31</v>
      </c>
      <c r="T66" t="s">
        <v>28</v>
      </c>
      <c r="U66">
        <v>0</v>
      </c>
      <c r="V66">
        <v>0</v>
      </c>
      <c r="W66">
        <v>0</v>
      </c>
    </row>
    <row r="67" spans="1:23" x14ac:dyDescent="0.3">
      <c r="A67" t="s">
        <v>202</v>
      </c>
      <c r="B67" t="s">
        <v>240</v>
      </c>
      <c r="C67">
        <v>9432029902838</v>
      </c>
      <c r="D67" t="s">
        <v>129</v>
      </c>
      <c r="E67" t="s">
        <v>5</v>
      </c>
      <c r="F67" t="s">
        <v>65</v>
      </c>
      <c r="G67">
        <v>0</v>
      </c>
      <c r="H67">
        <v>0.82079999999999975</v>
      </c>
      <c r="I67">
        <v>57.206609322314449</v>
      </c>
      <c r="J67">
        <v>0.43043977420970775</v>
      </c>
      <c r="K67">
        <v>0</v>
      </c>
      <c r="L67">
        <v>0</v>
      </c>
      <c r="N67">
        <v>0.390360225790292</v>
      </c>
      <c r="O67">
        <v>0.43043977420970775</v>
      </c>
      <c r="P67">
        <v>27.206609322314446</v>
      </c>
      <c r="Q67">
        <v>16.455374604043591</v>
      </c>
      <c r="R67">
        <v>24.383399457030091</v>
      </c>
      <c r="S67" t="s">
        <v>31</v>
      </c>
      <c r="T67" t="s">
        <v>35</v>
      </c>
      <c r="U67">
        <v>0</v>
      </c>
      <c r="V67">
        <v>0</v>
      </c>
      <c r="W67">
        <v>0</v>
      </c>
    </row>
    <row r="68" spans="1:23" x14ac:dyDescent="0.3">
      <c r="A68" t="s">
        <v>210</v>
      </c>
      <c r="B68" t="s">
        <v>241</v>
      </c>
      <c r="C68">
        <v>9320099999839</v>
      </c>
      <c r="D68" t="s">
        <v>126</v>
      </c>
      <c r="E68" t="s">
        <v>5</v>
      </c>
      <c r="F68" t="s">
        <v>65</v>
      </c>
      <c r="G68">
        <v>0</v>
      </c>
      <c r="H68">
        <v>0.37440000000000001</v>
      </c>
      <c r="I68">
        <v>26.954507697417604</v>
      </c>
      <c r="J68">
        <v>0.41670210141052177</v>
      </c>
      <c r="K68">
        <v>0</v>
      </c>
      <c r="L68">
        <v>0</v>
      </c>
      <c r="N68">
        <v>-4.2302101410521764E-2</v>
      </c>
      <c r="O68">
        <v>0.41670210141052177</v>
      </c>
      <c r="P68">
        <v>-3.0454923025823954</v>
      </c>
      <c r="Q68">
        <v>4.2492272151696664</v>
      </c>
      <c r="R68">
        <v>-6.2561748552508645</v>
      </c>
      <c r="S68" t="s">
        <v>31</v>
      </c>
      <c r="T68" t="s">
        <v>28</v>
      </c>
      <c r="U68">
        <v>0</v>
      </c>
      <c r="V68">
        <v>0</v>
      </c>
      <c r="W68">
        <v>0</v>
      </c>
    </row>
    <row r="69" spans="1:23" x14ac:dyDescent="0.3">
      <c r="A69" t="s">
        <v>216</v>
      </c>
      <c r="B69" t="s">
        <v>242</v>
      </c>
      <c r="C69">
        <v>9420139999195</v>
      </c>
      <c r="D69" t="s">
        <v>143</v>
      </c>
      <c r="E69" t="s">
        <v>5</v>
      </c>
      <c r="F69" t="s">
        <v>65</v>
      </c>
      <c r="G69">
        <v>0</v>
      </c>
      <c r="H69">
        <v>0.87779999999999991</v>
      </c>
      <c r="I69">
        <v>64.594938145408321</v>
      </c>
      <c r="J69">
        <v>0.40767900327917461</v>
      </c>
      <c r="K69">
        <v>0</v>
      </c>
      <c r="L69">
        <v>0</v>
      </c>
      <c r="N69">
        <v>0.4701209967208253</v>
      </c>
      <c r="O69">
        <v>0.40767900327917461</v>
      </c>
      <c r="P69">
        <v>34.594938145408314</v>
      </c>
      <c r="Q69">
        <v>47.414893114728315</v>
      </c>
      <c r="R69">
        <v>57.268534077718797</v>
      </c>
      <c r="S69" t="s">
        <v>31</v>
      </c>
      <c r="T69" t="s">
        <v>28</v>
      </c>
      <c r="U69">
        <v>0</v>
      </c>
      <c r="V69">
        <v>0</v>
      </c>
      <c r="W69">
        <v>0</v>
      </c>
    </row>
    <row r="70" spans="1:23" x14ac:dyDescent="0.3">
      <c r="A70" t="s">
        <v>206</v>
      </c>
      <c r="B70" t="s">
        <v>243</v>
      </c>
      <c r="C70">
        <v>9320099902839</v>
      </c>
      <c r="D70" t="s">
        <v>121</v>
      </c>
      <c r="E70" t="s">
        <v>5</v>
      </c>
      <c r="F70" t="s">
        <v>65</v>
      </c>
      <c r="G70">
        <v>0</v>
      </c>
      <c r="H70">
        <v>0.85799999999999998</v>
      </c>
      <c r="I70">
        <v>67.060997211892911</v>
      </c>
      <c r="J70">
        <v>0.38382966359222509</v>
      </c>
      <c r="K70">
        <v>0</v>
      </c>
      <c r="L70">
        <v>0</v>
      </c>
      <c r="N70">
        <v>0.4741703364077749</v>
      </c>
      <c r="O70">
        <v>0.38382966359222509</v>
      </c>
      <c r="P70">
        <v>37.060997211892911</v>
      </c>
      <c r="Q70">
        <v>26.528337194561253</v>
      </c>
      <c r="R70">
        <v>29.236625661590598</v>
      </c>
      <c r="S70" t="s">
        <v>31</v>
      </c>
      <c r="T70" t="s">
        <v>28</v>
      </c>
      <c r="U70">
        <v>0</v>
      </c>
      <c r="V70">
        <v>0</v>
      </c>
      <c r="W70">
        <v>0</v>
      </c>
    </row>
    <row r="71" spans="1:23" x14ac:dyDescent="0.3">
      <c r="A71" t="s">
        <v>214</v>
      </c>
      <c r="B71" t="s">
        <v>244</v>
      </c>
      <c r="C71">
        <v>9432029999195</v>
      </c>
      <c r="D71" t="s">
        <v>135</v>
      </c>
      <c r="E71" t="s">
        <v>5</v>
      </c>
      <c r="F71" t="s">
        <v>65</v>
      </c>
      <c r="G71">
        <v>0</v>
      </c>
      <c r="H71">
        <v>0.95189999999999986</v>
      </c>
      <c r="I71">
        <v>96.822313817490311</v>
      </c>
      <c r="J71">
        <v>0.29494234204968323</v>
      </c>
      <c r="K71">
        <v>0</v>
      </c>
      <c r="L71">
        <v>0</v>
      </c>
      <c r="N71">
        <v>0.65695765795031669</v>
      </c>
      <c r="O71">
        <v>0.29494234204968323</v>
      </c>
      <c r="P71">
        <v>66.822313817490311</v>
      </c>
      <c r="Q71">
        <v>68.451290311038491</v>
      </c>
      <c r="R71">
        <v>58.311241857163481</v>
      </c>
      <c r="S71" t="s">
        <v>31</v>
      </c>
      <c r="T71" t="s">
        <v>35</v>
      </c>
      <c r="U71">
        <v>0</v>
      </c>
      <c r="V71">
        <v>0</v>
      </c>
      <c r="W71">
        <v>0</v>
      </c>
    </row>
    <row r="72" spans="1:23" x14ac:dyDescent="0.3">
      <c r="A72" t="s">
        <v>208</v>
      </c>
      <c r="B72" t="s">
        <v>245</v>
      </c>
      <c r="C72">
        <v>9432029902195</v>
      </c>
      <c r="D72" t="s">
        <v>129</v>
      </c>
      <c r="E72" t="s">
        <v>5</v>
      </c>
      <c r="F72" t="s">
        <v>65</v>
      </c>
      <c r="G72">
        <v>0</v>
      </c>
      <c r="H72">
        <v>0.34769999999999995</v>
      </c>
      <c r="I72">
        <v>36.809965131125892</v>
      </c>
      <c r="J72">
        <v>0.28337435156057017</v>
      </c>
      <c r="K72">
        <v>0</v>
      </c>
      <c r="L72">
        <v>0</v>
      </c>
      <c r="N72">
        <v>6.4325648439429783E-2</v>
      </c>
      <c r="O72">
        <v>0.28337435156057017</v>
      </c>
      <c r="P72">
        <v>6.8099651311258942</v>
      </c>
      <c r="Q72">
        <v>-5.5746492882037293</v>
      </c>
      <c r="R72">
        <v>33.632402401130221</v>
      </c>
      <c r="S72" t="s">
        <v>31</v>
      </c>
      <c r="T72" t="s">
        <v>35</v>
      </c>
      <c r="U72">
        <v>0</v>
      </c>
      <c r="V72">
        <v>0</v>
      </c>
      <c r="W72">
        <v>0</v>
      </c>
    </row>
    <row r="73" spans="1:23" x14ac:dyDescent="0.3">
      <c r="A73" t="s">
        <v>232</v>
      </c>
      <c r="B73" t="s">
        <v>246</v>
      </c>
      <c r="C73">
        <v>9432029902295</v>
      </c>
      <c r="D73" t="s">
        <v>129</v>
      </c>
      <c r="E73" t="s">
        <v>5</v>
      </c>
      <c r="F73" t="s">
        <v>65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N73">
        <v>0</v>
      </c>
      <c r="O73">
        <v>0</v>
      </c>
      <c r="P73">
        <v>9999</v>
      </c>
      <c r="Q73">
        <v>9999</v>
      </c>
      <c r="R73">
        <v>9999</v>
      </c>
      <c r="S73" t="s">
        <v>31</v>
      </c>
      <c r="T73" t="s">
        <v>35</v>
      </c>
      <c r="U73" t="s">
        <v>72</v>
      </c>
      <c r="V73" t="s">
        <v>72</v>
      </c>
      <c r="W73">
        <v>0</v>
      </c>
    </row>
    <row r="74" spans="1:23" x14ac:dyDescent="0.3">
      <c r="A74" t="s">
        <v>223</v>
      </c>
      <c r="B74" t="s">
        <v>247</v>
      </c>
      <c r="C74">
        <v>9432029902319</v>
      </c>
      <c r="D74" t="s">
        <v>129</v>
      </c>
      <c r="E74" t="s">
        <v>5</v>
      </c>
      <c r="F74" t="s">
        <v>65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N74">
        <v>0</v>
      </c>
      <c r="O74">
        <v>0</v>
      </c>
      <c r="P74">
        <v>9999</v>
      </c>
      <c r="Q74">
        <v>9999</v>
      </c>
      <c r="R74">
        <v>9999</v>
      </c>
      <c r="S74" t="s">
        <v>31</v>
      </c>
      <c r="T74" t="s">
        <v>35</v>
      </c>
      <c r="U74" t="s">
        <v>72</v>
      </c>
      <c r="V74" t="s">
        <v>72</v>
      </c>
      <c r="W74">
        <v>0</v>
      </c>
    </row>
    <row r="75" spans="1:23" x14ac:dyDescent="0.3">
      <c r="A75" t="s">
        <v>221</v>
      </c>
      <c r="B75" t="s">
        <v>248</v>
      </c>
      <c r="C75">
        <v>9432029999838</v>
      </c>
      <c r="D75" t="s">
        <v>135</v>
      </c>
      <c r="E75" t="s">
        <v>5</v>
      </c>
      <c r="F75" t="s">
        <v>65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N75">
        <v>0</v>
      </c>
      <c r="O75">
        <v>0</v>
      </c>
      <c r="P75">
        <v>9999</v>
      </c>
      <c r="Q75">
        <v>9999</v>
      </c>
      <c r="R75">
        <v>9999</v>
      </c>
      <c r="S75" t="s">
        <v>31</v>
      </c>
      <c r="T75" t="s">
        <v>35</v>
      </c>
      <c r="U75" t="s">
        <v>72</v>
      </c>
      <c r="V75" t="s">
        <v>72</v>
      </c>
      <c r="W75">
        <v>0</v>
      </c>
    </row>
    <row r="76" spans="1:23" x14ac:dyDescent="0.3">
      <c r="A76" t="s">
        <v>249</v>
      </c>
      <c r="B76" t="s">
        <v>250</v>
      </c>
      <c r="C76">
        <v>9330239901320</v>
      </c>
      <c r="D76" t="s">
        <v>152</v>
      </c>
      <c r="E76" t="s">
        <v>6</v>
      </c>
      <c r="F76" t="s">
        <v>66</v>
      </c>
      <c r="G76">
        <v>0</v>
      </c>
      <c r="H76">
        <v>34.200000000000003</v>
      </c>
      <c r="I76">
        <v>135.86025950324523</v>
      </c>
      <c r="J76">
        <v>7.5518772284951545</v>
      </c>
      <c r="K76">
        <v>0</v>
      </c>
      <c r="L76">
        <v>0</v>
      </c>
      <c r="N76">
        <v>26.648122771504848</v>
      </c>
      <c r="O76">
        <v>7.5518772284951545</v>
      </c>
      <c r="P76">
        <v>105.86025950324523</v>
      </c>
      <c r="Q76">
        <v>105.86025950324523</v>
      </c>
      <c r="R76">
        <v>20.963713443603194</v>
      </c>
      <c r="S76" t="s">
        <v>31</v>
      </c>
      <c r="T76" t="s">
        <v>35</v>
      </c>
      <c r="U76">
        <v>9330239900999</v>
      </c>
      <c r="V76">
        <v>0.1</v>
      </c>
      <c r="W76">
        <v>0</v>
      </c>
    </row>
    <row r="77" spans="1:23" x14ac:dyDescent="0.3">
      <c r="A77" t="s">
        <v>251</v>
      </c>
      <c r="B77" t="s">
        <v>252</v>
      </c>
      <c r="C77">
        <v>9320099902219</v>
      </c>
      <c r="D77" t="s">
        <v>121</v>
      </c>
      <c r="E77" t="s">
        <v>6</v>
      </c>
      <c r="F77" t="s">
        <v>66</v>
      </c>
      <c r="G77">
        <v>0</v>
      </c>
      <c r="H77">
        <v>3.3734999999999999</v>
      </c>
      <c r="I77">
        <v>21.841239413002533</v>
      </c>
      <c r="J77">
        <v>4.63366561238968</v>
      </c>
      <c r="K77">
        <v>0</v>
      </c>
      <c r="L77">
        <v>0</v>
      </c>
      <c r="N77">
        <v>-1.2601656123896801</v>
      </c>
      <c r="O77">
        <v>4.63366561238968</v>
      </c>
      <c r="P77">
        <v>-8.1587605869974666</v>
      </c>
      <c r="Q77">
        <v>-8.1587605869974666</v>
      </c>
      <c r="R77">
        <v>9.8969629613434478</v>
      </c>
      <c r="S77" t="s">
        <v>31</v>
      </c>
      <c r="T77" t="s">
        <v>28</v>
      </c>
      <c r="U77">
        <v>9320099900999</v>
      </c>
      <c r="V77">
        <v>0.1</v>
      </c>
      <c r="W77">
        <v>0</v>
      </c>
    </row>
    <row r="78" spans="1:23" x14ac:dyDescent="0.3">
      <c r="A78" t="s">
        <v>253</v>
      </c>
      <c r="B78" t="s">
        <v>254</v>
      </c>
      <c r="C78">
        <v>9320099905839</v>
      </c>
      <c r="D78" t="s">
        <v>194</v>
      </c>
      <c r="E78" t="s">
        <v>6</v>
      </c>
      <c r="F78" t="s">
        <v>66</v>
      </c>
      <c r="G78">
        <v>0</v>
      </c>
      <c r="H78">
        <v>0</v>
      </c>
      <c r="I78">
        <v>0</v>
      </c>
      <c r="J78">
        <v>3.5996321364765698</v>
      </c>
      <c r="K78">
        <v>0</v>
      </c>
      <c r="L78">
        <v>0</v>
      </c>
      <c r="N78">
        <v>-3.5996321364765698</v>
      </c>
      <c r="O78">
        <v>3.5996321364765698</v>
      </c>
      <c r="P78">
        <v>-30</v>
      </c>
      <c r="Q78">
        <v>-30</v>
      </c>
      <c r="R78">
        <v>-30</v>
      </c>
      <c r="S78" t="s">
        <v>31</v>
      </c>
      <c r="T78" t="s">
        <v>28</v>
      </c>
      <c r="U78">
        <v>0</v>
      </c>
      <c r="V78">
        <v>0</v>
      </c>
      <c r="W78">
        <v>0</v>
      </c>
    </row>
    <row r="79" spans="1:23" x14ac:dyDescent="0.3">
      <c r="A79" t="s">
        <v>255</v>
      </c>
      <c r="B79" t="s">
        <v>256</v>
      </c>
      <c r="C79">
        <v>9330239902219</v>
      </c>
      <c r="D79" t="s">
        <v>157</v>
      </c>
      <c r="E79" t="s">
        <v>6</v>
      </c>
      <c r="F79" t="s">
        <v>66</v>
      </c>
      <c r="G79">
        <v>0</v>
      </c>
      <c r="H79">
        <v>3.646500000000001</v>
      </c>
      <c r="I79">
        <v>47.164503563479883</v>
      </c>
      <c r="J79">
        <v>2.3194349931567193</v>
      </c>
      <c r="K79">
        <v>0</v>
      </c>
      <c r="L79">
        <v>0</v>
      </c>
      <c r="N79">
        <v>1.3270650068432817</v>
      </c>
      <c r="O79">
        <v>2.3194349931567193</v>
      </c>
      <c r="P79">
        <v>17.164503563479887</v>
      </c>
      <c r="Q79">
        <v>17.164503563479887</v>
      </c>
      <c r="R79">
        <v>108.78951492814019</v>
      </c>
      <c r="S79" t="s">
        <v>31</v>
      </c>
      <c r="T79" t="s">
        <v>35</v>
      </c>
      <c r="U79">
        <v>9330239900999</v>
      </c>
      <c r="V79">
        <v>0.1</v>
      </c>
      <c r="W79">
        <v>0</v>
      </c>
    </row>
    <row r="80" spans="1:23" x14ac:dyDescent="0.3">
      <c r="A80" t="s">
        <v>257</v>
      </c>
      <c r="B80" t="s">
        <v>258</v>
      </c>
      <c r="C80">
        <v>9330239901310</v>
      </c>
      <c r="D80" t="s">
        <v>152</v>
      </c>
      <c r="E80" t="s">
        <v>6</v>
      </c>
      <c r="F80" t="s">
        <v>66</v>
      </c>
      <c r="G80">
        <v>0</v>
      </c>
      <c r="H80">
        <v>4.75</v>
      </c>
      <c r="I80">
        <v>67.204218980476767</v>
      </c>
      <c r="J80">
        <v>2.1204025902212642</v>
      </c>
      <c r="K80">
        <v>0</v>
      </c>
      <c r="L80">
        <v>0</v>
      </c>
      <c r="N80">
        <v>2.6295974097787358</v>
      </c>
      <c r="O80">
        <v>2.1204025902212642</v>
      </c>
      <c r="P80">
        <v>37.204218980476774</v>
      </c>
      <c r="Q80">
        <v>37.204218980476774</v>
      </c>
      <c r="R80">
        <v>35.837305192430364</v>
      </c>
      <c r="S80" t="s">
        <v>31</v>
      </c>
      <c r="T80" t="s">
        <v>35</v>
      </c>
      <c r="U80">
        <v>9330239900999</v>
      </c>
      <c r="V80">
        <v>0.1</v>
      </c>
      <c r="W80">
        <v>0</v>
      </c>
    </row>
    <row r="81" spans="1:23" x14ac:dyDescent="0.3">
      <c r="A81" t="s">
        <v>259</v>
      </c>
      <c r="B81" t="s">
        <v>260</v>
      </c>
      <c r="C81">
        <v>9160309999219</v>
      </c>
      <c r="D81" t="s">
        <v>118</v>
      </c>
      <c r="E81" t="s">
        <v>6</v>
      </c>
      <c r="F81" t="s">
        <v>66</v>
      </c>
      <c r="G81">
        <v>0</v>
      </c>
      <c r="H81">
        <v>3.8025000000000002</v>
      </c>
      <c r="I81">
        <v>55.687214031328004</v>
      </c>
      <c r="J81">
        <v>2.0484953679999998</v>
      </c>
      <c r="K81">
        <v>0</v>
      </c>
      <c r="L81">
        <v>0</v>
      </c>
      <c r="N81">
        <v>1.7540046320000005</v>
      </c>
      <c r="O81">
        <v>2.0484953679999998</v>
      </c>
      <c r="P81">
        <v>25.687214031328004</v>
      </c>
      <c r="Q81">
        <v>25.687214031328001</v>
      </c>
      <c r="R81">
        <v>94.69397932551874</v>
      </c>
      <c r="S81" t="s">
        <v>31</v>
      </c>
      <c r="T81" t="s">
        <v>34</v>
      </c>
      <c r="U81">
        <v>0</v>
      </c>
      <c r="V81">
        <v>0</v>
      </c>
      <c r="W81">
        <v>0</v>
      </c>
    </row>
    <row r="82" spans="1:23" x14ac:dyDescent="0.3">
      <c r="A82" t="s">
        <v>261</v>
      </c>
      <c r="B82" t="s">
        <v>262</v>
      </c>
      <c r="C82">
        <v>9330239901840</v>
      </c>
      <c r="D82" t="s">
        <v>152</v>
      </c>
      <c r="E82" t="s">
        <v>6</v>
      </c>
      <c r="F82" t="s">
        <v>66</v>
      </c>
      <c r="G82">
        <v>0</v>
      </c>
      <c r="H82">
        <v>1.2800000000000002</v>
      </c>
      <c r="I82">
        <v>32.588286234009466</v>
      </c>
      <c r="J82">
        <v>1.1783375082769887</v>
      </c>
      <c r="K82">
        <v>0</v>
      </c>
      <c r="L82">
        <v>0</v>
      </c>
      <c r="N82">
        <v>0.10166249172301156</v>
      </c>
      <c r="O82">
        <v>1.1783375082769887</v>
      </c>
      <c r="P82">
        <v>2.5882862340094674</v>
      </c>
      <c r="Q82">
        <v>2.5882862340094674</v>
      </c>
      <c r="R82">
        <v>18.660963806595074</v>
      </c>
      <c r="S82" t="s">
        <v>31</v>
      </c>
      <c r="T82" t="s">
        <v>35</v>
      </c>
      <c r="U82">
        <v>0</v>
      </c>
      <c r="V82">
        <v>0</v>
      </c>
      <c r="W82">
        <v>0</v>
      </c>
    </row>
    <row r="83" spans="1:23" x14ac:dyDescent="0.3">
      <c r="A83" t="s">
        <v>263</v>
      </c>
      <c r="B83" t="s">
        <v>264</v>
      </c>
      <c r="C83">
        <v>9320089999839</v>
      </c>
      <c r="D83" t="s">
        <v>132</v>
      </c>
      <c r="E83" t="s">
        <v>6</v>
      </c>
      <c r="F83" t="s">
        <v>66</v>
      </c>
      <c r="G83">
        <v>0</v>
      </c>
      <c r="H83">
        <v>1.0373999999999999</v>
      </c>
      <c r="I83">
        <v>32.398748474006702</v>
      </c>
      <c r="J83">
        <v>0.96059266070011839</v>
      </c>
      <c r="K83">
        <v>0</v>
      </c>
      <c r="L83">
        <v>0</v>
      </c>
      <c r="N83">
        <v>7.6807339299881483E-2</v>
      </c>
      <c r="O83">
        <v>0.96059266070011839</v>
      </c>
      <c r="P83">
        <v>2.3987484740066995</v>
      </c>
      <c r="Q83">
        <v>2.3987484740066995</v>
      </c>
      <c r="R83">
        <v>34.706112434215868</v>
      </c>
      <c r="S83" t="s">
        <v>31</v>
      </c>
      <c r="T83" t="s">
        <v>28</v>
      </c>
      <c r="U83">
        <v>0</v>
      </c>
      <c r="V83">
        <v>0</v>
      </c>
      <c r="W83">
        <v>0</v>
      </c>
    </row>
    <row r="84" spans="1:23" x14ac:dyDescent="0.3">
      <c r="A84" t="s">
        <v>265</v>
      </c>
      <c r="B84" t="s">
        <v>266</v>
      </c>
      <c r="C84">
        <v>9330239999839</v>
      </c>
      <c r="D84" t="s">
        <v>170</v>
      </c>
      <c r="E84" t="s">
        <v>6</v>
      </c>
      <c r="F84" t="s">
        <v>66</v>
      </c>
      <c r="G84">
        <v>0</v>
      </c>
      <c r="H84">
        <v>1.0295999999999998</v>
      </c>
      <c r="I84">
        <v>41.353730590960289</v>
      </c>
      <c r="J84">
        <v>0.74692173012202068</v>
      </c>
      <c r="K84">
        <v>0</v>
      </c>
      <c r="L84">
        <v>0</v>
      </c>
      <c r="N84">
        <v>0.28267826987797917</v>
      </c>
      <c r="O84">
        <v>0.74692173012202068</v>
      </c>
      <c r="P84">
        <v>11.353730590960295</v>
      </c>
      <c r="Q84">
        <v>11.353730590960295</v>
      </c>
      <c r="R84">
        <v>40.280980357929735</v>
      </c>
      <c r="S84" t="s">
        <v>31</v>
      </c>
      <c r="T84" t="s">
        <v>35</v>
      </c>
      <c r="U84">
        <v>0</v>
      </c>
      <c r="V84">
        <v>0</v>
      </c>
      <c r="W84">
        <v>0</v>
      </c>
    </row>
    <row r="85" spans="1:23" x14ac:dyDescent="0.3">
      <c r="A85" t="s">
        <v>267</v>
      </c>
      <c r="B85" t="s">
        <v>268</v>
      </c>
      <c r="C85">
        <v>9330239902839</v>
      </c>
      <c r="D85" t="s">
        <v>157</v>
      </c>
      <c r="E85" t="s">
        <v>6</v>
      </c>
      <c r="F85" t="s">
        <v>66</v>
      </c>
      <c r="G85">
        <v>0</v>
      </c>
      <c r="H85">
        <v>0.74879999999999991</v>
      </c>
      <c r="I85">
        <v>33.055013170612504</v>
      </c>
      <c r="J85">
        <v>0.67959434425431031</v>
      </c>
      <c r="K85">
        <v>0</v>
      </c>
      <c r="L85">
        <v>0</v>
      </c>
      <c r="N85">
        <v>6.9205655745689598E-2</v>
      </c>
      <c r="O85">
        <v>0.67959434425431031</v>
      </c>
      <c r="P85">
        <v>3.055013170612507</v>
      </c>
      <c r="Q85">
        <v>3.055013170612507</v>
      </c>
      <c r="R85">
        <v>23.089577270690807</v>
      </c>
      <c r="S85" t="s">
        <v>31</v>
      </c>
      <c r="T85" t="s">
        <v>35</v>
      </c>
      <c r="U85">
        <v>0</v>
      </c>
      <c r="V85">
        <v>0</v>
      </c>
      <c r="W85">
        <v>0</v>
      </c>
    </row>
    <row r="86" spans="1:23" x14ac:dyDescent="0.3">
      <c r="A86" t="s">
        <v>269</v>
      </c>
      <c r="B86" t="s">
        <v>270</v>
      </c>
      <c r="C86">
        <v>9330239901210</v>
      </c>
      <c r="D86" t="s">
        <v>152</v>
      </c>
      <c r="E86" t="s">
        <v>6</v>
      </c>
      <c r="F86" t="s">
        <v>66</v>
      </c>
      <c r="G86">
        <v>0</v>
      </c>
      <c r="H86">
        <v>0.9</v>
      </c>
      <c r="I86">
        <v>43.430715111789624</v>
      </c>
      <c r="J86">
        <v>0.62167983949844352</v>
      </c>
      <c r="K86">
        <v>0</v>
      </c>
      <c r="L86">
        <v>0</v>
      </c>
      <c r="N86">
        <v>0.2783201605015565</v>
      </c>
      <c r="O86">
        <v>0.62167983949844352</v>
      </c>
      <c r="P86">
        <v>13.430715111789628</v>
      </c>
      <c r="Q86">
        <v>13.430715111789626</v>
      </c>
      <c r="R86">
        <v>18.702193596230924</v>
      </c>
      <c r="S86" t="s">
        <v>31</v>
      </c>
      <c r="T86" t="s">
        <v>35</v>
      </c>
      <c r="U86">
        <v>0</v>
      </c>
      <c r="V86">
        <v>0</v>
      </c>
      <c r="W86">
        <v>0</v>
      </c>
    </row>
    <row r="87" spans="1:23" x14ac:dyDescent="0.3">
      <c r="A87" t="s">
        <v>271</v>
      </c>
      <c r="B87" t="s">
        <v>272</v>
      </c>
      <c r="C87">
        <v>9320099902839</v>
      </c>
      <c r="D87" t="s">
        <v>121</v>
      </c>
      <c r="E87" t="s">
        <v>6</v>
      </c>
      <c r="F87" t="s">
        <v>66</v>
      </c>
      <c r="G87">
        <v>0</v>
      </c>
      <c r="H87">
        <v>0.54599999999999993</v>
      </c>
      <c r="I87">
        <v>28.58139002917348</v>
      </c>
      <c r="J87">
        <v>0.57310018803426532</v>
      </c>
      <c r="K87">
        <v>0</v>
      </c>
      <c r="L87">
        <v>0</v>
      </c>
      <c r="N87">
        <v>-2.7100188034265393E-2</v>
      </c>
      <c r="O87">
        <v>0.57310018803426532</v>
      </c>
      <c r="P87">
        <v>-1.4186099708265192</v>
      </c>
      <c r="Q87">
        <v>-1.4186099708265192</v>
      </c>
      <c r="R87">
        <v>29.236625661590598</v>
      </c>
      <c r="S87" t="s">
        <v>31</v>
      </c>
      <c r="T87" t="s">
        <v>28</v>
      </c>
      <c r="U87">
        <v>0</v>
      </c>
      <c r="V87">
        <v>0</v>
      </c>
      <c r="W87">
        <v>0</v>
      </c>
    </row>
    <row r="88" spans="1:23" x14ac:dyDescent="0.3">
      <c r="A88" t="s">
        <v>273</v>
      </c>
      <c r="B88" t="s">
        <v>274</v>
      </c>
      <c r="C88">
        <v>9432029905190</v>
      </c>
      <c r="D88" t="s">
        <v>201</v>
      </c>
      <c r="E88" t="s">
        <v>6</v>
      </c>
      <c r="F88" t="s">
        <v>66</v>
      </c>
      <c r="G88">
        <v>0</v>
      </c>
      <c r="H88">
        <v>0</v>
      </c>
      <c r="I88">
        <v>0</v>
      </c>
      <c r="J88">
        <v>0.53887464305140875</v>
      </c>
      <c r="K88">
        <v>0</v>
      </c>
      <c r="L88">
        <v>0</v>
      </c>
      <c r="N88">
        <v>-0.53887464305140875</v>
      </c>
      <c r="O88">
        <v>0.53887464305140875</v>
      </c>
      <c r="P88">
        <v>-30</v>
      </c>
      <c r="Q88">
        <v>-29.999999999999996</v>
      </c>
      <c r="R88">
        <v>-29.999999999999996</v>
      </c>
      <c r="S88" t="s">
        <v>31</v>
      </c>
      <c r="T88" t="s">
        <v>35</v>
      </c>
      <c r="U88">
        <v>0</v>
      </c>
      <c r="V88">
        <v>0</v>
      </c>
      <c r="W88">
        <v>0</v>
      </c>
    </row>
    <row r="89" spans="1:23" x14ac:dyDescent="0.3">
      <c r="A89" t="s">
        <v>275</v>
      </c>
      <c r="B89" t="s">
        <v>276</v>
      </c>
      <c r="C89">
        <v>9432029902838</v>
      </c>
      <c r="D89" t="s">
        <v>129</v>
      </c>
      <c r="E89" t="s">
        <v>6</v>
      </c>
      <c r="F89" t="s">
        <v>66</v>
      </c>
      <c r="G89">
        <v>0</v>
      </c>
      <c r="H89">
        <v>0.24319999999999994</v>
      </c>
      <c r="I89">
        <v>13.729912545816688</v>
      </c>
      <c r="J89">
        <v>0.53139449910210734</v>
      </c>
      <c r="K89">
        <v>0</v>
      </c>
      <c r="L89">
        <v>0</v>
      </c>
      <c r="N89">
        <v>-0.28819449910210737</v>
      </c>
      <c r="O89">
        <v>0.53139449910210734</v>
      </c>
      <c r="P89">
        <v>-16.270087454183312</v>
      </c>
      <c r="Q89">
        <v>-16.270087454183312</v>
      </c>
      <c r="R89">
        <v>24.383399457030091</v>
      </c>
      <c r="S89" t="s">
        <v>31</v>
      </c>
      <c r="T89" t="s">
        <v>35</v>
      </c>
      <c r="U89">
        <v>0</v>
      </c>
      <c r="V89">
        <v>0</v>
      </c>
      <c r="W89">
        <v>0</v>
      </c>
    </row>
    <row r="90" spans="1:23" x14ac:dyDescent="0.3">
      <c r="A90" t="s">
        <v>277</v>
      </c>
      <c r="B90" t="s">
        <v>278</v>
      </c>
      <c r="C90">
        <v>9320099999839</v>
      </c>
      <c r="D90" t="s">
        <v>126</v>
      </c>
      <c r="E90" t="s">
        <v>6</v>
      </c>
      <c r="F90" t="s">
        <v>66</v>
      </c>
      <c r="G90">
        <v>0</v>
      </c>
      <c r="H90">
        <v>0.2223</v>
      </c>
      <c r="I90">
        <v>13.705063741497396</v>
      </c>
      <c r="J90">
        <v>0.48660846281269132</v>
      </c>
      <c r="K90">
        <v>0</v>
      </c>
      <c r="L90">
        <v>0</v>
      </c>
      <c r="N90">
        <v>-0.26430846281269132</v>
      </c>
      <c r="O90">
        <v>0.48660846281269132</v>
      </c>
      <c r="P90">
        <v>-16.294936258502602</v>
      </c>
      <c r="Q90">
        <v>-16.294936258502602</v>
      </c>
      <c r="R90">
        <v>-6.2561748552508645</v>
      </c>
      <c r="S90" t="s">
        <v>31</v>
      </c>
      <c r="T90" t="s">
        <v>28</v>
      </c>
      <c r="U90">
        <v>0</v>
      </c>
      <c r="V90">
        <v>0</v>
      </c>
      <c r="W90">
        <v>0</v>
      </c>
    </row>
    <row r="91" spans="1:23" x14ac:dyDescent="0.3">
      <c r="A91" t="s">
        <v>279</v>
      </c>
      <c r="B91" t="s">
        <v>280</v>
      </c>
      <c r="C91">
        <v>9330239905839</v>
      </c>
      <c r="D91" t="s">
        <v>191</v>
      </c>
      <c r="E91" t="s">
        <v>6</v>
      </c>
      <c r="F91" t="s">
        <v>66</v>
      </c>
      <c r="G91">
        <v>0</v>
      </c>
      <c r="H91">
        <v>0</v>
      </c>
      <c r="I91">
        <v>0</v>
      </c>
      <c r="J91">
        <v>0.46995769317646979</v>
      </c>
      <c r="K91">
        <v>0</v>
      </c>
      <c r="L91">
        <v>0</v>
      </c>
      <c r="N91">
        <v>-0.46995769317646979</v>
      </c>
      <c r="O91">
        <v>0.46995769317646979</v>
      </c>
      <c r="P91">
        <v>-30</v>
      </c>
      <c r="Q91">
        <v>-30</v>
      </c>
      <c r="R91">
        <v>-29.999999999999996</v>
      </c>
      <c r="S91" t="s">
        <v>31</v>
      </c>
      <c r="T91" t="s">
        <v>35</v>
      </c>
      <c r="U91">
        <v>0</v>
      </c>
      <c r="V91">
        <v>0</v>
      </c>
      <c r="W91">
        <v>0</v>
      </c>
    </row>
    <row r="92" spans="1:23" x14ac:dyDescent="0.3">
      <c r="A92" t="s">
        <v>281</v>
      </c>
      <c r="B92" t="s">
        <v>282</v>
      </c>
      <c r="C92">
        <v>9420139902195</v>
      </c>
      <c r="D92" t="s">
        <v>140</v>
      </c>
      <c r="E92" t="s">
        <v>6</v>
      </c>
      <c r="F92" t="s">
        <v>66</v>
      </c>
      <c r="G92">
        <v>0</v>
      </c>
      <c r="H92">
        <v>0.1691</v>
      </c>
      <c r="I92">
        <v>18.668874175726106</v>
      </c>
      <c r="J92">
        <v>0.27173572183565758</v>
      </c>
      <c r="K92">
        <v>0</v>
      </c>
      <c r="L92">
        <v>0</v>
      </c>
      <c r="N92">
        <v>-0.10263572183565758</v>
      </c>
      <c r="O92">
        <v>0.27173572183565758</v>
      </c>
      <c r="P92">
        <v>-11.331125824273895</v>
      </c>
      <c r="Q92">
        <v>-11.331125824273895</v>
      </c>
      <c r="R92">
        <v>2.349108784853871</v>
      </c>
      <c r="S92" t="s">
        <v>31</v>
      </c>
      <c r="T92" t="s">
        <v>28</v>
      </c>
      <c r="U92">
        <v>0</v>
      </c>
      <c r="V92">
        <v>0</v>
      </c>
      <c r="W92">
        <v>0</v>
      </c>
    </row>
    <row r="93" spans="1:23" x14ac:dyDescent="0.3">
      <c r="A93" t="s">
        <v>283</v>
      </c>
      <c r="B93" t="s">
        <v>284</v>
      </c>
      <c r="C93">
        <v>9432029999195</v>
      </c>
      <c r="D93" t="s">
        <v>135</v>
      </c>
      <c r="E93" t="s">
        <v>6</v>
      </c>
      <c r="F93" t="s">
        <v>66</v>
      </c>
      <c r="G93">
        <v>0</v>
      </c>
      <c r="H93">
        <v>0.26219999999999999</v>
      </c>
      <c r="I93">
        <v>31.806216199549013</v>
      </c>
      <c r="J93">
        <v>0.24731014687976413</v>
      </c>
      <c r="K93">
        <v>0</v>
      </c>
      <c r="L93">
        <v>0</v>
      </c>
      <c r="N93">
        <v>1.4889853120235857E-2</v>
      </c>
      <c r="O93">
        <v>0.24731014687976413</v>
      </c>
      <c r="P93">
        <v>1.8062161995490129</v>
      </c>
      <c r="Q93">
        <v>1.8062161995490129</v>
      </c>
      <c r="R93">
        <v>58.311241857163481</v>
      </c>
      <c r="S93" t="s">
        <v>31</v>
      </c>
      <c r="T93" t="s">
        <v>35</v>
      </c>
      <c r="U93">
        <v>0</v>
      </c>
      <c r="V93">
        <v>0</v>
      </c>
      <c r="W93">
        <v>0</v>
      </c>
    </row>
    <row r="94" spans="1:23" x14ac:dyDescent="0.3">
      <c r="A94" t="s">
        <v>285</v>
      </c>
      <c r="B94" t="s">
        <v>286</v>
      </c>
      <c r="C94">
        <v>9432029902195</v>
      </c>
      <c r="D94" t="s">
        <v>129</v>
      </c>
      <c r="E94" t="s">
        <v>6</v>
      </c>
      <c r="F94" t="s">
        <v>66</v>
      </c>
      <c r="G94">
        <v>0</v>
      </c>
      <c r="H94">
        <v>0.10829999999999997</v>
      </c>
      <c r="I94">
        <v>14.256501415978912</v>
      </c>
      <c r="J94">
        <v>0.2278960247819615</v>
      </c>
      <c r="K94">
        <v>0</v>
      </c>
      <c r="L94">
        <v>0</v>
      </c>
      <c r="N94">
        <v>-0.11959602478196153</v>
      </c>
      <c r="O94">
        <v>0.2278960247819615</v>
      </c>
      <c r="P94">
        <v>-15.74349858402109</v>
      </c>
      <c r="Q94">
        <v>-15.743498584021088</v>
      </c>
      <c r="R94">
        <v>33.632402401130221</v>
      </c>
      <c r="S94" t="s">
        <v>31</v>
      </c>
      <c r="T94" t="s">
        <v>35</v>
      </c>
      <c r="U94">
        <v>0</v>
      </c>
      <c r="V94">
        <v>0</v>
      </c>
      <c r="W94">
        <v>0</v>
      </c>
    </row>
    <row r="95" spans="1:23" x14ac:dyDescent="0.3">
      <c r="A95" t="s">
        <v>287</v>
      </c>
      <c r="B95" t="s">
        <v>288</v>
      </c>
      <c r="C95">
        <v>9432029906190</v>
      </c>
      <c r="D95" t="s">
        <v>220</v>
      </c>
      <c r="E95" t="s">
        <v>6</v>
      </c>
      <c r="F95" t="s">
        <v>66</v>
      </c>
      <c r="G95">
        <v>0</v>
      </c>
      <c r="H95">
        <v>0</v>
      </c>
      <c r="I95">
        <v>0</v>
      </c>
      <c r="J95">
        <v>0.18878690140186841</v>
      </c>
      <c r="K95">
        <v>0</v>
      </c>
      <c r="L95">
        <v>0</v>
      </c>
      <c r="N95">
        <v>-0.18878690140186841</v>
      </c>
      <c r="O95">
        <v>0.18878690140186841</v>
      </c>
      <c r="P95">
        <v>-30</v>
      </c>
      <c r="Q95">
        <v>-29.999999999999996</v>
      </c>
      <c r="R95">
        <v>-30</v>
      </c>
      <c r="S95" t="s">
        <v>31</v>
      </c>
      <c r="T95" t="s">
        <v>35</v>
      </c>
      <c r="U95">
        <v>0</v>
      </c>
      <c r="V95">
        <v>0</v>
      </c>
      <c r="W95">
        <v>0</v>
      </c>
    </row>
    <row r="96" spans="1:23" x14ac:dyDescent="0.3">
      <c r="A96" t="s">
        <v>289</v>
      </c>
      <c r="B96" t="s">
        <v>290</v>
      </c>
      <c r="C96">
        <v>9420139999195</v>
      </c>
      <c r="D96" t="s">
        <v>143</v>
      </c>
      <c r="E96" t="s">
        <v>6</v>
      </c>
      <c r="F96" t="s">
        <v>66</v>
      </c>
      <c r="G96">
        <v>0</v>
      </c>
      <c r="H96">
        <v>0.11685</v>
      </c>
      <c r="I96">
        <v>18.830268277695922</v>
      </c>
      <c r="J96">
        <v>0.18616304071207496</v>
      </c>
      <c r="K96">
        <v>0</v>
      </c>
      <c r="L96">
        <v>0</v>
      </c>
      <c r="N96">
        <v>-6.9313040712074961E-2</v>
      </c>
      <c r="O96">
        <v>0.18616304071207496</v>
      </c>
      <c r="P96">
        <v>-11.169731722304075</v>
      </c>
      <c r="Q96">
        <v>-11.169731722304075</v>
      </c>
      <c r="R96">
        <v>57.268534077718797</v>
      </c>
      <c r="S96" t="s">
        <v>31</v>
      </c>
      <c r="T96" t="s">
        <v>28</v>
      </c>
      <c r="U96">
        <v>0</v>
      </c>
      <c r="V96">
        <v>0</v>
      </c>
      <c r="W96">
        <v>0</v>
      </c>
    </row>
    <row r="97" spans="1:23" x14ac:dyDescent="0.3">
      <c r="A97" t="s">
        <v>291</v>
      </c>
      <c r="B97" t="s">
        <v>292</v>
      </c>
      <c r="C97">
        <v>9420139905190</v>
      </c>
      <c r="D97" t="s">
        <v>293</v>
      </c>
      <c r="E97" t="s">
        <v>6</v>
      </c>
      <c r="F97" t="s">
        <v>66</v>
      </c>
      <c r="G97">
        <v>0</v>
      </c>
      <c r="H97">
        <v>0</v>
      </c>
      <c r="I97">
        <v>0</v>
      </c>
      <c r="J97">
        <v>0.11025464</v>
      </c>
      <c r="K97">
        <v>0</v>
      </c>
      <c r="L97">
        <v>0</v>
      </c>
      <c r="N97">
        <v>-0.11025464</v>
      </c>
      <c r="O97">
        <v>0.11025464</v>
      </c>
      <c r="P97">
        <v>-30</v>
      </c>
      <c r="Q97">
        <v>-30</v>
      </c>
      <c r="R97">
        <v>-30</v>
      </c>
      <c r="S97">
        <v>0</v>
      </c>
      <c r="T97" t="s">
        <v>28</v>
      </c>
      <c r="U97">
        <v>0</v>
      </c>
      <c r="V97">
        <v>0</v>
      </c>
      <c r="W97">
        <v>0</v>
      </c>
    </row>
    <row r="98" spans="1:23" x14ac:dyDescent="0.3">
      <c r="A98" t="s">
        <v>294</v>
      </c>
      <c r="B98" t="s">
        <v>295</v>
      </c>
      <c r="C98">
        <v>9420139902838</v>
      </c>
      <c r="D98" t="s">
        <v>140</v>
      </c>
      <c r="E98" t="s">
        <v>6</v>
      </c>
      <c r="F98" t="s">
        <v>66</v>
      </c>
      <c r="G98">
        <v>0</v>
      </c>
      <c r="H98">
        <v>0</v>
      </c>
      <c r="I98">
        <v>0</v>
      </c>
      <c r="J98">
        <v>9.2578526999999994E-2</v>
      </c>
      <c r="K98">
        <v>0</v>
      </c>
      <c r="L98">
        <v>0</v>
      </c>
      <c r="N98">
        <v>-9.2578526999999994E-2</v>
      </c>
      <c r="O98">
        <v>9.2578526999999994E-2</v>
      </c>
      <c r="P98">
        <v>-30</v>
      </c>
      <c r="Q98">
        <v>-30.000000000000004</v>
      </c>
      <c r="R98">
        <v>-30</v>
      </c>
      <c r="S98">
        <v>0</v>
      </c>
      <c r="T98" t="s">
        <v>28</v>
      </c>
      <c r="U98">
        <v>0</v>
      </c>
      <c r="V98">
        <v>0</v>
      </c>
      <c r="W98">
        <v>0</v>
      </c>
    </row>
    <row r="99" spans="1:23" x14ac:dyDescent="0.3">
      <c r="A99" t="s">
        <v>296</v>
      </c>
      <c r="B99" t="s">
        <v>297</v>
      </c>
      <c r="C99">
        <v>9420139906190</v>
      </c>
      <c r="D99" t="s">
        <v>298</v>
      </c>
      <c r="E99" t="s">
        <v>6</v>
      </c>
      <c r="F99" t="s">
        <v>66</v>
      </c>
      <c r="G99">
        <v>0</v>
      </c>
      <c r="H99">
        <v>0</v>
      </c>
      <c r="I99">
        <v>0</v>
      </c>
      <c r="J99">
        <v>8.4523462000000008E-2</v>
      </c>
      <c r="K99">
        <v>0</v>
      </c>
      <c r="L99">
        <v>0</v>
      </c>
      <c r="N99">
        <v>-8.4523462000000008E-2</v>
      </c>
      <c r="O99">
        <v>8.4523462000000008E-2</v>
      </c>
      <c r="P99">
        <v>-30</v>
      </c>
      <c r="Q99">
        <v>-30</v>
      </c>
      <c r="R99">
        <v>-30</v>
      </c>
      <c r="S99">
        <v>0</v>
      </c>
      <c r="T99" t="s">
        <v>28</v>
      </c>
      <c r="U99">
        <v>0</v>
      </c>
      <c r="V99">
        <v>0</v>
      </c>
      <c r="W99">
        <v>0</v>
      </c>
    </row>
    <row r="100" spans="1:23" x14ac:dyDescent="0.3">
      <c r="A100" t="s">
        <v>299</v>
      </c>
      <c r="B100" t="s">
        <v>300</v>
      </c>
      <c r="C100">
        <v>9432029902319</v>
      </c>
      <c r="D100" t="s">
        <v>129</v>
      </c>
      <c r="E100" t="s">
        <v>6</v>
      </c>
      <c r="F100" t="s">
        <v>66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N100">
        <v>0</v>
      </c>
      <c r="O100">
        <v>0</v>
      </c>
      <c r="P100">
        <v>9999</v>
      </c>
      <c r="Q100">
        <v>9999</v>
      </c>
      <c r="R100">
        <v>9999</v>
      </c>
      <c r="S100" t="s">
        <v>31</v>
      </c>
      <c r="T100" t="s">
        <v>35</v>
      </c>
      <c r="U100" t="s">
        <v>72</v>
      </c>
      <c r="V100" t="s">
        <v>72</v>
      </c>
      <c r="W100">
        <v>0</v>
      </c>
    </row>
    <row r="101" spans="1:23" x14ac:dyDescent="0.3">
      <c r="A101" t="s">
        <v>301</v>
      </c>
      <c r="B101" t="s">
        <v>302</v>
      </c>
      <c r="C101">
        <v>9410149906836</v>
      </c>
      <c r="D101" t="s">
        <v>229</v>
      </c>
      <c r="E101" t="s">
        <v>6</v>
      </c>
      <c r="F101" t="s">
        <v>66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N101">
        <v>0</v>
      </c>
      <c r="O101">
        <v>0</v>
      </c>
      <c r="P101">
        <v>9999</v>
      </c>
      <c r="Q101">
        <v>9999</v>
      </c>
      <c r="R101">
        <v>9999</v>
      </c>
      <c r="S101" t="s">
        <v>31</v>
      </c>
      <c r="T101" t="s">
        <v>32</v>
      </c>
      <c r="U101" t="s">
        <v>72</v>
      </c>
      <c r="V101" t="s">
        <v>72</v>
      </c>
      <c r="W101">
        <v>0</v>
      </c>
    </row>
    <row r="102" spans="1:23" x14ac:dyDescent="0.3">
      <c r="A102" t="s">
        <v>303</v>
      </c>
      <c r="B102" t="s">
        <v>304</v>
      </c>
      <c r="C102">
        <v>9432029999838</v>
      </c>
      <c r="D102" t="s">
        <v>135</v>
      </c>
      <c r="E102" t="s">
        <v>6</v>
      </c>
      <c r="F102" t="s">
        <v>66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N102">
        <v>0</v>
      </c>
      <c r="O102">
        <v>0</v>
      </c>
      <c r="P102">
        <v>9999</v>
      </c>
      <c r="Q102">
        <v>9999</v>
      </c>
      <c r="R102">
        <v>9999</v>
      </c>
      <c r="S102" t="s">
        <v>31</v>
      </c>
      <c r="T102" t="s">
        <v>35</v>
      </c>
      <c r="U102" t="s">
        <v>72</v>
      </c>
      <c r="V102" t="s">
        <v>72</v>
      </c>
      <c r="W102">
        <v>0</v>
      </c>
    </row>
    <row r="103" spans="1:23" x14ac:dyDescent="0.3">
      <c r="A103" t="s">
        <v>305</v>
      </c>
      <c r="B103" t="s">
        <v>306</v>
      </c>
      <c r="C103">
        <v>9432029902295</v>
      </c>
      <c r="D103" t="s">
        <v>129</v>
      </c>
      <c r="E103" t="s">
        <v>6</v>
      </c>
      <c r="F103" t="s">
        <v>66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N103">
        <v>0</v>
      </c>
      <c r="O103">
        <v>0</v>
      </c>
      <c r="P103">
        <v>9999</v>
      </c>
      <c r="Q103">
        <v>9999</v>
      </c>
      <c r="R103">
        <v>9999</v>
      </c>
      <c r="S103" t="s">
        <v>31</v>
      </c>
      <c r="T103" t="s">
        <v>35</v>
      </c>
      <c r="U103" t="s">
        <v>72</v>
      </c>
      <c r="V103" t="s">
        <v>72</v>
      </c>
      <c r="W103">
        <v>0</v>
      </c>
    </row>
    <row r="104" spans="1:23" x14ac:dyDescent="0.3">
      <c r="A104" t="s">
        <v>307</v>
      </c>
      <c r="B104" t="s">
        <v>308</v>
      </c>
      <c r="C104">
        <v>9410149906190</v>
      </c>
      <c r="D104" t="s">
        <v>229</v>
      </c>
      <c r="E104" t="s">
        <v>6</v>
      </c>
      <c r="F104" t="s">
        <v>66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N104">
        <v>0</v>
      </c>
      <c r="O104">
        <v>0</v>
      </c>
      <c r="P104">
        <v>9999</v>
      </c>
      <c r="Q104">
        <v>9999</v>
      </c>
      <c r="R104">
        <v>9999</v>
      </c>
      <c r="S104" t="s">
        <v>31</v>
      </c>
      <c r="T104" t="s">
        <v>32</v>
      </c>
      <c r="U104" t="s">
        <v>72</v>
      </c>
      <c r="V104" t="s">
        <v>72</v>
      </c>
      <c r="W10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>
      <selection activeCell="E2" sqref="E2"/>
    </sheetView>
  </sheetViews>
  <sheetFormatPr defaultColWidth="11.19921875" defaultRowHeight="15.6" x14ac:dyDescent="0.3"/>
  <cols>
    <col min="1" max="1" width="17.796875" bestFit="1" customWidth="1"/>
    <col min="2" max="2" width="12" bestFit="1" customWidth="1"/>
  </cols>
  <sheetData>
    <row r="1" spans="1:6" x14ac:dyDescent="0.3">
      <c r="F1">
        <v>0.05</v>
      </c>
    </row>
    <row r="2" spans="1:6" ht="30" customHeight="1" x14ac:dyDescent="0.3">
      <c r="A2" s="6" t="s">
        <v>40</v>
      </c>
      <c r="B2" s="6" t="s">
        <v>41</v>
      </c>
      <c r="C2" s="1" t="s">
        <v>0</v>
      </c>
      <c r="D2" s="6" t="s">
        <v>42</v>
      </c>
      <c r="E2" s="7" t="s">
        <v>45</v>
      </c>
    </row>
    <row r="3" spans="1:6" x14ac:dyDescent="0.3">
      <c r="A3" t="str">
        <f t="shared" ref="A3:A16" si="0">D3&amp;B3</f>
        <v>Mah9963334018999</v>
      </c>
      <c r="B3" s="10">
        <v>9963334018999</v>
      </c>
      <c r="C3" t="str">
        <f t="shared" ref="C3:C16" si="1">LEFT(B3,10)</f>
        <v>9963334018</v>
      </c>
      <c r="D3" s="3" t="s">
        <v>1</v>
      </c>
      <c r="E3" s="3">
        <v>3.9000000000003672</v>
      </c>
    </row>
    <row r="4" spans="1:6" x14ac:dyDescent="0.3">
      <c r="A4" t="str">
        <f t="shared" si="0"/>
        <v>Pan9963334018999</v>
      </c>
      <c r="B4" s="10">
        <v>9963334018999</v>
      </c>
      <c r="C4" t="str">
        <f t="shared" si="1"/>
        <v>9963334018</v>
      </c>
      <c r="D4" s="3" t="s">
        <v>2</v>
      </c>
      <c r="E4" s="3">
        <v>2.9700000000000011</v>
      </c>
    </row>
    <row r="5" spans="1:6" x14ac:dyDescent="0.3">
      <c r="A5" t="str">
        <f t="shared" si="0"/>
        <v>Lud9963334018999</v>
      </c>
      <c r="B5" s="10">
        <v>9963334018999</v>
      </c>
      <c r="C5" t="str">
        <f t="shared" si="1"/>
        <v>9963334018</v>
      </c>
      <c r="D5" s="3" t="s">
        <v>3</v>
      </c>
      <c r="E5" s="3">
        <v>7.7400000000000011</v>
      </c>
    </row>
    <row r="6" spans="1:6" x14ac:dyDescent="0.3">
      <c r="A6" t="str">
        <f t="shared" si="0"/>
        <v>CY9963334018999</v>
      </c>
      <c r="B6" s="10">
        <v>9963334018999</v>
      </c>
      <c r="C6" t="str">
        <f t="shared" si="1"/>
        <v>9963334018</v>
      </c>
      <c r="D6" s="3" t="s">
        <v>4</v>
      </c>
      <c r="E6" s="3">
        <v>17.12</v>
      </c>
    </row>
    <row r="7" spans="1:6" x14ac:dyDescent="0.3">
      <c r="A7" t="str">
        <f t="shared" si="0"/>
        <v>CMR9963334018999</v>
      </c>
      <c r="B7" s="10">
        <v>9963334018999</v>
      </c>
      <c r="C7" t="str">
        <f t="shared" si="1"/>
        <v>9963334018</v>
      </c>
      <c r="D7" s="3" t="s">
        <v>5</v>
      </c>
      <c r="E7" s="3">
        <v>5.4</v>
      </c>
    </row>
    <row r="8" spans="1:6" x14ac:dyDescent="0.3">
      <c r="A8" t="str">
        <f t="shared" si="0"/>
        <v>KGP9963334018999</v>
      </c>
      <c r="B8" s="10">
        <v>9963334018999</v>
      </c>
      <c r="C8" t="str">
        <f t="shared" si="1"/>
        <v>9963334018</v>
      </c>
      <c r="D8" s="3" t="s">
        <v>6</v>
      </c>
      <c r="E8" s="3">
        <v>0</v>
      </c>
    </row>
    <row r="9" spans="1:6" x14ac:dyDescent="0.3">
      <c r="A9" t="str">
        <f t="shared" si="0"/>
        <v>Guw9963334018999</v>
      </c>
      <c r="B9" s="10">
        <v>9963334018999</v>
      </c>
      <c r="C9" t="str">
        <f t="shared" si="1"/>
        <v>9963334018</v>
      </c>
      <c r="D9" s="3" t="s">
        <v>7</v>
      </c>
      <c r="E9" s="3">
        <v>10.16</v>
      </c>
    </row>
    <row r="10" spans="1:6" x14ac:dyDescent="0.3">
      <c r="A10" t="str">
        <f t="shared" si="0"/>
        <v>Mah2181241943999</v>
      </c>
      <c r="B10" s="14">
        <v>2181241943999</v>
      </c>
      <c r="C10" t="str">
        <f t="shared" si="1"/>
        <v>2181241943</v>
      </c>
      <c r="D10" s="3" t="s">
        <v>1</v>
      </c>
      <c r="E10" s="3">
        <v>23.58</v>
      </c>
    </row>
    <row r="11" spans="1:6" x14ac:dyDescent="0.3">
      <c r="A11" t="str">
        <f t="shared" si="0"/>
        <v>Pan2181241943999</v>
      </c>
      <c r="B11" s="14">
        <v>2181241943999</v>
      </c>
      <c r="C11" t="str">
        <f t="shared" si="1"/>
        <v>2181241943</v>
      </c>
      <c r="D11" s="3" t="s">
        <v>2</v>
      </c>
      <c r="E11" s="3">
        <v>7.9925000000000006</v>
      </c>
    </row>
    <row r="12" spans="1:6" x14ac:dyDescent="0.3">
      <c r="A12" t="str">
        <f t="shared" si="0"/>
        <v>Lud2181241943999</v>
      </c>
      <c r="B12" s="14">
        <v>2181241943999</v>
      </c>
      <c r="C12" t="str">
        <f t="shared" si="1"/>
        <v>2181241943</v>
      </c>
      <c r="D12" s="3" t="s">
        <v>3</v>
      </c>
      <c r="E12" s="3">
        <v>14.605</v>
      </c>
    </row>
    <row r="13" spans="1:6" x14ac:dyDescent="0.3">
      <c r="A13" t="str">
        <f t="shared" si="0"/>
        <v>CY2181241943999</v>
      </c>
      <c r="B13" s="14">
        <v>2181241943999</v>
      </c>
      <c r="C13" t="str">
        <f t="shared" si="1"/>
        <v>2181241943</v>
      </c>
      <c r="D13" s="3" t="s">
        <v>4</v>
      </c>
      <c r="E13" s="3">
        <v>15.65</v>
      </c>
    </row>
    <row r="14" spans="1:6" x14ac:dyDescent="0.3">
      <c r="A14" t="str">
        <f t="shared" si="0"/>
        <v>CMR2181241943999</v>
      </c>
      <c r="B14" s="14">
        <v>2181241943999</v>
      </c>
      <c r="C14" t="str">
        <f t="shared" si="1"/>
        <v>2181241943</v>
      </c>
      <c r="D14" s="3" t="s">
        <v>5</v>
      </c>
      <c r="E14" s="3">
        <v>4.5199999999999996</v>
      </c>
    </row>
    <row r="15" spans="1:6" x14ac:dyDescent="0.3">
      <c r="A15" t="str">
        <f t="shared" si="0"/>
        <v>KGP2181241943999</v>
      </c>
      <c r="B15" s="14">
        <v>2181241943999</v>
      </c>
      <c r="C15" t="str">
        <f t="shared" si="1"/>
        <v>2181241943</v>
      </c>
      <c r="D15" s="3" t="s">
        <v>6</v>
      </c>
      <c r="E15" s="3">
        <v>8.1074999999999999</v>
      </c>
    </row>
    <row r="16" spans="1:6" x14ac:dyDescent="0.3">
      <c r="A16" t="str">
        <f t="shared" si="0"/>
        <v>Guw2181241943999</v>
      </c>
      <c r="B16" s="14">
        <v>2181241943999</v>
      </c>
      <c r="C16" t="str">
        <f t="shared" si="1"/>
        <v>2181241943</v>
      </c>
      <c r="D16" s="3" t="s">
        <v>7</v>
      </c>
      <c r="E16" s="3">
        <v>10.199999999999999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6"/>
  <sheetViews>
    <sheetView zoomScale="90" zoomScaleNormal="90" workbookViewId="0"/>
  </sheetViews>
  <sheetFormatPr defaultColWidth="11.19921875" defaultRowHeight="15.6" x14ac:dyDescent="0.3"/>
  <cols>
    <col min="1" max="1" width="12.796875" style="2" bestFit="1" customWidth="1"/>
    <col min="2" max="3" width="27.5" bestFit="1" customWidth="1"/>
    <col min="4" max="4" width="35.5" bestFit="1" customWidth="1"/>
    <col min="5" max="5" width="27.5" bestFit="1" customWidth="1"/>
    <col min="6" max="6" width="26" bestFit="1" customWidth="1"/>
    <col min="7" max="7" width="36.5" bestFit="1" customWidth="1"/>
    <col min="8" max="8" width="6.8984375" bestFit="1" customWidth="1"/>
  </cols>
  <sheetData>
    <row r="1" spans="1:8" x14ac:dyDescent="0.3">
      <c r="A1" s="2" t="s">
        <v>0</v>
      </c>
      <c r="B1" t="s">
        <v>2</v>
      </c>
      <c r="C1" t="s">
        <v>3</v>
      </c>
      <c r="D1" t="s">
        <v>1</v>
      </c>
      <c r="E1" t="s">
        <v>5</v>
      </c>
      <c r="F1" t="s">
        <v>4</v>
      </c>
      <c r="G1" t="s">
        <v>6</v>
      </c>
      <c r="H1" t="s">
        <v>7</v>
      </c>
    </row>
    <row r="2" spans="1:8" x14ac:dyDescent="0.3">
      <c r="A2" s="2">
        <v>9100209900</v>
      </c>
      <c r="B2" t="s">
        <v>73</v>
      </c>
      <c r="C2" t="s">
        <v>74</v>
      </c>
      <c r="D2" t="s">
        <v>73</v>
      </c>
      <c r="E2" t="s">
        <v>73</v>
      </c>
      <c r="F2" t="s">
        <v>73</v>
      </c>
      <c r="G2" t="s">
        <v>73</v>
      </c>
    </row>
    <row r="3" spans="1:8" x14ac:dyDescent="0.3">
      <c r="A3" s="2">
        <v>9100209901</v>
      </c>
      <c r="B3" t="s">
        <v>73</v>
      </c>
      <c r="C3" t="s">
        <v>74</v>
      </c>
      <c r="D3" t="s">
        <v>73</v>
      </c>
      <c r="E3" t="s">
        <v>73</v>
      </c>
      <c r="F3" t="s">
        <v>73</v>
      </c>
      <c r="G3" t="s">
        <v>73</v>
      </c>
    </row>
    <row r="4" spans="1:8" x14ac:dyDescent="0.3">
      <c r="A4" s="2">
        <v>9100309900</v>
      </c>
      <c r="B4" t="s">
        <v>8</v>
      </c>
      <c r="C4" t="s">
        <v>75</v>
      </c>
      <c r="D4" t="s">
        <v>76</v>
      </c>
      <c r="E4" t="s">
        <v>76</v>
      </c>
      <c r="F4" t="s">
        <v>8</v>
      </c>
      <c r="G4" t="s">
        <v>75</v>
      </c>
    </row>
    <row r="5" spans="1:8" x14ac:dyDescent="0.3">
      <c r="A5" s="2">
        <v>9100309901</v>
      </c>
      <c r="B5" t="s">
        <v>8</v>
      </c>
      <c r="C5" t="s">
        <v>77</v>
      </c>
      <c r="D5" t="s">
        <v>78</v>
      </c>
      <c r="E5" t="s">
        <v>8</v>
      </c>
      <c r="F5" t="s">
        <v>8</v>
      </c>
      <c r="G5" t="s">
        <v>8</v>
      </c>
    </row>
    <row r="6" spans="1:8" x14ac:dyDescent="0.3">
      <c r="A6" s="2">
        <v>9100309902</v>
      </c>
      <c r="B6" t="s">
        <v>8</v>
      </c>
      <c r="C6" t="s">
        <v>8</v>
      </c>
      <c r="D6" t="s">
        <v>79</v>
      </c>
      <c r="E6" t="s">
        <v>80</v>
      </c>
      <c r="F6" t="s">
        <v>8</v>
      </c>
      <c r="G6" t="s">
        <v>8</v>
      </c>
    </row>
    <row r="7" spans="1:8" x14ac:dyDescent="0.3">
      <c r="A7" s="2">
        <v>9100509900</v>
      </c>
      <c r="B7" t="s">
        <v>80</v>
      </c>
      <c r="C7" t="s">
        <v>8</v>
      </c>
      <c r="D7" t="s">
        <v>80</v>
      </c>
      <c r="E7" t="s">
        <v>80</v>
      </c>
      <c r="F7" t="s">
        <v>80</v>
      </c>
      <c r="G7" t="s">
        <v>110</v>
      </c>
    </row>
    <row r="8" spans="1:8" x14ac:dyDescent="0.3">
      <c r="A8" s="2">
        <v>9100509901</v>
      </c>
      <c r="B8" t="s">
        <v>78</v>
      </c>
      <c r="C8" t="s">
        <v>77</v>
      </c>
      <c r="D8" t="s">
        <v>78</v>
      </c>
      <c r="E8" t="s">
        <v>79</v>
      </c>
      <c r="F8" t="s">
        <v>8</v>
      </c>
      <c r="G8" t="s">
        <v>8</v>
      </c>
    </row>
    <row r="9" spans="1:8" x14ac:dyDescent="0.3">
      <c r="A9" s="2">
        <v>9100509902</v>
      </c>
      <c r="B9" t="s">
        <v>79</v>
      </c>
      <c r="C9" t="s">
        <v>78</v>
      </c>
      <c r="D9" t="s">
        <v>79</v>
      </c>
      <c r="E9" t="s">
        <v>80</v>
      </c>
      <c r="F9" t="s">
        <v>80</v>
      </c>
      <c r="G9" t="s">
        <v>78</v>
      </c>
    </row>
    <row r="10" spans="1:8" x14ac:dyDescent="0.3">
      <c r="A10" s="2">
        <v>9101069900</v>
      </c>
      <c r="B10" t="s">
        <v>8</v>
      </c>
      <c r="C10" t="s">
        <v>8</v>
      </c>
      <c r="D10" t="s">
        <v>81</v>
      </c>
      <c r="E10" t="s">
        <v>8</v>
      </c>
      <c r="F10" t="s">
        <v>81</v>
      </c>
      <c r="G10" t="s">
        <v>8</v>
      </c>
    </row>
    <row r="11" spans="1:8" x14ac:dyDescent="0.3">
      <c r="A11" s="2">
        <v>9101109900</v>
      </c>
      <c r="B11" t="s">
        <v>8</v>
      </c>
      <c r="C11" t="s">
        <v>82</v>
      </c>
      <c r="D11" t="s">
        <v>77</v>
      </c>
      <c r="E11" t="s">
        <v>8</v>
      </c>
      <c r="F11" t="s">
        <v>8</v>
      </c>
      <c r="G11" t="s">
        <v>8</v>
      </c>
    </row>
    <row r="12" spans="1:8" x14ac:dyDescent="0.3">
      <c r="A12" s="2">
        <v>9160309900</v>
      </c>
      <c r="B12" t="s">
        <v>9</v>
      </c>
      <c r="C12" t="s">
        <v>83</v>
      </c>
      <c r="D12" t="s">
        <v>9</v>
      </c>
      <c r="E12" t="s">
        <v>84</v>
      </c>
      <c r="F12" t="s">
        <v>8</v>
      </c>
      <c r="G12" t="s">
        <v>9</v>
      </c>
    </row>
    <row r="13" spans="1:8" x14ac:dyDescent="0.3">
      <c r="A13" s="2">
        <v>9160309901</v>
      </c>
      <c r="B13" t="s">
        <v>85</v>
      </c>
      <c r="C13" t="s">
        <v>80</v>
      </c>
      <c r="D13" t="s">
        <v>85</v>
      </c>
      <c r="E13" t="s">
        <v>86</v>
      </c>
      <c r="F13" t="s">
        <v>83</v>
      </c>
      <c r="G13" t="s">
        <v>80</v>
      </c>
    </row>
    <row r="14" spans="1:8" x14ac:dyDescent="0.3">
      <c r="A14" s="2">
        <v>9160309902</v>
      </c>
      <c r="B14" t="s">
        <v>79</v>
      </c>
      <c r="C14" t="s">
        <v>78</v>
      </c>
      <c r="D14" t="s">
        <v>79</v>
      </c>
      <c r="E14" t="s">
        <v>80</v>
      </c>
      <c r="F14" t="s">
        <v>80</v>
      </c>
      <c r="G14" t="s">
        <v>79</v>
      </c>
    </row>
    <row r="15" spans="1:8" x14ac:dyDescent="0.3">
      <c r="A15" s="2">
        <v>9160509900</v>
      </c>
      <c r="B15" t="s">
        <v>8</v>
      </c>
      <c r="C15" t="s">
        <v>75</v>
      </c>
      <c r="D15" t="s">
        <v>75</v>
      </c>
      <c r="E15" t="s">
        <v>77</v>
      </c>
      <c r="F15" t="s">
        <v>8</v>
      </c>
      <c r="G15" t="s">
        <v>8</v>
      </c>
    </row>
    <row r="16" spans="1:8" x14ac:dyDescent="0.3">
      <c r="A16" s="2">
        <v>9160509901</v>
      </c>
      <c r="B16" t="s">
        <v>8</v>
      </c>
      <c r="C16" t="s">
        <v>8</v>
      </c>
      <c r="D16" t="s">
        <v>8</v>
      </c>
      <c r="E16" t="s">
        <v>75</v>
      </c>
      <c r="F16" t="s">
        <v>8</v>
      </c>
      <c r="G16" t="s">
        <v>8</v>
      </c>
    </row>
    <row r="17" spans="1:7" x14ac:dyDescent="0.3">
      <c r="A17" s="2">
        <v>9160509902</v>
      </c>
      <c r="B17" t="s">
        <v>8</v>
      </c>
      <c r="C17" t="s">
        <v>8</v>
      </c>
      <c r="D17" t="s">
        <v>8</v>
      </c>
      <c r="E17" t="s">
        <v>8</v>
      </c>
      <c r="F17" t="s">
        <v>8</v>
      </c>
      <c r="G17" t="s">
        <v>8</v>
      </c>
    </row>
    <row r="18" spans="1:7" x14ac:dyDescent="0.3">
      <c r="A18" s="2">
        <v>9160509999</v>
      </c>
      <c r="B18" t="s">
        <v>87</v>
      </c>
      <c r="C18" t="s">
        <v>87</v>
      </c>
      <c r="D18" t="s">
        <v>87</v>
      </c>
      <c r="E18" t="s">
        <v>87</v>
      </c>
      <c r="F18" t="s">
        <v>87</v>
      </c>
      <c r="G18" t="s">
        <v>87</v>
      </c>
    </row>
    <row r="19" spans="1:7" x14ac:dyDescent="0.3">
      <c r="A19" s="2">
        <v>9160709900</v>
      </c>
      <c r="B19" t="s">
        <v>88</v>
      </c>
      <c r="C19" t="s">
        <v>88</v>
      </c>
      <c r="D19" t="s">
        <v>85</v>
      </c>
      <c r="E19" t="s">
        <v>86</v>
      </c>
      <c r="F19" t="s">
        <v>83</v>
      </c>
      <c r="G19" t="s">
        <v>88</v>
      </c>
    </row>
    <row r="20" spans="1:7" x14ac:dyDescent="0.3">
      <c r="A20" s="2">
        <v>9160709901</v>
      </c>
      <c r="B20" t="s">
        <v>76</v>
      </c>
      <c r="C20" t="s">
        <v>75</v>
      </c>
      <c r="D20" t="s">
        <v>8</v>
      </c>
      <c r="E20" t="s">
        <v>76</v>
      </c>
      <c r="F20" t="s">
        <v>8</v>
      </c>
      <c r="G20" t="s">
        <v>8</v>
      </c>
    </row>
    <row r="21" spans="1:7" x14ac:dyDescent="0.3">
      <c r="A21" s="2">
        <v>9160709902</v>
      </c>
      <c r="B21" t="s">
        <v>8</v>
      </c>
      <c r="C21" t="s">
        <v>8</v>
      </c>
      <c r="D21" t="s">
        <v>8</v>
      </c>
      <c r="E21" t="s">
        <v>81</v>
      </c>
      <c r="F21" t="s">
        <v>8</v>
      </c>
      <c r="G21" t="s">
        <v>8</v>
      </c>
    </row>
    <row r="22" spans="1:7" x14ac:dyDescent="0.3">
      <c r="A22" s="2">
        <v>9160709999</v>
      </c>
      <c r="B22" t="s">
        <v>87</v>
      </c>
      <c r="C22" t="s">
        <v>87</v>
      </c>
      <c r="D22" t="s">
        <v>87</v>
      </c>
      <c r="E22" t="s">
        <v>87</v>
      </c>
      <c r="F22" t="s">
        <v>87</v>
      </c>
      <c r="G22" t="s">
        <v>87</v>
      </c>
    </row>
    <row r="23" spans="1:7" x14ac:dyDescent="0.3">
      <c r="A23" s="2">
        <v>9160909900</v>
      </c>
      <c r="B23" t="s">
        <v>89</v>
      </c>
      <c r="C23" t="s">
        <v>89</v>
      </c>
      <c r="D23" t="s">
        <v>8</v>
      </c>
      <c r="E23" t="s">
        <v>88</v>
      </c>
      <c r="F23" t="s">
        <v>76</v>
      </c>
      <c r="G23" t="s">
        <v>89</v>
      </c>
    </row>
    <row r="24" spans="1:7" x14ac:dyDescent="0.3">
      <c r="A24" s="2">
        <v>9160909901</v>
      </c>
      <c r="B24" t="s">
        <v>76</v>
      </c>
      <c r="C24" t="s">
        <v>77</v>
      </c>
      <c r="D24" t="s">
        <v>77</v>
      </c>
      <c r="E24" t="s">
        <v>78</v>
      </c>
      <c r="F24" t="s">
        <v>81</v>
      </c>
      <c r="G24" t="s">
        <v>76</v>
      </c>
    </row>
    <row r="25" spans="1:7" x14ac:dyDescent="0.3">
      <c r="A25" s="2">
        <v>9160909902</v>
      </c>
      <c r="B25" t="s">
        <v>76</v>
      </c>
      <c r="C25" t="s">
        <v>76</v>
      </c>
      <c r="D25" t="s">
        <v>81</v>
      </c>
      <c r="E25" t="s">
        <v>81</v>
      </c>
      <c r="F25" t="s">
        <v>81</v>
      </c>
      <c r="G25" t="s">
        <v>76</v>
      </c>
    </row>
    <row r="26" spans="1:7" x14ac:dyDescent="0.3">
      <c r="A26" s="2">
        <v>9160909999</v>
      </c>
      <c r="B26" t="s">
        <v>90</v>
      </c>
      <c r="C26" t="s">
        <v>90</v>
      </c>
      <c r="D26" t="s">
        <v>90</v>
      </c>
      <c r="E26" t="s">
        <v>91</v>
      </c>
      <c r="F26" t="s">
        <v>91</v>
      </c>
      <c r="G26" t="s">
        <v>90</v>
      </c>
    </row>
    <row r="27" spans="1:7" x14ac:dyDescent="0.3">
      <c r="A27" s="2">
        <v>9161089900</v>
      </c>
      <c r="B27" t="s">
        <v>8</v>
      </c>
      <c r="C27" t="s">
        <v>8</v>
      </c>
      <c r="D27" t="s">
        <v>81</v>
      </c>
      <c r="E27" t="s">
        <v>77</v>
      </c>
      <c r="F27" t="s">
        <v>81</v>
      </c>
      <c r="G27" t="s">
        <v>8</v>
      </c>
    </row>
    <row r="28" spans="1:7" x14ac:dyDescent="0.3">
      <c r="A28" s="2">
        <v>9161109900</v>
      </c>
      <c r="B28" t="s">
        <v>8</v>
      </c>
      <c r="C28" t="s">
        <v>77</v>
      </c>
      <c r="D28" t="s">
        <v>76</v>
      </c>
      <c r="E28" t="s">
        <v>79</v>
      </c>
      <c r="F28" t="s">
        <v>8</v>
      </c>
      <c r="G28" t="s">
        <v>8</v>
      </c>
    </row>
    <row r="29" spans="1:7" x14ac:dyDescent="0.3">
      <c r="A29" s="2">
        <v>9181309900</v>
      </c>
      <c r="B29" t="s">
        <v>8</v>
      </c>
      <c r="C29" t="s">
        <v>8</v>
      </c>
      <c r="D29" t="s">
        <v>8</v>
      </c>
      <c r="E29" t="s">
        <v>8</v>
      </c>
      <c r="F29" t="s">
        <v>8</v>
      </c>
      <c r="G29" t="s">
        <v>8</v>
      </c>
    </row>
    <row r="30" spans="1:7" x14ac:dyDescent="0.3">
      <c r="A30" s="2">
        <v>9181709900</v>
      </c>
      <c r="B30" t="s">
        <v>8</v>
      </c>
      <c r="C30" t="s">
        <v>9</v>
      </c>
      <c r="D30" t="s">
        <v>8</v>
      </c>
      <c r="E30" t="s">
        <v>8</v>
      </c>
      <c r="F30" t="s">
        <v>8</v>
      </c>
      <c r="G30" t="s">
        <v>9</v>
      </c>
    </row>
    <row r="31" spans="1:7" x14ac:dyDescent="0.3">
      <c r="A31" s="2">
        <v>9181909900</v>
      </c>
      <c r="B31">
        <v>0</v>
      </c>
      <c r="C31">
        <v>0</v>
      </c>
      <c r="D31">
        <v>0</v>
      </c>
      <c r="E31">
        <v>0</v>
      </c>
      <c r="F31" t="s">
        <v>8</v>
      </c>
      <c r="G31" t="s">
        <v>8</v>
      </c>
    </row>
    <row r="32" spans="1:7" x14ac:dyDescent="0.3">
      <c r="A32" s="2">
        <v>9310019900</v>
      </c>
      <c r="B32" t="s">
        <v>88</v>
      </c>
      <c r="C32" t="s">
        <v>80</v>
      </c>
      <c r="D32" t="s">
        <v>80</v>
      </c>
      <c r="E32" t="s">
        <v>85</v>
      </c>
      <c r="F32" t="s">
        <v>8</v>
      </c>
      <c r="G32" t="s">
        <v>80</v>
      </c>
    </row>
    <row r="33" spans="1:7" x14ac:dyDescent="0.3">
      <c r="A33" s="2">
        <v>9310019901</v>
      </c>
      <c r="B33" t="s">
        <v>76</v>
      </c>
      <c r="C33" t="s">
        <v>8</v>
      </c>
      <c r="D33" t="s">
        <v>76</v>
      </c>
      <c r="E33" t="s">
        <v>76</v>
      </c>
      <c r="F33" t="s">
        <v>8</v>
      </c>
      <c r="G33" t="s">
        <v>75</v>
      </c>
    </row>
    <row r="34" spans="1:7" x14ac:dyDescent="0.3">
      <c r="A34" s="2">
        <v>9310019902</v>
      </c>
      <c r="B34" t="s">
        <v>8</v>
      </c>
      <c r="C34" t="s">
        <v>8</v>
      </c>
      <c r="D34" t="s">
        <v>81</v>
      </c>
      <c r="E34" t="s">
        <v>82</v>
      </c>
      <c r="F34" t="s">
        <v>8</v>
      </c>
      <c r="G34" t="s">
        <v>8</v>
      </c>
    </row>
    <row r="35" spans="1:7" x14ac:dyDescent="0.3">
      <c r="A35" s="2">
        <v>9310019904</v>
      </c>
      <c r="B35">
        <v>0</v>
      </c>
      <c r="C35">
        <v>0</v>
      </c>
      <c r="D35">
        <v>0</v>
      </c>
      <c r="E35">
        <v>0</v>
      </c>
      <c r="F35" t="s">
        <v>83</v>
      </c>
      <c r="G35" t="s">
        <v>83</v>
      </c>
    </row>
    <row r="36" spans="1:7" x14ac:dyDescent="0.3">
      <c r="A36" s="2">
        <v>9310019905</v>
      </c>
      <c r="B36">
        <v>0</v>
      </c>
      <c r="C36">
        <v>0</v>
      </c>
      <c r="D36">
        <v>0</v>
      </c>
      <c r="E36">
        <v>0</v>
      </c>
      <c r="F36" t="s">
        <v>8</v>
      </c>
      <c r="G36" t="s">
        <v>76</v>
      </c>
    </row>
    <row r="37" spans="1:7" x14ac:dyDescent="0.3">
      <c r="A37" s="2">
        <v>9310019914</v>
      </c>
      <c r="B37">
        <v>0</v>
      </c>
      <c r="C37">
        <v>0</v>
      </c>
      <c r="D37" t="s">
        <v>92</v>
      </c>
      <c r="E37">
        <v>0</v>
      </c>
      <c r="F37">
        <v>0</v>
      </c>
      <c r="G37">
        <v>0</v>
      </c>
    </row>
    <row r="38" spans="1:7" x14ac:dyDescent="0.3">
      <c r="A38" s="2">
        <v>9310019915</v>
      </c>
      <c r="B38">
        <v>0</v>
      </c>
      <c r="C38">
        <v>0</v>
      </c>
      <c r="D38" t="s">
        <v>93</v>
      </c>
      <c r="E38">
        <v>0</v>
      </c>
      <c r="F38">
        <v>0</v>
      </c>
      <c r="G38">
        <v>0</v>
      </c>
    </row>
    <row r="39" spans="1:7" x14ac:dyDescent="0.3">
      <c r="A39" s="2">
        <v>9310019999</v>
      </c>
      <c r="B39" t="s">
        <v>87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</row>
    <row r="40" spans="1:7" x14ac:dyDescent="0.3">
      <c r="A40" s="2">
        <v>9310029900</v>
      </c>
      <c r="B40" t="s">
        <v>79</v>
      </c>
      <c r="C40" t="s">
        <v>78</v>
      </c>
      <c r="D40" t="s">
        <v>77</v>
      </c>
      <c r="E40" t="s">
        <v>8</v>
      </c>
      <c r="F40" t="s">
        <v>8</v>
      </c>
      <c r="G40" t="s">
        <v>78</v>
      </c>
    </row>
    <row r="41" spans="1:7" x14ac:dyDescent="0.3">
      <c r="A41" s="2">
        <v>9310029901</v>
      </c>
      <c r="B41" t="s">
        <v>78</v>
      </c>
      <c r="C41" t="s">
        <v>77</v>
      </c>
      <c r="D41" t="s">
        <v>78</v>
      </c>
      <c r="E41" t="s">
        <v>79</v>
      </c>
      <c r="F41" t="s">
        <v>8</v>
      </c>
      <c r="G41" t="s">
        <v>77</v>
      </c>
    </row>
    <row r="42" spans="1:7" x14ac:dyDescent="0.3">
      <c r="A42" s="2">
        <v>9310029902</v>
      </c>
      <c r="B42" t="s">
        <v>8</v>
      </c>
      <c r="C42" t="s">
        <v>8</v>
      </c>
      <c r="D42" t="s">
        <v>8</v>
      </c>
      <c r="E42" t="s">
        <v>82</v>
      </c>
      <c r="F42" t="s">
        <v>8</v>
      </c>
      <c r="G42" t="s">
        <v>8</v>
      </c>
    </row>
    <row r="43" spans="1:7" x14ac:dyDescent="0.3">
      <c r="A43" s="2">
        <v>9310029999</v>
      </c>
      <c r="B43" t="s">
        <v>87</v>
      </c>
      <c r="C43" t="s">
        <v>87</v>
      </c>
      <c r="D43" t="s">
        <v>94</v>
      </c>
      <c r="E43" t="s">
        <v>87</v>
      </c>
      <c r="F43" t="s">
        <v>87</v>
      </c>
      <c r="G43" t="s">
        <v>87</v>
      </c>
    </row>
    <row r="44" spans="1:7" x14ac:dyDescent="0.3">
      <c r="A44" s="2">
        <v>9310039900</v>
      </c>
      <c r="B44" t="s">
        <v>79</v>
      </c>
      <c r="C44" t="s">
        <v>79</v>
      </c>
      <c r="D44" t="s">
        <v>80</v>
      </c>
      <c r="E44" t="s">
        <v>80</v>
      </c>
      <c r="F44" t="s">
        <v>8</v>
      </c>
      <c r="G44" t="s">
        <v>79</v>
      </c>
    </row>
    <row r="45" spans="1:7" x14ac:dyDescent="0.3">
      <c r="A45" s="2">
        <v>9310039901</v>
      </c>
      <c r="B45" t="s">
        <v>76</v>
      </c>
      <c r="C45" t="s">
        <v>77</v>
      </c>
      <c r="D45" t="s">
        <v>77</v>
      </c>
      <c r="E45" t="s">
        <v>78</v>
      </c>
      <c r="F45" t="s">
        <v>8</v>
      </c>
      <c r="G45" t="s">
        <v>77</v>
      </c>
    </row>
    <row r="46" spans="1:7" x14ac:dyDescent="0.3">
      <c r="A46" s="2">
        <v>9310039902</v>
      </c>
      <c r="B46" t="s">
        <v>76</v>
      </c>
      <c r="C46" t="s">
        <v>77</v>
      </c>
      <c r="D46" t="s">
        <v>81</v>
      </c>
      <c r="E46" t="s">
        <v>8</v>
      </c>
      <c r="F46" t="s">
        <v>8</v>
      </c>
      <c r="G46" t="s">
        <v>77</v>
      </c>
    </row>
    <row r="47" spans="1:7" x14ac:dyDescent="0.3">
      <c r="A47" s="2">
        <v>9310039904</v>
      </c>
      <c r="B47">
        <v>0</v>
      </c>
      <c r="C47">
        <v>0</v>
      </c>
      <c r="D47">
        <v>0</v>
      </c>
      <c r="E47">
        <v>0</v>
      </c>
      <c r="F47" t="s">
        <v>81</v>
      </c>
      <c r="G47" t="s">
        <v>81</v>
      </c>
    </row>
    <row r="48" spans="1:7" x14ac:dyDescent="0.3">
      <c r="A48" s="2">
        <v>9310039905</v>
      </c>
      <c r="B48">
        <v>0</v>
      </c>
      <c r="C48">
        <v>0</v>
      </c>
      <c r="D48">
        <v>0</v>
      </c>
      <c r="E48">
        <v>0</v>
      </c>
      <c r="F48" t="s">
        <v>81</v>
      </c>
      <c r="G48" t="s">
        <v>9</v>
      </c>
    </row>
    <row r="49" spans="1:7" x14ac:dyDescent="0.3">
      <c r="A49" s="2">
        <v>9310039999</v>
      </c>
      <c r="B49" t="s">
        <v>90</v>
      </c>
      <c r="C49" t="s">
        <v>95</v>
      </c>
      <c r="D49" t="s">
        <v>95</v>
      </c>
      <c r="E49" t="s">
        <v>91</v>
      </c>
      <c r="F49" t="s">
        <v>91</v>
      </c>
      <c r="G49" t="s">
        <v>95</v>
      </c>
    </row>
    <row r="50" spans="1:7" x14ac:dyDescent="0.3">
      <c r="A50" s="2">
        <v>9310049900</v>
      </c>
      <c r="B50" t="s">
        <v>85</v>
      </c>
      <c r="C50" t="s">
        <v>85</v>
      </c>
      <c r="D50" t="s">
        <v>77</v>
      </c>
      <c r="E50" t="s">
        <v>8</v>
      </c>
      <c r="F50" t="s">
        <v>83</v>
      </c>
      <c r="G50" t="s">
        <v>85</v>
      </c>
    </row>
    <row r="51" spans="1:7" x14ac:dyDescent="0.3">
      <c r="A51" s="2">
        <v>9310049901</v>
      </c>
      <c r="B51" t="s">
        <v>79</v>
      </c>
      <c r="C51" t="s">
        <v>76</v>
      </c>
      <c r="D51" t="s">
        <v>79</v>
      </c>
      <c r="E51" t="s">
        <v>8</v>
      </c>
      <c r="F51" t="s">
        <v>8</v>
      </c>
      <c r="G51" t="s">
        <v>79</v>
      </c>
    </row>
    <row r="52" spans="1:7" x14ac:dyDescent="0.3">
      <c r="A52" s="2">
        <v>9310049902</v>
      </c>
      <c r="B52" t="s">
        <v>85</v>
      </c>
      <c r="C52" t="s">
        <v>86</v>
      </c>
      <c r="D52" t="s">
        <v>79</v>
      </c>
      <c r="E52" t="s">
        <v>81</v>
      </c>
      <c r="F52" t="s">
        <v>80</v>
      </c>
      <c r="G52" t="s">
        <v>85</v>
      </c>
    </row>
    <row r="53" spans="1:7" x14ac:dyDescent="0.3">
      <c r="A53" s="2">
        <v>9310049999</v>
      </c>
      <c r="B53" t="s">
        <v>87</v>
      </c>
      <c r="C53" t="s">
        <v>96</v>
      </c>
      <c r="D53" t="s">
        <v>87</v>
      </c>
      <c r="E53" t="s">
        <v>87</v>
      </c>
      <c r="F53" t="s">
        <v>87</v>
      </c>
      <c r="G53" t="s">
        <v>87</v>
      </c>
    </row>
    <row r="54" spans="1:7" x14ac:dyDescent="0.3">
      <c r="A54" s="2">
        <v>9320019900</v>
      </c>
      <c r="B54" t="s">
        <v>8</v>
      </c>
      <c r="C54" t="s">
        <v>84</v>
      </c>
      <c r="D54" t="s">
        <v>8</v>
      </c>
      <c r="E54" t="s">
        <v>8</v>
      </c>
      <c r="F54" t="s">
        <v>8</v>
      </c>
      <c r="G54" t="s">
        <v>8</v>
      </c>
    </row>
    <row r="55" spans="1:7" x14ac:dyDescent="0.3">
      <c r="A55" s="2">
        <v>9320029900</v>
      </c>
      <c r="B55" t="s">
        <v>8</v>
      </c>
      <c r="C55" t="s">
        <v>8</v>
      </c>
      <c r="D55" t="s">
        <v>8</v>
      </c>
      <c r="E55" t="s">
        <v>8</v>
      </c>
      <c r="F55" t="s">
        <v>8</v>
      </c>
      <c r="G55" t="s">
        <v>8</v>
      </c>
    </row>
    <row r="56" spans="1:7" x14ac:dyDescent="0.3">
      <c r="A56" s="2">
        <v>9320029901</v>
      </c>
      <c r="B56" t="s">
        <v>8</v>
      </c>
      <c r="C56" t="s">
        <v>8</v>
      </c>
      <c r="D56" t="s">
        <v>8</v>
      </c>
      <c r="E56" t="s">
        <v>8</v>
      </c>
      <c r="F56" t="s">
        <v>8</v>
      </c>
      <c r="G56" t="s">
        <v>8</v>
      </c>
    </row>
    <row r="57" spans="1:7" x14ac:dyDescent="0.3">
      <c r="A57" s="2">
        <v>9320029902</v>
      </c>
      <c r="B57" t="s">
        <v>8</v>
      </c>
      <c r="C57" t="s">
        <v>8</v>
      </c>
      <c r="D57" t="s">
        <v>8</v>
      </c>
      <c r="E57" t="s">
        <v>8</v>
      </c>
      <c r="F57" t="s">
        <v>8</v>
      </c>
      <c r="G57" t="s">
        <v>8</v>
      </c>
    </row>
    <row r="58" spans="1:7" x14ac:dyDescent="0.3">
      <c r="A58" s="2">
        <v>9320029904</v>
      </c>
      <c r="B58">
        <v>0</v>
      </c>
      <c r="C58">
        <v>0</v>
      </c>
      <c r="D58">
        <v>0</v>
      </c>
      <c r="E58">
        <v>0</v>
      </c>
      <c r="F58" t="s">
        <v>8</v>
      </c>
      <c r="G58" t="s">
        <v>8</v>
      </c>
    </row>
    <row r="59" spans="1:7" x14ac:dyDescent="0.3">
      <c r="A59" s="2">
        <v>9320029905</v>
      </c>
      <c r="B59">
        <v>0</v>
      </c>
      <c r="C59">
        <v>0</v>
      </c>
      <c r="D59">
        <v>0</v>
      </c>
      <c r="E59">
        <v>0</v>
      </c>
      <c r="F59" t="s">
        <v>8</v>
      </c>
      <c r="G59" t="s">
        <v>87</v>
      </c>
    </row>
    <row r="60" spans="1:7" x14ac:dyDescent="0.3">
      <c r="A60" s="2">
        <v>9320029906</v>
      </c>
      <c r="B60">
        <v>0</v>
      </c>
      <c r="C60">
        <v>0</v>
      </c>
      <c r="D60">
        <v>0</v>
      </c>
      <c r="E60">
        <v>0</v>
      </c>
      <c r="F60" t="s">
        <v>8</v>
      </c>
      <c r="G60" t="s">
        <v>76</v>
      </c>
    </row>
    <row r="61" spans="1:7" x14ac:dyDescent="0.3">
      <c r="A61" s="2">
        <v>9320029999</v>
      </c>
      <c r="B61" t="s">
        <v>87</v>
      </c>
      <c r="C61" t="s">
        <v>87</v>
      </c>
      <c r="D61" t="s">
        <v>87</v>
      </c>
      <c r="E61" t="s">
        <v>87</v>
      </c>
      <c r="F61" t="s">
        <v>87</v>
      </c>
      <c r="G61" t="s">
        <v>87</v>
      </c>
    </row>
    <row r="62" spans="1:7" x14ac:dyDescent="0.3">
      <c r="A62" s="2">
        <v>9320039900</v>
      </c>
      <c r="B62" t="s">
        <v>8</v>
      </c>
      <c r="C62" t="s">
        <v>8</v>
      </c>
      <c r="D62" t="s">
        <v>79</v>
      </c>
      <c r="E62" t="s">
        <v>79</v>
      </c>
      <c r="F62" t="s">
        <v>8</v>
      </c>
      <c r="G62" t="s">
        <v>8</v>
      </c>
    </row>
    <row r="63" spans="1:7" x14ac:dyDescent="0.3">
      <c r="A63" s="2">
        <v>9320039901</v>
      </c>
      <c r="B63" t="s">
        <v>8</v>
      </c>
      <c r="C63" t="s">
        <v>8</v>
      </c>
      <c r="D63" t="s">
        <v>79</v>
      </c>
      <c r="E63" t="s">
        <v>78</v>
      </c>
      <c r="F63" t="s">
        <v>8</v>
      </c>
      <c r="G63" t="s">
        <v>9</v>
      </c>
    </row>
    <row r="64" spans="1:7" x14ac:dyDescent="0.3">
      <c r="A64" s="2">
        <v>9320039902</v>
      </c>
      <c r="B64" t="s">
        <v>8</v>
      </c>
      <c r="C64" t="s">
        <v>8</v>
      </c>
      <c r="D64" t="s">
        <v>8</v>
      </c>
      <c r="E64" t="s">
        <v>8</v>
      </c>
      <c r="F64" t="s">
        <v>8</v>
      </c>
      <c r="G64" t="s">
        <v>8</v>
      </c>
    </row>
    <row r="65" spans="1:7" x14ac:dyDescent="0.3">
      <c r="A65" s="2">
        <v>9320039905</v>
      </c>
      <c r="B65">
        <v>0</v>
      </c>
      <c r="C65">
        <v>0</v>
      </c>
      <c r="D65">
        <v>0</v>
      </c>
      <c r="E65">
        <v>0</v>
      </c>
      <c r="F65" t="s">
        <v>8</v>
      </c>
      <c r="G65" t="s">
        <v>8</v>
      </c>
    </row>
    <row r="66" spans="1:7" x14ac:dyDescent="0.3">
      <c r="A66" s="2">
        <v>9320039999</v>
      </c>
      <c r="B66" t="s">
        <v>87</v>
      </c>
      <c r="C66" t="s">
        <v>87</v>
      </c>
      <c r="D66" t="s">
        <v>94</v>
      </c>
      <c r="E66" t="s">
        <v>87</v>
      </c>
      <c r="F66" t="s">
        <v>87</v>
      </c>
      <c r="G66" t="s">
        <v>87</v>
      </c>
    </row>
    <row r="67" spans="1:7" x14ac:dyDescent="0.3">
      <c r="A67" s="2">
        <v>9320049900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3">
      <c r="A68" s="2">
        <v>9320049901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3">
      <c r="A69" s="2">
        <v>9320049921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3">
      <c r="A70" s="2">
        <v>9320049925</v>
      </c>
      <c r="B70">
        <v>0</v>
      </c>
      <c r="C70">
        <v>0</v>
      </c>
      <c r="D70">
        <v>0</v>
      </c>
      <c r="E70">
        <v>0</v>
      </c>
      <c r="F70" t="s">
        <v>83</v>
      </c>
      <c r="G70" t="s">
        <v>83</v>
      </c>
    </row>
    <row r="71" spans="1:7" x14ac:dyDescent="0.3">
      <c r="A71" s="2">
        <v>9320049981</v>
      </c>
      <c r="B71">
        <v>0</v>
      </c>
      <c r="C71">
        <v>0</v>
      </c>
      <c r="D71">
        <v>0</v>
      </c>
      <c r="E71">
        <v>0</v>
      </c>
      <c r="F71" t="s">
        <v>81</v>
      </c>
      <c r="G71" t="s">
        <v>104</v>
      </c>
    </row>
    <row r="72" spans="1:7" x14ac:dyDescent="0.3">
      <c r="A72" s="2">
        <v>9320049999</v>
      </c>
      <c r="B72">
        <v>0</v>
      </c>
      <c r="C72">
        <v>0</v>
      </c>
      <c r="D72" t="s">
        <v>87</v>
      </c>
      <c r="E72">
        <v>0</v>
      </c>
      <c r="F72" t="s">
        <v>87</v>
      </c>
      <c r="G72">
        <v>0</v>
      </c>
    </row>
    <row r="73" spans="1:7" x14ac:dyDescent="0.3">
      <c r="A73" s="2">
        <v>9320059999</v>
      </c>
      <c r="B73">
        <v>0</v>
      </c>
      <c r="C73">
        <v>0</v>
      </c>
      <c r="D73" t="s">
        <v>97</v>
      </c>
      <c r="E73">
        <v>0</v>
      </c>
      <c r="F73">
        <v>0</v>
      </c>
      <c r="G73">
        <v>0</v>
      </c>
    </row>
    <row r="74" spans="1:7" x14ac:dyDescent="0.3">
      <c r="A74" s="2">
        <v>9330019900</v>
      </c>
      <c r="B74" t="s">
        <v>8</v>
      </c>
      <c r="C74" t="s">
        <v>8</v>
      </c>
      <c r="D74" t="s">
        <v>8</v>
      </c>
      <c r="E74" t="s">
        <v>8</v>
      </c>
      <c r="F74" t="s">
        <v>8</v>
      </c>
      <c r="G74" t="s">
        <v>8</v>
      </c>
    </row>
    <row r="75" spans="1:7" x14ac:dyDescent="0.3">
      <c r="A75" s="2">
        <v>9330209900</v>
      </c>
      <c r="B75" t="s">
        <v>83</v>
      </c>
      <c r="C75" t="s">
        <v>83</v>
      </c>
      <c r="D75" t="s">
        <v>9</v>
      </c>
      <c r="E75" t="s">
        <v>84</v>
      </c>
      <c r="F75" t="s">
        <v>8</v>
      </c>
      <c r="G75" t="s">
        <v>83</v>
      </c>
    </row>
    <row r="76" spans="1:7" x14ac:dyDescent="0.3">
      <c r="A76" s="2">
        <v>9330209901</v>
      </c>
      <c r="B76" t="s">
        <v>86</v>
      </c>
      <c r="C76" t="s">
        <v>80</v>
      </c>
      <c r="D76" t="s">
        <v>86</v>
      </c>
      <c r="E76" t="s">
        <v>86</v>
      </c>
      <c r="F76" t="s">
        <v>83</v>
      </c>
      <c r="G76" t="s">
        <v>80</v>
      </c>
    </row>
    <row r="77" spans="1:7" x14ac:dyDescent="0.3">
      <c r="A77" s="2">
        <v>9330209902</v>
      </c>
      <c r="B77" t="s">
        <v>79</v>
      </c>
      <c r="C77" t="s">
        <v>76</v>
      </c>
      <c r="D77" t="s">
        <v>79</v>
      </c>
      <c r="E77" t="s">
        <v>8</v>
      </c>
      <c r="F77" t="s">
        <v>80</v>
      </c>
      <c r="G77" t="s">
        <v>8</v>
      </c>
    </row>
    <row r="78" spans="1:7" x14ac:dyDescent="0.3">
      <c r="A78" s="2">
        <v>9330209905</v>
      </c>
      <c r="B78">
        <v>0</v>
      </c>
      <c r="C78">
        <v>0</v>
      </c>
      <c r="D78">
        <v>0</v>
      </c>
      <c r="E78">
        <v>0</v>
      </c>
      <c r="F78" t="s">
        <v>8</v>
      </c>
      <c r="G78" t="s">
        <v>83</v>
      </c>
    </row>
    <row r="79" spans="1:7" x14ac:dyDescent="0.3">
      <c r="A79" s="2">
        <v>9330209906</v>
      </c>
      <c r="B79">
        <v>0</v>
      </c>
      <c r="C79">
        <v>0</v>
      </c>
      <c r="D79">
        <v>0</v>
      </c>
      <c r="E79">
        <v>0</v>
      </c>
      <c r="F79" t="s">
        <v>83</v>
      </c>
      <c r="G79" t="s">
        <v>83</v>
      </c>
    </row>
    <row r="80" spans="1:7" x14ac:dyDescent="0.3">
      <c r="A80" s="2">
        <v>9330209999</v>
      </c>
      <c r="B80" t="s">
        <v>97</v>
      </c>
      <c r="C80" t="s">
        <v>90</v>
      </c>
      <c r="D80" t="s">
        <v>96</v>
      </c>
      <c r="E80" t="s">
        <v>97</v>
      </c>
      <c r="F80" t="s">
        <v>91</v>
      </c>
      <c r="G80" t="s">
        <v>91</v>
      </c>
    </row>
    <row r="81" spans="1:7" x14ac:dyDescent="0.3">
      <c r="A81" s="2">
        <v>9330219913</v>
      </c>
      <c r="B81" t="s">
        <v>80</v>
      </c>
      <c r="C81" t="s">
        <v>89</v>
      </c>
      <c r="D81" t="s">
        <v>85</v>
      </c>
      <c r="E81" t="s">
        <v>8</v>
      </c>
      <c r="F81" t="s">
        <v>83</v>
      </c>
      <c r="G81" t="s">
        <v>80</v>
      </c>
    </row>
    <row r="82" spans="1:7" x14ac:dyDescent="0.3">
      <c r="A82" s="2">
        <v>9330219996</v>
      </c>
      <c r="B82">
        <v>0</v>
      </c>
      <c r="C82">
        <v>0</v>
      </c>
      <c r="D82">
        <v>0</v>
      </c>
      <c r="E82">
        <v>0</v>
      </c>
      <c r="F82" t="s">
        <v>97</v>
      </c>
      <c r="G82" t="s">
        <v>91</v>
      </c>
    </row>
    <row r="83" spans="1:7" x14ac:dyDescent="0.3">
      <c r="A83" s="2">
        <v>9330229900</v>
      </c>
      <c r="B83" t="s">
        <v>9</v>
      </c>
      <c r="C83" t="s">
        <v>83</v>
      </c>
      <c r="D83" t="s">
        <v>84</v>
      </c>
      <c r="E83" t="s">
        <v>84</v>
      </c>
      <c r="F83" t="s">
        <v>83</v>
      </c>
      <c r="G83" t="s">
        <v>83</v>
      </c>
    </row>
    <row r="84" spans="1:7" x14ac:dyDescent="0.3">
      <c r="A84" s="2">
        <v>9330229901</v>
      </c>
      <c r="B84" t="s">
        <v>83</v>
      </c>
      <c r="C84" t="s">
        <v>86</v>
      </c>
      <c r="D84" t="s">
        <v>83</v>
      </c>
      <c r="E84" t="s">
        <v>10</v>
      </c>
      <c r="F84" t="s">
        <v>8</v>
      </c>
      <c r="G84" t="s">
        <v>85</v>
      </c>
    </row>
    <row r="85" spans="1:7" x14ac:dyDescent="0.3">
      <c r="A85" s="2">
        <v>9330229902</v>
      </c>
      <c r="B85" t="s">
        <v>10</v>
      </c>
      <c r="C85" t="s">
        <v>83</v>
      </c>
      <c r="D85" t="s">
        <v>10</v>
      </c>
      <c r="E85" t="s">
        <v>84</v>
      </c>
      <c r="F85" t="s">
        <v>8</v>
      </c>
      <c r="G85" t="s">
        <v>83</v>
      </c>
    </row>
    <row r="86" spans="1:7" x14ac:dyDescent="0.3">
      <c r="A86" s="2">
        <v>9360019900</v>
      </c>
      <c r="B86" t="s">
        <v>8</v>
      </c>
      <c r="C86" t="s">
        <v>8</v>
      </c>
      <c r="D86" t="s">
        <v>76</v>
      </c>
      <c r="E86" t="s">
        <v>77</v>
      </c>
      <c r="F86" t="s">
        <v>8</v>
      </c>
      <c r="G86" t="s">
        <v>8</v>
      </c>
    </row>
    <row r="87" spans="1:7" x14ac:dyDescent="0.3">
      <c r="A87" s="2">
        <v>9360029900</v>
      </c>
      <c r="B87" t="s">
        <v>8</v>
      </c>
      <c r="C87" t="s">
        <v>8</v>
      </c>
      <c r="D87" t="s">
        <v>8</v>
      </c>
      <c r="E87" t="s">
        <v>10</v>
      </c>
      <c r="F87" t="s">
        <v>8</v>
      </c>
      <c r="G87" t="s">
        <v>8</v>
      </c>
    </row>
    <row r="88" spans="1:7" x14ac:dyDescent="0.3">
      <c r="A88" s="2">
        <v>9360039900</v>
      </c>
      <c r="B88" t="s">
        <v>8</v>
      </c>
      <c r="C88" t="s">
        <v>9</v>
      </c>
      <c r="D88" t="s">
        <v>8</v>
      </c>
      <c r="E88" t="s">
        <v>8</v>
      </c>
      <c r="F88" t="s">
        <v>8</v>
      </c>
      <c r="G88" t="s">
        <v>9</v>
      </c>
    </row>
    <row r="89" spans="1:7" x14ac:dyDescent="0.3">
      <c r="A89" s="2">
        <v>9360049900</v>
      </c>
      <c r="B89">
        <v>0</v>
      </c>
      <c r="C89" t="s">
        <v>8</v>
      </c>
      <c r="D89">
        <v>0</v>
      </c>
      <c r="E89" t="s">
        <v>8</v>
      </c>
      <c r="F89" t="s">
        <v>8</v>
      </c>
      <c r="G89" t="s">
        <v>8</v>
      </c>
    </row>
    <row r="90" spans="1:7" x14ac:dyDescent="0.3">
      <c r="A90" s="2">
        <v>9360099900</v>
      </c>
      <c r="B90" t="s">
        <v>8</v>
      </c>
      <c r="C90" t="s">
        <v>9</v>
      </c>
      <c r="D90">
        <v>0</v>
      </c>
      <c r="E90">
        <v>0</v>
      </c>
      <c r="F90">
        <v>0</v>
      </c>
      <c r="G90" t="s">
        <v>9</v>
      </c>
    </row>
    <row r="91" spans="1:7" x14ac:dyDescent="0.3">
      <c r="A91" s="2">
        <v>9360109922</v>
      </c>
      <c r="B91" t="e">
        <v>#N/A</v>
      </c>
      <c r="C91" t="e">
        <v>#N/A</v>
      </c>
      <c r="D91" t="e">
        <v>#N/A</v>
      </c>
      <c r="E91" t="s">
        <v>8</v>
      </c>
      <c r="F91">
        <v>0</v>
      </c>
      <c r="G91" t="e">
        <v>#N/A</v>
      </c>
    </row>
    <row r="92" spans="1:7" x14ac:dyDescent="0.3">
      <c r="A92" s="2">
        <v>9360119922</v>
      </c>
      <c r="B92" t="s">
        <v>8</v>
      </c>
      <c r="C92" t="s">
        <v>8</v>
      </c>
      <c r="D92" t="s">
        <v>8</v>
      </c>
      <c r="E92" t="s">
        <v>8</v>
      </c>
      <c r="F92" t="s">
        <v>8</v>
      </c>
      <c r="G92" t="s">
        <v>8</v>
      </c>
    </row>
    <row r="93" spans="1:7" x14ac:dyDescent="0.3">
      <c r="A93" s="2">
        <v>9400019999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 x14ac:dyDescent="0.3">
      <c r="A94" s="2">
        <v>9400029914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 x14ac:dyDescent="0.3">
      <c r="A95" s="2">
        <v>9400029915</v>
      </c>
      <c r="B95">
        <v>0</v>
      </c>
      <c r="C95">
        <v>0</v>
      </c>
      <c r="D95" t="s">
        <v>98</v>
      </c>
      <c r="E95">
        <v>0</v>
      </c>
      <c r="F95">
        <v>0</v>
      </c>
      <c r="G95">
        <v>0</v>
      </c>
    </row>
    <row r="96" spans="1:7" x14ac:dyDescent="0.3">
      <c r="A96" s="2">
        <v>9400039913</v>
      </c>
      <c r="B96">
        <v>0</v>
      </c>
      <c r="C96">
        <v>0</v>
      </c>
      <c r="D96" t="s">
        <v>99</v>
      </c>
      <c r="E96">
        <v>0</v>
      </c>
      <c r="F96">
        <v>0</v>
      </c>
      <c r="G96">
        <v>0</v>
      </c>
    </row>
    <row r="97" spans="1:7" x14ac:dyDescent="0.3">
      <c r="A97" s="2">
        <v>9400049913</v>
      </c>
      <c r="B97">
        <v>0</v>
      </c>
      <c r="C97">
        <v>0</v>
      </c>
      <c r="D97" t="s">
        <v>100</v>
      </c>
      <c r="E97">
        <v>0</v>
      </c>
      <c r="F97">
        <v>0</v>
      </c>
      <c r="G97">
        <v>0</v>
      </c>
    </row>
    <row r="98" spans="1:7" x14ac:dyDescent="0.3">
      <c r="A98" s="2">
        <v>9400059999</v>
      </c>
      <c r="B98">
        <v>0</v>
      </c>
      <c r="C98">
        <v>0</v>
      </c>
      <c r="D98" t="s">
        <v>93</v>
      </c>
      <c r="E98">
        <v>0</v>
      </c>
      <c r="F98">
        <v>0</v>
      </c>
      <c r="G98">
        <v>0</v>
      </c>
    </row>
    <row r="99" spans="1:7" x14ac:dyDescent="0.3">
      <c r="A99" s="2">
        <v>9401019913</v>
      </c>
      <c r="B99">
        <v>0</v>
      </c>
      <c r="C99">
        <v>0</v>
      </c>
      <c r="D99" t="s">
        <v>100</v>
      </c>
      <c r="E99">
        <v>0</v>
      </c>
      <c r="F99">
        <v>0</v>
      </c>
      <c r="G99">
        <v>0</v>
      </c>
    </row>
    <row r="100" spans="1:7" x14ac:dyDescent="0.3">
      <c r="A100" s="2">
        <v>9401029913</v>
      </c>
      <c r="B100">
        <v>0</v>
      </c>
      <c r="C100">
        <v>0</v>
      </c>
      <c r="D100" t="s">
        <v>101</v>
      </c>
      <c r="E100">
        <v>0</v>
      </c>
      <c r="F100">
        <v>0</v>
      </c>
      <c r="G100">
        <v>0</v>
      </c>
    </row>
    <row r="101" spans="1:7" x14ac:dyDescent="0.3">
      <c r="A101" s="2">
        <v>9401039913</v>
      </c>
      <c r="B101">
        <v>0</v>
      </c>
      <c r="C101">
        <v>0</v>
      </c>
      <c r="D101" t="s">
        <v>100</v>
      </c>
      <c r="E101">
        <v>0</v>
      </c>
      <c r="F101">
        <v>0</v>
      </c>
      <c r="G101">
        <v>0</v>
      </c>
    </row>
    <row r="102" spans="1:7" x14ac:dyDescent="0.3">
      <c r="A102" s="2">
        <v>9410019900</v>
      </c>
      <c r="B102" t="s">
        <v>77</v>
      </c>
      <c r="C102" t="s">
        <v>81</v>
      </c>
      <c r="D102" t="s">
        <v>81</v>
      </c>
      <c r="E102" t="s">
        <v>81</v>
      </c>
      <c r="F102" t="s">
        <v>8</v>
      </c>
      <c r="G102" t="s">
        <v>8</v>
      </c>
    </row>
    <row r="103" spans="1:7" x14ac:dyDescent="0.3">
      <c r="A103" s="2">
        <v>9410019901</v>
      </c>
      <c r="B103" t="s">
        <v>82</v>
      </c>
      <c r="C103" t="s">
        <v>81</v>
      </c>
      <c r="D103" t="s">
        <v>81</v>
      </c>
      <c r="E103" t="s">
        <v>75</v>
      </c>
      <c r="F103" t="s">
        <v>8</v>
      </c>
      <c r="G103" t="s">
        <v>8</v>
      </c>
    </row>
    <row r="104" spans="1:7" x14ac:dyDescent="0.3">
      <c r="A104" s="2">
        <v>9410019902</v>
      </c>
      <c r="B104" t="s">
        <v>80</v>
      </c>
      <c r="C104" t="s">
        <v>77</v>
      </c>
      <c r="D104" t="s">
        <v>81</v>
      </c>
      <c r="E104" t="s">
        <v>102</v>
      </c>
      <c r="F104" t="s">
        <v>8</v>
      </c>
      <c r="G104" t="s">
        <v>79</v>
      </c>
    </row>
    <row r="105" spans="1:7" x14ac:dyDescent="0.3">
      <c r="A105" s="2">
        <v>9410019905</v>
      </c>
      <c r="B105">
        <v>0</v>
      </c>
      <c r="C105">
        <v>0</v>
      </c>
      <c r="D105">
        <v>0</v>
      </c>
      <c r="E105">
        <v>0</v>
      </c>
      <c r="F105" t="s">
        <v>8</v>
      </c>
      <c r="G105" t="s">
        <v>8</v>
      </c>
    </row>
    <row r="106" spans="1:7" x14ac:dyDescent="0.3">
      <c r="A106" s="2">
        <v>9410019906</v>
      </c>
      <c r="B106">
        <v>0</v>
      </c>
      <c r="C106">
        <v>0</v>
      </c>
      <c r="D106">
        <v>0</v>
      </c>
      <c r="E106">
        <v>0</v>
      </c>
      <c r="F106" t="s">
        <v>8</v>
      </c>
      <c r="G106" t="s">
        <v>8</v>
      </c>
    </row>
    <row r="107" spans="1:7" x14ac:dyDescent="0.3">
      <c r="A107" s="2">
        <v>9410019999</v>
      </c>
      <c r="B107" t="s">
        <v>87</v>
      </c>
      <c r="C107" t="s">
        <v>96</v>
      </c>
      <c r="D107" t="s">
        <v>87</v>
      </c>
      <c r="E107" t="s">
        <v>103</v>
      </c>
      <c r="F107" t="s">
        <v>87</v>
      </c>
      <c r="G107" t="s">
        <v>97</v>
      </c>
    </row>
    <row r="108" spans="1:7" x14ac:dyDescent="0.3">
      <c r="A108" s="2">
        <v>9410029900</v>
      </c>
      <c r="B108" t="s">
        <v>77</v>
      </c>
      <c r="C108" t="s">
        <v>8</v>
      </c>
      <c r="D108" t="s">
        <v>77</v>
      </c>
      <c r="E108" t="s">
        <v>76</v>
      </c>
      <c r="F108" t="s">
        <v>8</v>
      </c>
      <c r="G108" t="s">
        <v>8</v>
      </c>
    </row>
    <row r="109" spans="1:7" x14ac:dyDescent="0.3">
      <c r="A109" s="2">
        <v>9410029901</v>
      </c>
      <c r="B109" t="s">
        <v>77</v>
      </c>
      <c r="C109" t="s">
        <v>82</v>
      </c>
      <c r="D109" t="s">
        <v>77</v>
      </c>
      <c r="E109" t="s">
        <v>77</v>
      </c>
      <c r="F109" t="s">
        <v>8</v>
      </c>
      <c r="G109" t="s">
        <v>75</v>
      </c>
    </row>
    <row r="110" spans="1:7" x14ac:dyDescent="0.3">
      <c r="A110" s="2">
        <v>9410029902</v>
      </c>
      <c r="B110" t="s">
        <v>80</v>
      </c>
      <c r="C110" t="s">
        <v>79</v>
      </c>
      <c r="D110" t="s">
        <v>79</v>
      </c>
      <c r="E110" t="s">
        <v>89</v>
      </c>
      <c r="F110" t="s">
        <v>80</v>
      </c>
      <c r="G110" t="s">
        <v>76</v>
      </c>
    </row>
    <row r="111" spans="1:7" x14ac:dyDescent="0.3">
      <c r="A111" s="2">
        <v>9410029905</v>
      </c>
      <c r="B111">
        <v>0</v>
      </c>
      <c r="C111">
        <v>0</v>
      </c>
      <c r="D111">
        <v>0</v>
      </c>
      <c r="E111">
        <v>0</v>
      </c>
      <c r="F111" t="s">
        <v>81</v>
      </c>
      <c r="G111" t="s">
        <v>76</v>
      </c>
    </row>
    <row r="112" spans="1:7" x14ac:dyDescent="0.3">
      <c r="A112" s="2">
        <v>9410029906</v>
      </c>
      <c r="B112">
        <v>0</v>
      </c>
      <c r="C112">
        <v>0</v>
      </c>
      <c r="D112">
        <v>0</v>
      </c>
      <c r="E112">
        <v>0</v>
      </c>
      <c r="F112" t="s">
        <v>81</v>
      </c>
      <c r="G112" t="s">
        <v>81</v>
      </c>
    </row>
    <row r="113" spans="1:7" x14ac:dyDescent="0.3">
      <c r="A113" s="2">
        <v>9410029999</v>
      </c>
      <c r="B113" t="s">
        <v>103</v>
      </c>
      <c r="C113" t="s">
        <v>96</v>
      </c>
      <c r="D113" t="s">
        <v>97</v>
      </c>
      <c r="E113" t="s">
        <v>87</v>
      </c>
      <c r="F113" t="s">
        <v>87</v>
      </c>
      <c r="G113" t="s">
        <v>96</v>
      </c>
    </row>
    <row r="114" spans="1:7" x14ac:dyDescent="0.3">
      <c r="A114" s="2">
        <v>9410039902</v>
      </c>
      <c r="B114" t="s">
        <v>8</v>
      </c>
      <c r="C114" t="s">
        <v>8</v>
      </c>
      <c r="D114" t="s">
        <v>102</v>
      </c>
      <c r="E114" t="s">
        <v>81</v>
      </c>
      <c r="F114" t="s">
        <v>81</v>
      </c>
      <c r="G114" t="s">
        <v>8</v>
      </c>
    </row>
    <row r="115" spans="1:7" x14ac:dyDescent="0.3">
      <c r="A115" s="2">
        <v>9410039905</v>
      </c>
      <c r="B115">
        <v>0</v>
      </c>
      <c r="C115">
        <v>0</v>
      </c>
      <c r="D115">
        <v>0</v>
      </c>
      <c r="E115">
        <v>0</v>
      </c>
      <c r="F115" t="s">
        <v>8</v>
      </c>
      <c r="G115" t="s">
        <v>8</v>
      </c>
    </row>
    <row r="116" spans="1:7" x14ac:dyDescent="0.3">
      <c r="A116" s="2">
        <v>9410039906</v>
      </c>
      <c r="B116">
        <v>0</v>
      </c>
      <c r="C116">
        <v>0</v>
      </c>
      <c r="D116">
        <v>0</v>
      </c>
      <c r="E116">
        <v>0</v>
      </c>
      <c r="F116" t="s">
        <v>8</v>
      </c>
      <c r="G116" t="s">
        <v>8</v>
      </c>
    </row>
    <row r="117" spans="1:7" x14ac:dyDescent="0.3">
      <c r="A117" s="2">
        <v>9410039913</v>
      </c>
      <c r="B117" t="s">
        <v>8</v>
      </c>
      <c r="C117" t="s">
        <v>8</v>
      </c>
      <c r="D117" t="s">
        <v>102</v>
      </c>
      <c r="E117" t="s">
        <v>8</v>
      </c>
      <c r="F117" t="s">
        <v>8</v>
      </c>
      <c r="G117" t="s">
        <v>8</v>
      </c>
    </row>
    <row r="118" spans="1:7" x14ac:dyDescent="0.3">
      <c r="A118" s="2">
        <v>9410039999</v>
      </c>
      <c r="B118" t="s">
        <v>104</v>
      </c>
      <c r="C118" t="s">
        <v>104</v>
      </c>
      <c r="D118" t="s">
        <v>104</v>
      </c>
      <c r="E118" t="s">
        <v>104</v>
      </c>
      <c r="F118" t="s">
        <v>104</v>
      </c>
      <c r="G118" t="s">
        <v>104</v>
      </c>
    </row>
    <row r="119" spans="1:7" x14ac:dyDescent="0.3">
      <c r="A119" s="2">
        <v>9410049901</v>
      </c>
      <c r="B119" t="s">
        <v>76</v>
      </c>
      <c r="C119" t="s">
        <v>76</v>
      </c>
      <c r="D119" t="s">
        <v>76</v>
      </c>
      <c r="E119" t="s">
        <v>76</v>
      </c>
      <c r="F119" t="s">
        <v>8</v>
      </c>
      <c r="G119" t="s">
        <v>76</v>
      </c>
    </row>
    <row r="120" spans="1:7" x14ac:dyDescent="0.3">
      <c r="A120" s="2">
        <v>9410049902</v>
      </c>
      <c r="B120" t="s">
        <v>76</v>
      </c>
      <c r="C120" t="s">
        <v>76</v>
      </c>
      <c r="D120" t="s">
        <v>76</v>
      </c>
      <c r="E120" t="s">
        <v>76</v>
      </c>
      <c r="F120" t="s">
        <v>8</v>
      </c>
      <c r="G120" t="s">
        <v>76</v>
      </c>
    </row>
    <row r="121" spans="1:7" x14ac:dyDescent="0.3">
      <c r="A121" s="2">
        <v>9410049905</v>
      </c>
      <c r="B121">
        <v>0</v>
      </c>
      <c r="C121">
        <v>0</v>
      </c>
      <c r="D121">
        <v>0</v>
      </c>
      <c r="E121">
        <v>0</v>
      </c>
      <c r="F121" t="s">
        <v>81</v>
      </c>
      <c r="G121" t="s">
        <v>81</v>
      </c>
    </row>
    <row r="122" spans="1:7" x14ac:dyDescent="0.3">
      <c r="A122" s="2">
        <v>9410049906</v>
      </c>
      <c r="B122">
        <v>0</v>
      </c>
      <c r="C122">
        <v>0</v>
      </c>
      <c r="D122">
        <v>0</v>
      </c>
      <c r="E122">
        <v>0</v>
      </c>
      <c r="F122" t="s">
        <v>81</v>
      </c>
      <c r="G122" t="s">
        <v>81</v>
      </c>
    </row>
    <row r="123" spans="1:7" x14ac:dyDescent="0.3">
      <c r="A123" s="2">
        <v>9410049999</v>
      </c>
      <c r="B123" t="s">
        <v>97</v>
      </c>
      <c r="C123" t="s">
        <v>97</v>
      </c>
      <c r="D123" t="s">
        <v>97</v>
      </c>
      <c r="E123" t="s">
        <v>97</v>
      </c>
      <c r="F123" t="s">
        <v>97</v>
      </c>
      <c r="G123" t="s">
        <v>97</v>
      </c>
    </row>
    <row r="124" spans="1:7" x14ac:dyDescent="0.3">
      <c r="A124" s="2">
        <v>9410059900</v>
      </c>
      <c r="B124" t="s">
        <v>8</v>
      </c>
      <c r="C124" t="s">
        <v>9</v>
      </c>
      <c r="D124" t="s">
        <v>9</v>
      </c>
      <c r="E124" t="s">
        <v>8</v>
      </c>
      <c r="F124" t="s">
        <v>80</v>
      </c>
      <c r="G124" t="s">
        <v>9</v>
      </c>
    </row>
    <row r="125" spans="1:7" x14ac:dyDescent="0.3">
      <c r="A125" s="2">
        <v>9410069900</v>
      </c>
      <c r="B125" t="s">
        <v>73</v>
      </c>
      <c r="C125" t="s">
        <v>74</v>
      </c>
      <c r="D125" t="s">
        <v>73</v>
      </c>
      <c r="E125" t="s">
        <v>73</v>
      </c>
      <c r="F125" t="s">
        <v>73</v>
      </c>
      <c r="G125" t="s">
        <v>73</v>
      </c>
    </row>
    <row r="126" spans="1:7" x14ac:dyDescent="0.3">
      <c r="A126" s="2">
        <v>9410149900</v>
      </c>
      <c r="B126">
        <v>0</v>
      </c>
      <c r="C126">
        <v>0</v>
      </c>
      <c r="D126" t="s">
        <v>102</v>
      </c>
      <c r="E126">
        <v>0</v>
      </c>
      <c r="F126">
        <v>0</v>
      </c>
      <c r="G126" t="s">
        <v>102</v>
      </c>
    </row>
    <row r="127" spans="1:7" x14ac:dyDescent="0.3">
      <c r="A127" s="2">
        <v>9410149901</v>
      </c>
      <c r="B127">
        <v>0</v>
      </c>
      <c r="C127">
        <v>0</v>
      </c>
      <c r="D127" t="s">
        <v>102</v>
      </c>
      <c r="E127">
        <v>0</v>
      </c>
      <c r="F127">
        <v>0</v>
      </c>
      <c r="G127" t="s">
        <v>102</v>
      </c>
    </row>
    <row r="128" spans="1:7" x14ac:dyDescent="0.3">
      <c r="A128" s="2">
        <v>9410149902</v>
      </c>
      <c r="B128">
        <v>0</v>
      </c>
      <c r="C128">
        <v>0</v>
      </c>
      <c r="D128" t="s">
        <v>105</v>
      </c>
      <c r="E128">
        <v>0</v>
      </c>
      <c r="F128">
        <v>0</v>
      </c>
      <c r="G128">
        <v>0</v>
      </c>
    </row>
    <row r="129" spans="1:7" x14ac:dyDescent="0.3">
      <c r="A129" s="2">
        <v>9410149905</v>
      </c>
      <c r="B129">
        <v>0</v>
      </c>
      <c r="C129">
        <v>0</v>
      </c>
      <c r="D129">
        <v>0</v>
      </c>
      <c r="E129">
        <v>0</v>
      </c>
      <c r="F129" t="s">
        <v>81</v>
      </c>
      <c r="G129" t="s">
        <v>81</v>
      </c>
    </row>
    <row r="130" spans="1:7" x14ac:dyDescent="0.3">
      <c r="A130" s="2">
        <v>9410149999</v>
      </c>
      <c r="B130">
        <v>0</v>
      </c>
      <c r="C130">
        <v>0</v>
      </c>
      <c r="D130" t="s">
        <v>106</v>
      </c>
      <c r="E130">
        <v>0</v>
      </c>
      <c r="F130">
        <v>0</v>
      </c>
      <c r="G130">
        <v>0</v>
      </c>
    </row>
    <row r="131" spans="1:7" x14ac:dyDescent="0.3">
      <c r="A131" s="2">
        <v>9418009900</v>
      </c>
      <c r="B131" t="s">
        <v>73</v>
      </c>
      <c r="C131" t="s">
        <v>74</v>
      </c>
      <c r="D131" t="s">
        <v>73</v>
      </c>
      <c r="E131" t="s">
        <v>73</v>
      </c>
      <c r="F131" t="s">
        <v>73</v>
      </c>
      <c r="G131" t="s">
        <v>73</v>
      </c>
    </row>
    <row r="132" spans="1:7" x14ac:dyDescent="0.3">
      <c r="A132" s="2">
        <v>9420019900</v>
      </c>
      <c r="B132" t="s">
        <v>8</v>
      </c>
      <c r="C132" t="s">
        <v>76</v>
      </c>
      <c r="D132" t="s">
        <v>79</v>
      </c>
      <c r="E132" t="s">
        <v>89</v>
      </c>
      <c r="F132" t="s">
        <v>8</v>
      </c>
      <c r="G132" t="s">
        <v>76</v>
      </c>
    </row>
    <row r="133" spans="1:7" x14ac:dyDescent="0.3">
      <c r="A133" s="2">
        <v>9420019901</v>
      </c>
      <c r="B133" t="s">
        <v>8</v>
      </c>
      <c r="C133" t="s">
        <v>76</v>
      </c>
      <c r="D133" t="s">
        <v>79</v>
      </c>
      <c r="E133" t="s">
        <v>8</v>
      </c>
      <c r="F133" t="s">
        <v>8</v>
      </c>
      <c r="G133" t="s">
        <v>8</v>
      </c>
    </row>
    <row r="134" spans="1:7" x14ac:dyDescent="0.3">
      <c r="A134" s="2">
        <v>9420019902</v>
      </c>
      <c r="B134" t="s">
        <v>8</v>
      </c>
      <c r="C134" t="s">
        <v>76</v>
      </c>
      <c r="D134" t="s">
        <v>79</v>
      </c>
      <c r="E134" t="s">
        <v>8</v>
      </c>
      <c r="F134" t="s">
        <v>8</v>
      </c>
      <c r="G134" t="s">
        <v>76</v>
      </c>
    </row>
    <row r="135" spans="1:7" x14ac:dyDescent="0.3">
      <c r="A135" s="2">
        <v>9420019905</v>
      </c>
      <c r="B135">
        <v>0</v>
      </c>
      <c r="C135">
        <v>0</v>
      </c>
      <c r="D135">
        <v>0</v>
      </c>
      <c r="E135">
        <v>0</v>
      </c>
      <c r="F135" t="s">
        <v>81</v>
      </c>
      <c r="G135" t="s">
        <v>81</v>
      </c>
    </row>
    <row r="136" spans="1:7" x14ac:dyDescent="0.3">
      <c r="A136" s="2">
        <v>9420019999</v>
      </c>
      <c r="B136" t="s">
        <v>97</v>
      </c>
      <c r="C136" t="s">
        <v>97</v>
      </c>
      <c r="D136" t="s">
        <v>97</v>
      </c>
      <c r="E136" t="s">
        <v>8</v>
      </c>
      <c r="F136" t="s">
        <v>97</v>
      </c>
      <c r="G136" t="s">
        <v>97</v>
      </c>
    </row>
    <row r="137" spans="1:7" x14ac:dyDescent="0.3">
      <c r="A137" s="2">
        <v>9420029900</v>
      </c>
      <c r="B137" t="s">
        <v>80</v>
      </c>
      <c r="C137" t="s">
        <v>79</v>
      </c>
      <c r="D137" t="s">
        <v>79</v>
      </c>
      <c r="E137" t="s">
        <v>80</v>
      </c>
      <c r="F137" t="s">
        <v>80</v>
      </c>
      <c r="G137" t="s">
        <v>79</v>
      </c>
    </row>
    <row r="138" spans="1:7" x14ac:dyDescent="0.3">
      <c r="A138" s="2">
        <v>9420029901</v>
      </c>
      <c r="B138" t="s">
        <v>80</v>
      </c>
      <c r="C138" t="s">
        <v>79</v>
      </c>
      <c r="D138" t="s">
        <v>79</v>
      </c>
      <c r="E138" t="s">
        <v>80</v>
      </c>
      <c r="F138" t="s">
        <v>80</v>
      </c>
      <c r="G138" t="s">
        <v>79</v>
      </c>
    </row>
    <row r="139" spans="1:7" x14ac:dyDescent="0.3">
      <c r="A139" s="2">
        <v>9420029902</v>
      </c>
      <c r="B139" t="s">
        <v>80</v>
      </c>
      <c r="C139" t="s">
        <v>78</v>
      </c>
      <c r="D139" t="s">
        <v>80</v>
      </c>
      <c r="E139" t="s">
        <v>80</v>
      </c>
      <c r="F139" t="s">
        <v>80</v>
      </c>
      <c r="G139" t="s">
        <v>76</v>
      </c>
    </row>
    <row r="140" spans="1:7" x14ac:dyDescent="0.3">
      <c r="A140" s="2">
        <v>9420029905</v>
      </c>
      <c r="B140">
        <v>0</v>
      </c>
      <c r="C140">
        <v>0</v>
      </c>
      <c r="D140">
        <v>0</v>
      </c>
      <c r="E140">
        <v>0</v>
      </c>
      <c r="F140" t="s">
        <v>81</v>
      </c>
      <c r="G140" t="s">
        <v>81</v>
      </c>
    </row>
    <row r="141" spans="1:7" x14ac:dyDescent="0.3">
      <c r="A141" s="2">
        <v>9420029906</v>
      </c>
      <c r="B141">
        <v>0</v>
      </c>
      <c r="C141">
        <v>0</v>
      </c>
      <c r="D141">
        <v>0</v>
      </c>
      <c r="E141">
        <v>0</v>
      </c>
      <c r="F141" t="s">
        <v>81</v>
      </c>
      <c r="G141" t="s">
        <v>81</v>
      </c>
    </row>
    <row r="142" spans="1:7" x14ac:dyDescent="0.3">
      <c r="A142" s="2">
        <v>9420029999</v>
      </c>
      <c r="B142" t="s">
        <v>87</v>
      </c>
      <c r="C142" t="s">
        <v>97</v>
      </c>
      <c r="D142" t="s">
        <v>87</v>
      </c>
      <c r="E142" t="s">
        <v>87</v>
      </c>
      <c r="F142" t="s">
        <v>87</v>
      </c>
      <c r="G142" t="s">
        <v>97</v>
      </c>
    </row>
    <row r="143" spans="1:7" x14ac:dyDescent="0.3">
      <c r="A143" s="2">
        <v>9420039900</v>
      </c>
      <c r="B143" t="s">
        <v>8</v>
      </c>
      <c r="C143" t="s">
        <v>8</v>
      </c>
      <c r="D143" t="s">
        <v>8</v>
      </c>
      <c r="E143" t="s">
        <v>8</v>
      </c>
      <c r="F143" t="s">
        <v>8</v>
      </c>
      <c r="G143" t="s">
        <v>8</v>
      </c>
    </row>
    <row r="144" spans="1:7" x14ac:dyDescent="0.3">
      <c r="A144" s="2">
        <v>9420039901</v>
      </c>
      <c r="B144" t="s">
        <v>8</v>
      </c>
      <c r="C144" t="s">
        <v>8</v>
      </c>
      <c r="D144" t="s">
        <v>8</v>
      </c>
      <c r="E144" t="s">
        <v>8</v>
      </c>
      <c r="F144" t="s">
        <v>8</v>
      </c>
      <c r="G144" t="s">
        <v>8</v>
      </c>
    </row>
    <row r="145" spans="1:7" x14ac:dyDescent="0.3">
      <c r="A145" s="2">
        <v>9420039902</v>
      </c>
      <c r="B145" t="s">
        <v>8</v>
      </c>
      <c r="C145" t="s">
        <v>8</v>
      </c>
      <c r="D145" t="s">
        <v>8</v>
      </c>
      <c r="E145" t="s">
        <v>8</v>
      </c>
      <c r="F145" t="s">
        <v>8</v>
      </c>
      <c r="G145" t="s">
        <v>8</v>
      </c>
    </row>
    <row r="146" spans="1:7" x14ac:dyDescent="0.3">
      <c r="A146" s="2">
        <v>9420039905</v>
      </c>
      <c r="B146">
        <v>0</v>
      </c>
      <c r="C146">
        <v>0</v>
      </c>
      <c r="D146">
        <v>0</v>
      </c>
      <c r="E146">
        <v>0</v>
      </c>
      <c r="F146" t="s">
        <v>76</v>
      </c>
      <c r="G146" t="s">
        <v>8</v>
      </c>
    </row>
    <row r="147" spans="1:7" x14ac:dyDescent="0.3">
      <c r="A147" s="2">
        <v>9420039906</v>
      </c>
      <c r="B147">
        <v>0</v>
      </c>
      <c r="C147">
        <v>0</v>
      </c>
      <c r="D147">
        <v>0</v>
      </c>
      <c r="E147">
        <v>0</v>
      </c>
      <c r="F147" t="s">
        <v>76</v>
      </c>
      <c r="G147" t="s">
        <v>76</v>
      </c>
    </row>
    <row r="148" spans="1:7" x14ac:dyDescent="0.3">
      <c r="A148" s="2">
        <v>9420039999</v>
      </c>
      <c r="B148" t="s">
        <v>87</v>
      </c>
      <c r="C148" t="s">
        <v>87</v>
      </c>
      <c r="D148" t="s">
        <v>107</v>
      </c>
      <c r="E148" t="s">
        <v>87</v>
      </c>
      <c r="F148" t="s">
        <v>87</v>
      </c>
      <c r="G148" t="s">
        <v>87</v>
      </c>
    </row>
    <row r="149" spans="1:7" x14ac:dyDescent="0.3">
      <c r="A149" s="2">
        <v>9420049900</v>
      </c>
      <c r="B149" t="s">
        <v>10</v>
      </c>
      <c r="C149" t="s">
        <v>85</v>
      </c>
      <c r="D149" t="s">
        <v>83</v>
      </c>
      <c r="E149" t="s">
        <v>10</v>
      </c>
      <c r="F149" t="s">
        <v>83</v>
      </c>
      <c r="G149" t="s">
        <v>10</v>
      </c>
    </row>
    <row r="150" spans="1:7" x14ac:dyDescent="0.3">
      <c r="A150" s="2">
        <v>9420049901</v>
      </c>
      <c r="B150" t="s">
        <v>10</v>
      </c>
      <c r="C150" t="s">
        <v>86</v>
      </c>
      <c r="D150" t="s">
        <v>80</v>
      </c>
      <c r="E150" t="s">
        <v>8</v>
      </c>
      <c r="F150" t="s">
        <v>8</v>
      </c>
      <c r="G150" t="s">
        <v>10</v>
      </c>
    </row>
    <row r="151" spans="1:7" x14ac:dyDescent="0.3">
      <c r="A151" s="2">
        <v>9420049902</v>
      </c>
      <c r="B151" t="s">
        <v>8</v>
      </c>
      <c r="C151" t="s">
        <v>84</v>
      </c>
      <c r="D151" t="s">
        <v>8</v>
      </c>
      <c r="E151" t="s">
        <v>8</v>
      </c>
      <c r="F151" t="s">
        <v>8</v>
      </c>
      <c r="G151" t="s">
        <v>8</v>
      </c>
    </row>
    <row r="152" spans="1:7" x14ac:dyDescent="0.3">
      <c r="A152" s="2">
        <v>9420049905</v>
      </c>
      <c r="B152">
        <v>0</v>
      </c>
      <c r="C152">
        <v>0</v>
      </c>
      <c r="D152">
        <v>0</v>
      </c>
      <c r="E152">
        <v>0</v>
      </c>
      <c r="F152" t="s">
        <v>8</v>
      </c>
      <c r="G152" t="s">
        <v>8</v>
      </c>
    </row>
    <row r="153" spans="1:7" x14ac:dyDescent="0.3">
      <c r="A153" s="2">
        <v>9420049906</v>
      </c>
      <c r="B153">
        <v>0</v>
      </c>
      <c r="C153">
        <v>0</v>
      </c>
      <c r="D153">
        <v>0</v>
      </c>
      <c r="E153">
        <v>0</v>
      </c>
      <c r="F153" t="s">
        <v>8</v>
      </c>
      <c r="G153" t="s">
        <v>8</v>
      </c>
    </row>
    <row r="154" spans="1:7" x14ac:dyDescent="0.3">
      <c r="A154" s="2">
        <v>9420049999</v>
      </c>
      <c r="B154" t="s">
        <v>87</v>
      </c>
      <c r="C154" t="s">
        <v>87</v>
      </c>
      <c r="D154" t="s">
        <v>87</v>
      </c>
      <c r="E154" t="s">
        <v>87</v>
      </c>
      <c r="F154" t="s">
        <v>87</v>
      </c>
      <c r="G154" t="s">
        <v>87</v>
      </c>
    </row>
    <row r="155" spans="1:7" x14ac:dyDescent="0.3">
      <c r="A155" s="2">
        <v>9420059900</v>
      </c>
      <c r="B155" t="s">
        <v>76</v>
      </c>
      <c r="C155" t="s">
        <v>75</v>
      </c>
      <c r="D155" t="s">
        <v>102</v>
      </c>
      <c r="E155" t="s">
        <v>77</v>
      </c>
      <c r="F155" t="s">
        <v>8</v>
      </c>
      <c r="G155" t="s">
        <v>8</v>
      </c>
    </row>
    <row r="156" spans="1:7" x14ac:dyDescent="0.3">
      <c r="A156" s="2">
        <v>9420059901</v>
      </c>
      <c r="B156" t="s">
        <v>8</v>
      </c>
      <c r="C156">
        <v>0</v>
      </c>
      <c r="D156" t="s">
        <v>81</v>
      </c>
      <c r="E156" t="s">
        <v>76</v>
      </c>
      <c r="F156" t="s">
        <v>8</v>
      </c>
      <c r="G156" t="s">
        <v>81</v>
      </c>
    </row>
    <row r="157" spans="1:7" x14ac:dyDescent="0.3">
      <c r="A157" s="2">
        <v>9420059902</v>
      </c>
      <c r="B157" t="s">
        <v>8</v>
      </c>
      <c r="C157" t="s">
        <v>8</v>
      </c>
      <c r="D157" t="s">
        <v>8</v>
      </c>
      <c r="E157" t="s">
        <v>8</v>
      </c>
      <c r="F157" t="s">
        <v>8</v>
      </c>
      <c r="G157" t="s">
        <v>8</v>
      </c>
    </row>
    <row r="158" spans="1:7" x14ac:dyDescent="0.3">
      <c r="A158" s="2">
        <v>9420059905</v>
      </c>
      <c r="B158">
        <v>0</v>
      </c>
      <c r="C158">
        <v>0</v>
      </c>
      <c r="D158">
        <v>0</v>
      </c>
      <c r="E158">
        <v>0</v>
      </c>
      <c r="F158" t="s">
        <v>8</v>
      </c>
      <c r="G158" t="s">
        <v>8</v>
      </c>
    </row>
    <row r="159" spans="1:7" x14ac:dyDescent="0.3">
      <c r="A159" s="2">
        <v>9420059906</v>
      </c>
      <c r="B159">
        <v>0</v>
      </c>
      <c r="C159">
        <v>0</v>
      </c>
      <c r="D159">
        <v>0</v>
      </c>
      <c r="E159">
        <v>0</v>
      </c>
      <c r="F159" t="s">
        <v>8</v>
      </c>
      <c r="G159" t="s">
        <v>8</v>
      </c>
    </row>
    <row r="160" spans="1:7" x14ac:dyDescent="0.3">
      <c r="A160" s="2">
        <v>9420059999</v>
      </c>
      <c r="B160" t="s">
        <v>87</v>
      </c>
      <c r="C160" t="s">
        <v>87</v>
      </c>
      <c r="D160" t="s">
        <v>87</v>
      </c>
      <c r="E160" t="s">
        <v>87</v>
      </c>
      <c r="F160" t="s">
        <v>87</v>
      </c>
      <c r="G160" t="s">
        <v>87</v>
      </c>
    </row>
    <row r="161" spans="1:7" x14ac:dyDescent="0.3">
      <c r="A161" s="2">
        <v>9420069900</v>
      </c>
      <c r="B161" t="s">
        <v>8</v>
      </c>
      <c r="C161" t="s">
        <v>75</v>
      </c>
      <c r="D161" t="s">
        <v>8</v>
      </c>
      <c r="E161" t="s">
        <v>77</v>
      </c>
      <c r="F161" t="s">
        <v>8</v>
      </c>
      <c r="G161" t="s">
        <v>8</v>
      </c>
    </row>
    <row r="162" spans="1:7" x14ac:dyDescent="0.3">
      <c r="A162" s="2">
        <v>9430109900</v>
      </c>
      <c r="B162" t="s">
        <v>73</v>
      </c>
      <c r="C162" t="s">
        <v>74</v>
      </c>
      <c r="D162" t="s">
        <v>73</v>
      </c>
      <c r="E162" t="s">
        <v>73</v>
      </c>
      <c r="F162" t="s">
        <v>73</v>
      </c>
      <c r="G162" t="s">
        <v>73</v>
      </c>
    </row>
    <row r="163" spans="1:7" x14ac:dyDescent="0.3">
      <c r="A163" s="2">
        <v>9430109901</v>
      </c>
      <c r="B163" t="s">
        <v>73</v>
      </c>
      <c r="C163" t="s">
        <v>74</v>
      </c>
      <c r="D163" t="s">
        <v>73</v>
      </c>
      <c r="E163" t="s">
        <v>73</v>
      </c>
      <c r="F163" t="s">
        <v>73</v>
      </c>
      <c r="G163" t="s">
        <v>73</v>
      </c>
    </row>
    <row r="164" spans="1:7" x14ac:dyDescent="0.3">
      <c r="A164" s="2">
        <v>9430109902</v>
      </c>
      <c r="B164" t="s">
        <v>73</v>
      </c>
      <c r="C164" t="s">
        <v>74</v>
      </c>
      <c r="D164" t="s">
        <v>73</v>
      </c>
      <c r="E164" t="s">
        <v>73</v>
      </c>
      <c r="F164" t="s">
        <v>73</v>
      </c>
      <c r="G164" t="s">
        <v>73</v>
      </c>
    </row>
    <row r="165" spans="1:7" x14ac:dyDescent="0.3">
      <c r="A165" s="2">
        <v>9430119900</v>
      </c>
      <c r="B165" t="s">
        <v>73</v>
      </c>
      <c r="C165" t="s">
        <v>74</v>
      </c>
      <c r="D165" t="s">
        <v>73</v>
      </c>
      <c r="E165" t="s">
        <v>73</v>
      </c>
      <c r="F165" t="s">
        <v>73</v>
      </c>
      <c r="G165" t="s">
        <v>74</v>
      </c>
    </row>
    <row r="166" spans="1:7" x14ac:dyDescent="0.3">
      <c r="A166" s="2">
        <v>9430119901</v>
      </c>
      <c r="B166" t="s">
        <v>73</v>
      </c>
      <c r="C166" t="s">
        <v>74</v>
      </c>
      <c r="D166" t="s">
        <v>73</v>
      </c>
      <c r="E166" t="s">
        <v>73</v>
      </c>
      <c r="F166" t="s">
        <v>73</v>
      </c>
      <c r="G166" t="s">
        <v>74</v>
      </c>
    </row>
    <row r="167" spans="1:7" x14ac:dyDescent="0.3">
      <c r="A167" s="2">
        <v>9430119902</v>
      </c>
      <c r="B167" t="s">
        <v>73</v>
      </c>
      <c r="C167" t="s">
        <v>74</v>
      </c>
      <c r="D167" t="s">
        <v>73</v>
      </c>
      <c r="E167" t="s">
        <v>73</v>
      </c>
      <c r="F167" t="s">
        <v>73</v>
      </c>
      <c r="G167" t="s">
        <v>74</v>
      </c>
    </row>
    <row r="168" spans="1:7" x14ac:dyDescent="0.3">
      <c r="A168" s="2">
        <v>9431009905</v>
      </c>
      <c r="B168">
        <v>0</v>
      </c>
      <c r="C168">
        <v>0</v>
      </c>
      <c r="D168">
        <v>0</v>
      </c>
      <c r="E168">
        <v>0</v>
      </c>
      <c r="F168" t="s">
        <v>8</v>
      </c>
      <c r="G168" t="s">
        <v>8</v>
      </c>
    </row>
    <row r="169" spans="1:7" x14ac:dyDescent="0.3">
      <c r="A169" s="2">
        <v>9431009913</v>
      </c>
      <c r="B169" t="s">
        <v>8</v>
      </c>
      <c r="C169" t="s">
        <v>8</v>
      </c>
      <c r="D169" t="s">
        <v>8</v>
      </c>
      <c r="E169" t="s">
        <v>8</v>
      </c>
      <c r="F169" t="s">
        <v>8</v>
      </c>
      <c r="G169" t="s">
        <v>8</v>
      </c>
    </row>
    <row r="170" spans="1:7" x14ac:dyDescent="0.3">
      <c r="A170" s="2">
        <v>9431009999</v>
      </c>
      <c r="B170" t="s">
        <v>96</v>
      </c>
      <c r="C170" t="s">
        <v>91</v>
      </c>
      <c r="D170" t="s">
        <v>96</v>
      </c>
      <c r="E170" t="s">
        <v>97</v>
      </c>
      <c r="F170" t="s">
        <v>97</v>
      </c>
      <c r="G170" t="s">
        <v>97</v>
      </c>
    </row>
    <row r="171" spans="1:7" x14ac:dyDescent="0.3">
      <c r="A171" s="2">
        <v>9432009900</v>
      </c>
      <c r="B171" t="s">
        <v>8</v>
      </c>
      <c r="C171" t="s">
        <v>8</v>
      </c>
      <c r="D171" t="s">
        <v>8</v>
      </c>
      <c r="E171" t="s">
        <v>77</v>
      </c>
      <c r="F171" t="s">
        <v>8</v>
      </c>
      <c r="G171" t="s">
        <v>8</v>
      </c>
    </row>
    <row r="172" spans="1:7" x14ac:dyDescent="0.3">
      <c r="A172" s="2">
        <v>9432009901</v>
      </c>
      <c r="B172" t="s">
        <v>8</v>
      </c>
      <c r="C172" t="s">
        <v>8</v>
      </c>
      <c r="D172" t="s">
        <v>8</v>
      </c>
      <c r="E172" t="s">
        <v>8</v>
      </c>
      <c r="F172" t="s">
        <v>8</v>
      </c>
      <c r="G172" t="s">
        <v>8</v>
      </c>
    </row>
    <row r="173" spans="1:7" x14ac:dyDescent="0.3">
      <c r="A173" s="2">
        <v>9432009902</v>
      </c>
      <c r="B173" t="s">
        <v>8</v>
      </c>
      <c r="C173" t="s">
        <v>76</v>
      </c>
      <c r="D173" t="s">
        <v>79</v>
      </c>
      <c r="E173" t="s">
        <v>79</v>
      </c>
      <c r="F173" t="s">
        <v>8</v>
      </c>
      <c r="G173" t="s">
        <v>8</v>
      </c>
    </row>
    <row r="174" spans="1:7" x14ac:dyDescent="0.3">
      <c r="A174" s="2">
        <v>9432009905</v>
      </c>
      <c r="B174">
        <v>0</v>
      </c>
      <c r="C174">
        <v>0</v>
      </c>
      <c r="D174">
        <v>0</v>
      </c>
      <c r="E174">
        <v>0</v>
      </c>
      <c r="F174" t="s">
        <v>83</v>
      </c>
      <c r="G174" t="s">
        <v>8</v>
      </c>
    </row>
    <row r="175" spans="1:7" x14ac:dyDescent="0.3">
      <c r="A175" s="2">
        <v>9432009906</v>
      </c>
      <c r="B175">
        <v>0</v>
      </c>
      <c r="C175">
        <v>0</v>
      </c>
      <c r="D175">
        <v>0</v>
      </c>
      <c r="E175">
        <v>0</v>
      </c>
      <c r="F175" t="s">
        <v>8</v>
      </c>
      <c r="G175" t="s">
        <v>8</v>
      </c>
    </row>
    <row r="176" spans="1:7" x14ac:dyDescent="0.3">
      <c r="A176" s="2">
        <v>9432009999</v>
      </c>
      <c r="B176" t="s">
        <v>97</v>
      </c>
      <c r="C176" t="s">
        <v>91</v>
      </c>
      <c r="D176" t="s">
        <v>96</v>
      </c>
      <c r="E176" t="s">
        <v>97</v>
      </c>
      <c r="F176" t="s">
        <v>97</v>
      </c>
      <c r="G176" t="s">
        <v>91</v>
      </c>
    </row>
    <row r="177" spans="1:7" x14ac:dyDescent="0.3">
      <c r="A177" s="2">
        <v>9432019900</v>
      </c>
      <c r="B177" t="s">
        <v>83</v>
      </c>
      <c r="C177" t="s">
        <v>84</v>
      </c>
      <c r="D177" t="s">
        <v>8</v>
      </c>
      <c r="E177" t="s">
        <v>83</v>
      </c>
      <c r="F177" t="s">
        <v>8</v>
      </c>
      <c r="G177" t="s">
        <v>8</v>
      </c>
    </row>
    <row r="178" spans="1:7" x14ac:dyDescent="0.3">
      <c r="A178" s="2">
        <v>9432019901</v>
      </c>
      <c r="B178" t="s">
        <v>86</v>
      </c>
      <c r="C178" t="s">
        <v>84</v>
      </c>
      <c r="D178" t="s">
        <v>83</v>
      </c>
      <c r="E178" t="s">
        <v>83</v>
      </c>
      <c r="F178" t="s">
        <v>8</v>
      </c>
      <c r="G178" t="s">
        <v>8</v>
      </c>
    </row>
    <row r="179" spans="1:7" x14ac:dyDescent="0.3">
      <c r="A179" s="2">
        <v>9432019902</v>
      </c>
      <c r="B179" t="s">
        <v>83</v>
      </c>
      <c r="C179" t="s">
        <v>85</v>
      </c>
      <c r="D179" t="s">
        <v>83</v>
      </c>
      <c r="E179" t="s">
        <v>83</v>
      </c>
      <c r="F179" t="s">
        <v>83</v>
      </c>
      <c r="G179" t="s">
        <v>85</v>
      </c>
    </row>
    <row r="180" spans="1:7" x14ac:dyDescent="0.3">
      <c r="A180" s="2">
        <v>9432019905</v>
      </c>
      <c r="B180">
        <v>0</v>
      </c>
      <c r="C180">
        <v>0</v>
      </c>
      <c r="D180">
        <v>0</v>
      </c>
      <c r="E180">
        <v>0</v>
      </c>
      <c r="F180" t="s">
        <v>8</v>
      </c>
      <c r="G180" t="s">
        <v>83</v>
      </c>
    </row>
    <row r="181" spans="1:7" x14ac:dyDescent="0.3">
      <c r="A181" s="2">
        <v>9432019906</v>
      </c>
      <c r="B181">
        <v>0</v>
      </c>
      <c r="C181">
        <v>0</v>
      </c>
      <c r="D181">
        <v>0</v>
      </c>
      <c r="E181">
        <v>0</v>
      </c>
      <c r="F181" t="s">
        <v>8</v>
      </c>
      <c r="G181" t="s">
        <v>8</v>
      </c>
    </row>
    <row r="182" spans="1:7" x14ac:dyDescent="0.3">
      <c r="A182" s="2">
        <v>9432019999</v>
      </c>
      <c r="B182" t="s">
        <v>103</v>
      </c>
      <c r="C182" t="s">
        <v>96</v>
      </c>
      <c r="D182" t="s">
        <v>87</v>
      </c>
      <c r="E182" t="s">
        <v>87</v>
      </c>
      <c r="F182" t="s">
        <v>87</v>
      </c>
      <c r="G182" t="s">
        <v>96</v>
      </c>
    </row>
    <row r="183" spans="1:7" x14ac:dyDescent="0.3">
      <c r="A183" s="2">
        <v>9437009900</v>
      </c>
      <c r="B183" t="s">
        <v>8</v>
      </c>
      <c r="C183" t="s">
        <v>8</v>
      </c>
      <c r="D183" t="s">
        <v>8</v>
      </c>
      <c r="E183" t="s">
        <v>8</v>
      </c>
      <c r="F183" t="s">
        <v>8</v>
      </c>
      <c r="G183" t="s">
        <v>8</v>
      </c>
    </row>
    <row r="184" spans="1:7" x14ac:dyDescent="0.3">
      <c r="A184" s="2">
        <v>9437019900</v>
      </c>
      <c r="B184" t="s">
        <v>8</v>
      </c>
      <c r="C184" t="s">
        <v>8</v>
      </c>
      <c r="D184" t="s">
        <v>8</v>
      </c>
      <c r="E184" t="s">
        <v>8</v>
      </c>
      <c r="F184" t="s">
        <v>8</v>
      </c>
      <c r="G184" t="s">
        <v>8</v>
      </c>
    </row>
    <row r="185" spans="1:7" x14ac:dyDescent="0.3">
      <c r="A185" s="2">
        <v>9700019922</v>
      </c>
      <c r="B185">
        <v>0</v>
      </c>
      <c r="C185">
        <v>0</v>
      </c>
      <c r="D185">
        <v>0</v>
      </c>
      <c r="E185">
        <v>0</v>
      </c>
      <c r="F185" t="s">
        <v>91</v>
      </c>
      <c r="G185" t="s">
        <v>104</v>
      </c>
    </row>
    <row r="186" spans="1:7" x14ac:dyDescent="0.3">
      <c r="A186" s="2">
        <v>9700029922</v>
      </c>
      <c r="B186">
        <v>0</v>
      </c>
      <c r="C186">
        <v>0</v>
      </c>
      <c r="D186">
        <v>0</v>
      </c>
      <c r="E186">
        <v>0</v>
      </c>
      <c r="F186" t="s">
        <v>108</v>
      </c>
      <c r="G186" t="s">
        <v>108</v>
      </c>
    </row>
    <row r="187" spans="1:7" x14ac:dyDescent="0.3">
      <c r="A187" s="2">
        <v>9700039922</v>
      </c>
      <c r="B187">
        <v>0</v>
      </c>
      <c r="C187">
        <v>0</v>
      </c>
      <c r="D187">
        <v>0</v>
      </c>
      <c r="E187">
        <v>0</v>
      </c>
      <c r="F187" t="s">
        <v>108</v>
      </c>
      <c r="G187" t="s">
        <v>108</v>
      </c>
    </row>
    <row r="188" spans="1:7" x14ac:dyDescent="0.3">
      <c r="A188" s="2">
        <v>9700049922</v>
      </c>
      <c r="B188">
        <v>0</v>
      </c>
      <c r="C188">
        <v>0</v>
      </c>
      <c r="D188">
        <v>0</v>
      </c>
      <c r="E188">
        <v>0</v>
      </c>
      <c r="F188" t="s">
        <v>109</v>
      </c>
      <c r="G188" t="s">
        <v>109</v>
      </c>
    </row>
    <row r="189" spans="1:7" x14ac:dyDescent="0.3">
      <c r="A189" s="2">
        <v>9700059922</v>
      </c>
      <c r="B189">
        <v>0</v>
      </c>
      <c r="C189">
        <v>0</v>
      </c>
      <c r="D189">
        <v>0</v>
      </c>
      <c r="E189">
        <v>0</v>
      </c>
      <c r="F189" t="s">
        <v>109</v>
      </c>
      <c r="G189" t="s">
        <v>109</v>
      </c>
    </row>
    <row r="190" spans="1:7" x14ac:dyDescent="0.3">
      <c r="A190" s="2">
        <v>9700069922</v>
      </c>
      <c r="B190">
        <v>0</v>
      </c>
      <c r="C190">
        <v>0</v>
      </c>
      <c r="D190">
        <v>0</v>
      </c>
      <c r="E190">
        <v>0</v>
      </c>
      <c r="F190" t="s">
        <v>108</v>
      </c>
      <c r="G190" t="s">
        <v>108</v>
      </c>
    </row>
    <row r="191" spans="1:7" x14ac:dyDescent="0.3">
      <c r="A191" s="2">
        <v>9700079922</v>
      </c>
      <c r="B191">
        <v>0</v>
      </c>
      <c r="C191">
        <v>0</v>
      </c>
      <c r="D191">
        <v>0</v>
      </c>
      <c r="E191">
        <v>0</v>
      </c>
      <c r="F191" t="s">
        <v>108</v>
      </c>
      <c r="G191" t="s">
        <v>108</v>
      </c>
    </row>
    <row r="192" spans="1:7" x14ac:dyDescent="0.3">
      <c r="A192" s="2">
        <v>9700089922</v>
      </c>
      <c r="B192">
        <v>0</v>
      </c>
      <c r="C192">
        <v>0</v>
      </c>
      <c r="D192">
        <v>0</v>
      </c>
      <c r="E192">
        <v>0</v>
      </c>
      <c r="F192" t="s">
        <v>109</v>
      </c>
      <c r="G192" t="s">
        <v>109</v>
      </c>
    </row>
    <row r="193" spans="1:7" x14ac:dyDescent="0.3">
      <c r="A193" s="2">
        <v>9700099922</v>
      </c>
      <c r="B193">
        <v>0</v>
      </c>
      <c r="C193">
        <v>0</v>
      </c>
      <c r="D193">
        <v>0</v>
      </c>
      <c r="E193">
        <v>0</v>
      </c>
      <c r="F193" t="s">
        <v>109</v>
      </c>
      <c r="G193" t="s">
        <v>109</v>
      </c>
    </row>
    <row r="194" spans="1:7" x14ac:dyDescent="0.3">
      <c r="A194" s="2">
        <v>9700109922</v>
      </c>
      <c r="B194">
        <v>0</v>
      </c>
      <c r="C194">
        <v>0</v>
      </c>
      <c r="D194">
        <v>0</v>
      </c>
      <c r="E194">
        <v>0</v>
      </c>
      <c r="F194" t="s">
        <v>109</v>
      </c>
      <c r="G194" t="s">
        <v>109</v>
      </c>
    </row>
    <row r="195" spans="1:7" x14ac:dyDescent="0.3">
      <c r="A195" s="2">
        <v>9700119922</v>
      </c>
      <c r="B195">
        <v>0</v>
      </c>
      <c r="C195">
        <v>0</v>
      </c>
      <c r="D195">
        <v>0</v>
      </c>
      <c r="E195">
        <v>0</v>
      </c>
      <c r="F195" t="s">
        <v>109</v>
      </c>
      <c r="G195" t="s">
        <v>109</v>
      </c>
    </row>
    <row r="196" spans="1:7" x14ac:dyDescent="0.3">
      <c r="A196" s="2">
        <v>9700129922</v>
      </c>
      <c r="B196">
        <v>0</v>
      </c>
      <c r="C196">
        <v>0</v>
      </c>
      <c r="D196">
        <v>0</v>
      </c>
      <c r="E196">
        <v>0</v>
      </c>
      <c r="F196" t="s">
        <v>109</v>
      </c>
      <c r="G196" t="s">
        <v>109</v>
      </c>
    </row>
    <row r="197" spans="1:7" x14ac:dyDescent="0.3">
      <c r="A197" s="2">
        <v>9700139922</v>
      </c>
      <c r="B197">
        <v>0</v>
      </c>
      <c r="C197">
        <v>0</v>
      </c>
      <c r="D197">
        <v>0</v>
      </c>
      <c r="E197">
        <v>0</v>
      </c>
      <c r="F197" t="s">
        <v>109</v>
      </c>
      <c r="G197" t="s">
        <v>109</v>
      </c>
    </row>
    <row r="198" spans="1:7" x14ac:dyDescent="0.3">
      <c r="A198" s="2">
        <v>9700149922</v>
      </c>
      <c r="B198">
        <v>0</v>
      </c>
      <c r="C198">
        <v>0</v>
      </c>
      <c r="D198">
        <v>0</v>
      </c>
      <c r="E198">
        <v>0</v>
      </c>
      <c r="F198" t="s">
        <v>109</v>
      </c>
      <c r="G198" t="s">
        <v>109</v>
      </c>
    </row>
    <row r="199" spans="1:7" x14ac:dyDescent="0.3">
      <c r="A199" s="2">
        <v>9700159922</v>
      </c>
      <c r="B199">
        <v>0</v>
      </c>
      <c r="C199">
        <v>0</v>
      </c>
      <c r="D199">
        <v>0</v>
      </c>
      <c r="E199">
        <v>0</v>
      </c>
      <c r="F199" t="s">
        <v>109</v>
      </c>
      <c r="G199" t="s">
        <v>109</v>
      </c>
    </row>
    <row r="200" spans="1:7" x14ac:dyDescent="0.3">
      <c r="A200" s="2">
        <v>9700169922</v>
      </c>
      <c r="B200">
        <v>0</v>
      </c>
      <c r="C200">
        <v>0</v>
      </c>
      <c r="D200">
        <v>0</v>
      </c>
      <c r="E200">
        <v>0</v>
      </c>
      <c r="F200" t="s">
        <v>91</v>
      </c>
      <c r="G200" t="s">
        <v>91</v>
      </c>
    </row>
    <row r="201" spans="1:7" x14ac:dyDescent="0.3">
      <c r="A201" s="2">
        <v>9360039992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</row>
    <row r="202" spans="1:7" x14ac:dyDescent="0.3">
      <c r="A202" s="2">
        <v>9360039981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</row>
    <row r="203" spans="1:7" x14ac:dyDescent="0.3">
      <c r="A203" s="2">
        <v>9320089901</v>
      </c>
      <c r="B203" t="s">
        <v>8</v>
      </c>
      <c r="C203" t="s">
        <v>8</v>
      </c>
      <c r="D203">
        <v>0</v>
      </c>
      <c r="E203" t="s">
        <v>8</v>
      </c>
      <c r="F203" t="s">
        <v>8</v>
      </c>
      <c r="G203" t="s">
        <v>8</v>
      </c>
    </row>
    <row r="204" spans="1:7" x14ac:dyDescent="0.3">
      <c r="A204" s="2">
        <v>9320089902</v>
      </c>
      <c r="B204" t="s">
        <v>8</v>
      </c>
      <c r="C204" t="s">
        <v>8</v>
      </c>
      <c r="D204">
        <v>0</v>
      </c>
      <c r="E204" t="s">
        <v>8</v>
      </c>
      <c r="F204" t="s">
        <v>8</v>
      </c>
      <c r="G204" t="s">
        <v>8</v>
      </c>
    </row>
    <row r="205" spans="1:7" x14ac:dyDescent="0.3">
      <c r="A205" s="2">
        <v>9320089999</v>
      </c>
      <c r="B205" s="41">
        <v>0</v>
      </c>
      <c r="C205" s="41">
        <v>0</v>
      </c>
      <c r="D205">
        <v>0</v>
      </c>
      <c r="E205" s="41">
        <v>0</v>
      </c>
      <c r="F205" s="41">
        <v>0</v>
      </c>
      <c r="G205" s="41">
        <v>0</v>
      </c>
    </row>
    <row r="206" spans="1:7" x14ac:dyDescent="0.3">
      <c r="A206" s="2">
        <v>9320089900</v>
      </c>
      <c r="B206" t="s">
        <v>8</v>
      </c>
      <c r="C206" t="s">
        <v>8</v>
      </c>
      <c r="D206">
        <v>0</v>
      </c>
      <c r="E206" t="s">
        <v>8</v>
      </c>
      <c r="F206" t="s">
        <v>8</v>
      </c>
      <c r="G206" t="s">
        <v>8</v>
      </c>
    </row>
    <row r="207" spans="1:7" x14ac:dyDescent="0.3">
      <c r="A207" s="2">
        <v>9320099901</v>
      </c>
      <c r="B207" t="s">
        <v>8</v>
      </c>
      <c r="C207" t="s">
        <v>8</v>
      </c>
      <c r="D207">
        <v>0</v>
      </c>
      <c r="E207" t="s">
        <v>79</v>
      </c>
      <c r="F207" t="s">
        <v>8</v>
      </c>
      <c r="G207" t="s">
        <v>8</v>
      </c>
    </row>
    <row r="208" spans="1:7" x14ac:dyDescent="0.3">
      <c r="A208" s="2">
        <v>9320099902</v>
      </c>
      <c r="B208" s="41">
        <v>0</v>
      </c>
      <c r="C208" s="41">
        <v>0</v>
      </c>
      <c r="D208">
        <v>0</v>
      </c>
      <c r="E208" s="41">
        <v>0</v>
      </c>
      <c r="F208" s="41">
        <v>0</v>
      </c>
      <c r="G208" s="41">
        <v>0</v>
      </c>
    </row>
    <row r="209" spans="1:7" x14ac:dyDescent="0.3">
      <c r="A209" s="2">
        <v>9320099900</v>
      </c>
      <c r="B209" t="s">
        <v>8</v>
      </c>
      <c r="C209" t="s">
        <v>8</v>
      </c>
      <c r="D209">
        <v>0</v>
      </c>
      <c r="E209" t="s">
        <v>89</v>
      </c>
      <c r="F209" s="41" t="s">
        <v>8</v>
      </c>
      <c r="G209" s="41" t="s">
        <v>8</v>
      </c>
    </row>
    <row r="210" spans="1:7" x14ac:dyDescent="0.3">
      <c r="A210" s="2">
        <v>9330239901</v>
      </c>
      <c r="B210" s="41">
        <v>0</v>
      </c>
      <c r="C210" t="s">
        <v>8</v>
      </c>
      <c r="D210">
        <v>0</v>
      </c>
      <c r="E210" t="s">
        <v>86</v>
      </c>
      <c r="F210" t="s">
        <v>8</v>
      </c>
      <c r="G210" s="41">
        <v>0</v>
      </c>
    </row>
    <row r="211" spans="1:7" x14ac:dyDescent="0.3">
      <c r="A211" s="2">
        <v>9330239902</v>
      </c>
      <c r="B211" s="41">
        <v>0</v>
      </c>
      <c r="C211" t="s">
        <v>8</v>
      </c>
      <c r="D211">
        <v>0</v>
      </c>
      <c r="E211" t="s">
        <v>8</v>
      </c>
      <c r="F211" s="41">
        <v>0</v>
      </c>
      <c r="G211" s="41">
        <v>0</v>
      </c>
    </row>
    <row r="212" spans="1:7" x14ac:dyDescent="0.3">
      <c r="A212" s="2">
        <v>9330239905</v>
      </c>
      <c r="B212" s="41">
        <v>0</v>
      </c>
      <c r="C212" s="41">
        <v>0</v>
      </c>
      <c r="D212" s="41">
        <v>0</v>
      </c>
      <c r="E212" s="41">
        <v>0</v>
      </c>
      <c r="F212" s="41">
        <v>0</v>
      </c>
      <c r="G212" s="41">
        <v>0</v>
      </c>
    </row>
    <row r="213" spans="1:7" x14ac:dyDescent="0.3">
      <c r="A213" s="2">
        <v>9330239999</v>
      </c>
      <c r="B213" s="41">
        <v>0</v>
      </c>
      <c r="C213" t="s">
        <v>8</v>
      </c>
      <c r="D213">
        <v>0</v>
      </c>
      <c r="E213" t="s">
        <v>8</v>
      </c>
      <c r="F213" s="41">
        <v>0</v>
      </c>
      <c r="G213" s="41">
        <v>0</v>
      </c>
    </row>
    <row r="214" spans="1:7" x14ac:dyDescent="0.3">
      <c r="A214" s="2">
        <v>9330239900</v>
      </c>
      <c r="B214" t="s">
        <v>8</v>
      </c>
      <c r="C214" t="s">
        <v>8</v>
      </c>
      <c r="D214">
        <v>0</v>
      </c>
      <c r="E214" t="s">
        <v>9</v>
      </c>
      <c r="F214" s="41" t="s">
        <v>8</v>
      </c>
      <c r="G214" s="41" t="s">
        <v>8</v>
      </c>
    </row>
    <row r="215" spans="1:7" x14ac:dyDescent="0.3">
      <c r="A215" s="2">
        <v>9320099999</v>
      </c>
      <c r="B215" s="41">
        <v>0</v>
      </c>
      <c r="C215" s="41">
        <v>0</v>
      </c>
      <c r="D215">
        <v>0</v>
      </c>
      <c r="E215" s="41">
        <v>0</v>
      </c>
      <c r="F215" s="41">
        <v>0</v>
      </c>
      <c r="G215" s="41">
        <v>0</v>
      </c>
    </row>
    <row r="216" spans="1:7" x14ac:dyDescent="0.3">
      <c r="A216" s="2">
        <v>9320099905</v>
      </c>
      <c r="B216" s="41">
        <v>0</v>
      </c>
      <c r="C216" s="41">
        <v>0</v>
      </c>
      <c r="D216" s="41">
        <v>0</v>
      </c>
      <c r="E216" s="41">
        <v>0</v>
      </c>
      <c r="F216" s="41">
        <v>0</v>
      </c>
      <c r="G216" s="41">
        <v>0</v>
      </c>
    </row>
    <row r="217" spans="1:7" x14ac:dyDescent="0.3">
      <c r="A217" s="2">
        <v>9432029900</v>
      </c>
      <c r="B217" t="s">
        <v>8</v>
      </c>
      <c r="C217" t="s">
        <v>8</v>
      </c>
      <c r="D217">
        <v>0</v>
      </c>
      <c r="E217" t="s">
        <v>8</v>
      </c>
      <c r="F217" t="s">
        <v>8</v>
      </c>
      <c r="G217" t="s">
        <v>8</v>
      </c>
    </row>
    <row r="218" spans="1:7" x14ac:dyDescent="0.3">
      <c r="A218" s="2">
        <v>9432029901</v>
      </c>
      <c r="B218" t="s">
        <v>8</v>
      </c>
      <c r="C218" t="s">
        <v>8</v>
      </c>
      <c r="D218">
        <v>0</v>
      </c>
      <c r="E218" t="s">
        <v>8</v>
      </c>
      <c r="F218" t="s">
        <v>8</v>
      </c>
      <c r="G218" t="s">
        <v>8</v>
      </c>
    </row>
    <row r="219" spans="1:7" x14ac:dyDescent="0.3">
      <c r="A219" s="2">
        <v>9432029902</v>
      </c>
      <c r="B219" s="41">
        <v>0</v>
      </c>
      <c r="C219" s="41">
        <v>0</v>
      </c>
      <c r="D219">
        <v>0</v>
      </c>
      <c r="E219" s="41">
        <v>0</v>
      </c>
      <c r="F219" s="41">
        <v>0</v>
      </c>
      <c r="G219" s="41">
        <v>0</v>
      </c>
    </row>
    <row r="220" spans="1:7" x14ac:dyDescent="0.3">
      <c r="A220" s="2">
        <v>9432029905</v>
      </c>
      <c r="B220" s="41">
        <v>0</v>
      </c>
      <c r="C220" s="41">
        <v>0</v>
      </c>
      <c r="D220" s="41">
        <v>0</v>
      </c>
      <c r="E220" s="41">
        <v>0</v>
      </c>
      <c r="F220" s="41">
        <v>0</v>
      </c>
      <c r="G220" s="41">
        <v>0</v>
      </c>
    </row>
    <row r="221" spans="1:7" x14ac:dyDescent="0.3">
      <c r="A221" s="2">
        <v>9432029906</v>
      </c>
      <c r="B221" s="41">
        <v>0</v>
      </c>
      <c r="C221" s="41">
        <v>0</v>
      </c>
      <c r="D221" s="41">
        <v>0</v>
      </c>
      <c r="E221" s="41">
        <v>0</v>
      </c>
      <c r="F221" s="41">
        <v>0</v>
      </c>
      <c r="G221" s="41">
        <v>0</v>
      </c>
    </row>
    <row r="222" spans="1:7" x14ac:dyDescent="0.3">
      <c r="A222" s="2">
        <v>9432029999</v>
      </c>
      <c r="B222" s="41">
        <v>0</v>
      </c>
      <c r="C222" s="41">
        <v>0</v>
      </c>
      <c r="D222">
        <v>0</v>
      </c>
      <c r="E222" s="41">
        <v>0</v>
      </c>
      <c r="F222" s="41">
        <v>0</v>
      </c>
      <c r="G222" s="41">
        <v>0</v>
      </c>
    </row>
    <row r="223" spans="1:7" x14ac:dyDescent="0.3">
      <c r="A223" s="2">
        <v>9420139900</v>
      </c>
      <c r="B223" t="s">
        <v>8</v>
      </c>
      <c r="C223" t="s">
        <v>8</v>
      </c>
      <c r="D223">
        <v>0</v>
      </c>
      <c r="E223" t="s">
        <v>80</v>
      </c>
      <c r="F223" t="s">
        <v>8</v>
      </c>
      <c r="G223" t="s">
        <v>8</v>
      </c>
    </row>
    <row r="224" spans="1:7" x14ac:dyDescent="0.3">
      <c r="A224" s="2">
        <v>9420139901</v>
      </c>
      <c r="B224" t="s">
        <v>8</v>
      </c>
      <c r="C224" t="s">
        <v>8</v>
      </c>
      <c r="D224">
        <v>0</v>
      </c>
      <c r="E224" t="s">
        <v>80</v>
      </c>
      <c r="F224" t="s">
        <v>8</v>
      </c>
      <c r="G224" t="s">
        <v>8</v>
      </c>
    </row>
    <row r="225" spans="1:7" x14ac:dyDescent="0.3">
      <c r="A225" s="2">
        <v>9420139902</v>
      </c>
      <c r="B225" s="41">
        <v>0</v>
      </c>
      <c r="C225" s="41">
        <v>0</v>
      </c>
      <c r="D225">
        <v>0</v>
      </c>
      <c r="E225" s="41">
        <v>0</v>
      </c>
      <c r="F225" s="41">
        <v>0</v>
      </c>
      <c r="G225" s="41">
        <v>0</v>
      </c>
    </row>
    <row r="226" spans="1:7" x14ac:dyDescent="0.3">
      <c r="A226" s="2">
        <v>9420139905</v>
      </c>
      <c r="B226" s="41">
        <v>0</v>
      </c>
      <c r="C226" s="41">
        <v>0</v>
      </c>
      <c r="D226" s="41">
        <v>0</v>
      </c>
      <c r="E226" s="41">
        <v>0</v>
      </c>
      <c r="F226" s="41">
        <v>0</v>
      </c>
      <c r="G226" s="41">
        <v>0</v>
      </c>
    </row>
    <row r="227" spans="1:7" x14ac:dyDescent="0.3">
      <c r="A227" s="2">
        <v>9420139906</v>
      </c>
      <c r="B227" s="41">
        <v>0</v>
      </c>
      <c r="C227" s="41">
        <v>0</v>
      </c>
      <c r="D227" s="41">
        <v>0</v>
      </c>
      <c r="E227" s="41">
        <v>0</v>
      </c>
      <c r="F227" s="41">
        <v>0</v>
      </c>
      <c r="G227" s="41">
        <v>0</v>
      </c>
    </row>
    <row r="228" spans="1:7" x14ac:dyDescent="0.3">
      <c r="A228" s="2">
        <v>9420139999</v>
      </c>
      <c r="B228" s="41">
        <v>0</v>
      </c>
      <c r="C228" s="41">
        <v>0</v>
      </c>
      <c r="D228">
        <v>0</v>
      </c>
      <c r="E228" s="41">
        <v>0</v>
      </c>
      <c r="F228" s="41">
        <v>0</v>
      </c>
      <c r="G228" s="41">
        <v>0</v>
      </c>
    </row>
    <row r="229" spans="1:7" x14ac:dyDescent="0.3">
      <c r="A229" s="2">
        <v>9221709900</v>
      </c>
      <c r="B229">
        <v>0</v>
      </c>
      <c r="C229">
        <v>0</v>
      </c>
      <c r="D229">
        <v>0</v>
      </c>
      <c r="E229" t="s">
        <v>8</v>
      </c>
      <c r="F229">
        <v>0</v>
      </c>
      <c r="G229">
        <v>0</v>
      </c>
    </row>
    <row r="230" spans="1:7" x14ac:dyDescent="0.3">
      <c r="A230" s="2">
        <v>9410149906</v>
      </c>
      <c r="B230" s="41">
        <v>0</v>
      </c>
      <c r="C230" s="41">
        <v>0</v>
      </c>
      <c r="D230" s="41">
        <v>0</v>
      </c>
      <c r="E230" s="41">
        <v>0</v>
      </c>
      <c r="F230" s="41">
        <v>0</v>
      </c>
      <c r="G230" s="41">
        <v>0</v>
      </c>
    </row>
    <row r="231" spans="1:7" x14ac:dyDescent="0.3">
      <c r="A231" s="2">
        <v>9320029997</v>
      </c>
      <c r="B231">
        <v>0</v>
      </c>
      <c r="C231">
        <v>0</v>
      </c>
      <c r="D231">
        <v>0</v>
      </c>
      <c r="E231">
        <v>0</v>
      </c>
      <c r="F231" t="s">
        <v>8</v>
      </c>
      <c r="G231" t="s">
        <v>8</v>
      </c>
    </row>
    <row r="232" spans="1:7" x14ac:dyDescent="0.3">
      <c r="A232" s="2">
        <v>9360129900</v>
      </c>
      <c r="B232" s="41">
        <v>0</v>
      </c>
      <c r="C232" s="41">
        <v>0</v>
      </c>
      <c r="D232" s="41">
        <v>0</v>
      </c>
      <c r="E232" s="41">
        <v>0</v>
      </c>
      <c r="F232" t="s">
        <v>8</v>
      </c>
      <c r="G232" s="41" t="s">
        <v>8</v>
      </c>
    </row>
    <row r="233" spans="1:7" x14ac:dyDescent="0.3">
      <c r="A233" s="2">
        <v>9170529901</v>
      </c>
      <c r="B233">
        <v>0</v>
      </c>
      <c r="C233" t="s">
        <v>8</v>
      </c>
      <c r="D233">
        <v>0</v>
      </c>
      <c r="E233">
        <v>0</v>
      </c>
      <c r="F233">
        <v>0</v>
      </c>
      <c r="G233">
        <v>0</v>
      </c>
    </row>
    <row r="234" spans="1:7" x14ac:dyDescent="0.3">
      <c r="A234" s="2">
        <v>9170529900</v>
      </c>
      <c r="B234">
        <v>0</v>
      </c>
      <c r="C234" t="s">
        <v>8</v>
      </c>
      <c r="D234">
        <v>0</v>
      </c>
      <c r="E234">
        <v>0</v>
      </c>
      <c r="F234">
        <v>0</v>
      </c>
      <c r="G234">
        <v>0</v>
      </c>
    </row>
    <row r="235" spans="1:7" x14ac:dyDescent="0.3">
      <c r="A235" s="2">
        <v>9170519901</v>
      </c>
      <c r="B235">
        <v>0</v>
      </c>
      <c r="C235" t="s">
        <v>8</v>
      </c>
      <c r="D235" t="s">
        <v>8</v>
      </c>
      <c r="E235">
        <v>0</v>
      </c>
      <c r="F235">
        <v>0</v>
      </c>
      <c r="G235">
        <v>0</v>
      </c>
    </row>
    <row r="236" spans="1:7" x14ac:dyDescent="0.3">
      <c r="A236" s="2">
        <v>9170519900</v>
      </c>
      <c r="B236">
        <v>0</v>
      </c>
      <c r="C236" t="s">
        <v>8</v>
      </c>
      <c r="D236" t="s">
        <v>8</v>
      </c>
      <c r="E236">
        <v>0</v>
      </c>
      <c r="F236">
        <v>0</v>
      </c>
      <c r="G236">
        <v>0</v>
      </c>
    </row>
    <row r="237" spans="1:7" x14ac:dyDescent="0.3">
      <c r="A237" s="2">
        <v>9160309999</v>
      </c>
      <c r="B237">
        <v>0</v>
      </c>
      <c r="C237" t="s">
        <v>8</v>
      </c>
      <c r="D237">
        <v>0</v>
      </c>
      <c r="E237">
        <v>0</v>
      </c>
      <c r="F237">
        <v>0</v>
      </c>
      <c r="G237">
        <v>0</v>
      </c>
    </row>
    <row r="238" spans="1:7" x14ac:dyDescent="0.3">
      <c r="A238" s="2">
        <v>9320089905</v>
      </c>
      <c r="B238" s="41">
        <v>0</v>
      </c>
      <c r="C238" s="41">
        <v>0</v>
      </c>
      <c r="D238" s="41">
        <v>0</v>
      </c>
      <c r="E238" t="s">
        <v>8</v>
      </c>
      <c r="F238" t="s">
        <v>8</v>
      </c>
      <c r="G238" t="s">
        <v>8</v>
      </c>
    </row>
    <row r="239" spans="1:7" x14ac:dyDescent="0.3">
      <c r="A239" s="2">
        <v>9310099900</v>
      </c>
      <c r="B239" t="s">
        <v>88</v>
      </c>
      <c r="C239" t="s">
        <v>80</v>
      </c>
      <c r="D239" t="s">
        <v>80</v>
      </c>
      <c r="E239" t="s">
        <v>85</v>
      </c>
      <c r="F239" t="s">
        <v>8</v>
      </c>
      <c r="G239" t="s">
        <v>80</v>
      </c>
    </row>
    <row r="240" spans="1:7" x14ac:dyDescent="0.3">
      <c r="A240" s="2">
        <v>9310099901</v>
      </c>
      <c r="B240" t="s">
        <v>76</v>
      </c>
      <c r="C240" t="s">
        <v>8</v>
      </c>
      <c r="D240" t="s">
        <v>76</v>
      </c>
      <c r="E240" t="s">
        <v>76</v>
      </c>
      <c r="F240" t="s">
        <v>8</v>
      </c>
      <c r="G240" t="s">
        <v>75</v>
      </c>
    </row>
    <row r="241" spans="1:7" x14ac:dyDescent="0.3">
      <c r="A241" s="2">
        <v>9310099902</v>
      </c>
      <c r="B241" t="s">
        <v>8</v>
      </c>
      <c r="C241" t="s">
        <v>8</v>
      </c>
      <c r="D241" t="s">
        <v>81</v>
      </c>
      <c r="E241" t="s">
        <v>82</v>
      </c>
      <c r="F241" t="s">
        <v>8</v>
      </c>
      <c r="G241" t="s">
        <v>8</v>
      </c>
    </row>
    <row r="242" spans="1:7" x14ac:dyDescent="0.3">
      <c r="A242" s="2">
        <v>9310099999</v>
      </c>
      <c r="B242" t="s">
        <v>87</v>
      </c>
      <c r="C242" t="s">
        <v>87</v>
      </c>
      <c r="D242" t="s">
        <v>87</v>
      </c>
      <c r="E242" t="s">
        <v>87</v>
      </c>
      <c r="F242" t="s">
        <v>87</v>
      </c>
      <c r="G242" t="s">
        <v>87</v>
      </c>
    </row>
    <row r="243" spans="1:7" x14ac:dyDescent="0.3">
      <c r="A243" s="2">
        <v>9320079900</v>
      </c>
      <c r="B243" t="s">
        <v>8</v>
      </c>
      <c r="C243" t="s">
        <v>8</v>
      </c>
      <c r="D243" t="s">
        <v>8</v>
      </c>
      <c r="E243" t="s">
        <v>8</v>
      </c>
      <c r="F243" t="s">
        <v>8</v>
      </c>
      <c r="G243" t="s">
        <v>8</v>
      </c>
    </row>
    <row r="244" spans="1:7" x14ac:dyDescent="0.3">
      <c r="A244" s="2">
        <v>9320079901</v>
      </c>
      <c r="B244" t="s">
        <v>8</v>
      </c>
      <c r="C244" t="s">
        <v>8</v>
      </c>
      <c r="D244" t="s">
        <v>8</v>
      </c>
      <c r="E244" t="s">
        <v>8</v>
      </c>
      <c r="F244" t="s">
        <v>8</v>
      </c>
      <c r="G244" t="s">
        <v>8</v>
      </c>
    </row>
    <row r="245" spans="1:7" x14ac:dyDescent="0.3">
      <c r="A245" s="2">
        <v>9320079902</v>
      </c>
      <c r="B245" t="s">
        <v>8</v>
      </c>
      <c r="C245" t="s">
        <v>8</v>
      </c>
      <c r="D245" t="s">
        <v>8</v>
      </c>
      <c r="E245" t="s">
        <v>8</v>
      </c>
      <c r="F245" t="s">
        <v>8</v>
      </c>
      <c r="G245" t="s">
        <v>8</v>
      </c>
    </row>
    <row r="246" spans="1:7" x14ac:dyDescent="0.3">
      <c r="A246" s="2">
        <v>9320079999</v>
      </c>
      <c r="B246" t="s">
        <v>8</v>
      </c>
      <c r="C246" t="s">
        <v>8</v>
      </c>
      <c r="D246" t="s">
        <v>8</v>
      </c>
      <c r="E246" t="s">
        <v>8</v>
      </c>
      <c r="F246" t="s">
        <v>8</v>
      </c>
      <c r="G246" t="s">
        <v>8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"/>
  <sheetViews>
    <sheetView workbookViewId="0">
      <selection activeCell="A9" sqref="A9"/>
    </sheetView>
  </sheetViews>
  <sheetFormatPr defaultColWidth="11.19921875" defaultRowHeight="15.6" x14ac:dyDescent="0.3"/>
  <cols>
    <col min="1" max="1" width="14.19921875" bestFit="1" customWidth="1"/>
    <col min="2" max="2" width="8" bestFit="1" customWidth="1"/>
    <col min="3" max="3" width="17.69921875" bestFit="1" customWidth="1"/>
    <col min="4" max="4" width="23.296875" bestFit="1" customWidth="1"/>
  </cols>
  <sheetData>
    <row r="1" spans="1:4" x14ac:dyDescent="0.3">
      <c r="A1" s="21" t="s">
        <v>12</v>
      </c>
      <c r="B1" t="s">
        <v>37</v>
      </c>
    </row>
    <row r="3" spans="1:4" x14ac:dyDescent="0.3">
      <c r="A3" s="21" t="s">
        <v>41</v>
      </c>
      <c r="B3" s="21" t="s">
        <v>42</v>
      </c>
      <c r="C3" t="s">
        <v>67</v>
      </c>
      <c r="D3" t="s">
        <v>17</v>
      </c>
    </row>
    <row r="4" spans="1:4" x14ac:dyDescent="0.3">
      <c r="A4" s="40">
        <v>2181241943999</v>
      </c>
      <c r="B4" t="s">
        <v>5</v>
      </c>
      <c r="D4">
        <v>72</v>
      </c>
    </row>
    <row r="5" spans="1:4" x14ac:dyDescent="0.3">
      <c r="A5" s="40">
        <v>2181241943999</v>
      </c>
      <c r="B5" t="s">
        <v>4</v>
      </c>
      <c r="D5">
        <v>248</v>
      </c>
    </row>
    <row r="6" spans="1:4" x14ac:dyDescent="0.3">
      <c r="A6" s="40">
        <v>2181241943999</v>
      </c>
      <c r="B6" t="s">
        <v>7</v>
      </c>
      <c r="D6">
        <v>160</v>
      </c>
    </row>
    <row r="7" spans="1:4" x14ac:dyDescent="0.3">
      <c r="A7" s="40">
        <v>2181241943999</v>
      </c>
      <c r="B7" t="s">
        <v>6</v>
      </c>
      <c r="D7">
        <v>138</v>
      </c>
    </row>
    <row r="8" spans="1:4" x14ac:dyDescent="0.3">
      <c r="A8" s="40">
        <v>2181241943999</v>
      </c>
      <c r="B8" t="s">
        <v>3</v>
      </c>
      <c r="D8">
        <v>216</v>
      </c>
    </row>
    <row r="9" spans="1:4" x14ac:dyDescent="0.3">
      <c r="A9" s="40">
        <v>2181241943999</v>
      </c>
      <c r="B9" t="s">
        <v>1</v>
      </c>
      <c r="D9">
        <v>390</v>
      </c>
    </row>
    <row r="10" spans="1:4" x14ac:dyDescent="0.3">
      <c r="A10" s="40">
        <v>2181241943999</v>
      </c>
      <c r="B10" t="s">
        <v>2</v>
      </c>
      <c r="D10">
        <v>126</v>
      </c>
    </row>
    <row r="11" spans="1:4" x14ac:dyDescent="0.3">
      <c r="A11" t="s">
        <v>68</v>
      </c>
      <c r="D11">
        <v>1350</v>
      </c>
    </row>
    <row r="12" spans="1:4" x14ac:dyDescent="0.3">
      <c r="A12" s="40">
        <v>9963334018999</v>
      </c>
      <c r="B12" t="s">
        <v>5</v>
      </c>
      <c r="D12">
        <v>168</v>
      </c>
    </row>
    <row r="13" spans="1:4" x14ac:dyDescent="0.3">
      <c r="A13" s="40">
        <v>9963334018999</v>
      </c>
      <c r="B13" t="s">
        <v>4</v>
      </c>
      <c r="D13">
        <v>489.99999999999989</v>
      </c>
    </row>
    <row r="14" spans="1:4" x14ac:dyDescent="0.3">
      <c r="A14" s="40">
        <v>9963334018999</v>
      </c>
      <c r="B14" t="s">
        <v>7</v>
      </c>
      <c r="D14">
        <v>300</v>
      </c>
    </row>
    <row r="15" spans="1:4" x14ac:dyDescent="0.3">
      <c r="A15" s="40">
        <v>9963334018999</v>
      </c>
      <c r="B15" t="s">
        <v>6</v>
      </c>
      <c r="D15">
        <v>0</v>
      </c>
    </row>
    <row r="16" spans="1:4" x14ac:dyDescent="0.3">
      <c r="A16" s="40">
        <v>9963334018999</v>
      </c>
      <c r="B16" t="s">
        <v>3</v>
      </c>
      <c r="D16">
        <v>218.5</v>
      </c>
    </row>
    <row r="17" spans="1:4" x14ac:dyDescent="0.3">
      <c r="A17" s="40">
        <v>9963334018999</v>
      </c>
      <c r="B17" t="s">
        <v>1</v>
      </c>
      <c r="D17">
        <v>81</v>
      </c>
    </row>
    <row r="18" spans="1:4" x14ac:dyDescent="0.3">
      <c r="A18" s="40">
        <v>9963334018999</v>
      </c>
      <c r="B18" t="s">
        <v>2</v>
      </c>
      <c r="D18">
        <v>92</v>
      </c>
    </row>
    <row r="19" spans="1:4" x14ac:dyDescent="0.3">
      <c r="A19" t="s">
        <v>69</v>
      </c>
      <c r="D19">
        <v>1349.5</v>
      </c>
    </row>
    <row r="20" spans="1:4" x14ac:dyDescent="0.3">
      <c r="A20" t="s">
        <v>36</v>
      </c>
      <c r="D20">
        <v>2699.5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Base</vt:lpstr>
      <vt:lpstr>No Batch</vt:lpstr>
      <vt:lpstr>10p Opening</vt:lpstr>
      <vt:lpstr>Batch Size</vt:lpstr>
      <vt:lpstr>10p 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t36792</dc:creator>
  <cp:lastModifiedBy>Mahesh Pol</cp:lastModifiedBy>
  <dcterms:created xsi:type="dcterms:W3CDTF">2026-06-18T13:31:31Z</dcterms:created>
  <dcterms:modified xsi:type="dcterms:W3CDTF">2026-08-05T14:34:42Z</dcterms:modified>
</cp:coreProperties>
</file>